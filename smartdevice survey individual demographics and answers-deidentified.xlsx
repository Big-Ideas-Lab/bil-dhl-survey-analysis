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9"/>
  <workbookPr/>
  <mc:AlternateContent xmlns:mc="http://schemas.openxmlformats.org/markup-compatibility/2006">
    <mc:Choice Requires="x15">
      <x15ac:absPath xmlns:x15ac="http://schemas.microsoft.com/office/spreadsheetml/2010/11/ac" url="/Users/mobashirshandhi/Library/CloudStorage/GoogleDrive-mobashir.shandhi@gmail.com/My Drive/Research/Duke/Projects/Smart Device Ownership Among Duke Patients/Duke Health Listens/Data/Analysis/For GitHub/"/>
    </mc:Choice>
  </mc:AlternateContent>
  <xr:revisionPtr revIDLastSave="0" documentId="13_ncr:1_{21100377-021B-0641-8432-A82DC7DA83A1}" xr6:coauthVersionLast="47" xr6:coauthVersionMax="47" xr10:uidLastSave="{00000000-0000-0000-0000-000000000000}"/>
  <bookViews>
    <workbookView xWindow="0" yWindow="760" windowWidth="30240" windowHeight="17300" xr2:uid="{00000000-000D-0000-FFFF-FFFF00000000}"/>
  </bookViews>
  <sheets>
    <sheet name="CSV with Answer Lable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I1393" i="2" l="1"/>
  <c r="BH1393" i="2"/>
  <c r="BI1392" i="2"/>
  <c r="BH1392" i="2"/>
  <c r="BI1391" i="2"/>
  <c r="BH1391" i="2"/>
  <c r="BI1390" i="2"/>
  <c r="BH1390" i="2"/>
  <c r="BI1389" i="2"/>
  <c r="BH1389" i="2"/>
  <c r="BI1388" i="2"/>
  <c r="BH1388" i="2"/>
  <c r="BG1393" i="2"/>
  <c r="BG1392" i="2"/>
  <c r="BG1391" i="2"/>
  <c r="BG1390" i="2"/>
  <c r="BG1389" i="2"/>
  <c r="BG1397" i="2" a="1"/>
  <c r="BG1397" i="2" s="1"/>
  <c r="BG1388" i="2"/>
  <c r="BI1385" i="2"/>
  <c r="BH1385" i="2"/>
  <c r="BG1385" i="2"/>
  <c r="BI1384" i="2"/>
  <c r="BH1384" i="2"/>
  <c r="BG1384" i="2"/>
  <c r="BI1383" i="2"/>
  <c r="BH1383" i="2"/>
  <c r="BG1383" i="2"/>
  <c r="BI1382" i="2"/>
  <c r="BH1382" i="2"/>
  <c r="BG1382" i="2"/>
  <c r="BG1379" i="2"/>
  <c r="BG137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<sst xmlns="http://schemas.openxmlformats.org/spreadsheetml/2006/main" count="49944" uniqueCount="586">
  <si>
    <t>ResponseDate</t>
  </si>
  <si>
    <t>CompletionDate</t>
  </si>
  <si>
    <t>Own a smart phone_Yes-iPhone (iApple/iOS)</t>
  </si>
  <si>
    <t>Own a smart phone_Yes-Android (Samsung Galaxy, Google Pixel, OnePlus, Motorola, Nokia)</t>
  </si>
  <si>
    <t>Own a smart phone_Yes, some other smartphone (please provide)</t>
  </si>
  <si>
    <t>Own a smart phone_No</t>
  </si>
  <si>
    <t>Own a smart phone_Yes, some other smartphone (please provide)_0</t>
  </si>
  <si>
    <t>Smartphone for activity tracking_No</t>
  </si>
  <si>
    <t>Smartphone for activity tracking_Fitness and workout monitoring (heart rate, step tracking, jogging, etc.)</t>
  </si>
  <si>
    <t>Smartphone for activity tracking_Health tracking (blood oxygen, heart rhythm, women's health such as ovulation tracking, etc.)</t>
  </si>
  <si>
    <t>Smartphone for activity tracking_Sleep monitoring (sleep duration, sleep quality, etc.)</t>
  </si>
  <si>
    <t>Smartphone for activity tracking_Other activity tracking (please describe)</t>
  </si>
  <si>
    <t>Smartphone for activity tracking_Other activity tracking (please describe)_0</t>
  </si>
  <si>
    <t>Weekdays smartphone activity tracked</t>
  </si>
  <si>
    <t>Weekends smartphone activity tracked</t>
  </si>
  <si>
    <t>Wearable device ownership_None</t>
  </si>
  <si>
    <t>Wearable device ownership_Fitbit</t>
  </si>
  <si>
    <t>Wearable device ownership_Apple Watch</t>
  </si>
  <si>
    <t>Wearable device ownership_Garmin</t>
  </si>
  <si>
    <t>Wearable device ownership_Samsung</t>
  </si>
  <si>
    <t>Wearable device ownership_Polar</t>
  </si>
  <si>
    <t>Wearable device ownership_Suunto</t>
  </si>
  <si>
    <t>Wearable device ownership_Withings</t>
  </si>
  <si>
    <t>Wearable device ownership_WITHit</t>
  </si>
  <si>
    <t>Wearable device ownership_Oura ring</t>
  </si>
  <si>
    <t>Wearable device ownership_Whoop</t>
  </si>
  <si>
    <t>Wearable device ownership_Other (please provide)</t>
  </si>
  <si>
    <t>Wearable device ownership_Other (please provide)_0</t>
  </si>
  <si>
    <t>Reasons for not owning wearable devices_I want one, I just don't have one yet</t>
  </si>
  <si>
    <t>Reasons for not owning wearable devices_No particular reason</t>
  </si>
  <si>
    <t>Reasons for not owning wearable devices_Too expensive</t>
  </si>
  <si>
    <t>Reasons for not owning wearable devices_Too hard to read</t>
  </si>
  <si>
    <t>Reasons for not owning wearable devices_Don't trust that they work correctly</t>
  </si>
  <si>
    <t>Reasons for not owning wearable devices_Don't know enough about them</t>
  </si>
  <si>
    <t>Reasons for not owning wearable devices_Not interested in tracking </t>
  </si>
  <si>
    <t>Reasons for not owning wearable devices_Privacy reasons</t>
  </si>
  <si>
    <t>Reasons for not owning wearable devices_Some other reason not listed (please provide)</t>
  </si>
  <si>
    <t>Reasons for not owning wearable devices_Some other reason not listed (please provide)_0</t>
  </si>
  <si>
    <t>Wearable device usage by reason_Apps (social media, news, etc.)</t>
  </si>
  <si>
    <t>Wearable device usage by reason_Fitness and workout monitoring (heart rate, step tracking, jogging, etc.)</t>
  </si>
  <si>
    <t>Wearable device usage by reason_Sleep monitoring (sleep duration, sleep quality, etc.)</t>
  </si>
  <si>
    <t>Wearable device usage by reason_Health tracking (blood oxygen, heart rhythm, women's health such as ovulation tracking, etc.)</t>
  </si>
  <si>
    <t>Wearable device usage by reason_Phone calls, emails, texting</t>
  </si>
  <si>
    <t>Wearable device usage by reason_Music, audiobooks, or podcasts</t>
  </si>
  <si>
    <t>Wearable device usage by reason_Navigation (GPS)</t>
  </si>
  <si>
    <t>Wearable device usage by reason_Wear for fashion</t>
  </si>
  <si>
    <t>Weekdays wearable device worn</t>
  </si>
  <si>
    <t>Weekends wearable device worn</t>
  </si>
  <si>
    <t>Time of day wearable device worn</t>
  </si>
  <si>
    <t>Occupation</t>
  </si>
  <si>
    <t>Occupation_Something else not listed (please provide)</t>
  </si>
  <si>
    <t>Highest level of education</t>
  </si>
  <si>
    <t>Interest in future research opportunities</t>
  </si>
  <si>
    <t>Types of activities comfortable sharing _Health tracking (blood oxygen, heart rhythm, women's health such as ovulation tracking, etc.)</t>
  </si>
  <si>
    <t>Types of activities comfortable sharing _Fitness and workout monitoring (heart rate, step tracking, jogging, etc.)</t>
  </si>
  <si>
    <t>Types of activities comfortable sharing _Sleep monitoring (sleep duration, sleep quality, etc.)</t>
  </si>
  <si>
    <t>Types of activities comfortable sharing _Self-reported measures from health and fitness apps (mindfulness and mood, water intake, food logs, women's health, etc.)</t>
  </si>
  <si>
    <t>Employment Status</t>
  </si>
  <si>
    <t>Gender</t>
  </si>
  <si>
    <t>Generation</t>
  </si>
  <si>
    <t>Highest level of education_0</t>
  </si>
  <si>
    <t>North Carolina County</t>
  </si>
  <si>
    <t>Race / Ethnicity_Black or African American</t>
  </si>
  <si>
    <t>Race / Ethnicity_American Indian and/or Alaska Native</t>
  </si>
  <si>
    <t>Race / Ethnicity_Native Hawaiian and/or other Pacific Islander</t>
  </si>
  <si>
    <t>Race / Ethnicity_Asian or Asian American</t>
  </si>
  <si>
    <t>Race / Ethnicity_Hispanic</t>
  </si>
  <si>
    <t>Race / Ethnicity_White or Caucasian</t>
  </si>
  <si>
    <t>Race / Ethnicity_Another race / ethnicity</t>
  </si>
  <si>
    <t>Race / Ethnicity_Prefer not to answer</t>
  </si>
  <si>
    <t>Race / Ethnicity - Other</t>
  </si>
  <si>
    <t>Virginia County</t>
  </si>
  <si>
    <t>Healthcare Support </t>
  </si>
  <si>
    <t>Graduate degree</t>
  </si>
  <si>
    <t>No</t>
  </si>
  <si>
    <t>Employed full-time</t>
  </si>
  <si>
    <t>Female</t>
  </si>
  <si>
    <t>Generation X</t>
  </si>
  <si>
    <t>Wake</t>
  </si>
  <si>
    <t>Varies from week to week</t>
  </si>
  <si>
    <t>Varies from weekend to weekend</t>
  </si>
  <si>
    <t>Secondary reason</t>
  </si>
  <si>
    <t>Main reason</t>
  </si>
  <si>
    <t>Not a reason</t>
  </si>
  <si>
    <t>Varies from week to week </t>
  </si>
  <si>
    <t>Daytime only</t>
  </si>
  <si>
    <t>Maybe</t>
  </si>
  <si>
    <t>Yes</t>
  </si>
  <si>
    <t>All weekdays</t>
  </si>
  <si>
    <t>Both Saturday and Sunday</t>
  </si>
  <si>
    <t>Not applicable to my device(s)</t>
  </si>
  <si>
    <t>Computer, Mathematical</t>
  </si>
  <si>
    <t>Male</t>
  </si>
  <si>
    <t>Millenials</t>
  </si>
  <si>
    <t>Orange</t>
  </si>
  <si>
    <t>Steps</t>
  </si>
  <si>
    <t>Some college but no degree</t>
  </si>
  <si>
    <t>Retired, not looking for work</t>
  </si>
  <si>
    <t>Baby Boomer</t>
  </si>
  <si>
    <t>Cumberland</t>
  </si>
  <si>
    <t>Always (day and night)</t>
  </si>
  <si>
    <t>Disabled, not able to work</t>
  </si>
  <si>
    <t>Alamance</t>
  </si>
  <si>
    <t>weight</t>
  </si>
  <si>
    <t>Can't afford a good one</t>
  </si>
  <si>
    <t>Lee</t>
  </si>
  <si>
    <t>Office, Administrative Support</t>
  </si>
  <si>
    <t>College graduate</t>
  </si>
  <si>
    <t>Employed part-time</t>
  </si>
  <si>
    <t>A county not listed</t>
  </si>
  <si>
    <t>Something else not listed (please provide)</t>
  </si>
  <si>
    <t>Baking Blogger</t>
  </si>
  <si>
    <t xml:space="preserve">Business data analytics </t>
  </si>
  <si>
    <t>Not employed, but looking for work</t>
  </si>
  <si>
    <t>Durham</t>
  </si>
  <si>
    <t>Food logd</t>
  </si>
  <si>
    <t xml:space="preserve">Watch with pedometer </t>
  </si>
  <si>
    <t>Irregular times (no set times)</t>
  </si>
  <si>
    <t>Healthcare Practitioner, Technical Occupations</t>
  </si>
  <si>
    <t>Community, Social Services </t>
  </si>
  <si>
    <t>High school graduate</t>
  </si>
  <si>
    <t>Amazfit Bip U Pro</t>
  </si>
  <si>
    <t>Education, Training, Library </t>
  </si>
  <si>
    <t xml:space="preserve">Distance walked per day </t>
  </si>
  <si>
    <t>Building &amp; Grounds Cleaning, Maintenance </t>
  </si>
  <si>
    <t>Miles walked</t>
  </si>
  <si>
    <t>Production</t>
  </si>
  <si>
    <t>None</t>
  </si>
  <si>
    <t>Life, Physical, Social Science</t>
  </si>
  <si>
    <t>Johnston</t>
  </si>
  <si>
    <t xml:space="preserve">Too hard to make them work for a few things. I have a fitbit but don't want all the features and am not computer savvy enough to figure everything out._x000D_
</t>
  </si>
  <si>
    <t>using an app to track symptom of my particular disease; it is for a clinical study</t>
  </si>
  <si>
    <t>It has not been suggested to me by a health professional</t>
  </si>
  <si>
    <t>Disabled; not able to work due to my disease</t>
  </si>
  <si>
    <t>weight, food diary</t>
  </si>
  <si>
    <t>Some weekdays</t>
  </si>
  <si>
    <t>Food intake on weight watchers app.</t>
  </si>
  <si>
    <t>Franklin</t>
  </si>
  <si>
    <t>Pittsylvania</t>
  </si>
  <si>
    <t>Retired</t>
  </si>
  <si>
    <t>Spade</t>
  </si>
  <si>
    <t># steps walked</t>
  </si>
  <si>
    <t>Saturday only</t>
  </si>
  <si>
    <t>Dayban=. %</t>
  </si>
  <si>
    <t xml:space="preserve">Member hud </t>
  </si>
  <si>
    <t xml:space="preserve">Meditation, wellness challenges </t>
  </si>
  <si>
    <t>Management</t>
  </si>
  <si>
    <t>Granville</t>
  </si>
  <si>
    <t>Fitbit is Synced with smartphone app</t>
  </si>
  <si>
    <t>Food tracking</t>
  </si>
  <si>
    <t xml:space="preserve">Dont work </t>
  </si>
  <si>
    <t>Robeson</t>
  </si>
  <si>
    <t>iTouch</t>
  </si>
  <si>
    <t>During workouts only</t>
  </si>
  <si>
    <t>Person</t>
  </si>
  <si>
    <t>Hydration, stress</t>
  </si>
  <si>
    <t>Procurement &amp; contracts</t>
  </si>
  <si>
    <t>Weight tracking with Livonia and coordinating with Garmin watch for fitness tracking</t>
  </si>
  <si>
    <t>Silent Generation</t>
  </si>
  <si>
    <t>Not employed, not looking for work</t>
  </si>
  <si>
    <t xml:space="preserve">I own  a smartphone </t>
  </si>
  <si>
    <t>B</t>
  </si>
  <si>
    <t>Self employed. Accounting</t>
  </si>
  <si>
    <t>Mecklenburg</t>
  </si>
  <si>
    <t>Samsung A01</t>
  </si>
  <si>
    <t>Chatham</t>
  </si>
  <si>
    <t>Unemploymed MBA Honors Grad</t>
  </si>
  <si>
    <t>Warren</t>
  </si>
  <si>
    <t>Not interested in devices being in every aspect of my life.</t>
  </si>
  <si>
    <t>Nighttime only</t>
  </si>
  <si>
    <t>Arts, Design, Entertainment, Sports, Media </t>
  </si>
  <si>
    <t>Gender Fluid/Queer</t>
  </si>
  <si>
    <t xml:space="preserve">Never thought about it, but may consider it, given the benefits I am hearing of. </t>
  </si>
  <si>
    <t>Dexcom for blood sugar tracking</t>
  </si>
  <si>
    <t>Vance</t>
  </si>
  <si>
    <t>Legal</t>
  </si>
  <si>
    <t>Guilford</t>
  </si>
  <si>
    <t>Customer care</t>
  </si>
  <si>
    <t>Merchandising</t>
  </si>
  <si>
    <t>Transportation, Material Moving Occupations</t>
  </si>
  <si>
    <t>Blood Glucose Monitoring</t>
  </si>
  <si>
    <t>blood suger</t>
  </si>
  <si>
    <t xml:space="preserve">Menstrual cycle </t>
  </si>
  <si>
    <t>Transition</t>
  </si>
  <si>
    <t>Gen Z</t>
  </si>
  <si>
    <t>Middle Eastern North African (MENA)</t>
  </si>
  <si>
    <t>monitoring number of steps while walking</t>
  </si>
  <si>
    <t>Nash</t>
  </si>
  <si>
    <t>Danville City</t>
  </si>
  <si>
    <t>Wilson</t>
  </si>
  <si>
    <t>Technology Consultanting</t>
  </si>
  <si>
    <t>Sales &amp; Related Occupations</t>
  </si>
  <si>
    <t xml:space="preserve">At the moment, I’m unable to walk. Therefore it is not necessary that I use a FitBit or any other tracking device </t>
  </si>
  <si>
    <t xml:space="preserve">Not allowed in my work building. </t>
  </si>
  <si>
    <t>Intelligence Analyst</t>
  </si>
  <si>
    <t>MYCHART</t>
  </si>
  <si>
    <t>Tmobile</t>
  </si>
  <si>
    <t>Legally blind</t>
  </si>
  <si>
    <t xml:space="preserve">Ketone, blood sugar </t>
  </si>
  <si>
    <t>Business, Financial Operations </t>
  </si>
  <si>
    <t>Caswell</t>
  </si>
  <si>
    <t>At home mom</t>
  </si>
  <si>
    <t xml:space="preserve">Walking </t>
  </si>
  <si>
    <t xml:space="preserve">Dont know the name </t>
  </si>
  <si>
    <t>I use a FitBit but use its app on my phone</t>
  </si>
  <si>
    <t xml:space="preserve">Nutrition </t>
  </si>
  <si>
    <t xml:space="preserve">Manufacturing </t>
  </si>
  <si>
    <t>Jitterbug 3</t>
  </si>
  <si>
    <t xml:space="preserve">Retired </t>
  </si>
  <si>
    <t>Sugar rreadings</t>
  </si>
  <si>
    <t>Free style libre</t>
  </si>
  <si>
    <t>Weight Watchers, BP and blood glucose monitoring</t>
  </si>
  <si>
    <t>Harnett</t>
  </si>
  <si>
    <t>Not sure I want one yet. Still looking at them.</t>
  </si>
  <si>
    <t xml:space="preserve">Diabetes results </t>
  </si>
  <si>
    <t>Nurse</t>
  </si>
  <si>
    <t>Retired teacher</t>
  </si>
  <si>
    <t xml:space="preserve">Fitbit </t>
  </si>
  <si>
    <t>Diet</t>
  </si>
  <si>
    <t xml:space="preserve">Calorie count, steps </t>
  </si>
  <si>
    <t>Amazon</t>
  </si>
  <si>
    <t xml:space="preserve">Own business </t>
  </si>
  <si>
    <t>not techno savvy</t>
  </si>
  <si>
    <t>Sunday only</t>
  </si>
  <si>
    <t>Not working at this time.  I have cancer.</t>
  </si>
  <si>
    <t>Other Gender - Not Disclosed</t>
  </si>
  <si>
    <t>retired</t>
  </si>
  <si>
    <t>I had one and lost it.  I plan to get another one.  I did use it for a study I was in.</t>
  </si>
  <si>
    <t xml:space="preserve">It is connected to my Fitbit </t>
  </si>
  <si>
    <t xml:space="preserve">Law Enforcement </t>
  </si>
  <si>
    <t>Halifax</t>
  </si>
  <si>
    <t xml:space="preserve">Blood pressure </t>
  </si>
  <si>
    <t>Food Diary</t>
  </si>
  <si>
    <t xml:space="preserve">Meditate </t>
  </si>
  <si>
    <t xml:space="preserve">I have a Fitbit watch for heart &amp; steps. </t>
  </si>
  <si>
    <t>blood pressure</t>
  </si>
  <si>
    <t>Protective Service</t>
  </si>
  <si>
    <t>Track using other methods</t>
  </si>
  <si>
    <t>Don't want anything on my wrist.</t>
  </si>
  <si>
    <t>Innkeeper, small business owner</t>
  </si>
  <si>
    <t>Verily watch</t>
  </si>
  <si>
    <t xml:space="preserve">Wrecking </t>
  </si>
  <si>
    <t>Architecture, Engineering </t>
  </si>
  <si>
    <t>step</t>
  </si>
  <si>
    <t xml:space="preserve">Disabled </t>
  </si>
  <si>
    <t>Logging Food Intake</t>
  </si>
  <si>
    <t xml:space="preserve">No </t>
  </si>
  <si>
    <t xml:space="preserve">About the glucose monitor, afraid of water getting under skin causing other health problems. </t>
  </si>
  <si>
    <t>weight loss/gain occasionally</t>
  </si>
  <si>
    <t>I don't trust the tech</t>
  </si>
  <si>
    <t xml:space="preserve"> Blackberry KeyOne (Android)</t>
  </si>
  <si>
    <t>Da Fit</t>
  </si>
  <si>
    <t>Less than high school</t>
  </si>
  <si>
    <t>LG G8 ThinQ</t>
  </si>
  <si>
    <t>Saami</t>
  </si>
  <si>
    <t xml:space="preserve">Fitbit it does some of everything listed above </t>
  </si>
  <si>
    <t>Farming, Fishing, Forestry </t>
  </si>
  <si>
    <t>Healthcare research</t>
  </si>
  <si>
    <t>Clinical research</t>
  </si>
  <si>
    <t>Food Preparation, Serving </t>
  </si>
  <si>
    <t>Graduate student</t>
  </si>
  <si>
    <t xml:space="preserve">Forensic Lab Project Special </t>
  </si>
  <si>
    <t>Troglodyte here. Phones are to make phone calls.</t>
  </si>
  <si>
    <t>semi-retired</t>
  </si>
  <si>
    <t>HR</t>
  </si>
  <si>
    <t xml:space="preserve">I/T Management </t>
  </si>
  <si>
    <t>establishing notifications and reminders for exercise options</t>
  </si>
  <si>
    <t>Android</t>
  </si>
  <si>
    <t xml:space="preserve">Directional print is always to small to read without a magnifying glass. </t>
  </si>
  <si>
    <t>Personal Care, Service</t>
  </si>
  <si>
    <t>I use a St Jude heart monitor using analogue phone line, The telephone charges $46 monthly to carry heart monitor over phone lline. No carrier has plan offering medical discount services. I believe should be coordinated by med providers to ensure direct commun with patients.</t>
  </si>
  <si>
    <t xml:space="preserve">not savvy enough to use_x000D_
</t>
  </si>
  <si>
    <t>Bi-racial African American/ Caucasian</t>
  </si>
  <si>
    <t xml:space="preserve">After reading up and testing it on a friends (new unit)  they are inaccurate do to me are useless.  If you are counting steps, and not moving arms the steps do not count, and as stated I tried a friends new device out.  </t>
  </si>
  <si>
    <t>Why do I need one? I work out everyday and know how much I exercise</t>
  </si>
  <si>
    <t>Mental Heath Counselor</t>
  </si>
  <si>
    <t>watch</t>
  </si>
  <si>
    <t>Security officer</t>
  </si>
  <si>
    <t>Non-binary</t>
  </si>
  <si>
    <t>Lumen</t>
  </si>
  <si>
    <t>Don’t want anything on my body full time.  That’s annoying.</t>
  </si>
  <si>
    <t>Part time in arts and part time in personal care.</t>
  </si>
  <si>
    <t>Research</t>
  </si>
  <si>
    <t>Science</t>
  </si>
  <si>
    <t>Walking</t>
  </si>
  <si>
    <t>BP, HR</t>
  </si>
  <si>
    <t xml:space="preserve">Prices </t>
  </si>
  <si>
    <t>Not comfortable</t>
  </si>
  <si>
    <t>bike riding &amp; golf</t>
  </si>
  <si>
    <t xml:space="preserve">Step counter </t>
  </si>
  <si>
    <t xml:space="preserve">Not convenient </t>
  </si>
  <si>
    <t xml:space="preserve">I Pad. No computer . </t>
  </si>
  <si>
    <t>I touch Sport</t>
  </si>
  <si>
    <t>financial advisor</t>
  </si>
  <si>
    <t>distance walked only</t>
  </si>
  <si>
    <t>Detection of potential Afib, detection of potential falls, measure VO max, track mindfulness</t>
  </si>
  <si>
    <t xml:space="preserve">They’re ugly. </t>
  </si>
  <si>
    <t>Walking distance, speed and routes (both horizontal and vertical)</t>
  </si>
  <si>
    <t>Retired (Duh)</t>
  </si>
  <si>
    <t>My Fitness Pal</t>
  </si>
  <si>
    <t>I don't need one at this time since the Kardia monitor is on the market. This is what my cardiologist said to use.</t>
  </si>
  <si>
    <t>Duke Health Log In</t>
  </si>
  <si>
    <t xml:space="preserve">Wyze watch </t>
  </si>
  <si>
    <t>Kardia</t>
  </si>
  <si>
    <t>usually not waterproof, and you always have to click them on to see the time, the screen turns off after a few seconds.</t>
  </si>
  <si>
    <t>Not sure I want to deal with yet another piece of technology</t>
  </si>
  <si>
    <t>M&amp;A Consultant</t>
  </si>
  <si>
    <t>blood sugar</t>
  </si>
  <si>
    <t>Construction, Extraction </t>
  </si>
  <si>
    <t>myAir app for daily CPAP results</t>
  </si>
  <si>
    <t>DA</t>
  </si>
  <si>
    <t xml:space="preserve">Fit watch </t>
  </si>
  <si>
    <t>Sports Marketing</t>
  </si>
  <si>
    <t>I use my IPhone to track data from my Fitbit watch</t>
  </si>
  <si>
    <t>Asus -Android</t>
  </si>
  <si>
    <t>Occasionally use map my walk to measure walk or time</t>
  </si>
  <si>
    <t>I know how far I walk and regular watch tracks time; in gym use pulse on treadmill</t>
  </si>
  <si>
    <t>walking distance</t>
  </si>
  <si>
    <t>Power Q20 Pro ear buds</t>
  </si>
  <si>
    <t xml:space="preserve">Nonprofit </t>
  </si>
  <si>
    <t>Mileage tracking on walks</t>
  </si>
  <si>
    <t>iPhone is good enough for what I want, mileage tracking.</t>
  </si>
  <si>
    <t xml:space="preserve">Haz May Emergency Response </t>
  </si>
  <si>
    <t xml:space="preserve">Fitbit app daily steps </t>
  </si>
  <si>
    <t>Covid tracing</t>
  </si>
  <si>
    <t>AFIB MONITOR</t>
  </si>
  <si>
    <t xml:space="preserve">Dietary, food monitoring </t>
  </si>
  <si>
    <t>Exercise minutes, vitals</t>
  </si>
  <si>
    <t>Had one, got ruined, haven't bought a new one.</t>
  </si>
  <si>
    <t>I had two fit bits in the past but they both died and after the second one I just gave up on them.</t>
  </si>
  <si>
    <t>retiree</t>
  </si>
  <si>
    <t>I don't want people tracking my personal information.</t>
  </si>
  <si>
    <t>Amazfit T-Rex</t>
  </si>
  <si>
    <t>Family Child Care Owner</t>
  </si>
  <si>
    <t>Apple I phone</t>
  </si>
  <si>
    <t xml:space="preserve">Apple </t>
  </si>
  <si>
    <t>I have a I watch, stopped using it</t>
  </si>
  <si>
    <t>Tracks Covid exposure</t>
  </si>
  <si>
    <t>distance and time walking</t>
  </si>
  <si>
    <t>don't like to wear a watch</t>
  </si>
  <si>
    <t xml:space="preserve">Motorola </t>
  </si>
  <si>
    <t>Use a fitness watch for my heart rate</t>
  </si>
  <si>
    <t>Willful watch, VeryFitPro app</t>
  </si>
  <si>
    <t>Telecom</t>
  </si>
  <si>
    <t xml:space="preserve">Record blood pressure, heart rate, steps taken daily.  Heart monitor links me to Cardiologist. </t>
  </si>
  <si>
    <t>1. Multiple significant health issues over past few years that impact activities, so not helpful._x000D_
2. Concerned about skin irritations</t>
  </si>
  <si>
    <t xml:space="preserve">LG </t>
  </si>
  <si>
    <t xml:space="preserve">3 year old child care teacher </t>
  </si>
  <si>
    <t>Vision issues</t>
  </si>
  <si>
    <t>I track my walking at work to verify how much I was walking at Lowe's home improvement center</t>
  </si>
  <si>
    <t>Halo View</t>
  </si>
  <si>
    <t>Project Management</t>
  </si>
  <si>
    <t>Kore 20</t>
  </si>
  <si>
    <t xml:space="preserve">Housekeeper </t>
  </si>
  <si>
    <t xml:space="preserve">tons of sideeffects due so radiation and interference </t>
  </si>
  <si>
    <t>H band</t>
  </si>
  <si>
    <t>Spanish Medical Interpreter</t>
  </si>
  <si>
    <t>Running miles tracking</t>
  </si>
  <si>
    <t>North African</t>
  </si>
  <si>
    <t>Amazon halo</t>
  </si>
  <si>
    <t>Scientist</t>
  </si>
  <si>
    <t>I no my miles and I know my heart rate.</t>
  </si>
  <si>
    <t>Spanish /Italian/Middle Eastern</t>
  </si>
  <si>
    <t>Continuous glucose monitor, Food tracking</t>
  </si>
  <si>
    <t>Libre2 CGM</t>
  </si>
  <si>
    <t>Healthcare IT project management</t>
  </si>
  <si>
    <t xml:space="preserve">I don't like to wear things even don't wear much jewelry </t>
  </si>
  <si>
    <t xml:space="preserve">too trivial. will be replaced with something else. life is too fragile. everybody wants to be billioneer </t>
  </si>
  <si>
    <t>Virmee</t>
  </si>
  <si>
    <t>Other Gender - Disclosed</t>
  </si>
  <si>
    <t>Fitbud</t>
  </si>
  <si>
    <t xml:space="preserve">iPhone </t>
  </si>
  <si>
    <t>retired educator</t>
  </si>
  <si>
    <t>Biologist</t>
  </si>
  <si>
    <t>Food and liquid tracking</t>
  </si>
  <si>
    <t>Had fit bit monitor(s) several years ago; you just get tired of the constant checking.</t>
  </si>
  <si>
    <t>Galaxy</t>
  </si>
  <si>
    <t xml:space="preserve">Blackberry key one </t>
  </si>
  <si>
    <t xml:space="preserve">Food log, mindfulness </t>
  </si>
  <si>
    <t>Fitness pal for diet and weight log</t>
  </si>
  <si>
    <t>fundraising</t>
  </si>
  <si>
    <t>Drinking water, taking medication</t>
  </si>
  <si>
    <t>Martian</t>
  </si>
  <si>
    <t>Nutrition and meal logging, meditation, mental health through Cerebral, dermatology, Rx/Dr appt needs through K-Health</t>
  </si>
  <si>
    <t>Step counting</t>
  </si>
  <si>
    <t>The battery life is way too short</t>
  </si>
  <si>
    <t>FirYawee</t>
  </si>
  <si>
    <t>Tracking gestational diabetes number with an app</t>
  </si>
  <si>
    <t>I tried my husband's Fit bit to assess my sleep, and I can't get it to work for me.</t>
  </si>
  <si>
    <t xml:space="preserve">Watch </t>
  </si>
  <si>
    <t>Middle eastern</t>
  </si>
  <si>
    <t>Health reports</t>
  </si>
  <si>
    <t>Too old,81, for so many devices. I trust my Duke doctors.</t>
  </si>
  <si>
    <t>Tennis, walking and yoga</t>
  </si>
  <si>
    <t>MyFitnessPal and Zero apps</t>
  </si>
  <si>
    <t>Product Manager</t>
  </si>
  <si>
    <t>Chinese Brand</t>
  </si>
  <si>
    <t xml:space="preserve">Forensic technician </t>
  </si>
  <si>
    <t xml:space="preserve">Insurance </t>
  </si>
  <si>
    <t>DaFit</t>
  </si>
  <si>
    <t>Student</t>
  </si>
  <si>
    <t>Dafit</t>
  </si>
  <si>
    <t xml:space="preserve">Nurse </t>
  </si>
  <si>
    <t>I prefer just using my iPhone to track my steps each day. I don't even wear a watch. I would be open to wearing one that did more than just tracked my steps.</t>
  </si>
  <si>
    <t>Compliance</t>
  </si>
  <si>
    <t>Greek</t>
  </si>
  <si>
    <t>I think this is an invasion of privacy in the way they are accumulating information. It is not my doctor I care about. It is all the information across many platforms to get this information.</t>
  </si>
  <si>
    <t>golf + bicycle trail guidance</t>
  </si>
  <si>
    <t>I walks and do a DVD workout each day, also I'm concerned I'd just spend the  money for another item in the what-not drawer.</t>
  </si>
  <si>
    <t>Can't have watches, jewelry at work.</t>
  </si>
  <si>
    <t xml:space="preserve">Track with a Fitbit ,my steps my heart rate </t>
  </si>
  <si>
    <t>I just do not want one</t>
  </si>
  <si>
    <t xml:space="preserve">Fragile health condition compels me to address the dominant ailment of the day. _x000D_
</t>
  </si>
  <si>
    <t>Chemist</t>
  </si>
  <si>
    <t>Witfit</t>
  </si>
  <si>
    <t>Blood Sugar and BP</t>
  </si>
  <si>
    <t>Muse meditation headband</t>
  </si>
  <si>
    <t xml:space="preserve">uncomfortable </t>
  </si>
  <si>
    <t>LG X-CHARGE</t>
  </si>
  <si>
    <t>Transgender Male</t>
  </si>
  <si>
    <t>Biostrap</t>
  </si>
  <si>
    <t>When my son was 12, he had a life threatening heart arrhythmia.  He wore a device and stared at it all the time.  So we adjusted and had the results come to my phone. While my kid is fine now, there’s some PTSD associated with wearable devices and nobody in my family wants one.</t>
  </si>
  <si>
    <t xml:space="preserve">Lab tech </t>
  </si>
  <si>
    <t>College Student / Personal Trainer</t>
  </si>
  <si>
    <t xml:space="preserve">Time.   I don’t have time to maintain another device, got too many passwords to remember already. </t>
  </si>
  <si>
    <t>Marketing</t>
  </si>
  <si>
    <t>It would not be healthy for me given my tendency to overexercise. My doctors recommended I not keep one.</t>
  </si>
  <si>
    <t>don't like how they look - would prefer something more attractive</t>
  </si>
  <si>
    <t>I was adopted, so while a visual minority, I was raised caucasian.</t>
  </si>
  <si>
    <t>Manual input activity log</t>
  </si>
  <si>
    <t>I think it would be uncomfortable to wear all the time</t>
  </si>
  <si>
    <t>Too big, bulky, inconvenient, and not much analysis or data collected. Waiting for smaller and smarter devices.</t>
  </si>
  <si>
    <t xml:space="preserve">Health research </t>
  </si>
  <si>
    <t>meditation</t>
  </si>
  <si>
    <t>Food intake</t>
  </si>
  <si>
    <t xml:space="preserve">Clinical research </t>
  </si>
  <si>
    <t>apps such as Garmin Connect and Strava</t>
  </si>
  <si>
    <t>Corporate Communications</t>
  </si>
  <si>
    <t xml:space="preserve">mood, time use tracking, days i've exercised </t>
  </si>
  <si>
    <t>bad for the environment</t>
  </si>
  <si>
    <t>an unemployed bum</t>
  </si>
  <si>
    <t>I had one however it did not work correctly and I have not got another</t>
  </si>
  <si>
    <t>cleaning</t>
  </si>
  <si>
    <t>Meal tracking</t>
  </si>
  <si>
    <t>TicWatch</t>
  </si>
  <si>
    <t>Logging food</t>
  </si>
  <si>
    <t xml:space="preserve">Overdoing the monitoring </t>
  </si>
  <si>
    <t>Researcher</t>
  </si>
  <si>
    <t>don't want to wear a wireless device on me all the time, receiving radio-frequency (RF) waves</t>
  </si>
  <si>
    <t>Logging food for keto</t>
  </si>
  <si>
    <t>'ljgutrds</t>
  </si>
  <si>
    <t>My real-time minute-by-minute health is no one's fucking business unless I'm in a dire health situation. Fuck off with your tracking bullshit.</t>
  </si>
  <si>
    <t>ECG app</t>
  </si>
  <si>
    <t xml:space="preserve">Network Engineer </t>
  </si>
  <si>
    <t>Veterinary medicine</t>
  </si>
  <si>
    <t>blood glucose</t>
  </si>
  <si>
    <t xml:space="preserve">MyChart </t>
  </si>
  <si>
    <t>weight and daily food/drink intake</t>
  </si>
  <si>
    <t>blood glucose to my iphone via Dexcom</t>
  </si>
  <si>
    <t xml:space="preserve">Dexcom Blood Glucose meter </t>
  </si>
  <si>
    <t>Disabled due to cancer</t>
  </si>
  <si>
    <t>Meditation and "mindful minutes" via meditation apps</t>
  </si>
  <si>
    <t>International development/ humanitarian assistance</t>
  </si>
  <si>
    <t>Diabetes blood sugars</t>
  </si>
  <si>
    <t>Real Estate</t>
  </si>
  <si>
    <t xml:space="preserve">social work </t>
  </si>
  <si>
    <t>Steps per day</t>
  </si>
  <si>
    <t xml:space="preserve">I just use my phone. Not interested in more gadgets. </t>
  </si>
  <si>
    <t xml:space="preserve">Technical writing </t>
  </si>
  <si>
    <t>Medication reminder</t>
  </si>
  <si>
    <t xml:space="preserve">Government service contract administrator </t>
  </si>
  <si>
    <t>Have used all in past, trackers burn me/metal and bands cause skin reactions so cannot use</t>
  </si>
  <si>
    <t xml:space="preserve">Owned several others that no longer on market </t>
  </si>
  <si>
    <t xml:space="preserve">I had a Fitbit and I loved it but I got a rash type irritation from wearing it. I had to return it. </t>
  </si>
  <si>
    <t xml:space="preserve">Veterinary hospital </t>
  </si>
  <si>
    <t xml:space="preserve">Food intake for diet </t>
  </si>
  <si>
    <t>Virgin Pulse</t>
  </si>
  <si>
    <t xml:space="preserve">House husband </t>
  </si>
  <si>
    <t>My phone tracks steps and I don’t feel like spend money to track something that I’m not too interested in.</t>
  </si>
  <si>
    <t>J pro</t>
  </si>
  <si>
    <t>too large</t>
  </si>
  <si>
    <t>Development professional</t>
  </si>
  <si>
    <t xml:space="preserve">Glucose monitoring </t>
  </si>
  <si>
    <t>Fire Marshal</t>
  </si>
  <si>
    <t>Freelance editing and transcription</t>
  </si>
  <si>
    <t>nutrition</t>
  </si>
  <si>
    <t>Installation, Maintenance, Repair</t>
  </si>
  <si>
    <t>Connected to fitbit to track sleep and exercise</t>
  </si>
  <si>
    <t>Project Manager</t>
  </si>
  <si>
    <t xml:space="preserve">Fit Bit </t>
  </si>
  <si>
    <t>I used to have a fit bit and I received some benefit from it, but over time those benefits decreased. Also the wearable was not durable and too costly to replace</t>
  </si>
  <si>
    <t>Good diary</t>
  </si>
  <si>
    <t>Medication</t>
  </si>
  <si>
    <t>Allergic to components</t>
  </si>
  <si>
    <t xml:space="preserve">Retired. </t>
  </si>
  <si>
    <t>Product Cmpliance</t>
  </si>
  <si>
    <t>life science startup company investor</t>
  </si>
  <si>
    <t xml:space="preserve">meditation, water </t>
  </si>
  <si>
    <t>Freestyle Libre Blood Glucose tracking</t>
  </si>
  <si>
    <t xml:space="preserve">I use Google Calendar to help me keep a journal of symptoms and medications. </t>
  </si>
  <si>
    <t>step counter, etc</t>
  </si>
  <si>
    <t xml:space="preserve">Smartband </t>
  </si>
  <si>
    <t xml:space="preserve">Don’t want one and don’t have money </t>
  </si>
  <si>
    <t>migraine tracker</t>
  </si>
  <si>
    <t>I don't like wearing accessories</t>
  </si>
  <si>
    <t>All the Fitbit premium features: skin temperature variation, water intake, breathing, etc</t>
  </si>
  <si>
    <t>Fossil WearOS Smartwatch</t>
  </si>
  <si>
    <t>Food log for macro tracking and calorie counting</t>
  </si>
  <si>
    <t>Very fit pro</t>
  </si>
  <si>
    <t>IT, Systems Admin</t>
  </si>
  <si>
    <t xml:space="preserve">Amazon watch </t>
  </si>
  <si>
    <t xml:space="preserve">Certified Engineering inspector </t>
  </si>
  <si>
    <t>Wahoo ticker x</t>
  </si>
  <si>
    <t>Meals &amp; weight (MyNetDiary)</t>
  </si>
  <si>
    <t>Manufacturing</t>
  </si>
  <si>
    <t>IT</t>
  </si>
  <si>
    <t>The list allowed  me to only check one -_x000D_
_x000D_
I would enjoy a smart watch and wouldn’t mind the health tracking - but the expense +phone and iPad tends to run high . (the iPad covers my needs rather than investing in a computer .</t>
  </si>
  <si>
    <t>Huawei</t>
  </si>
  <si>
    <t>had them before and they break or I lost them.</t>
  </si>
  <si>
    <t xml:space="preserve">Student </t>
  </si>
  <si>
    <t>Nutrition</t>
  </si>
  <si>
    <t>Steps, sleep, ovulation</t>
  </si>
  <si>
    <t>Clergy, social work</t>
  </si>
  <si>
    <t xml:space="preserve">Utilize Fit bit wrist device and have Fit bit app on iPhone </t>
  </si>
  <si>
    <t xml:space="preserve">Dont wear any type of jewelry </t>
  </si>
  <si>
    <t>Watch with steps counter</t>
  </si>
  <si>
    <t>Stay at home mom to three</t>
  </si>
  <si>
    <t>Pharmaceuticals</t>
  </si>
  <si>
    <t>Cumbersome</t>
  </si>
  <si>
    <t>LGV35</t>
  </si>
  <si>
    <t>Food/calorie intake.</t>
  </si>
  <si>
    <t>I use my smart phone for streaming on demand workout apps (Peloton) and keeping up with workout history/performance metrics, but not for activity monitoring.</t>
  </si>
  <si>
    <t>Continuing BCM</t>
  </si>
  <si>
    <t>Mixed ethnicity and races. I have a little bit of everything in my bloodline, a true example of the melting pot of America.</t>
  </si>
  <si>
    <t>Software</t>
  </si>
  <si>
    <t>My infant son's eating, sleeping, medication, etc.</t>
  </si>
  <si>
    <t>have used in the past for fitness, currently using for weight tracking</t>
  </si>
  <si>
    <t>Food macros and calories</t>
  </si>
  <si>
    <t xml:space="preserve">Only what’s available with just the phone and no other device. </t>
  </si>
  <si>
    <t>Food</t>
  </si>
  <si>
    <t>TicWatch Pro</t>
  </si>
  <si>
    <t xml:space="preserve">Calorie intake </t>
  </si>
  <si>
    <t>Misfit</t>
  </si>
  <si>
    <t>fasting and weight</t>
  </si>
  <si>
    <t xml:space="preserve">Heart rate information (ie- max rate when working out, resting heart rate). </t>
  </si>
  <si>
    <t xml:space="preserve">Any device that can monitor patients </t>
  </si>
  <si>
    <t>Seizures</t>
  </si>
  <si>
    <t>IT SUPPORT</t>
  </si>
  <si>
    <t>my phone does it well enough, and I don't want to have to charge/keep up with/wear another thing</t>
  </si>
  <si>
    <t>Don't need with app on phone &amp; it's free...</t>
  </si>
  <si>
    <t>Food, weight</t>
  </si>
  <si>
    <t xml:space="preserve">Too expensive but would like one. </t>
  </si>
  <si>
    <t>Heartline study.</t>
  </si>
  <si>
    <t xml:space="preserve">Trac an app to log daily food intake which calculates calories and nutrients </t>
  </si>
  <si>
    <t>Miles walked and steps taken</t>
  </si>
  <si>
    <t>Diet / calories and weight</t>
  </si>
  <si>
    <t>They are ugly</t>
  </si>
  <si>
    <t>Consumer Cellular</t>
  </si>
  <si>
    <t xml:space="preserve">Not very smart with smart phones_x000D_
</t>
  </si>
  <si>
    <t>Reader</t>
  </si>
  <si>
    <t>I had them and do not feel the need any longer.</t>
  </si>
  <si>
    <t>being hooked up is bothersome</t>
  </si>
  <si>
    <t>mobile medical alert system</t>
  </si>
  <si>
    <t>food diary</t>
  </si>
  <si>
    <t>O2Ring</t>
  </si>
  <si>
    <t>Dentist</t>
  </si>
  <si>
    <t>Greatest Generation</t>
  </si>
  <si>
    <t>Not into this yet!</t>
  </si>
  <si>
    <t>Race</t>
  </si>
  <si>
    <t>Total</t>
  </si>
  <si>
    <t>African American</t>
  </si>
  <si>
    <t>Asian</t>
  </si>
  <si>
    <t>Hispanic</t>
  </si>
  <si>
    <t>White</t>
  </si>
  <si>
    <t>Generation Z</t>
  </si>
  <si>
    <t>Millennials</t>
  </si>
  <si>
    <t>Baby Boomers</t>
  </si>
  <si>
    <t>18_25</t>
  </si>
  <si>
    <t>26_41</t>
  </si>
  <si>
    <t>42_57</t>
  </si>
  <si>
    <t>58_76</t>
  </si>
  <si>
    <t>77+</t>
  </si>
  <si>
    <t>generation_age_group</t>
  </si>
  <si>
    <t>Wearable device ownership_Other</t>
  </si>
  <si>
    <t>0</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</si>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</sst>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0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wrapText="1"/>
    </xf>
    <xf numFmtId="0" fontId="16" fillId="0" borderId="0" xfId="0" applyFont="1"/>
    <xf numFmtId="0" fontId="0" fillId="0" borderId="10" xfId="0" applyBorder="1"/>
    <xf numFmtId="0" fontId="18" fillId="0" borderId="10" xfId="0" applyFon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369"/>
  <sheetViews>
    <sheetView tabSelected="1" workbookViewId="0">
      <pane ySplit="1" topLeftCell="A2" activePane="bottomLeft" state="frozen"/>
      <selection pane="bottomLeft" activeCell="G18" sqref="G18"/>
    </sheetView>
  </sheetViews>
  <sheetFormatPr baseColWidth="10" defaultColWidth="8.83203125" defaultRowHeight="15" x14ac:dyDescent="0.2"/>
  <sheetData>
    <row r="1" spans="1:52" x14ac:dyDescent="0.2">
      <c r="A1" t="s">
        <v>2</v>
      </c>
      <c r="B1" t="s">
        <v>3</v>
      </c>
      <c r="C1" t="s">
        <v>4</v>
      </c>
      <c r="D1" t="s">
        <v>5</v>
      </c>
      <c r="E1" t="s">
        <v>7</v>
      </c>
      <c r="F1" t="s">
        <v>8</v>
      </c>
      <c r="G1" t="s">
        <v>9</v>
      </c>
      <c r="H1" t="s">
        <v>10</v>
      </c>
      <c r="I1" t="s">
        <v>11</v>
      </c>
      <c r="J1" t="s">
        <v>13</v>
      </c>
      <c r="K1" t="s">
        <v>14</v>
      </c>
      <c r="L1" t="s">
        <v>15</v>
      </c>
      <c r="M1" t="s">
        <v>16</v>
      </c>
      <c r="N1" t="s">
        <v>17</v>
      </c>
      <c r="O1" t="s">
        <v>18</v>
      </c>
      <c r="P1" t="s">
        <v>19</v>
      </c>
      <c r="Q1" t="s">
        <v>583</v>
      </c>
      <c r="R1" t="s">
        <v>28</v>
      </c>
      <c r="S1" t="s">
        <v>29</v>
      </c>
      <c r="T1" t="s">
        <v>30</v>
      </c>
      <c r="U1" t="s">
        <v>31</v>
      </c>
      <c r="V1" t="s">
        <v>32</v>
      </c>
      <c r="W1" t="s">
        <v>33</v>
      </c>
      <c r="X1" t="s">
        <v>34</v>
      </c>
      <c r="Y1" t="s">
        <v>35</v>
      </c>
      <c r="Z1" t="s">
        <v>36</v>
      </c>
      <c r="AA1" t="s">
        <v>38</v>
      </c>
      <c r="AB1" t="s">
        <v>39</v>
      </c>
      <c r="AC1" t="s">
        <v>40</v>
      </c>
      <c r="AD1" t="s">
        <v>41</v>
      </c>
      <c r="AE1" t="s">
        <v>42</v>
      </c>
      <c r="AF1" t="s">
        <v>43</v>
      </c>
      <c r="AG1" t="s">
        <v>44</v>
      </c>
      <c r="AH1" t="s">
        <v>45</v>
      </c>
      <c r="AI1" t="s">
        <v>46</v>
      </c>
      <c r="AJ1" t="s">
        <v>47</v>
      </c>
      <c r="AK1" t="s">
        <v>48</v>
      </c>
      <c r="AL1" t="s">
        <v>51</v>
      </c>
      <c r="AM1" t="s">
        <v>52</v>
      </c>
      <c r="AN1" t="s">
        <v>53</v>
      </c>
      <c r="AO1" t="s">
        <v>54</v>
      </c>
      <c r="AP1" t="s">
        <v>55</v>
      </c>
      <c r="AQ1" t="s">
        <v>56</v>
      </c>
      <c r="AR1" t="s">
        <v>57</v>
      </c>
      <c r="AS1" t="s">
        <v>58</v>
      </c>
      <c r="AT1" t="s">
        <v>60</v>
      </c>
      <c r="AU1" t="s">
        <v>62</v>
      </c>
      <c r="AV1" t="s">
        <v>65</v>
      </c>
      <c r="AW1" t="s">
        <v>66</v>
      </c>
      <c r="AX1" t="s">
        <v>67</v>
      </c>
      <c r="AY1" t="s">
        <v>70</v>
      </c>
      <c r="AZ1" t="s">
        <v>582</v>
      </c>
    </row>
    <row r="2" spans="1:52" x14ac:dyDescent="0.2">
      <c r="A2">
        <v>0</v>
      </c>
      <c r="B2">
        <v>1</v>
      </c>
      <c r="C2">
        <v>0</v>
      </c>
      <c r="D2">
        <v>0</v>
      </c>
      <c r="E2">
        <v>1</v>
      </c>
      <c r="F2">
        <v>0</v>
      </c>
      <c r="G2">
        <v>0</v>
      </c>
      <c r="H2">
        <v>0</v>
      </c>
      <c r="I2">
        <v>0</v>
      </c>
      <c r="L2">
        <v>1</v>
      </c>
      <c r="M2">
        <v>0</v>
      </c>
      <c r="N2">
        <v>0</v>
      </c>
      <c r="O2">
        <v>0</v>
      </c>
      <c r="P2">
        <v>0</v>
      </c>
      <c r="Q2" t="s">
        <v>584</v>
      </c>
      <c r="R2">
        <v>0</v>
      </c>
      <c r="S2">
        <v>1</v>
      </c>
      <c r="T2">
        <v>0</v>
      </c>
      <c r="U2">
        <v>0</v>
      </c>
      <c r="V2">
        <v>0</v>
      </c>
      <c r="W2">
        <v>0</v>
      </c>
      <c r="X2">
        <v>0</v>
      </c>
      <c r="Y2">
        <v>0</v>
      </c>
      <c r="Z2">
        <v>0</v>
      </c>
      <c r="AL2" t="s">
        <v>73</v>
      </c>
      <c r="AM2" t="s">
        <v>74</v>
      </c>
      <c r="AR2" t="s">
        <v>75</v>
      </c>
      <c r="AS2" t="s">
        <v>76</v>
      </c>
      <c r="AT2" t="s">
        <v>73</v>
      </c>
      <c r="AU2">
        <v>0</v>
      </c>
      <c r="AV2">
        <v>0</v>
      </c>
      <c r="AW2">
        <v>0</v>
      </c>
      <c r="AX2">
        <v>1</v>
      </c>
      <c r="AY2">
        <v>0</v>
      </c>
      <c r="AZ2" t="s">
        <v>579</v>
      </c>
    </row>
    <row r="3" spans="1:52" x14ac:dyDescent="0.2">
      <c r="A3">
        <v>1</v>
      </c>
      <c r="B3">
        <v>0</v>
      </c>
      <c r="C3">
        <v>0</v>
      </c>
      <c r="D3">
        <v>0</v>
      </c>
      <c r="E3">
        <v>0</v>
      </c>
      <c r="F3">
        <v>1</v>
      </c>
      <c r="G3">
        <v>0</v>
      </c>
      <c r="H3">
        <v>0</v>
      </c>
      <c r="I3">
        <v>0</v>
      </c>
      <c r="J3" t="s">
        <v>79</v>
      </c>
      <c r="K3" t="s">
        <v>80</v>
      </c>
      <c r="L3">
        <v>0</v>
      </c>
      <c r="M3">
        <v>0</v>
      </c>
      <c r="N3">
        <v>1</v>
      </c>
      <c r="O3">
        <v>0</v>
      </c>
      <c r="P3">
        <v>0</v>
      </c>
      <c r="Q3" t="s">
        <v>584</v>
      </c>
      <c r="AA3" t="s">
        <v>81</v>
      </c>
      <c r="AB3" t="s">
        <v>82</v>
      </c>
      <c r="AC3" t="s">
        <v>83</v>
      </c>
      <c r="AD3" t="s">
        <v>81</v>
      </c>
      <c r="AE3" t="s">
        <v>82</v>
      </c>
      <c r="AF3" t="s">
        <v>83</v>
      </c>
      <c r="AG3" t="s">
        <v>83</v>
      </c>
      <c r="AH3" t="s">
        <v>83</v>
      </c>
      <c r="AI3" t="s">
        <v>84</v>
      </c>
      <c r="AJ3" t="s">
        <v>80</v>
      </c>
      <c r="AK3" t="s">
        <v>85</v>
      </c>
      <c r="AL3" t="s">
        <v>73</v>
      </c>
      <c r="AM3" t="s">
        <v>86</v>
      </c>
      <c r="AN3" t="s">
        <v>86</v>
      </c>
      <c r="AO3" t="s">
        <v>87</v>
      </c>
      <c r="AP3" t="s">
        <v>86</v>
      </c>
      <c r="AQ3" t="s">
        <v>86</v>
      </c>
      <c r="AR3" t="s">
        <v>75</v>
      </c>
      <c r="AS3" t="s">
        <v>76</v>
      </c>
      <c r="AT3" t="s">
        <v>73</v>
      </c>
      <c r="AU3">
        <v>0</v>
      </c>
      <c r="AV3">
        <v>0</v>
      </c>
      <c r="AW3">
        <v>0</v>
      </c>
      <c r="AX3">
        <v>1</v>
      </c>
      <c r="AY3">
        <v>0</v>
      </c>
      <c r="AZ3" t="s">
        <v>579</v>
      </c>
    </row>
    <row r="4" spans="1:52" x14ac:dyDescent="0.2">
      <c r="A4">
        <v>1</v>
      </c>
      <c r="B4">
        <v>0</v>
      </c>
      <c r="C4">
        <v>0</v>
      </c>
      <c r="D4">
        <v>0</v>
      </c>
      <c r="E4">
        <v>0</v>
      </c>
      <c r="F4">
        <v>1</v>
      </c>
      <c r="G4">
        <v>1</v>
      </c>
      <c r="H4">
        <v>1</v>
      </c>
      <c r="I4">
        <v>0</v>
      </c>
      <c r="J4" t="s">
        <v>88</v>
      </c>
      <c r="K4" t="s">
        <v>89</v>
      </c>
      <c r="L4">
        <v>0</v>
      </c>
      <c r="M4">
        <v>0</v>
      </c>
      <c r="N4">
        <v>1</v>
      </c>
      <c r="O4">
        <v>0</v>
      </c>
      <c r="P4">
        <v>0</v>
      </c>
      <c r="Q4" t="s">
        <v>584</v>
      </c>
      <c r="AA4" t="s">
        <v>83</v>
      </c>
      <c r="AB4" t="s">
        <v>82</v>
      </c>
      <c r="AC4" t="s">
        <v>81</v>
      </c>
      <c r="AD4" t="s">
        <v>81</v>
      </c>
      <c r="AE4" t="s">
        <v>82</v>
      </c>
      <c r="AF4" t="s">
        <v>83</v>
      </c>
      <c r="AG4" t="s">
        <v>90</v>
      </c>
      <c r="AH4" t="s">
        <v>81</v>
      </c>
      <c r="AI4" t="s">
        <v>88</v>
      </c>
      <c r="AJ4" t="s">
        <v>89</v>
      </c>
      <c r="AK4" t="s">
        <v>85</v>
      </c>
      <c r="AL4" t="s">
        <v>73</v>
      </c>
      <c r="AM4" t="s">
        <v>87</v>
      </c>
      <c r="AN4" t="s">
        <v>87</v>
      </c>
      <c r="AO4" t="s">
        <v>87</v>
      </c>
      <c r="AP4" t="s">
        <v>86</v>
      </c>
      <c r="AQ4" t="s">
        <v>87</v>
      </c>
      <c r="AR4" t="s">
        <v>75</v>
      </c>
      <c r="AS4" t="s">
        <v>92</v>
      </c>
      <c r="AT4" t="s">
        <v>73</v>
      </c>
      <c r="AU4">
        <v>1</v>
      </c>
      <c r="AV4">
        <v>0</v>
      </c>
      <c r="AW4">
        <v>0</v>
      </c>
      <c r="AX4">
        <v>0</v>
      </c>
      <c r="AY4">
        <v>0</v>
      </c>
      <c r="AZ4" t="s">
        <v>578</v>
      </c>
    </row>
    <row r="5" spans="1:52" x14ac:dyDescent="0.2">
      <c r="A5">
        <v>1</v>
      </c>
      <c r="B5">
        <v>0</v>
      </c>
      <c r="C5">
        <v>0</v>
      </c>
      <c r="D5">
        <v>0</v>
      </c>
      <c r="E5">
        <v>0</v>
      </c>
      <c r="F5">
        <v>0</v>
      </c>
      <c r="G5">
        <v>0</v>
      </c>
      <c r="H5">
        <v>0</v>
      </c>
      <c r="I5">
        <v>1</v>
      </c>
      <c r="J5" t="s">
        <v>79</v>
      </c>
      <c r="K5" t="s">
        <v>80</v>
      </c>
      <c r="L5">
        <v>1</v>
      </c>
      <c r="M5">
        <v>0</v>
      </c>
      <c r="N5">
        <v>0</v>
      </c>
      <c r="O5">
        <v>0</v>
      </c>
      <c r="P5">
        <v>0</v>
      </c>
      <c r="Q5" t="s">
        <v>584</v>
      </c>
      <c r="R5">
        <v>0</v>
      </c>
      <c r="S5">
        <v>1</v>
      </c>
      <c r="T5">
        <v>0</v>
      </c>
      <c r="U5">
        <v>0</v>
      </c>
      <c r="V5">
        <v>0</v>
      </c>
      <c r="W5">
        <v>0</v>
      </c>
      <c r="X5">
        <v>0</v>
      </c>
      <c r="Y5">
        <v>0</v>
      </c>
      <c r="Z5">
        <v>0</v>
      </c>
      <c r="AL5" t="s">
        <v>96</v>
      </c>
      <c r="AM5" t="s">
        <v>87</v>
      </c>
      <c r="AN5" t="s">
        <v>87</v>
      </c>
      <c r="AO5" t="s">
        <v>87</v>
      </c>
      <c r="AP5" t="s">
        <v>87</v>
      </c>
      <c r="AQ5" t="s">
        <v>86</v>
      </c>
      <c r="AR5" t="s">
        <v>97</v>
      </c>
      <c r="AS5" t="s">
        <v>92</v>
      </c>
      <c r="AT5" t="s">
        <v>96</v>
      </c>
      <c r="AU5">
        <v>1</v>
      </c>
      <c r="AV5">
        <v>0</v>
      </c>
      <c r="AW5">
        <v>0</v>
      </c>
      <c r="AX5">
        <v>0</v>
      </c>
      <c r="AY5">
        <v>0</v>
      </c>
      <c r="AZ5" t="s">
        <v>580</v>
      </c>
    </row>
    <row r="6" spans="1:52" x14ac:dyDescent="0.2">
      <c r="A6">
        <v>1</v>
      </c>
      <c r="B6">
        <v>0</v>
      </c>
      <c r="C6">
        <v>0</v>
      </c>
      <c r="D6">
        <v>0</v>
      </c>
      <c r="E6">
        <v>0</v>
      </c>
      <c r="F6">
        <v>1</v>
      </c>
      <c r="G6">
        <v>0</v>
      </c>
      <c r="H6">
        <v>1</v>
      </c>
      <c r="I6">
        <v>0</v>
      </c>
      <c r="J6" t="s">
        <v>88</v>
      </c>
      <c r="K6" t="s">
        <v>89</v>
      </c>
      <c r="L6">
        <v>0</v>
      </c>
      <c r="M6">
        <v>0</v>
      </c>
      <c r="N6">
        <v>1</v>
      </c>
      <c r="O6">
        <v>0</v>
      </c>
      <c r="P6">
        <v>0</v>
      </c>
      <c r="Q6" t="s">
        <v>584</v>
      </c>
      <c r="AA6" t="s">
        <v>83</v>
      </c>
      <c r="AB6" t="s">
        <v>82</v>
      </c>
      <c r="AC6" t="s">
        <v>81</v>
      </c>
      <c r="AD6" t="s">
        <v>81</v>
      </c>
      <c r="AE6" t="s">
        <v>81</v>
      </c>
      <c r="AF6" t="s">
        <v>81</v>
      </c>
      <c r="AG6" t="s">
        <v>81</v>
      </c>
      <c r="AH6" t="s">
        <v>81</v>
      </c>
      <c r="AI6" t="s">
        <v>88</v>
      </c>
      <c r="AJ6" t="s">
        <v>89</v>
      </c>
      <c r="AK6" t="s">
        <v>100</v>
      </c>
      <c r="AL6" t="s">
        <v>73</v>
      </c>
      <c r="AM6" t="s">
        <v>86</v>
      </c>
      <c r="AN6" t="s">
        <v>74</v>
      </c>
      <c r="AO6" t="s">
        <v>87</v>
      </c>
      <c r="AP6" t="s">
        <v>87</v>
      </c>
      <c r="AQ6" t="s">
        <v>74</v>
      </c>
      <c r="AR6" t="s">
        <v>101</v>
      </c>
      <c r="AS6" t="s">
        <v>76</v>
      </c>
      <c r="AT6" t="s">
        <v>73</v>
      </c>
      <c r="AU6">
        <v>0</v>
      </c>
      <c r="AV6">
        <v>0</v>
      </c>
      <c r="AW6">
        <v>0</v>
      </c>
      <c r="AX6">
        <v>1</v>
      </c>
      <c r="AY6">
        <v>0</v>
      </c>
      <c r="AZ6" t="s">
        <v>580</v>
      </c>
    </row>
    <row r="7" spans="1:52" x14ac:dyDescent="0.2">
      <c r="A7">
        <v>1</v>
      </c>
      <c r="B7">
        <v>0</v>
      </c>
      <c r="C7">
        <v>0</v>
      </c>
      <c r="D7">
        <v>0</v>
      </c>
      <c r="E7">
        <v>0</v>
      </c>
      <c r="F7">
        <v>1</v>
      </c>
      <c r="G7">
        <v>0</v>
      </c>
      <c r="H7">
        <v>0</v>
      </c>
      <c r="I7">
        <v>0</v>
      </c>
      <c r="J7" t="s">
        <v>88</v>
      </c>
      <c r="K7" t="s">
        <v>89</v>
      </c>
      <c r="L7">
        <v>0</v>
      </c>
      <c r="M7">
        <v>1</v>
      </c>
      <c r="N7">
        <v>0</v>
      </c>
      <c r="O7">
        <v>0</v>
      </c>
      <c r="P7">
        <v>0</v>
      </c>
      <c r="Q7" t="s">
        <v>584</v>
      </c>
      <c r="AA7" t="s">
        <v>90</v>
      </c>
      <c r="AB7" t="s">
        <v>82</v>
      </c>
      <c r="AC7" t="s">
        <v>81</v>
      </c>
      <c r="AD7" t="s">
        <v>82</v>
      </c>
      <c r="AE7" t="s">
        <v>83</v>
      </c>
      <c r="AF7" t="s">
        <v>90</v>
      </c>
      <c r="AG7" t="s">
        <v>90</v>
      </c>
      <c r="AH7" t="s">
        <v>83</v>
      </c>
      <c r="AI7" t="s">
        <v>88</v>
      </c>
      <c r="AJ7" t="s">
        <v>89</v>
      </c>
      <c r="AK7" t="s">
        <v>100</v>
      </c>
      <c r="AL7" t="s">
        <v>73</v>
      </c>
      <c r="AM7" t="s">
        <v>86</v>
      </c>
      <c r="AN7" t="s">
        <v>74</v>
      </c>
      <c r="AO7" t="s">
        <v>87</v>
      </c>
      <c r="AP7" t="s">
        <v>87</v>
      </c>
      <c r="AQ7" t="s">
        <v>86</v>
      </c>
      <c r="AR7" t="s">
        <v>97</v>
      </c>
      <c r="AS7" t="s">
        <v>76</v>
      </c>
      <c r="AT7" t="s">
        <v>73</v>
      </c>
      <c r="AU7">
        <v>0</v>
      </c>
      <c r="AV7">
        <v>0</v>
      </c>
      <c r="AW7">
        <v>0</v>
      </c>
      <c r="AX7">
        <v>1</v>
      </c>
      <c r="AY7">
        <v>0</v>
      </c>
      <c r="AZ7" t="s">
        <v>580</v>
      </c>
    </row>
    <row r="8" spans="1:52" x14ac:dyDescent="0.2">
      <c r="A8">
        <v>0</v>
      </c>
      <c r="B8">
        <v>1</v>
      </c>
      <c r="C8">
        <v>0</v>
      </c>
      <c r="D8">
        <v>0</v>
      </c>
      <c r="E8">
        <v>0</v>
      </c>
      <c r="F8">
        <v>0</v>
      </c>
      <c r="G8">
        <v>0</v>
      </c>
      <c r="H8">
        <v>0</v>
      </c>
      <c r="I8">
        <v>1</v>
      </c>
      <c r="J8" t="s">
        <v>79</v>
      </c>
      <c r="K8" t="s">
        <v>80</v>
      </c>
      <c r="L8">
        <v>1</v>
      </c>
      <c r="M8">
        <v>0</v>
      </c>
      <c r="N8">
        <v>0</v>
      </c>
      <c r="O8">
        <v>0</v>
      </c>
      <c r="P8">
        <v>0</v>
      </c>
      <c r="Q8" t="s">
        <v>584</v>
      </c>
      <c r="R8">
        <v>0</v>
      </c>
      <c r="S8">
        <v>0</v>
      </c>
      <c r="T8">
        <v>0</v>
      </c>
      <c r="U8">
        <v>0</v>
      </c>
      <c r="V8">
        <v>0</v>
      </c>
      <c r="W8">
        <v>0</v>
      </c>
      <c r="X8">
        <v>0</v>
      </c>
      <c r="Y8">
        <v>0</v>
      </c>
      <c r="Z8">
        <v>1</v>
      </c>
      <c r="AL8" t="s">
        <v>96</v>
      </c>
      <c r="AM8" t="s">
        <v>74</v>
      </c>
      <c r="AR8" t="s">
        <v>101</v>
      </c>
      <c r="AS8" t="s">
        <v>76</v>
      </c>
      <c r="AT8" t="s">
        <v>96</v>
      </c>
      <c r="AU8">
        <v>0</v>
      </c>
      <c r="AV8">
        <v>0</v>
      </c>
      <c r="AW8">
        <v>0</v>
      </c>
      <c r="AX8">
        <v>1</v>
      </c>
      <c r="AY8">
        <v>0</v>
      </c>
      <c r="AZ8" t="s">
        <v>580</v>
      </c>
    </row>
    <row r="9" spans="1:52" x14ac:dyDescent="0.2">
      <c r="A9">
        <v>1</v>
      </c>
      <c r="B9">
        <v>0</v>
      </c>
      <c r="C9">
        <v>0</v>
      </c>
      <c r="D9">
        <v>0</v>
      </c>
      <c r="E9">
        <v>0</v>
      </c>
      <c r="F9">
        <v>1</v>
      </c>
      <c r="G9">
        <v>0</v>
      </c>
      <c r="H9">
        <v>1</v>
      </c>
      <c r="I9">
        <v>0</v>
      </c>
      <c r="J9" t="s">
        <v>88</v>
      </c>
      <c r="K9" t="s">
        <v>89</v>
      </c>
      <c r="L9">
        <v>0</v>
      </c>
      <c r="M9">
        <v>1</v>
      </c>
      <c r="N9">
        <v>0</v>
      </c>
      <c r="O9">
        <v>0</v>
      </c>
      <c r="P9">
        <v>0</v>
      </c>
      <c r="Q9" t="s">
        <v>584</v>
      </c>
      <c r="AA9" t="s">
        <v>83</v>
      </c>
      <c r="AB9" t="s">
        <v>82</v>
      </c>
      <c r="AC9" t="s">
        <v>81</v>
      </c>
      <c r="AD9" t="s">
        <v>83</v>
      </c>
      <c r="AE9" t="s">
        <v>83</v>
      </c>
      <c r="AF9" t="s">
        <v>83</v>
      </c>
      <c r="AG9" t="s">
        <v>90</v>
      </c>
      <c r="AH9" t="s">
        <v>83</v>
      </c>
      <c r="AI9" t="s">
        <v>88</v>
      </c>
      <c r="AJ9" t="s">
        <v>89</v>
      </c>
      <c r="AK9" t="s">
        <v>100</v>
      </c>
      <c r="AL9" t="s">
        <v>107</v>
      </c>
      <c r="AM9" t="s">
        <v>86</v>
      </c>
      <c r="AN9" t="s">
        <v>86</v>
      </c>
      <c r="AO9" t="s">
        <v>87</v>
      </c>
      <c r="AP9" t="s">
        <v>87</v>
      </c>
      <c r="AQ9" t="s">
        <v>74</v>
      </c>
      <c r="AR9" t="s">
        <v>108</v>
      </c>
      <c r="AS9" t="s">
        <v>76</v>
      </c>
      <c r="AT9" t="s">
        <v>107</v>
      </c>
      <c r="AU9">
        <v>0</v>
      </c>
      <c r="AV9">
        <v>0</v>
      </c>
      <c r="AW9">
        <v>0</v>
      </c>
      <c r="AX9">
        <v>1</v>
      </c>
      <c r="AY9">
        <v>0</v>
      </c>
      <c r="AZ9" t="s">
        <v>580</v>
      </c>
    </row>
    <row r="10" spans="1:52" x14ac:dyDescent="0.2">
      <c r="A10">
        <v>1</v>
      </c>
      <c r="B10">
        <v>0</v>
      </c>
      <c r="C10">
        <v>0</v>
      </c>
      <c r="D10">
        <v>0</v>
      </c>
      <c r="E10">
        <v>1</v>
      </c>
      <c r="F10">
        <v>0</v>
      </c>
      <c r="G10">
        <v>0</v>
      </c>
      <c r="H10">
        <v>0</v>
      </c>
      <c r="I10">
        <v>0</v>
      </c>
      <c r="L10">
        <v>1</v>
      </c>
      <c r="M10">
        <v>0</v>
      </c>
      <c r="N10">
        <v>0</v>
      </c>
      <c r="O10">
        <v>0</v>
      </c>
      <c r="P10">
        <v>0</v>
      </c>
      <c r="Q10" t="s">
        <v>584</v>
      </c>
      <c r="R10">
        <v>1</v>
      </c>
      <c r="S10">
        <v>0</v>
      </c>
      <c r="T10">
        <v>0</v>
      </c>
      <c r="U10">
        <v>0</v>
      </c>
      <c r="V10">
        <v>0</v>
      </c>
      <c r="W10">
        <v>0</v>
      </c>
      <c r="X10">
        <v>0</v>
      </c>
      <c r="Y10">
        <v>0</v>
      </c>
      <c r="Z10">
        <v>0</v>
      </c>
      <c r="AL10" t="s">
        <v>107</v>
      </c>
      <c r="AM10" t="s">
        <v>87</v>
      </c>
      <c r="AN10" t="s">
        <v>87</v>
      </c>
      <c r="AO10" t="s">
        <v>87</v>
      </c>
      <c r="AP10" t="s">
        <v>87</v>
      </c>
      <c r="AQ10" t="s">
        <v>86</v>
      </c>
      <c r="AR10" t="s">
        <v>108</v>
      </c>
      <c r="AS10" t="s">
        <v>76</v>
      </c>
      <c r="AT10" t="s">
        <v>107</v>
      </c>
      <c r="AU10">
        <v>0</v>
      </c>
      <c r="AV10">
        <v>0</v>
      </c>
      <c r="AW10">
        <v>0</v>
      </c>
      <c r="AX10">
        <v>1</v>
      </c>
      <c r="AY10">
        <v>0</v>
      </c>
      <c r="AZ10" t="s">
        <v>579</v>
      </c>
    </row>
    <row r="11" spans="1:52" x14ac:dyDescent="0.2">
      <c r="A11">
        <v>1</v>
      </c>
      <c r="B11">
        <v>0</v>
      </c>
      <c r="C11">
        <v>0</v>
      </c>
      <c r="D11">
        <v>0</v>
      </c>
      <c r="E11">
        <v>1</v>
      </c>
      <c r="F11">
        <v>0</v>
      </c>
      <c r="G11">
        <v>0</v>
      </c>
      <c r="H11">
        <v>0</v>
      </c>
      <c r="I11">
        <v>0</v>
      </c>
      <c r="L11">
        <v>1</v>
      </c>
      <c r="M11">
        <v>0</v>
      </c>
      <c r="N11">
        <v>0</v>
      </c>
      <c r="O11">
        <v>0</v>
      </c>
      <c r="P11">
        <v>0</v>
      </c>
      <c r="Q11" t="s">
        <v>584</v>
      </c>
      <c r="R11">
        <v>0</v>
      </c>
      <c r="S11">
        <v>0</v>
      </c>
      <c r="T11">
        <v>1</v>
      </c>
      <c r="U11">
        <v>0</v>
      </c>
      <c r="V11">
        <v>0</v>
      </c>
      <c r="W11">
        <v>0</v>
      </c>
      <c r="X11">
        <v>0</v>
      </c>
      <c r="Y11">
        <v>0</v>
      </c>
      <c r="Z11">
        <v>0</v>
      </c>
      <c r="AL11" t="s">
        <v>73</v>
      </c>
      <c r="AM11" t="s">
        <v>87</v>
      </c>
      <c r="AN11" t="s">
        <v>87</v>
      </c>
      <c r="AO11" t="s">
        <v>86</v>
      </c>
      <c r="AP11" t="s">
        <v>87</v>
      </c>
      <c r="AQ11" t="s">
        <v>87</v>
      </c>
      <c r="AR11" t="s">
        <v>113</v>
      </c>
      <c r="AS11" t="s">
        <v>76</v>
      </c>
      <c r="AT11" t="s">
        <v>73</v>
      </c>
      <c r="AU11">
        <v>0</v>
      </c>
      <c r="AV11">
        <v>1</v>
      </c>
      <c r="AW11">
        <v>0</v>
      </c>
      <c r="AX11">
        <v>0</v>
      </c>
      <c r="AY11">
        <v>0</v>
      </c>
      <c r="AZ11" t="s">
        <v>579</v>
      </c>
    </row>
    <row r="12" spans="1:52" x14ac:dyDescent="0.2">
      <c r="A12">
        <v>0</v>
      </c>
      <c r="B12">
        <v>1</v>
      </c>
      <c r="C12">
        <v>0</v>
      </c>
      <c r="D12">
        <v>0</v>
      </c>
      <c r="E12">
        <v>0</v>
      </c>
      <c r="F12">
        <v>0</v>
      </c>
      <c r="G12">
        <v>0</v>
      </c>
      <c r="H12">
        <v>0</v>
      </c>
      <c r="I12">
        <v>1</v>
      </c>
      <c r="J12" t="s">
        <v>79</v>
      </c>
      <c r="K12" t="s">
        <v>80</v>
      </c>
      <c r="L12">
        <v>0</v>
      </c>
      <c r="M12">
        <v>0</v>
      </c>
      <c r="N12">
        <v>0</v>
      </c>
      <c r="O12">
        <v>0</v>
      </c>
      <c r="P12">
        <v>1</v>
      </c>
      <c r="Q12" t="s">
        <v>585</v>
      </c>
      <c r="AA12" t="s">
        <v>81</v>
      </c>
      <c r="AB12" t="s">
        <v>81</v>
      </c>
      <c r="AC12" t="s">
        <v>90</v>
      </c>
      <c r="AD12" t="s">
        <v>83</v>
      </c>
      <c r="AE12" t="s">
        <v>82</v>
      </c>
      <c r="AF12" t="s">
        <v>90</v>
      </c>
      <c r="AG12" t="s">
        <v>81</v>
      </c>
      <c r="AH12" t="s">
        <v>81</v>
      </c>
      <c r="AI12" t="s">
        <v>88</v>
      </c>
      <c r="AJ12" t="s">
        <v>89</v>
      </c>
      <c r="AK12" t="s">
        <v>117</v>
      </c>
      <c r="AL12" t="s">
        <v>96</v>
      </c>
      <c r="AM12" t="s">
        <v>87</v>
      </c>
      <c r="AN12" t="s">
        <v>87</v>
      </c>
      <c r="AO12" t="s">
        <v>87</v>
      </c>
      <c r="AP12" t="s">
        <v>87</v>
      </c>
      <c r="AQ12" t="s">
        <v>87</v>
      </c>
      <c r="AR12" t="s">
        <v>101</v>
      </c>
      <c r="AS12" t="s">
        <v>76</v>
      </c>
      <c r="AT12" t="s">
        <v>96</v>
      </c>
      <c r="AU12">
        <v>1</v>
      </c>
      <c r="AV12">
        <v>0</v>
      </c>
      <c r="AW12">
        <v>0</v>
      </c>
      <c r="AX12">
        <v>0</v>
      </c>
      <c r="AY12">
        <v>0</v>
      </c>
      <c r="AZ12" t="s">
        <v>579</v>
      </c>
    </row>
    <row r="13" spans="1:52" x14ac:dyDescent="0.2">
      <c r="A13">
        <v>0</v>
      </c>
      <c r="B13">
        <v>1</v>
      </c>
      <c r="C13">
        <v>0</v>
      </c>
      <c r="D13">
        <v>0</v>
      </c>
      <c r="E13">
        <v>0</v>
      </c>
      <c r="F13">
        <v>1</v>
      </c>
      <c r="G13">
        <v>0</v>
      </c>
      <c r="H13">
        <v>1</v>
      </c>
      <c r="I13">
        <v>0</v>
      </c>
      <c r="J13" t="s">
        <v>88</v>
      </c>
      <c r="K13" t="s">
        <v>89</v>
      </c>
      <c r="L13">
        <v>0</v>
      </c>
      <c r="M13">
        <v>1</v>
      </c>
      <c r="N13">
        <v>0</v>
      </c>
      <c r="O13">
        <v>1</v>
      </c>
      <c r="P13">
        <v>0</v>
      </c>
      <c r="Q13" t="s">
        <v>584</v>
      </c>
      <c r="AA13" t="s">
        <v>83</v>
      </c>
      <c r="AB13" t="s">
        <v>82</v>
      </c>
      <c r="AC13" t="s">
        <v>81</v>
      </c>
      <c r="AD13" t="s">
        <v>81</v>
      </c>
      <c r="AE13" t="s">
        <v>83</v>
      </c>
      <c r="AF13" t="s">
        <v>83</v>
      </c>
      <c r="AG13" t="s">
        <v>81</v>
      </c>
      <c r="AH13" t="s">
        <v>83</v>
      </c>
      <c r="AI13" t="s">
        <v>88</v>
      </c>
      <c r="AJ13" t="s">
        <v>89</v>
      </c>
      <c r="AK13" t="s">
        <v>100</v>
      </c>
      <c r="AL13" t="s">
        <v>73</v>
      </c>
      <c r="AM13" t="s">
        <v>87</v>
      </c>
      <c r="AN13" t="s">
        <v>87</v>
      </c>
      <c r="AO13" t="s">
        <v>87</v>
      </c>
      <c r="AP13" t="s">
        <v>87</v>
      </c>
      <c r="AQ13" t="s">
        <v>74</v>
      </c>
      <c r="AR13" t="s">
        <v>75</v>
      </c>
      <c r="AS13" t="s">
        <v>76</v>
      </c>
      <c r="AT13" t="s">
        <v>73</v>
      </c>
      <c r="AU13">
        <v>0</v>
      </c>
      <c r="AV13">
        <v>0</v>
      </c>
      <c r="AW13">
        <v>0</v>
      </c>
      <c r="AX13">
        <v>1</v>
      </c>
      <c r="AY13">
        <v>0</v>
      </c>
      <c r="AZ13" t="s">
        <v>579</v>
      </c>
    </row>
    <row r="14" spans="1:52" x14ac:dyDescent="0.2">
      <c r="A14">
        <v>1</v>
      </c>
      <c r="B14">
        <v>0</v>
      </c>
      <c r="C14">
        <v>0</v>
      </c>
      <c r="D14">
        <v>0</v>
      </c>
      <c r="E14">
        <v>0</v>
      </c>
      <c r="F14">
        <v>1</v>
      </c>
      <c r="G14">
        <v>0</v>
      </c>
      <c r="H14">
        <v>0</v>
      </c>
      <c r="I14">
        <v>0</v>
      </c>
      <c r="J14" t="s">
        <v>88</v>
      </c>
      <c r="K14" t="s">
        <v>89</v>
      </c>
      <c r="L14">
        <v>0</v>
      </c>
      <c r="M14">
        <v>1</v>
      </c>
      <c r="N14">
        <v>0</v>
      </c>
      <c r="O14">
        <v>0</v>
      </c>
      <c r="P14">
        <v>0</v>
      </c>
      <c r="Q14" t="s">
        <v>584</v>
      </c>
      <c r="AA14" t="s">
        <v>90</v>
      </c>
      <c r="AB14" t="s">
        <v>82</v>
      </c>
      <c r="AC14" t="s">
        <v>81</v>
      </c>
      <c r="AD14" t="s">
        <v>81</v>
      </c>
      <c r="AE14" t="s">
        <v>90</v>
      </c>
      <c r="AF14" t="s">
        <v>90</v>
      </c>
      <c r="AG14" t="s">
        <v>83</v>
      </c>
      <c r="AH14" t="s">
        <v>83</v>
      </c>
      <c r="AI14" t="s">
        <v>88</v>
      </c>
      <c r="AJ14" t="s">
        <v>89</v>
      </c>
      <c r="AK14" t="s">
        <v>85</v>
      </c>
      <c r="AL14" t="s">
        <v>107</v>
      </c>
      <c r="AM14" t="s">
        <v>87</v>
      </c>
      <c r="AN14" t="s">
        <v>87</v>
      </c>
      <c r="AO14" t="s">
        <v>87</v>
      </c>
      <c r="AP14" t="s">
        <v>86</v>
      </c>
      <c r="AQ14" t="s">
        <v>87</v>
      </c>
      <c r="AR14" t="s">
        <v>75</v>
      </c>
      <c r="AS14" t="s">
        <v>76</v>
      </c>
      <c r="AT14" t="s">
        <v>107</v>
      </c>
      <c r="AU14">
        <v>0</v>
      </c>
      <c r="AV14">
        <v>0</v>
      </c>
      <c r="AW14">
        <v>0</v>
      </c>
      <c r="AX14">
        <v>1</v>
      </c>
      <c r="AY14">
        <v>0</v>
      </c>
      <c r="AZ14" t="s">
        <v>580</v>
      </c>
    </row>
    <row r="15" spans="1:52" x14ac:dyDescent="0.2">
      <c r="A15">
        <v>1</v>
      </c>
      <c r="B15">
        <v>0</v>
      </c>
      <c r="C15">
        <v>0</v>
      </c>
      <c r="D15">
        <v>0</v>
      </c>
      <c r="E15">
        <v>0</v>
      </c>
      <c r="F15">
        <v>1</v>
      </c>
      <c r="G15">
        <v>1</v>
      </c>
      <c r="H15">
        <v>0</v>
      </c>
      <c r="I15">
        <v>0</v>
      </c>
      <c r="J15" t="s">
        <v>88</v>
      </c>
      <c r="K15" t="s">
        <v>80</v>
      </c>
      <c r="L15">
        <v>0</v>
      </c>
      <c r="M15">
        <v>0</v>
      </c>
      <c r="N15">
        <v>1</v>
      </c>
      <c r="O15">
        <v>0</v>
      </c>
      <c r="P15">
        <v>0</v>
      </c>
      <c r="Q15" t="s">
        <v>584</v>
      </c>
      <c r="AA15" t="s">
        <v>81</v>
      </c>
      <c r="AB15" t="s">
        <v>81</v>
      </c>
      <c r="AC15" t="s">
        <v>83</v>
      </c>
      <c r="AD15" t="s">
        <v>81</v>
      </c>
      <c r="AE15" t="s">
        <v>82</v>
      </c>
      <c r="AF15" t="s">
        <v>81</v>
      </c>
      <c r="AG15" t="s">
        <v>81</v>
      </c>
      <c r="AH15" t="s">
        <v>83</v>
      </c>
      <c r="AI15" t="s">
        <v>88</v>
      </c>
      <c r="AJ15" t="s">
        <v>80</v>
      </c>
      <c r="AK15" t="s">
        <v>85</v>
      </c>
      <c r="AL15" t="s">
        <v>73</v>
      </c>
      <c r="AM15" t="s">
        <v>87</v>
      </c>
      <c r="AN15" t="s">
        <v>87</v>
      </c>
      <c r="AO15" t="s">
        <v>87</v>
      </c>
      <c r="AP15" t="s">
        <v>86</v>
      </c>
      <c r="AQ15" t="s">
        <v>87</v>
      </c>
      <c r="AR15" t="s">
        <v>75</v>
      </c>
      <c r="AS15" t="s">
        <v>76</v>
      </c>
      <c r="AT15" t="s">
        <v>73</v>
      </c>
      <c r="AU15">
        <v>0</v>
      </c>
      <c r="AV15">
        <v>0</v>
      </c>
      <c r="AW15">
        <v>0</v>
      </c>
      <c r="AX15">
        <v>0</v>
      </c>
      <c r="AY15">
        <v>1</v>
      </c>
      <c r="AZ15" t="s">
        <v>579</v>
      </c>
    </row>
    <row r="16" spans="1:52" x14ac:dyDescent="0.2">
      <c r="A16">
        <v>1</v>
      </c>
      <c r="B16">
        <v>0</v>
      </c>
      <c r="C16">
        <v>0</v>
      </c>
      <c r="D16">
        <v>0</v>
      </c>
      <c r="E16">
        <v>0</v>
      </c>
      <c r="F16">
        <v>1</v>
      </c>
      <c r="G16">
        <v>1</v>
      </c>
      <c r="H16">
        <v>0</v>
      </c>
      <c r="I16">
        <v>0</v>
      </c>
      <c r="J16" t="s">
        <v>88</v>
      </c>
      <c r="K16" t="s">
        <v>89</v>
      </c>
      <c r="L16">
        <v>0</v>
      </c>
      <c r="M16">
        <v>0</v>
      </c>
      <c r="N16">
        <v>1</v>
      </c>
      <c r="O16">
        <v>0</v>
      </c>
      <c r="P16">
        <v>0</v>
      </c>
      <c r="Q16" t="s">
        <v>584</v>
      </c>
      <c r="AA16" t="s">
        <v>81</v>
      </c>
      <c r="AB16" t="s">
        <v>82</v>
      </c>
      <c r="AC16" t="s">
        <v>83</v>
      </c>
      <c r="AD16" t="s">
        <v>82</v>
      </c>
      <c r="AE16" t="s">
        <v>82</v>
      </c>
      <c r="AF16" t="s">
        <v>81</v>
      </c>
      <c r="AG16" t="s">
        <v>82</v>
      </c>
      <c r="AH16" t="s">
        <v>81</v>
      </c>
      <c r="AI16" t="s">
        <v>88</v>
      </c>
      <c r="AJ16" t="s">
        <v>89</v>
      </c>
      <c r="AK16" t="s">
        <v>100</v>
      </c>
      <c r="AL16" t="s">
        <v>96</v>
      </c>
      <c r="AM16" t="s">
        <v>87</v>
      </c>
      <c r="AN16" t="s">
        <v>87</v>
      </c>
      <c r="AO16" t="s">
        <v>87</v>
      </c>
      <c r="AP16" t="s">
        <v>86</v>
      </c>
      <c r="AQ16" t="s">
        <v>87</v>
      </c>
      <c r="AR16" t="s">
        <v>97</v>
      </c>
      <c r="AS16" t="s">
        <v>76</v>
      </c>
      <c r="AT16" t="s">
        <v>96</v>
      </c>
      <c r="AU16">
        <v>0</v>
      </c>
      <c r="AV16">
        <v>0</v>
      </c>
      <c r="AW16">
        <v>0</v>
      </c>
      <c r="AX16">
        <v>1</v>
      </c>
      <c r="AY16">
        <v>0</v>
      </c>
      <c r="AZ16" t="s">
        <v>579</v>
      </c>
    </row>
    <row r="17" spans="1:52" x14ac:dyDescent="0.2">
      <c r="A17">
        <v>1</v>
      </c>
      <c r="B17">
        <v>0</v>
      </c>
      <c r="C17">
        <v>0</v>
      </c>
      <c r="D17">
        <v>0</v>
      </c>
      <c r="E17">
        <v>0</v>
      </c>
      <c r="F17">
        <v>1</v>
      </c>
      <c r="G17">
        <v>0</v>
      </c>
      <c r="H17">
        <v>1</v>
      </c>
      <c r="I17">
        <v>0</v>
      </c>
      <c r="J17" t="s">
        <v>88</v>
      </c>
      <c r="K17" t="s">
        <v>89</v>
      </c>
      <c r="L17">
        <v>0</v>
      </c>
      <c r="M17">
        <v>1</v>
      </c>
      <c r="N17">
        <v>0</v>
      </c>
      <c r="O17">
        <v>0</v>
      </c>
      <c r="P17">
        <v>0</v>
      </c>
      <c r="Q17" t="s">
        <v>584</v>
      </c>
      <c r="AA17" t="s">
        <v>90</v>
      </c>
      <c r="AB17" t="s">
        <v>82</v>
      </c>
      <c r="AC17" t="s">
        <v>82</v>
      </c>
      <c r="AD17" t="s">
        <v>83</v>
      </c>
      <c r="AE17" t="s">
        <v>81</v>
      </c>
      <c r="AF17" t="s">
        <v>90</v>
      </c>
      <c r="AG17" t="s">
        <v>90</v>
      </c>
      <c r="AH17" t="s">
        <v>83</v>
      </c>
      <c r="AI17" t="s">
        <v>88</v>
      </c>
      <c r="AJ17" t="s">
        <v>89</v>
      </c>
      <c r="AK17" t="s">
        <v>100</v>
      </c>
      <c r="AL17" t="s">
        <v>107</v>
      </c>
      <c r="AM17" t="s">
        <v>86</v>
      </c>
      <c r="AN17" t="s">
        <v>86</v>
      </c>
      <c r="AO17" t="s">
        <v>86</v>
      </c>
      <c r="AP17" t="s">
        <v>87</v>
      </c>
      <c r="AQ17" t="s">
        <v>86</v>
      </c>
      <c r="AR17" t="s">
        <v>75</v>
      </c>
      <c r="AS17" t="s">
        <v>76</v>
      </c>
      <c r="AT17" t="s">
        <v>107</v>
      </c>
      <c r="AU17">
        <v>0</v>
      </c>
      <c r="AV17">
        <v>0</v>
      </c>
      <c r="AW17">
        <v>0</v>
      </c>
      <c r="AX17">
        <v>1</v>
      </c>
      <c r="AY17">
        <v>0</v>
      </c>
      <c r="AZ17" t="s">
        <v>579</v>
      </c>
    </row>
    <row r="18" spans="1:52" x14ac:dyDescent="0.2">
      <c r="A18">
        <v>0</v>
      </c>
      <c r="B18">
        <v>1</v>
      </c>
      <c r="C18">
        <v>0</v>
      </c>
      <c r="D18">
        <v>0</v>
      </c>
      <c r="E18">
        <v>1</v>
      </c>
      <c r="F18">
        <v>0</v>
      </c>
      <c r="G18">
        <v>0</v>
      </c>
      <c r="H18">
        <v>0</v>
      </c>
      <c r="I18">
        <v>0</v>
      </c>
      <c r="L18">
        <v>1</v>
      </c>
      <c r="M18">
        <v>0</v>
      </c>
      <c r="N18">
        <v>0</v>
      </c>
      <c r="O18">
        <v>0</v>
      </c>
      <c r="P18">
        <v>0</v>
      </c>
      <c r="Q18" t="s">
        <v>584</v>
      </c>
      <c r="R18">
        <v>0</v>
      </c>
      <c r="S18">
        <v>0</v>
      </c>
      <c r="T18">
        <v>1</v>
      </c>
      <c r="U18">
        <v>0</v>
      </c>
      <c r="V18">
        <v>0</v>
      </c>
      <c r="W18">
        <v>0</v>
      </c>
      <c r="X18">
        <v>0</v>
      </c>
      <c r="Y18">
        <v>0</v>
      </c>
      <c r="Z18">
        <v>0</v>
      </c>
      <c r="AL18" t="s">
        <v>120</v>
      </c>
      <c r="AM18" t="s">
        <v>87</v>
      </c>
      <c r="AN18" t="s">
        <v>74</v>
      </c>
      <c r="AO18" t="s">
        <v>74</v>
      </c>
      <c r="AP18" t="s">
        <v>74</v>
      </c>
      <c r="AQ18" t="s">
        <v>74</v>
      </c>
      <c r="AR18" t="s">
        <v>97</v>
      </c>
      <c r="AS18" t="s">
        <v>76</v>
      </c>
      <c r="AT18" t="s">
        <v>120</v>
      </c>
      <c r="AU18">
        <v>0</v>
      </c>
      <c r="AV18">
        <v>0</v>
      </c>
      <c r="AW18">
        <v>0</v>
      </c>
      <c r="AX18">
        <v>1</v>
      </c>
      <c r="AY18">
        <v>0</v>
      </c>
      <c r="AZ18" t="s">
        <v>580</v>
      </c>
    </row>
    <row r="19" spans="1:52" x14ac:dyDescent="0.2">
      <c r="A19">
        <v>0</v>
      </c>
      <c r="B19">
        <v>1</v>
      </c>
      <c r="C19">
        <v>0</v>
      </c>
      <c r="D19">
        <v>0</v>
      </c>
      <c r="E19">
        <v>1</v>
      </c>
      <c r="F19">
        <v>0</v>
      </c>
      <c r="G19">
        <v>0</v>
      </c>
      <c r="H19">
        <v>0</v>
      </c>
      <c r="I19">
        <v>0</v>
      </c>
      <c r="L19">
        <v>1</v>
      </c>
      <c r="M19">
        <v>0</v>
      </c>
      <c r="N19">
        <v>0</v>
      </c>
      <c r="O19">
        <v>0</v>
      </c>
      <c r="P19">
        <v>0</v>
      </c>
      <c r="Q19" t="s">
        <v>584</v>
      </c>
      <c r="R19">
        <v>0</v>
      </c>
      <c r="S19">
        <v>0</v>
      </c>
      <c r="T19">
        <v>1</v>
      </c>
      <c r="U19">
        <v>0</v>
      </c>
      <c r="V19">
        <v>0</v>
      </c>
      <c r="W19">
        <v>0</v>
      </c>
      <c r="X19">
        <v>1</v>
      </c>
      <c r="Y19">
        <v>0</v>
      </c>
      <c r="Z19">
        <v>0</v>
      </c>
      <c r="AL19" t="s">
        <v>107</v>
      </c>
      <c r="AM19" t="s">
        <v>87</v>
      </c>
      <c r="AN19" t="s">
        <v>86</v>
      </c>
      <c r="AO19" t="s">
        <v>74</v>
      </c>
      <c r="AP19" t="s">
        <v>86</v>
      </c>
      <c r="AQ19" t="s">
        <v>86</v>
      </c>
      <c r="AR19" t="s">
        <v>97</v>
      </c>
      <c r="AS19" t="s">
        <v>76</v>
      </c>
      <c r="AT19" t="s">
        <v>107</v>
      </c>
      <c r="AU19">
        <v>0</v>
      </c>
      <c r="AV19">
        <v>0</v>
      </c>
      <c r="AW19">
        <v>0</v>
      </c>
      <c r="AX19">
        <v>1</v>
      </c>
      <c r="AY19">
        <v>0</v>
      </c>
      <c r="AZ19" t="s">
        <v>580</v>
      </c>
    </row>
    <row r="20" spans="1:52" x14ac:dyDescent="0.2">
      <c r="A20">
        <v>0</v>
      </c>
      <c r="B20">
        <v>1</v>
      </c>
      <c r="C20">
        <v>0</v>
      </c>
      <c r="D20">
        <v>0</v>
      </c>
      <c r="E20">
        <v>1</v>
      </c>
      <c r="F20">
        <v>0</v>
      </c>
      <c r="G20">
        <v>0</v>
      </c>
      <c r="H20">
        <v>0</v>
      </c>
      <c r="I20">
        <v>0</v>
      </c>
      <c r="L20">
        <v>0</v>
      </c>
      <c r="M20">
        <v>0</v>
      </c>
      <c r="N20">
        <v>0</v>
      </c>
      <c r="O20">
        <v>0</v>
      </c>
      <c r="P20">
        <v>0</v>
      </c>
      <c r="Q20" t="s">
        <v>585</v>
      </c>
      <c r="AA20" t="s">
        <v>83</v>
      </c>
      <c r="AB20" t="s">
        <v>81</v>
      </c>
      <c r="AC20" t="s">
        <v>82</v>
      </c>
      <c r="AD20" t="s">
        <v>81</v>
      </c>
      <c r="AE20" t="s">
        <v>83</v>
      </c>
      <c r="AF20" t="s">
        <v>83</v>
      </c>
      <c r="AG20" t="s">
        <v>83</v>
      </c>
      <c r="AH20" t="s">
        <v>83</v>
      </c>
      <c r="AI20" t="s">
        <v>88</v>
      </c>
      <c r="AJ20" t="s">
        <v>89</v>
      </c>
      <c r="AK20" t="s">
        <v>100</v>
      </c>
      <c r="AL20" t="s">
        <v>96</v>
      </c>
      <c r="AM20" t="s">
        <v>86</v>
      </c>
      <c r="AN20" t="s">
        <v>86</v>
      </c>
      <c r="AO20" t="s">
        <v>86</v>
      </c>
      <c r="AP20" t="s">
        <v>86</v>
      </c>
      <c r="AQ20" t="s">
        <v>74</v>
      </c>
      <c r="AR20" t="s">
        <v>75</v>
      </c>
      <c r="AS20" t="s">
        <v>76</v>
      </c>
      <c r="AT20" t="s">
        <v>96</v>
      </c>
      <c r="AU20">
        <v>1</v>
      </c>
      <c r="AV20">
        <v>0</v>
      </c>
      <c r="AW20">
        <v>0</v>
      </c>
      <c r="AX20">
        <v>0</v>
      </c>
      <c r="AY20">
        <v>0</v>
      </c>
      <c r="AZ20" t="s">
        <v>579</v>
      </c>
    </row>
    <row r="21" spans="1:52" x14ac:dyDescent="0.2">
      <c r="A21">
        <v>1</v>
      </c>
      <c r="B21">
        <v>0</v>
      </c>
      <c r="C21">
        <v>0</v>
      </c>
      <c r="D21">
        <v>0</v>
      </c>
      <c r="E21">
        <v>0</v>
      </c>
      <c r="F21">
        <v>0</v>
      </c>
      <c r="G21">
        <v>0</v>
      </c>
      <c r="H21">
        <v>0</v>
      </c>
      <c r="I21">
        <v>1</v>
      </c>
      <c r="J21" t="s">
        <v>88</v>
      </c>
      <c r="K21" t="s">
        <v>89</v>
      </c>
      <c r="L21">
        <v>1</v>
      </c>
      <c r="M21">
        <v>0</v>
      </c>
      <c r="N21">
        <v>0</v>
      </c>
      <c r="O21">
        <v>0</v>
      </c>
      <c r="P21">
        <v>0</v>
      </c>
      <c r="Q21" t="s">
        <v>584</v>
      </c>
      <c r="R21">
        <v>0</v>
      </c>
      <c r="S21">
        <v>1</v>
      </c>
      <c r="T21">
        <v>0</v>
      </c>
      <c r="U21">
        <v>0</v>
      </c>
      <c r="V21">
        <v>0</v>
      </c>
      <c r="W21">
        <v>0</v>
      </c>
      <c r="X21">
        <v>0</v>
      </c>
      <c r="Y21">
        <v>0</v>
      </c>
      <c r="Z21">
        <v>0</v>
      </c>
      <c r="AL21" t="s">
        <v>73</v>
      </c>
      <c r="AM21" t="s">
        <v>86</v>
      </c>
      <c r="AN21" t="s">
        <v>86</v>
      </c>
      <c r="AO21" t="s">
        <v>86</v>
      </c>
      <c r="AP21" t="s">
        <v>86</v>
      </c>
      <c r="AQ21" t="s">
        <v>74</v>
      </c>
      <c r="AR21" t="s">
        <v>97</v>
      </c>
      <c r="AS21" t="s">
        <v>76</v>
      </c>
      <c r="AT21" t="s">
        <v>73</v>
      </c>
      <c r="AU21">
        <v>0</v>
      </c>
      <c r="AV21">
        <v>0</v>
      </c>
      <c r="AW21">
        <v>0</v>
      </c>
      <c r="AX21">
        <v>1</v>
      </c>
      <c r="AY21">
        <v>0</v>
      </c>
      <c r="AZ21" t="s">
        <v>580</v>
      </c>
    </row>
    <row r="22" spans="1:52" x14ac:dyDescent="0.2">
      <c r="A22">
        <v>0</v>
      </c>
      <c r="B22">
        <v>1</v>
      </c>
      <c r="C22">
        <v>0</v>
      </c>
      <c r="D22">
        <v>0</v>
      </c>
      <c r="E22">
        <v>1</v>
      </c>
      <c r="F22">
        <v>0</v>
      </c>
      <c r="G22">
        <v>0</v>
      </c>
      <c r="H22">
        <v>0</v>
      </c>
      <c r="I22">
        <v>0</v>
      </c>
      <c r="L22">
        <v>0</v>
      </c>
      <c r="M22">
        <v>1</v>
      </c>
      <c r="N22">
        <v>0</v>
      </c>
      <c r="O22">
        <v>0</v>
      </c>
      <c r="P22">
        <v>0</v>
      </c>
      <c r="Q22" t="s">
        <v>584</v>
      </c>
      <c r="AA22" t="s">
        <v>82</v>
      </c>
      <c r="AB22" t="s">
        <v>82</v>
      </c>
      <c r="AC22" t="s">
        <v>82</v>
      </c>
      <c r="AD22" t="s">
        <v>82</v>
      </c>
      <c r="AE22" t="s">
        <v>82</v>
      </c>
      <c r="AF22" t="s">
        <v>82</v>
      </c>
      <c r="AG22" t="s">
        <v>82</v>
      </c>
      <c r="AH22" t="s">
        <v>82</v>
      </c>
      <c r="AI22" t="s">
        <v>88</v>
      </c>
      <c r="AJ22" t="s">
        <v>89</v>
      </c>
      <c r="AK22" t="s">
        <v>100</v>
      </c>
      <c r="AL22" t="s">
        <v>120</v>
      </c>
      <c r="AM22" t="s">
        <v>86</v>
      </c>
      <c r="AN22" t="s">
        <v>87</v>
      </c>
      <c r="AO22" t="s">
        <v>87</v>
      </c>
      <c r="AP22" t="s">
        <v>87</v>
      </c>
      <c r="AQ22" t="s">
        <v>87</v>
      </c>
      <c r="AR22" t="s">
        <v>108</v>
      </c>
      <c r="AS22" t="s">
        <v>76</v>
      </c>
      <c r="AT22" t="s">
        <v>120</v>
      </c>
      <c r="AU22">
        <v>1</v>
      </c>
      <c r="AV22">
        <v>0</v>
      </c>
      <c r="AW22">
        <v>0</v>
      </c>
      <c r="AX22">
        <v>0</v>
      </c>
      <c r="AY22">
        <v>0</v>
      </c>
      <c r="AZ22" t="s">
        <v>579</v>
      </c>
    </row>
    <row r="23" spans="1:52" x14ac:dyDescent="0.2">
      <c r="A23">
        <v>1</v>
      </c>
      <c r="B23">
        <v>0</v>
      </c>
      <c r="C23">
        <v>0</v>
      </c>
      <c r="D23">
        <v>0</v>
      </c>
      <c r="E23">
        <v>0</v>
      </c>
      <c r="F23">
        <v>0</v>
      </c>
      <c r="G23">
        <v>0</v>
      </c>
      <c r="H23">
        <v>0</v>
      </c>
      <c r="I23">
        <v>1</v>
      </c>
      <c r="J23" t="s">
        <v>79</v>
      </c>
      <c r="K23" t="s">
        <v>80</v>
      </c>
      <c r="L23">
        <v>1</v>
      </c>
      <c r="M23">
        <v>0</v>
      </c>
      <c r="N23">
        <v>0</v>
      </c>
      <c r="O23">
        <v>0</v>
      </c>
      <c r="P23">
        <v>0</v>
      </c>
      <c r="Q23" t="s">
        <v>584</v>
      </c>
      <c r="R23">
        <v>0</v>
      </c>
      <c r="S23">
        <v>0</v>
      </c>
      <c r="T23">
        <v>0</v>
      </c>
      <c r="U23">
        <v>0</v>
      </c>
      <c r="V23">
        <v>0</v>
      </c>
      <c r="W23">
        <v>0</v>
      </c>
      <c r="X23">
        <v>1</v>
      </c>
      <c r="Y23">
        <v>0</v>
      </c>
      <c r="Z23">
        <v>0</v>
      </c>
      <c r="AL23" t="s">
        <v>107</v>
      </c>
      <c r="AM23" t="s">
        <v>74</v>
      </c>
      <c r="AR23" t="s">
        <v>108</v>
      </c>
      <c r="AS23" t="s">
        <v>76</v>
      </c>
      <c r="AT23" t="s">
        <v>107</v>
      </c>
      <c r="AU23">
        <v>0</v>
      </c>
      <c r="AV23">
        <v>0</v>
      </c>
      <c r="AW23">
        <v>0</v>
      </c>
      <c r="AX23">
        <v>1</v>
      </c>
      <c r="AY23">
        <v>0</v>
      </c>
      <c r="AZ23" t="s">
        <v>580</v>
      </c>
    </row>
    <row r="24" spans="1:52" x14ac:dyDescent="0.2">
      <c r="A24">
        <v>1</v>
      </c>
      <c r="B24">
        <v>0</v>
      </c>
      <c r="C24">
        <v>0</v>
      </c>
      <c r="D24">
        <v>0</v>
      </c>
      <c r="E24">
        <v>1</v>
      </c>
      <c r="F24">
        <v>0</v>
      </c>
      <c r="G24">
        <v>0</v>
      </c>
      <c r="H24">
        <v>0</v>
      </c>
      <c r="I24">
        <v>0</v>
      </c>
      <c r="L24">
        <v>1</v>
      </c>
      <c r="M24">
        <v>0</v>
      </c>
      <c r="N24">
        <v>0</v>
      </c>
      <c r="O24">
        <v>0</v>
      </c>
      <c r="P24">
        <v>0</v>
      </c>
      <c r="Q24" t="s">
        <v>584</v>
      </c>
      <c r="R24">
        <v>1</v>
      </c>
      <c r="S24">
        <v>0</v>
      </c>
      <c r="T24">
        <v>0</v>
      </c>
      <c r="U24">
        <v>0</v>
      </c>
      <c r="V24">
        <v>0</v>
      </c>
      <c r="W24">
        <v>0</v>
      </c>
      <c r="X24">
        <v>0</v>
      </c>
      <c r="Y24">
        <v>0</v>
      </c>
      <c r="Z24">
        <v>0</v>
      </c>
      <c r="AL24" t="s">
        <v>107</v>
      </c>
      <c r="AM24" t="s">
        <v>87</v>
      </c>
      <c r="AN24" t="s">
        <v>87</v>
      </c>
      <c r="AO24" t="s">
        <v>87</v>
      </c>
      <c r="AP24" t="s">
        <v>87</v>
      </c>
      <c r="AQ24" t="s">
        <v>87</v>
      </c>
      <c r="AR24" t="s">
        <v>75</v>
      </c>
      <c r="AS24" t="s">
        <v>76</v>
      </c>
      <c r="AT24" t="s">
        <v>107</v>
      </c>
      <c r="AU24">
        <v>1</v>
      </c>
      <c r="AV24">
        <v>0</v>
      </c>
      <c r="AW24">
        <v>0</v>
      </c>
      <c r="AX24">
        <v>0</v>
      </c>
      <c r="AY24">
        <v>0</v>
      </c>
      <c r="AZ24" t="s">
        <v>579</v>
      </c>
    </row>
    <row r="25" spans="1:52" x14ac:dyDescent="0.2">
      <c r="A25">
        <v>0</v>
      </c>
      <c r="B25">
        <v>1</v>
      </c>
      <c r="C25">
        <v>0</v>
      </c>
      <c r="D25">
        <v>0</v>
      </c>
      <c r="E25">
        <v>1</v>
      </c>
      <c r="F25">
        <v>0</v>
      </c>
      <c r="G25">
        <v>0</v>
      </c>
      <c r="H25">
        <v>0</v>
      </c>
      <c r="I25">
        <v>0</v>
      </c>
      <c r="L25">
        <v>1</v>
      </c>
      <c r="M25">
        <v>0</v>
      </c>
      <c r="N25">
        <v>0</v>
      </c>
      <c r="O25">
        <v>0</v>
      </c>
      <c r="P25">
        <v>0</v>
      </c>
      <c r="Q25" t="s">
        <v>584</v>
      </c>
      <c r="R25">
        <v>0</v>
      </c>
      <c r="S25">
        <v>1</v>
      </c>
      <c r="T25">
        <v>0</v>
      </c>
      <c r="U25">
        <v>0</v>
      </c>
      <c r="V25">
        <v>0</v>
      </c>
      <c r="W25">
        <v>0</v>
      </c>
      <c r="X25">
        <v>0</v>
      </c>
      <c r="Y25">
        <v>0</v>
      </c>
      <c r="Z25">
        <v>0</v>
      </c>
      <c r="AL25" t="s">
        <v>120</v>
      </c>
      <c r="AM25" t="s">
        <v>74</v>
      </c>
      <c r="AR25" t="s">
        <v>75</v>
      </c>
      <c r="AS25" t="s">
        <v>76</v>
      </c>
      <c r="AT25" t="s">
        <v>120</v>
      </c>
      <c r="AU25">
        <v>1</v>
      </c>
      <c r="AV25">
        <v>0</v>
      </c>
      <c r="AW25">
        <v>0</v>
      </c>
      <c r="AX25">
        <v>0</v>
      </c>
      <c r="AY25">
        <v>0</v>
      </c>
      <c r="AZ25" t="s">
        <v>580</v>
      </c>
    </row>
    <row r="26" spans="1:52" x14ac:dyDescent="0.2">
      <c r="A26">
        <v>0</v>
      </c>
      <c r="B26">
        <v>1</v>
      </c>
      <c r="C26">
        <v>0</v>
      </c>
      <c r="D26">
        <v>0</v>
      </c>
      <c r="E26">
        <v>1</v>
      </c>
      <c r="F26">
        <v>0</v>
      </c>
      <c r="G26">
        <v>0</v>
      </c>
      <c r="H26">
        <v>0</v>
      </c>
      <c r="I26">
        <v>0</v>
      </c>
      <c r="L26">
        <v>1</v>
      </c>
      <c r="M26">
        <v>0</v>
      </c>
      <c r="N26">
        <v>0</v>
      </c>
      <c r="O26">
        <v>0</v>
      </c>
      <c r="P26">
        <v>0</v>
      </c>
      <c r="Q26" t="s">
        <v>584</v>
      </c>
      <c r="R26">
        <v>0</v>
      </c>
      <c r="S26">
        <v>0</v>
      </c>
      <c r="T26">
        <v>1</v>
      </c>
      <c r="U26">
        <v>0</v>
      </c>
      <c r="V26">
        <v>0</v>
      </c>
      <c r="W26">
        <v>0</v>
      </c>
      <c r="X26">
        <v>0</v>
      </c>
      <c r="Y26">
        <v>0</v>
      </c>
      <c r="Z26">
        <v>0</v>
      </c>
      <c r="AL26" t="s">
        <v>107</v>
      </c>
      <c r="AM26" t="s">
        <v>87</v>
      </c>
      <c r="AN26" t="s">
        <v>74</v>
      </c>
      <c r="AO26" t="s">
        <v>87</v>
      </c>
      <c r="AP26" t="s">
        <v>87</v>
      </c>
      <c r="AQ26" t="s">
        <v>86</v>
      </c>
      <c r="AR26" t="s">
        <v>101</v>
      </c>
      <c r="AS26" t="s">
        <v>76</v>
      </c>
      <c r="AT26" t="s">
        <v>107</v>
      </c>
      <c r="AU26">
        <v>0</v>
      </c>
      <c r="AV26">
        <v>0</v>
      </c>
      <c r="AW26">
        <v>0</v>
      </c>
      <c r="AX26">
        <v>1</v>
      </c>
      <c r="AY26">
        <v>0</v>
      </c>
      <c r="AZ26" t="s">
        <v>580</v>
      </c>
    </row>
    <row r="27" spans="1:52" x14ac:dyDescent="0.2">
      <c r="A27">
        <v>1</v>
      </c>
      <c r="B27">
        <v>0</v>
      </c>
      <c r="C27">
        <v>0</v>
      </c>
      <c r="D27">
        <v>0</v>
      </c>
      <c r="E27">
        <v>0</v>
      </c>
      <c r="F27">
        <v>1</v>
      </c>
      <c r="G27">
        <v>0</v>
      </c>
      <c r="H27">
        <v>0</v>
      </c>
      <c r="I27">
        <v>0</v>
      </c>
      <c r="J27" t="s">
        <v>88</v>
      </c>
      <c r="K27" t="s">
        <v>89</v>
      </c>
      <c r="L27">
        <v>0</v>
      </c>
      <c r="M27">
        <v>1</v>
      </c>
      <c r="N27">
        <v>0</v>
      </c>
      <c r="O27">
        <v>0</v>
      </c>
      <c r="P27">
        <v>0</v>
      </c>
      <c r="Q27" t="s">
        <v>584</v>
      </c>
      <c r="AA27" t="s">
        <v>81</v>
      </c>
      <c r="AB27" t="s">
        <v>82</v>
      </c>
      <c r="AC27" t="s">
        <v>82</v>
      </c>
      <c r="AD27" t="s">
        <v>81</v>
      </c>
      <c r="AE27" t="s">
        <v>81</v>
      </c>
      <c r="AF27" t="s">
        <v>81</v>
      </c>
      <c r="AG27" t="s">
        <v>81</v>
      </c>
      <c r="AH27" t="s">
        <v>83</v>
      </c>
      <c r="AI27" t="s">
        <v>88</v>
      </c>
      <c r="AJ27" t="s">
        <v>89</v>
      </c>
      <c r="AK27" t="s">
        <v>100</v>
      </c>
      <c r="AL27" t="s">
        <v>73</v>
      </c>
      <c r="AM27" t="s">
        <v>87</v>
      </c>
      <c r="AN27" t="s">
        <v>87</v>
      </c>
      <c r="AO27" t="s">
        <v>87</v>
      </c>
      <c r="AP27" t="s">
        <v>87</v>
      </c>
      <c r="AQ27" t="s">
        <v>87</v>
      </c>
      <c r="AR27" t="s">
        <v>97</v>
      </c>
      <c r="AS27" t="s">
        <v>76</v>
      </c>
      <c r="AT27" t="s">
        <v>73</v>
      </c>
      <c r="AU27">
        <v>0</v>
      </c>
      <c r="AV27">
        <v>0</v>
      </c>
      <c r="AW27">
        <v>0</v>
      </c>
      <c r="AX27">
        <v>1</v>
      </c>
      <c r="AY27">
        <v>0</v>
      </c>
      <c r="AZ27" t="s">
        <v>580</v>
      </c>
    </row>
    <row r="28" spans="1:52" x14ac:dyDescent="0.2">
      <c r="A28">
        <v>0</v>
      </c>
      <c r="B28">
        <v>1</v>
      </c>
      <c r="C28">
        <v>0</v>
      </c>
      <c r="D28">
        <v>0</v>
      </c>
      <c r="E28">
        <v>1</v>
      </c>
      <c r="F28">
        <v>0</v>
      </c>
      <c r="G28">
        <v>0</v>
      </c>
      <c r="H28">
        <v>0</v>
      </c>
      <c r="I28">
        <v>0</v>
      </c>
      <c r="L28">
        <v>0</v>
      </c>
      <c r="M28">
        <v>1</v>
      </c>
      <c r="N28">
        <v>0</v>
      </c>
      <c r="O28">
        <v>0</v>
      </c>
      <c r="P28">
        <v>1</v>
      </c>
      <c r="Q28" t="s">
        <v>584</v>
      </c>
      <c r="AA28" t="s">
        <v>83</v>
      </c>
      <c r="AB28" t="s">
        <v>82</v>
      </c>
      <c r="AC28" t="s">
        <v>83</v>
      </c>
      <c r="AD28" t="s">
        <v>82</v>
      </c>
      <c r="AE28" t="s">
        <v>83</v>
      </c>
      <c r="AF28" t="s">
        <v>83</v>
      </c>
      <c r="AG28" t="s">
        <v>83</v>
      </c>
      <c r="AH28" t="s">
        <v>83</v>
      </c>
      <c r="AI28" t="s">
        <v>127</v>
      </c>
      <c r="AJ28" t="s">
        <v>127</v>
      </c>
      <c r="AL28" t="s">
        <v>73</v>
      </c>
      <c r="AM28" t="s">
        <v>74</v>
      </c>
      <c r="AR28" t="s">
        <v>113</v>
      </c>
      <c r="AS28" t="s">
        <v>76</v>
      </c>
      <c r="AT28" t="s">
        <v>73</v>
      </c>
      <c r="AU28">
        <v>0</v>
      </c>
      <c r="AV28">
        <v>0</v>
      </c>
      <c r="AW28">
        <v>0</v>
      </c>
      <c r="AX28">
        <v>0</v>
      </c>
      <c r="AY28">
        <v>1</v>
      </c>
      <c r="AZ28" t="s">
        <v>579</v>
      </c>
    </row>
    <row r="29" spans="1:52" x14ac:dyDescent="0.2">
      <c r="A29">
        <v>1</v>
      </c>
      <c r="B29">
        <v>0</v>
      </c>
      <c r="C29">
        <v>0</v>
      </c>
      <c r="D29">
        <v>0</v>
      </c>
      <c r="E29">
        <v>1</v>
      </c>
      <c r="F29">
        <v>0</v>
      </c>
      <c r="G29">
        <v>0</v>
      </c>
      <c r="H29">
        <v>0</v>
      </c>
      <c r="I29">
        <v>0</v>
      </c>
      <c r="L29">
        <v>1</v>
      </c>
      <c r="M29">
        <v>0</v>
      </c>
      <c r="N29">
        <v>0</v>
      </c>
      <c r="O29">
        <v>0</v>
      </c>
      <c r="P29">
        <v>0</v>
      </c>
      <c r="Q29" t="s">
        <v>584</v>
      </c>
      <c r="R29">
        <v>0</v>
      </c>
      <c r="S29">
        <v>0</v>
      </c>
      <c r="T29">
        <v>0</v>
      </c>
      <c r="U29">
        <v>0</v>
      </c>
      <c r="V29">
        <v>0</v>
      </c>
      <c r="W29">
        <v>1</v>
      </c>
      <c r="X29">
        <v>0</v>
      </c>
      <c r="Y29">
        <v>0</v>
      </c>
      <c r="Z29">
        <v>0</v>
      </c>
      <c r="AL29" t="s">
        <v>73</v>
      </c>
      <c r="AM29" t="s">
        <v>86</v>
      </c>
      <c r="AN29" t="s">
        <v>86</v>
      </c>
      <c r="AO29" t="s">
        <v>87</v>
      </c>
      <c r="AP29" t="s">
        <v>87</v>
      </c>
      <c r="AQ29" t="s">
        <v>87</v>
      </c>
      <c r="AR29" t="s">
        <v>75</v>
      </c>
      <c r="AS29" t="s">
        <v>76</v>
      </c>
      <c r="AT29" t="s">
        <v>73</v>
      </c>
      <c r="AU29">
        <v>0</v>
      </c>
      <c r="AV29">
        <v>0</v>
      </c>
      <c r="AW29">
        <v>0</v>
      </c>
      <c r="AX29">
        <v>1</v>
      </c>
      <c r="AY29">
        <v>0</v>
      </c>
      <c r="AZ29" t="s">
        <v>579</v>
      </c>
    </row>
    <row r="30" spans="1:52" x14ac:dyDescent="0.2">
      <c r="A30">
        <v>1</v>
      </c>
      <c r="B30">
        <v>0</v>
      </c>
      <c r="C30">
        <v>0</v>
      </c>
      <c r="D30">
        <v>0</v>
      </c>
      <c r="E30">
        <v>0</v>
      </c>
      <c r="F30">
        <v>1</v>
      </c>
      <c r="G30">
        <v>1</v>
      </c>
      <c r="H30">
        <v>0</v>
      </c>
      <c r="I30">
        <v>0</v>
      </c>
      <c r="J30" t="s">
        <v>88</v>
      </c>
      <c r="K30" t="s">
        <v>80</v>
      </c>
      <c r="L30">
        <v>0</v>
      </c>
      <c r="M30">
        <v>0</v>
      </c>
      <c r="N30">
        <v>1</v>
      </c>
      <c r="O30">
        <v>0</v>
      </c>
      <c r="P30">
        <v>0</v>
      </c>
      <c r="Q30" t="s">
        <v>584</v>
      </c>
      <c r="AA30" t="s">
        <v>83</v>
      </c>
      <c r="AB30" t="s">
        <v>82</v>
      </c>
      <c r="AC30" t="s">
        <v>83</v>
      </c>
      <c r="AD30" t="s">
        <v>82</v>
      </c>
      <c r="AE30" t="s">
        <v>81</v>
      </c>
      <c r="AF30" t="s">
        <v>83</v>
      </c>
      <c r="AG30" t="s">
        <v>83</v>
      </c>
      <c r="AH30" t="s">
        <v>81</v>
      </c>
      <c r="AI30" t="s">
        <v>88</v>
      </c>
      <c r="AJ30" t="s">
        <v>80</v>
      </c>
      <c r="AK30" t="s">
        <v>85</v>
      </c>
      <c r="AL30" t="s">
        <v>96</v>
      </c>
      <c r="AM30" t="s">
        <v>87</v>
      </c>
      <c r="AN30" t="s">
        <v>87</v>
      </c>
      <c r="AO30" t="s">
        <v>87</v>
      </c>
      <c r="AP30" t="s">
        <v>87</v>
      </c>
      <c r="AQ30" t="s">
        <v>87</v>
      </c>
      <c r="AR30" t="s">
        <v>75</v>
      </c>
      <c r="AS30" t="s">
        <v>76</v>
      </c>
      <c r="AT30" t="s">
        <v>96</v>
      </c>
      <c r="AU30">
        <v>0</v>
      </c>
      <c r="AV30">
        <v>0</v>
      </c>
      <c r="AW30">
        <v>0</v>
      </c>
      <c r="AX30">
        <v>1</v>
      </c>
      <c r="AY30">
        <v>0</v>
      </c>
      <c r="AZ30" t="s">
        <v>579</v>
      </c>
    </row>
    <row r="31" spans="1:52" x14ac:dyDescent="0.2">
      <c r="A31">
        <v>0</v>
      </c>
      <c r="B31">
        <v>1</v>
      </c>
      <c r="C31">
        <v>0</v>
      </c>
      <c r="D31">
        <v>0</v>
      </c>
      <c r="E31">
        <v>1</v>
      </c>
      <c r="F31">
        <v>0</v>
      </c>
      <c r="G31">
        <v>0</v>
      </c>
      <c r="H31">
        <v>0</v>
      </c>
      <c r="I31">
        <v>0</v>
      </c>
      <c r="L31">
        <v>1</v>
      </c>
      <c r="M31">
        <v>0</v>
      </c>
      <c r="N31">
        <v>0</v>
      </c>
      <c r="O31">
        <v>0</v>
      </c>
      <c r="P31">
        <v>0</v>
      </c>
      <c r="Q31" t="s">
        <v>584</v>
      </c>
      <c r="R31">
        <v>0</v>
      </c>
      <c r="S31">
        <v>0</v>
      </c>
      <c r="T31">
        <v>0</v>
      </c>
      <c r="U31">
        <v>0</v>
      </c>
      <c r="V31">
        <v>0</v>
      </c>
      <c r="W31">
        <v>0</v>
      </c>
      <c r="X31">
        <v>0</v>
      </c>
      <c r="Y31">
        <v>0</v>
      </c>
      <c r="Z31">
        <v>1</v>
      </c>
      <c r="AL31" t="s">
        <v>73</v>
      </c>
      <c r="AM31" t="s">
        <v>86</v>
      </c>
      <c r="AN31" t="s">
        <v>87</v>
      </c>
      <c r="AO31" t="s">
        <v>74</v>
      </c>
      <c r="AP31" t="s">
        <v>87</v>
      </c>
      <c r="AQ31" t="s">
        <v>74</v>
      </c>
      <c r="AR31" t="s">
        <v>97</v>
      </c>
      <c r="AS31" t="s">
        <v>76</v>
      </c>
      <c r="AT31" t="s">
        <v>73</v>
      </c>
      <c r="AU31">
        <v>0</v>
      </c>
      <c r="AV31">
        <v>0</v>
      </c>
      <c r="AW31">
        <v>0</v>
      </c>
      <c r="AX31">
        <v>1</v>
      </c>
      <c r="AY31">
        <v>0</v>
      </c>
      <c r="AZ31" t="s">
        <v>580</v>
      </c>
    </row>
    <row r="32" spans="1:52" x14ac:dyDescent="0.2">
      <c r="A32">
        <v>0</v>
      </c>
      <c r="B32">
        <v>1</v>
      </c>
      <c r="C32">
        <v>0</v>
      </c>
      <c r="D32">
        <v>0</v>
      </c>
      <c r="E32">
        <v>0</v>
      </c>
      <c r="F32">
        <v>0</v>
      </c>
      <c r="G32">
        <v>0</v>
      </c>
      <c r="H32">
        <v>0</v>
      </c>
      <c r="I32">
        <v>1</v>
      </c>
      <c r="J32" t="s">
        <v>88</v>
      </c>
      <c r="K32" t="s">
        <v>89</v>
      </c>
      <c r="L32">
        <v>1</v>
      </c>
      <c r="M32">
        <v>0</v>
      </c>
      <c r="N32">
        <v>0</v>
      </c>
      <c r="O32">
        <v>0</v>
      </c>
      <c r="P32">
        <v>0</v>
      </c>
      <c r="Q32" t="s">
        <v>584</v>
      </c>
      <c r="R32">
        <v>0</v>
      </c>
      <c r="S32">
        <v>0</v>
      </c>
      <c r="T32">
        <v>0</v>
      </c>
      <c r="U32">
        <v>0</v>
      </c>
      <c r="V32">
        <v>0</v>
      </c>
      <c r="W32">
        <v>1</v>
      </c>
      <c r="X32">
        <v>0</v>
      </c>
      <c r="Y32">
        <v>0</v>
      </c>
      <c r="Z32">
        <v>1</v>
      </c>
      <c r="AL32" t="s">
        <v>96</v>
      </c>
      <c r="AM32" t="s">
        <v>87</v>
      </c>
      <c r="AN32" t="s">
        <v>86</v>
      </c>
      <c r="AO32" t="s">
        <v>74</v>
      </c>
      <c r="AP32" t="s">
        <v>86</v>
      </c>
      <c r="AQ32" t="s">
        <v>87</v>
      </c>
      <c r="AR32" t="s">
        <v>75</v>
      </c>
      <c r="AS32" t="s">
        <v>76</v>
      </c>
      <c r="AT32" t="s">
        <v>96</v>
      </c>
      <c r="AU32">
        <v>0</v>
      </c>
      <c r="AV32">
        <v>0</v>
      </c>
      <c r="AW32">
        <v>0</v>
      </c>
      <c r="AX32">
        <v>1</v>
      </c>
      <c r="AY32">
        <v>0</v>
      </c>
      <c r="AZ32" t="s">
        <v>580</v>
      </c>
    </row>
    <row r="33" spans="1:52" x14ac:dyDescent="0.2">
      <c r="A33">
        <v>1</v>
      </c>
      <c r="B33">
        <v>0</v>
      </c>
      <c r="C33">
        <v>0</v>
      </c>
      <c r="D33">
        <v>0</v>
      </c>
      <c r="E33">
        <v>0</v>
      </c>
      <c r="F33">
        <v>1</v>
      </c>
      <c r="G33">
        <v>0</v>
      </c>
      <c r="H33">
        <v>0</v>
      </c>
      <c r="I33">
        <v>0</v>
      </c>
      <c r="J33" t="s">
        <v>88</v>
      </c>
      <c r="K33" t="s">
        <v>89</v>
      </c>
      <c r="L33">
        <v>0</v>
      </c>
      <c r="M33">
        <v>1</v>
      </c>
      <c r="N33">
        <v>0</v>
      </c>
      <c r="O33">
        <v>0</v>
      </c>
      <c r="P33">
        <v>0</v>
      </c>
      <c r="Q33" t="s">
        <v>584</v>
      </c>
      <c r="AA33" t="s">
        <v>90</v>
      </c>
      <c r="AB33" t="s">
        <v>82</v>
      </c>
      <c r="AC33" t="s">
        <v>81</v>
      </c>
      <c r="AD33" t="s">
        <v>83</v>
      </c>
      <c r="AE33" t="s">
        <v>83</v>
      </c>
      <c r="AF33" t="s">
        <v>90</v>
      </c>
      <c r="AG33" t="s">
        <v>83</v>
      </c>
      <c r="AH33" t="s">
        <v>83</v>
      </c>
      <c r="AI33" t="s">
        <v>88</v>
      </c>
      <c r="AJ33" t="s">
        <v>89</v>
      </c>
      <c r="AK33" t="s">
        <v>85</v>
      </c>
      <c r="AL33" t="s">
        <v>73</v>
      </c>
      <c r="AM33" t="s">
        <v>86</v>
      </c>
      <c r="AN33" t="s">
        <v>86</v>
      </c>
      <c r="AO33" t="s">
        <v>87</v>
      </c>
      <c r="AP33" t="s">
        <v>87</v>
      </c>
      <c r="AQ33" t="s">
        <v>87</v>
      </c>
      <c r="AR33" t="s">
        <v>97</v>
      </c>
      <c r="AS33" t="s">
        <v>76</v>
      </c>
      <c r="AT33" t="s">
        <v>73</v>
      </c>
      <c r="AU33">
        <v>0</v>
      </c>
      <c r="AV33">
        <v>0</v>
      </c>
      <c r="AW33">
        <v>0</v>
      </c>
      <c r="AX33">
        <v>1</v>
      </c>
      <c r="AY33">
        <v>0</v>
      </c>
      <c r="AZ33" t="s">
        <v>580</v>
      </c>
    </row>
    <row r="34" spans="1:52" x14ac:dyDescent="0.2">
      <c r="A34">
        <v>1</v>
      </c>
      <c r="B34">
        <v>0</v>
      </c>
      <c r="C34">
        <v>0</v>
      </c>
      <c r="D34">
        <v>0</v>
      </c>
      <c r="E34">
        <v>0</v>
      </c>
      <c r="F34">
        <v>0</v>
      </c>
      <c r="G34">
        <v>0</v>
      </c>
      <c r="H34">
        <v>0</v>
      </c>
      <c r="I34">
        <v>1</v>
      </c>
      <c r="J34" t="s">
        <v>88</v>
      </c>
      <c r="K34" t="s">
        <v>89</v>
      </c>
      <c r="L34">
        <v>0</v>
      </c>
      <c r="M34">
        <v>1</v>
      </c>
      <c r="N34">
        <v>0</v>
      </c>
      <c r="O34">
        <v>0</v>
      </c>
      <c r="P34">
        <v>0</v>
      </c>
      <c r="Q34" t="s">
        <v>584</v>
      </c>
      <c r="AA34" t="s">
        <v>90</v>
      </c>
      <c r="AB34" t="s">
        <v>82</v>
      </c>
      <c r="AC34" t="s">
        <v>83</v>
      </c>
      <c r="AD34" t="s">
        <v>90</v>
      </c>
      <c r="AE34" t="s">
        <v>90</v>
      </c>
      <c r="AF34" t="s">
        <v>90</v>
      </c>
      <c r="AG34" t="s">
        <v>90</v>
      </c>
      <c r="AH34" t="s">
        <v>83</v>
      </c>
      <c r="AI34" t="s">
        <v>135</v>
      </c>
      <c r="AJ34" t="s">
        <v>80</v>
      </c>
      <c r="AK34" t="s">
        <v>85</v>
      </c>
      <c r="AL34" t="s">
        <v>73</v>
      </c>
      <c r="AM34" t="s">
        <v>87</v>
      </c>
      <c r="AN34" t="s">
        <v>86</v>
      </c>
      <c r="AO34" t="s">
        <v>86</v>
      </c>
      <c r="AP34" t="s">
        <v>86</v>
      </c>
      <c r="AQ34" t="s">
        <v>86</v>
      </c>
      <c r="AR34" t="s">
        <v>75</v>
      </c>
      <c r="AS34" t="s">
        <v>76</v>
      </c>
      <c r="AT34" t="s">
        <v>73</v>
      </c>
      <c r="AU34">
        <v>0</v>
      </c>
      <c r="AV34">
        <v>0</v>
      </c>
      <c r="AW34">
        <v>0</v>
      </c>
      <c r="AX34">
        <v>1</v>
      </c>
      <c r="AY34">
        <v>0</v>
      </c>
      <c r="AZ34" t="s">
        <v>580</v>
      </c>
    </row>
    <row r="35" spans="1:52" x14ac:dyDescent="0.2">
      <c r="A35">
        <v>0</v>
      </c>
      <c r="B35">
        <v>1</v>
      </c>
      <c r="C35">
        <v>0</v>
      </c>
      <c r="D35">
        <v>0</v>
      </c>
      <c r="E35">
        <v>0</v>
      </c>
      <c r="F35">
        <v>0</v>
      </c>
      <c r="G35">
        <v>0</v>
      </c>
      <c r="H35">
        <v>1</v>
      </c>
      <c r="I35">
        <v>0</v>
      </c>
      <c r="J35" t="s">
        <v>135</v>
      </c>
      <c r="K35" t="s">
        <v>80</v>
      </c>
      <c r="L35">
        <v>0</v>
      </c>
      <c r="M35">
        <v>1</v>
      </c>
      <c r="N35">
        <v>0</v>
      </c>
      <c r="O35">
        <v>0</v>
      </c>
      <c r="P35">
        <v>0</v>
      </c>
      <c r="Q35" t="s">
        <v>584</v>
      </c>
      <c r="AA35" t="s">
        <v>83</v>
      </c>
      <c r="AB35" t="s">
        <v>81</v>
      </c>
      <c r="AC35" t="s">
        <v>81</v>
      </c>
      <c r="AD35" t="s">
        <v>82</v>
      </c>
      <c r="AE35" t="s">
        <v>82</v>
      </c>
      <c r="AF35" t="s">
        <v>81</v>
      </c>
      <c r="AG35" t="s">
        <v>90</v>
      </c>
      <c r="AH35" t="s">
        <v>83</v>
      </c>
      <c r="AI35" t="s">
        <v>84</v>
      </c>
      <c r="AJ35" t="s">
        <v>80</v>
      </c>
      <c r="AK35" t="s">
        <v>100</v>
      </c>
      <c r="AL35" t="s">
        <v>107</v>
      </c>
      <c r="AM35" t="s">
        <v>87</v>
      </c>
      <c r="AN35" t="s">
        <v>86</v>
      </c>
      <c r="AO35" t="s">
        <v>86</v>
      </c>
      <c r="AP35" t="s">
        <v>86</v>
      </c>
      <c r="AQ35" t="s">
        <v>86</v>
      </c>
      <c r="AR35" t="s">
        <v>101</v>
      </c>
      <c r="AS35" t="s">
        <v>76</v>
      </c>
      <c r="AT35" t="s">
        <v>107</v>
      </c>
      <c r="AU35">
        <v>1</v>
      </c>
      <c r="AV35">
        <v>0</v>
      </c>
      <c r="AW35">
        <v>0</v>
      </c>
      <c r="AX35">
        <v>0</v>
      </c>
      <c r="AY35">
        <v>0</v>
      </c>
      <c r="AZ35" t="s">
        <v>579</v>
      </c>
    </row>
    <row r="36" spans="1:52" x14ac:dyDescent="0.2">
      <c r="A36">
        <v>1</v>
      </c>
      <c r="B36">
        <v>0</v>
      </c>
      <c r="C36">
        <v>0</v>
      </c>
      <c r="D36">
        <v>0</v>
      </c>
      <c r="E36">
        <v>1</v>
      </c>
      <c r="F36">
        <v>0</v>
      </c>
      <c r="G36">
        <v>0</v>
      </c>
      <c r="H36">
        <v>0</v>
      </c>
      <c r="I36">
        <v>0</v>
      </c>
      <c r="L36">
        <v>0</v>
      </c>
      <c r="M36">
        <v>0</v>
      </c>
      <c r="N36">
        <v>0</v>
      </c>
      <c r="O36">
        <v>0</v>
      </c>
      <c r="P36">
        <v>0</v>
      </c>
      <c r="Q36" t="s">
        <v>585</v>
      </c>
      <c r="AA36" t="s">
        <v>81</v>
      </c>
      <c r="AB36" t="s">
        <v>83</v>
      </c>
      <c r="AC36" t="s">
        <v>83</v>
      </c>
      <c r="AD36" t="s">
        <v>90</v>
      </c>
      <c r="AE36" t="s">
        <v>82</v>
      </c>
      <c r="AF36" t="s">
        <v>83</v>
      </c>
      <c r="AG36" t="s">
        <v>82</v>
      </c>
      <c r="AH36" t="s">
        <v>83</v>
      </c>
      <c r="AI36" t="s">
        <v>127</v>
      </c>
      <c r="AJ36" t="s">
        <v>127</v>
      </c>
      <c r="AL36" t="s">
        <v>107</v>
      </c>
      <c r="AM36" t="s">
        <v>74</v>
      </c>
      <c r="AR36" t="s">
        <v>101</v>
      </c>
      <c r="AS36" t="s">
        <v>76</v>
      </c>
      <c r="AT36" t="s">
        <v>107</v>
      </c>
      <c r="AU36">
        <v>1</v>
      </c>
      <c r="AV36">
        <v>0</v>
      </c>
      <c r="AW36">
        <v>0</v>
      </c>
      <c r="AX36">
        <v>0</v>
      </c>
      <c r="AY36">
        <v>0</v>
      </c>
      <c r="AZ36" t="s">
        <v>580</v>
      </c>
    </row>
    <row r="37" spans="1:52" x14ac:dyDescent="0.2">
      <c r="A37">
        <v>1</v>
      </c>
      <c r="B37">
        <v>0</v>
      </c>
      <c r="C37">
        <v>0</v>
      </c>
      <c r="D37">
        <v>0</v>
      </c>
      <c r="E37">
        <v>0</v>
      </c>
      <c r="F37">
        <v>1</v>
      </c>
      <c r="G37">
        <v>0</v>
      </c>
      <c r="H37">
        <v>0</v>
      </c>
      <c r="I37">
        <v>0</v>
      </c>
      <c r="J37" t="s">
        <v>79</v>
      </c>
      <c r="K37" t="s">
        <v>80</v>
      </c>
      <c r="L37">
        <v>0</v>
      </c>
      <c r="M37">
        <v>0</v>
      </c>
      <c r="N37">
        <v>1</v>
      </c>
      <c r="O37">
        <v>0</v>
      </c>
      <c r="P37">
        <v>0</v>
      </c>
      <c r="Q37" t="s">
        <v>584</v>
      </c>
      <c r="AA37" t="s">
        <v>81</v>
      </c>
      <c r="AB37" t="s">
        <v>81</v>
      </c>
      <c r="AC37" t="s">
        <v>83</v>
      </c>
      <c r="AD37" t="s">
        <v>83</v>
      </c>
      <c r="AE37" t="s">
        <v>82</v>
      </c>
      <c r="AF37" t="s">
        <v>83</v>
      </c>
      <c r="AG37" t="s">
        <v>81</v>
      </c>
      <c r="AH37" t="s">
        <v>82</v>
      </c>
      <c r="AI37" t="s">
        <v>88</v>
      </c>
      <c r="AJ37" t="s">
        <v>89</v>
      </c>
      <c r="AK37" t="s">
        <v>100</v>
      </c>
      <c r="AL37" t="s">
        <v>107</v>
      </c>
      <c r="AM37" t="s">
        <v>86</v>
      </c>
      <c r="AN37" t="s">
        <v>86</v>
      </c>
      <c r="AO37" t="s">
        <v>87</v>
      </c>
      <c r="AP37" t="s">
        <v>86</v>
      </c>
      <c r="AQ37" t="s">
        <v>86</v>
      </c>
      <c r="AR37" t="s">
        <v>101</v>
      </c>
      <c r="AS37" t="s">
        <v>76</v>
      </c>
      <c r="AT37" t="s">
        <v>107</v>
      </c>
      <c r="AU37">
        <v>0</v>
      </c>
      <c r="AV37">
        <v>0</v>
      </c>
      <c r="AW37">
        <v>0</v>
      </c>
      <c r="AX37">
        <v>1</v>
      </c>
      <c r="AY37">
        <v>0</v>
      </c>
      <c r="AZ37" t="s">
        <v>580</v>
      </c>
    </row>
    <row r="38" spans="1:52" x14ac:dyDescent="0.2">
      <c r="A38">
        <v>1</v>
      </c>
      <c r="B38">
        <v>0</v>
      </c>
      <c r="C38">
        <v>0</v>
      </c>
      <c r="D38">
        <v>0</v>
      </c>
      <c r="E38">
        <v>0</v>
      </c>
      <c r="F38">
        <v>0</v>
      </c>
      <c r="G38">
        <v>0</v>
      </c>
      <c r="H38">
        <v>0</v>
      </c>
      <c r="I38">
        <v>1</v>
      </c>
      <c r="J38" t="s">
        <v>79</v>
      </c>
      <c r="K38" t="s">
        <v>80</v>
      </c>
      <c r="L38">
        <v>0</v>
      </c>
      <c r="M38">
        <v>1</v>
      </c>
      <c r="N38">
        <v>1</v>
      </c>
      <c r="O38">
        <v>0</v>
      </c>
      <c r="P38">
        <v>0</v>
      </c>
      <c r="Q38" t="s">
        <v>584</v>
      </c>
      <c r="AA38" t="s">
        <v>81</v>
      </c>
      <c r="AB38" t="s">
        <v>81</v>
      </c>
      <c r="AC38" t="s">
        <v>83</v>
      </c>
      <c r="AD38" t="s">
        <v>83</v>
      </c>
      <c r="AE38" t="s">
        <v>82</v>
      </c>
      <c r="AF38" t="s">
        <v>83</v>
      </c>
      <c r="AG38" t="s">
        <v>83</v>
      </c>
      <c r="AH38" t="s">
        <v>83</v>
      </c>
      <c r="AI38" t="s">
        <v>84</v>
      </c>
      <c r="AJ38" t="s">
        <v>80</v>
      </c>
      <c r="AK38" t="s">
        <v>85</v>
      </c>
      <c r="AL38" t="s">
        <v>107</v>
      </c>
      <c r="AM38" t="s">
        <v>86</v>
      </c>
      <c r="AN38" t="s">
        <v>87</v>
      </c>
      <c r="AO38" t="s">
        <v>87</v>
      </c>
      <c r="AP38" t="s">
        <v>86</v>
      </c>
      <c r="AQ38" t="s">
        <v>87</v>
      </c>
      <c r="AR38" t="s">
        <v>75</v>
      </c>
      <c r="AS38" t="s">
        <v>76</v>
      </c>
      <c r="AT38" t="s">
        <v>107</v>
      </c>
      <c r="AU38">
        <v>0</v>
      </c>
      <c r="AV38">
        <v>0</v>
      </c>
      <c r="AW38">
        <v>0</v>
      </c>
      <c r="AX38">
        <v>1</v>
      </c>
      <c r="AY38">
        <v>0</v>
      </c>
      <c r="AZ38" t="s">
        <v>580</v>
      </c>
    </row>
    <row r="39" spans="1:52" x14ac:dyDescent="0.2">
      <c r="A39">
        <v>1</v>
      </c>
      <c r="B39">
        <v>0</v>
      </c>
      <c r="C39">
        <v>0</v>
      </c>
      <c r="D39">
        <v>0</v>
      </c>
      <c r="E39">
        <v>0</v>
      </c>
      <c r="F39">
        <v>1</v>
      </c>
      <c r="G39">
        <v>1</v>
      </c>
      <c r="H39">
        <v>1</v>
      </c>
      <c r="I39">
        <v>0</v>
      </c>
      <c r="J39" t="s">
        <v>88</v>
      </c>
      <c r="K39" t="s">
        <v>80</v>
      </c>
      <c r="L39">
        <v>0</v>
      </c>
      <c r="M39">
        <v>0</v>
      </c>
      <c r="N39">
        <v>1</v>
      </c>
      <c r="O39">
        <v>0</v>
      </c>
      <c r="P39">
        <v>0</v>
      </c>
      <c r="Q39" t="s">
        <v>584</v>
      </c>
      <c r="AA39" t="s">
        <v>90</v>
      </c>
      <c r="AB39" t="s">
        <v>82</v>
      </c>
      <c r="AC39" t="s">
        <v>81</v>
      </c>
      <c r="AD39" t="s">
        <v>81</v>
      </c>
      <c r="AE39" t="s">
        <v>82</v>
      </c>
      <c r="AF39" t="s">
        <v>90</v>
      </c>
      <c r="AG39" t="s">
        <v>81</v>
      </c>
      <c r="AH39" t="s">
        <v>90</v>
      </c>
      <c r="AI39" t="s">
        <v>88</v>
      </c>
      <c r="AJ39" t="s">
        <v>89</v>
      </c>
      <c r="AK39" t="s">
        <v>100</v>
      </c>
      <c r="AL39" t="s">
        <v>73</v>
      </c>
      <c r="AM39" t="s">
        <v>87</v>
      </c>
      <c r="AN39" t="s">
        <v>87</v>
      </c>
      <c r="AO39" t="s">
        <v>87</v>
      </c>
      <c r="AP39" t="s">
        <v>87</v>
      </c>
      <c r="AQ39" t="s">
        <v>86</v>
      </c>
      <c r="AR39" t="s">
        <v>97</v>
      </c>
      <c r="AS39" t="s">
        <v>76</v>
      </c>
      <c r="AT39" t="s">
        <v>73</v>
      </c>
      <c r="AU39">
        <v>0</v>
      </c>
      <c r="AV39">
        <v>0</v>
      </c>
      <c r="AW39">
        <v>0</v>
      </c>
      <c r="AX39">
        <v>1</v>
      </c>
      <c r="AY39">
        <v>0</v>
      </c>
      <c r="AZ39" t="s">
        <v>580</v>
      </c>
    </row>
    <row r="40" spans="1:52" x14ac:dyDescent="0.2">
      <c r="A40">
        <v>1</v>
      </c>
      <c r="B40">
        <v>0</v>
      </c>
      <c r="C40">
        <v>0</v>
      </c>
      <c r="D40">
        <v>0</v>
      </c>
      <c r="E40">
        <v>1</v>
      </c>
      <c r="F40">
        <v>0</v>
      </c>
      <c r="G40">
        <v>0</v>
      </c>
      <c r="H40">
        <v>0</v>
      </c>
      <c r="I40">
        <v>0</v>
      </c>
      <c r="L40">
        <v>1</v>
      </c>
      <c r="M40">
        <v>0</v>
      </c>
      <c r="N40">
        <v>0</v>
      </c>
      <c r="O40">
        <v>0</v>
      </c>
      <c r="P40">
        <v>0</v>
      </c>
      <c r="Q40" t="s">
        <v>584</v>
      </c>
      <c r="R40">
        <v>0</v>
      </c>
      <c r="S40">
        <v>0</v>
      </c>
      <c r="T40">
        <v>1</v>
      </c>
      <c r="U40">
        <v>1</v>
      </c>
      <c r="V40">
        <v>0</v>
      </c>
      <c r="W40">
        <v>0</v>
      </c>
      <c r="X40">
        <v>0</v>
      </c>
      <c r="Y40">
        <v>0</v>
      </c>
      <c r="Z40">
        <v>0</v>
      </c>
      <c r="AL40" t="s">
        <v>107</v>
      </c>
      <c r="AM40" t="s">
        <v>87</v>
      </c>
      <c r="AN40" t="s">
        <v>87</v>
      </c>
      <c r="AO40" t="s">
        <v>74</v>
      </c>
      <c r="AP40" t="s">
        <v>87</v>
      </c>
      <c r="AQ40" t="s">
        <v>86</v>
      </c>
      <c r="AR40" t="s">
        <v>101</v>
      </c>
      <c r="AS40" t="s">
        <v>76</v>
      </c>
      <c r="AT40" t="s">
        <v>107</v>
      </c>
      <c r="AU40">
        <v>0</v>
      </c>
      <c r="AV40">
        <v>0</v>
      </c>
      <c r="AW40">
        <v>0</v>
      </c>
      <c r="AX40">
        <v>1</v>
      </c>
      <c r="AY40">
        <v>0</v>
      </c>
      <c r="AZ40" t="s">
        <v>580</v>
      </c>
    </row>
    <row r="41" spans="1:52" x14ac:dyDescent="0.2">
      <c r="A41">
        <v>1</v>
      </c>
      <c r="B41">
        <v>0</v>
      </c>
      <c r="C41">
        <v>0</v>
      </c>
      <c r="D41">
        <v>0</v>
      </c>
      <c r="E41">
        <v>1</v>
      </c>
      <c r="F41">
        <v>0</v>
      </c>
      <c r="G41">
        <v>0</v>
      </c>
      <c r="H41">
        <v>0</v>
      </c>
      <c r="I41">
        <v>0</v>
      </c>
      <c r="L41">
        <v>0</v>
      </c>
      <c r="M41">
        <v>1</v>
      </c>
      <c r="N41">
        <v>0</v>
      </c>
      <c r="O41">
        <v>0</v>
      </c>
      <c r="P41">
        <v>1</v>
      </c>
      <c r="Q41" t="s">
        <v>584</v>
      </c>
      <c r="AA41" t="s">
        <v>83</v>
      </c>
      <c r="AB41" t="s">
        <v>83</v>
      </c>
      <c r="AC41" t="s">
        <v>83</v>
      </c>
      <c r="AD41" t="s">
        <v>83</v>
      </c>
      <c r="AE41" t="s">
        <v>82</v>
      </c>
      <c r="AF41" t="s">
        <v>83</v>
      </c>
      <c r="AG41" t="s">
        <v>83</v>
      </c>
      <c r="AH41" t="s">
        <v>83</v>
      </c>
      <c r="AI41" t="s">
        <v>127</v>
      </c>
      <c r="AJ41" t="s">
        <v>127</v>
      </c>
      <c r="AL41" t="s">
        <v>96</v>
      </c>
      <c r="AM41" t="s">
        <v>74</v>
      </c>
      <c r="AR41" t="s">
        <v>97</v>
      </c>
      <c r="AS41" t="s">
        <v>76</v>
      </c>
      <c r="AT41" t="s">
        <v>96</v>
      </c>
      <c r="AU41">
        <v>0</v>
      </c>
      <c r="AV41">
        <v>0</v>
      </c>
      <c r="AW41">
        <v>0</v>
      </c>
      <c r="AX41">
        <v>1</v>
      </c>
      <c r="AY41">
        <v>0</v>
      </c>
      <c r="AZ41" t="s">
        <v>580</v>
      </c>
    </row>
    <row r="42" spans="1:52" x14ac:dyDescent="0.2">
      <c r="A42">
        <v>1</v>
      </c>
      <c r="B42">
        <v>0</v>
      </c>
      <c r="C42">
        <v>0</v>
      </c>
      <c r="D42">
        <v>0</v>
      </c>
      <c r="E42">
        <v>1</v>
      </c>
      <c r="F42">
        <v>0</v>
      </c>
      <c r="G42">
        <v>0</v>
      </c>
      <c r="H42">
        <v>0</v>
      </c>
      <c r="I42">
        <v>0</v>
      </c>
      <c r="L42">
        <v>1</v>
      </c>
      <c r="M42">
        <v>0</v>
      </c>
      <c r="N42">
        <v>0</v>
      </c>
      <c r="O42">
        <v>0</v>
      </c>
      <c r="P42">
        <v>0</v>
      </c>
      <c r="Q42" t="s">
        <v>584</v>
      </c>
      <c r="R42">
        <v>0</v>
      </c>
      <c r="S42">
        <v>1</v>
      </c>
      <c r="T42">
        <v>0</v>
      </c>
      <c r="U42">
        <v>0</v>
      </c>
      <c r="V42">
        <v>0</v>
      </c>
      <c r="W42">
        <v>0</v>
      </c>
      <c r="X42">
        <v>0</v>
      </c>
      <c r="Y42">
        <v>0</v>
      </c>
      <c r="Z42">
        <v>0</v>
      </c>
      <c r="AL42" t="s">
        <v>73</v>
      </c>
      <c r="AM42" t="s">
        <v>87</v>
      </c>
      <c r="AN42" t="s">
        <v>87</v>
      </c>
      <c r="AO42" t="s">
        <v>87</v>
      </c>
      <c r="AP42" t="s">
        <v>87</v>
      </c>
      <c r="AQ42" t="s">
        <v>87</v>
      </c>
      <c r="AR42" t="s">
        <v>108</v>
      </c>
      <c r="AS42" t="s">
        <v>76</v>
      </c>
      <c r="AT42" t="s">
        <v>73</v>
      </c>
      <c r="AU42">
        <v>0</v>
      </c>
      <c r="AV42">
        <v>0</v>
      </c>
      <c r="AW42">
        <v>0</v>
      </c>
      <c r="AX42">
        <v>1</v>
      </c>
      <c r="AY42">
        <v>0</v>
      </c>
      <c r="AZ42" t="s">
        <v>579</v>
      </c>
    </row>
    <row r="43" spans="1:52" x14ac:dyDescent="0.2">
      <c r="A43">
        <v>0</v>
      </c>
      <c r="B43">
        <v>1</v>
      </c>
      <c r="C43">
        <v>0</v>
      </c>
      <c r="D43">
        <v>0</v>
      </c>
      <c r="E43">
        <v>0</v>
      </c>
      <c r="F43">
        <v>1</v>
      </c>
      <c r="G43">
        <v>1</v>
      </c>
      <c r="H43">
        <v>1</v>
      </c>
      <c r="I43">
        <v>0</v>
      </c>
      <c r="J43" t="s">
        <v>88</v>
      </c>
      <c r="K43" t="s">
        <v>89</v>
      </c>
      <c r="L43">
        <v>0</v>
      </c>
      <c r="M43">
        <v>1</v>
      </c>
      <c r="N43">
        <v>0</v>
      </c>
      <c r="O43">
        <v>1</v>
      </c>
      <c r="P43">
        <v>1</v>
      </c>
      <c r="Q43" t="s">
        <v>584</v>
      </c>
      <c r="AA43" t="s">
        <v>83</v>
      </c>
      <c r="AB43" t="s">
        <v>82</v>
      </c>
      <c r="AC43" t="s">
        <v>82</v>
      </c>
      <c r="AD43" t="s">
        <v>81</v>
      </c>
      <c r="AE43" t="s">
        <v>81</v>
      </c>
      <c r="AF43" t="s">
        <v>90</v>
      </c>
      <c r="AG43" t="s">
        <v>83</v>
      </c>
      <c r="AH43" t="s">
        <v>83</v>
      </c>
      <c r="AI43" t="s">
        <v>88</v>
      </c>
      <c r="AJ43" t="s">
        <v>89</v>
      </c>
      <c r="AK43" t="s">
        <v>100</v>
      </c>
      <c r="AL43" t="s">
        <v>96</v>
      </c>
      <c r="AM43" t="s">
        <v>87</v>
      </c>
      <c r="AN43" t="s">
        <v>74</v>
      </c>
      <c r="AO43" t="s">
        <v>87</v>
      </c>
      <c r="AP43" t="s">
        <v>87</v>
      </c>
      <c r="AQ43" t="s">
        <v>86</v>
      </c>
      <c r="AR43" t="s">
        <v>75</v>
      </c>
      <c r="AS43" t="s">
        <v>76</v>
      </c>
      <c r="AT43" t="s">
        <v>96</v>
      </c>
      <c r="AU43">
        <v>0</v>
      </c>
      <c r="AV43">
        <v>0</v>
      </c>
      <c r="AW43">
        <v>0</v>
      </c>
      <c r="AX43">
        <v>1</v>
      </c>
      <c r="AY43">
        <v>0</v>
      </c>
      <c r="AZ43" t="s">
        <v>579</v>
      </c>
    </row>
    <row r="44" spans="1:52" x14ac:dyDescent="0.2">
      <c r="A44">
        <v>0</v>
      </c>
      <c r="B44">
        <v>1</v>
      </c>
      <c r="C44">
        <v>0</v>
      </c>
      <c r="D44">
        <v>0</v>
      </c>
      <c r="E44">
        <v>0</v>
      </c>
      <c r="F44">
        <v>1</v>
      </c>
      <c r="G44">
        <v>0</v>
      </c>
      <c r="H44">
        <v>1</v>
      </c>
      <c r="I44">
        <v>0</v>
      </c>
      <c r="J44" t="s">
        <v>88</v>
      </c>
      <c r="K44" t="s">
        <v>89</v>
      </c>
      <c r="L44">
        <v>0</v>
      </c>
      <c r="M44">
        <v>0</v>
      </c>
      <c r="N44">
        <v>0</v>
      </c>
      <c r="O44">
        <v>0</v>
      </c>
      <c r="P44">
        <v>1</v>
      </c>
      <c r="Q44" t="s">
        <v>584</v>
      </c>
      <c r="AA44" t="s">
        <v>81</v>
      </c>
      <c r="AB44" t="s">
        <v>82</v>
      </c>
      <c r="AC44" t="s">
        <v>81</v>
      </c>
      <c r="AD44" t="s">
        <v>83</v>
      </c>
      <c r="AE44" t="s">
        <v>82</v>
      </c>
      <c r="AF44" t="s">
        <v>83</v>
      </c>
      <c r="AG44" t="s">
        <v>83</v>
      </c>
      <c r="AH44" t="s">
        <v>83</v>
      </c>
      <c r="AI44" t="s">
        <v>88</v>
      </c>
      <c r="AJ44" t="s">
        <v>89</v>
      </c>
      <c r="AK44" t="s">
        <v>100</v>
      </c>
      <c r="AL44" t="s">
        <v>96</v>
      </c>
      <c r="AM44" t="s">
        <v>87</v>
      </c>
      <c r="AN44" t="s">
        <v>74</v>
      </c>
      <c r="AO44" t="s">
        <v>87</v>
      </c>
      <c r="AP44" t="s">
        <v>87</v>
      </c>
      <c r="AQ44" t="s">
        <v>86</v>
      </c>
      <c r="AR44" t="s">
        <v>97</v>
      </c>
      <c r="AS44" t="s">
        <v>76</v>
      </c>
      <c r="AT44" t="s">
        <v>96</v>
      </c>
      <c r="AU44">
        <v>0</v>
      </c>
      <c r="AV44">
        <v>0</v>
      </c>
      <c r="AW44">
        <v>0</v>
      </c>
      <c r="AX44">
        <v>1</v>
      </c>
      <c r="AY44">
        <v>0</v>
      </c>
      <c r="AZ44" t="s">
        <v>580</v>
      </c>
    </row>
    <row r="45" spans="1:52" x14ac:dyDescent="0.2">
      <c r="A45">
        <v>0</v>
      </c>
      <c r="B45">
        <v>1</v>
      </c>
      <c r="C45">
        <v>0</v>
      </c>
      <c r="D45">
        <v>0</v>
      </c>
      <c r="E45">
        <v>1</v>
      </c>
      <c r="F45">
        <v>0</v>
      </c>
      <c r="G45">
        <v>0</v>
      </c>
      <c r="H45">
        <v>0</v>
      </c>
      <c r="I45">
        <v>0</v>
      </c>
      <c r="L45">
        <v>0</v>
      </c>
      <c r="M45">
        <v>1</v>
      </c>
      <c r="N45">
        <v>0</v>
      </c>
      <c r="O45">
        <v>0</v>
      </c>
      <c r="P45">
        <v>0</v>
      </c>
      <c r="Q45" t="s">
        <v>584</v>
      </c>
      <c r="AA45" t="s">
        <v>83</v>
      </c>
      <c r="AB45" t="s">
        <v>82</v>
      </c>
      <c r="AC45" t="s">
        <v>82</v>
      </c>
      <c r="AD45" t="s">
        <v>81</v>
      </c>
      <c r="AE45" t="s">
        <v>81</v>
      </c>
      <c r="AF45" t="s">
        <v>83</v>
      </c>
      <c r="AG45" t="s">
        <v>83</v>
      </c>
      <c r="AH45" t="s">
        <v>83</v>
      </c>
      <c r="AI45" t="s">
        <v>88</v>
      </c>
      <c r="AJ45" t="s">
        <v>89</v>
      </c>
      <c r="AK45" t="s">
        <v>100</v>
      </c>
      <c r="AL45" t="s">
        <v>73</v>
      </c>
      <c r="AM45" t="s">
        <v>86</v>
      </c>
      <c r="AN45" t="s">
        <v>86</v>
      </c>
      <c r="AO45" t="s">
        <v>86</v>
      </c>
      <c r="AP45" t="s">
        <v>86</v>
      </c>
      <c r="AQ45" t="s">
        <v>86</v>
      </c>
      <c r="AR45" t="s">
        <v>75</v>
      </c>
      <c r="AS45" t="s">
        <v>76</v>
      </c>
      <c r="AT45" t="s">
        <v>73</v>
      </c>
      <c r="AU45">
        <v>0</v>
      </c>
      <c r="AV45">
        <v>0</v>
      </c>
      <c r="AW45">
        <v>0</v>
      </c>
      <c r="AX45">
        <v>1</v>
      </c>
      <c r="AY45">
        <v>0</v>
      </c>
      <c r="AZ45" t="s">
        <v>580</v>
      </c>
    </row>
    <row r="46" spans="1:52" x14ac:dyDescent="0.2">
      <c r="A46">
        <v>1</v>
      </c>
      <c r="B46">
        <v>0</v>
      </c>
      <c r="C46">
        <v>0</v>
      </c>
      <c r="D46">
        <v>0</v>
      </c>
      <c r="E46">
        <v>1</v>
      </c>
      <c r="F46">
        <v>0</v>
      </c>
      <c r="G46">
        <v>0</v>
      </c>
      <c r="H46">
        <v>0</v>
      </c>
      <c r="I46">
        <v>0</v>
      </c>
      <c r="L46">
        <v>0</v>
      </c>
      <c r="M46">
        <v>0</v>
      </c>
      <c r="N46">
        <v>0</v>
      </c>
      <c r="O46">
        <v>0</v>
      </c>
      <c r="P46">
        <v>0</v>
      </c>
      <c r="Q46" t="s">
        <v>585</v>
      </c>
      <c r="AA46" t="s">
        <v>83</v>
      </c>
      <c r="AB46" t="s">
        <v>82</v>
      </c>
      <c r="AC46" t="s">
        <v>83</v>
      </c>
      <c r="AD46" t="s">
        <v>83</v>
      </c>
      <c r="AE46" t="s">
        <v>83</v>
      </c>
      <c r="AF46" t="s">
        <v>83</v>
      </c>
      <c r="AG46" t="s">
        <v>83</v>
      </c>
      <c r="AH46" t="s">
        <v>83</v>
      </c>
      <c r="AI46" t="s">
        <v>135</v>
      </c>
      <c r="AJ46" t="s">
        <v>80</v>
      </c>
      <c r="AK46" t="s">
        <v>117</v>
      </c>
      <c r="AL46" t="s">
        <v>120</v>
      </c>
      <c r="AM46" t="s">
        <v>87</v>
      </c>
      <c r="AN46" t="s">
        <v>87</v>
      </c>
      <c r="AO46" t="s">
        <v>87</v>
      </c>
      <c r="AP46" t="s">
        <v>87</v>
      </c>
      <c r="AQ46" t="s">
        <v>87</v>
      </c>
      <c r="AR46" t="s">
        <v>108</v>
      </c>
      <c r="AS46" t="s">
        <v>76</v>
      </c>
      <c r="AT46" t="s">
        <v>120</v>
      </c>
      <c r="AU46">
        <v>0</v>
      </c>
      <c r="AV46">
        <v>0</v>
      </c>
      <c r="AW46">
        <v>0</v>
      </c>
      <c r="AX46">
        <v>1</v>
      </c>
      <c r="AY46">
        <v>0</v>
      </c>
      <c r="AZ46" t="s">
        <v>580</v>
      </c>
    </row>
    <row r="47" spans="1:52" x14ac:dyDescent="0.2">
      <c r="A47">
        <v>1</v>
      </c>
      <c r="B47">
        <v>0</v>
      </c>
      <c r="C47">
        <v>0</v>
      </c>
      <c r="D47">
        <v>0</v>
      </c>
      <c r="E47">
        <v>0</v>
      </c>
      <c r="F47">
        <v>1</v>
      </c>
      <c r="G47">
        <v>0</v>
      </c>
      <c r="H47">
        <v>0</v>
      </c>
      <c r="I47">
        <v>0</v>
      </c>
      <c r="J47" t="s">
        <v>88</v>
      </c>
      <c r="K47" t="s">
        <v>80</v>
      </c>
      <c r="L47">
        <v>0</v>
      </c>
      <c r="M47">
        <v>0</v>
      </c>
      <c r="N47">
        <v>1</v>
      </c>
      <c r="O47">
        <v>0</v>
      </c>
      <c r="P47">
        <v>0</v>
      </c>
      <c r="Q47" t="s">
        <v>584</v>
      </c>
      <c r="AA47" t="s">
        <v>83</v>
      </c>
      <c r="AB47" t="s">
        <v>82</v>
      </c>
      <c r="AC47" t="s">
        <v>90</v>
      </c>
      <c r="AD47" t="s">
        <v>90</v>
      </c>
      <c r="AE47" t="s">
        <v>82</v>
      </c>
      <c r="AF47" t="s">
        <v>83</v>
      </c>
      <c r="AG47" t="s">
        <v>81</v>
      </c>
      <c r="AH47" t="s">
        <v>83</v>
      </c>
      <c r="AI47" t="s">
        <v>88</v>
      </c>
      <c r="AJ47" t="s">
        <v>89</v>
      </c>
      <c r="AK47" t="s">
        <v>100</v>
      </c>
      <c r="AL47" t="s">
        <v>73</v>
      </c>
      <c r="AM47" t="s">
        <v>87</v>
      </c>
      <c r="AN47" t="s">
        <v>74</v>
      </c>
      <c r="AO47" t="s">
        <v>87</v>
      </c>
      <c r="AP47" t="s">
        <v>74</v>
      </c>
      <c r="AQ47" t="s">
        <v>86</v>
      </c>
      <c r="AR47" t="s">
        <v>97</v>
      </c>
      <c r="AS47" t="s">
        <v>76</v>
      </c>
      <c r="AT47" t="s">
        <v>73</v>
      </c>
      <c r="AU47">
        <v>1</v>
      </c>
      <c r="AV47">
        <v>0</v>
      </c>
      <c r="AW47">
        <v>0</v>
      </c>
      <c r="AX47">
        <v>0</v>
      </c>
      <c r="AY47">
        <v>0</v>
      </c>
      <c r="AZ47" t="s">
        <v>580</v>
      </c>
    </row>
    <row r="48" spans="1:52" x14ac:dyDescent="0.2">
      <c r="A48">
        <v>0</v>
      </c>
      <c r="B48">
        <v>1</v>
      </c>
      <c r="C48">
        <v>0</v>
      </c>
      <c r="D48">
        <v>0</v>
      </c>
      <c r="E48">
        <v>0</v>
      </c>
      <c r="F48">
        <v>0</v>
      </c>
      <c r="G48">
        <v>0</v>
      </c>
      <c r="H48">
        <v>0</v>
      </c>
      <c r="I48">
        <v>1</v>
      </c>
      <c r="J48" t="s">
        <v>79</v>
      </c>
      <c r="K48" t="s">
        <v>89</v>
      </c>
      <c r="L48">
        <v>1</v>
      </c>
      <c r="M48">
        <v>0</v>
      </c>
      <c r="N48">
        <v>0</v>
      </c>
      <c r="O48">
        <v>0</v>
      </c>
      <c r="P48">
        <v>0</v>
      </c>
      <c r="Q48" t="s">
        <v>584</v>
      </c>
      <c r="R48">
        <v>0</v>
      </c>
      <c r="S48">
        <v>1</v>
      </c>
      <c r="T48">
        <v>0</v>
      </c>
      <c r="U48">
        <v>0</v>
      </c>
      <c r="V48">
        <v>0</v>
      </c>
      <c r="W48">
        <v>0</v>
      </c>
      <c r="X48">
        <v>0</v>
      </c>
      <c r="Y48">
        <v>0</v>
      </c>
      <c r="Z48">
        <v>0</v>
      </c>
      <c r="AL48" t="s">
        <v>73</v>
      </c>
      <c r="AM48" t="s">
        <v>87</v>
      </c>
      <c r="AN48" t="s">
        <v>87</v>
      </c>
      <c r="AO48" t="s">
        <v>87</v>
      </c>
      <c r="AP48" t="s">
        <v>87</v>
      </c>
      <c r="AQ48" t="s">
        <v>86</v>
      </c>
      <c r="AR48" t="s">
        <v>101</v>
      </c>
      <c r="AS48" t="s">
        <v>76</v>
      </c>
      <c r="AT48" t="s">
        <v>73</v>
      </c>
      <c r="AU48">
        <v>0</v>
      </c>
      <c r="AV48">
        <v>0</v>
      </c>
      <c r="AW48">
        <v>0</v>
      </c>
      <c r="AX48">
        <v>0</v>
      </c>
      <c r="AY48">
        <v>1</v>
      </c>
      <c r="AZ48" t="s">
        <v>579</v>
      </c>
    </row>
    <row r="49" spans="1:52" x14ac:dyDescent="0.2">
      <c r="A49">
        <v>1</v>
      </c>
      <c r="B49">
        <v>0</v>
      </c>
      <c r="C49">
        <v>0</v>
      </c>
      <c r="D49">
        <v>0</v>
      </c>
      <c r="E49">
        <v>0</v>
      </c>
      <c r="F49">
        <v>1</v>
      </c>
      <c r="G49">
        <v>0</v>
      </c>
      <c r="H49">
        <v>0</v>
      </c>
      <c r="I49">
        <v>0</v>
      </c>
      <c r="J49" t="s">
        <v>135</v>
      </c>
      <c r="K49" t="s">
        <v>142</v>
      </c>
      <c r="L49">
        <v>0</v>
      </c>
      <c r="M49">
        <v>1</v>
      </c>
      <c r="N49">
        <v>0</v>
      </c>
      <c r="O49">
        <v>0</v>
      </c>
      <c r="P49">
        <v>0</v>
      </c>
      <c r="Q49" t="s">
        <v>584</v>
      </c>
      <c r="AA49" t="s">
        <v>83</v>
      </c>
      <c r="AB49" t="s">
        <v>82</v>
      </c>
      <c r="AC49" t="s">
        <v>83</v>
      </c>
      <c r="AD49" t="s">
        <v>83</v>
      </c>
      <c r="AE49" t="s">
        <v>83</v>
      </c>
      <c r="AF49" t="s">
        <v>83</v>
      </c>
      <c r="AG49" t="s">
        <v>83</v>
      </c>
      <c r="AH49" t="s">
        <v>83</v>
      </c>
      <c r="AI49" t="s">
        <v>135</v>
      </c>
      <c r="AJ49" t="s">
        <v>127</v>
      </c>
      <c r="AK49" t="s">
        <v>85</v>
      </c>
      <c r="AL49" t="s">
        <v>73</v>
      </c>
      <c r="AM49" t="s">
        <v>87</v>
      </c>
      <c r="AN49" t="s">
        <v>87</v>
      </c>
      <c r="AO49" t="s">
        <v>87</v>
      </c>
      <c r="AP49" t="s">
        <v>87</v>
      </c>
      <c r="AQ49" t="s">
        <v>87</v>
      </c>
      <c r="AR49" t="s">
        <v>97</v>
      </c>
      <c r="AS49" t="s">
        <v>76</v>
      </c>
      <c r="AT49" t="s">
        <v>73</v>
      </c>
      <c r="AU49">
        <v>0</v>
      </c>
      <c r="AV49">
        <v>0</v>
      </c>
      <c r="AW49">
        <v>0</v>
      </c>
      <c r="AX49">
        <v>1</v>
      </c>
      <c r="AY49">
        <v>0</v>
      </c>
      <c r="AZ49" t="s">
        <v>580</v>
      </c>
    </row>
    <row r="50" spans="1:52" x14ac:dyDescent="0.2">
      <c r="A50">
        <v>0</v>
      </c>
      <c r="B50">
        <v>1</v>
      </c>
      <c r="C50">
        <v>0</v>
      </c>
      <c r="D50">
        <v>0</v>
      </c>
      <c r="E50">
        <v>0</v>
      </c>
      <c r="F50">
        <v>1</v>
      </c>
      <c r="G50">
        <v>0</v>
      </c>
      <c r="H50">
        <v>1</v>
      </c>
      <c r="I50">
        <v>0</v>
      </c>
      <c r="J50" t="s">
        <v>88</v>
      </c>
      <c r="K50" t="s">
        <v>89</v>
      </c>
      <c r="L50">
        <v>0</v>
      </c>
      <c r="M50">
        <v>1</v>
      </c>
      <c r="N50">
        <v>0</v>
      </c>
      <c r="O50">
        <v>0</v>
      </c>
      <c r="P50">
        <v>0</v>
      </c>
      <c r="Q50" t="s">
        <v>584</v>
      </c>
      <c r="AA50" t="s">
        <v>90</v>
      </c>
      <c r="AB50" t="s">
        <v>82</v>
      </c>
      <c r="AC50" t="s">
        <v>81</v>
      </c>
      <c r="AD50" t="s">
        <v>83</v>
      </c>
      <c r="AE50" t="s">
        <v>83</v>
      </c>
      <c r="AF50" t="s">
        <v>90</v>
      </c>
      <c r="AG50" t="s">
        <v>83</v>
      </c>
      <c r="AH50" t="s">
        <v>90</v>
      </c>
      <c r="AI50" t="s">
        <v>88</v>
      </c>
      <c r="AJ50" t="s">
        <v>89</v>
      </c>
      <c r="AK50" t="s">
        <v>100</v>
      </c>
      <c r="AL50" t="s">
        <v>107</v>
      </c>
      <c r="AM50" t="s">
        <v>86</v>
      </c>
      <c r="AN50" t="s">
        <v>87</v>
      </c>
      <c r="AO50" t="s">
        <v>87</v>
      </c>
      <c r="AP50" t="s">
        <v>87</v>
      </c>
      <c r="AQ50" t="s">
        <v>86</v>
      </c>
      <c r="AR50" t="s">
        <v>97</v>
      </c>
      <c r="AS50" t="s">
        <v>76</v>
      </c>
      <c r="AT50" t="s">
        <v>107</v>
      </c>
      <c r="AU50">
        <v>0</v>
      </c>
      <c r="AV50">
        <v>0</v>
      </c>
      <c r="AW50">
        <v>0</v>
      </c>
      <c r="AX50">
        <v>1</v>
      </c>
      <c r="AY50">
        <v>0</v>
      </c>
      <c r="AZ50" t="s">
        <v>580</v>
      </c>
    </row>
    <row r="51" spans="1:52" x14ac:dyDescent="0.2">
      <c r="A51">
        <v>0</v>
      </c>
      <c r="B51">
        <v>1</v>
      </c>
      <c r="C51">
        <v>0</v>
      </c>
      <c r="D51">
        <v>0</v>
      </c>
      <c r="E51">
        <v>0</v>
      </c>
      <c r="F51">
        <v>1</v>
      </c>
      <c r="G51">
        <v>0</v>
      </c>
      <c r="H51">
        <v>1</v>
      </c>
      <c r="I51">
        <v>0</v>
      </c>
      <c r="J51" t="s">
        <v>135</v>
      </c>
      <c r="K51" t="s">
        <v>89</v>
      </c>
      <c r="L51">
        <v>0</v>
      </c>
      <c r="M51">
        <v>0</v>
      </c>
      <c r="N51">
        <v>0</v>
      </c>
      <c r="O51">
        <v>0</v>
      </c>
      <c r="P51">
        <v>0</v>
      </c>
      <c r="Q51" t="s">
        <v>585</v>
      </c>
      <c r="AA51" t="s">
        <v>83</v>
      </c>
      <c r="AB51" t="s">
        <v>82</v>
      </c>
      <c r="AC51" t="s">
        <v>81</v>
      </c>
      <c r="AD51" t="s">
        <v>81</v>
      </c>
      <c r="AE51" t="s">
        <v>90</v>
      </c>
      <c r="AF51" t="s">
        <v>90</v>
      </c>
      <c r="AG51" t="s">
        <v>81</v>
      </c>
      <c r="AH51" t="s">
        <v>90</v>
      </c>
      <c r="AI51" t="s">
        <v>88</v>
      </c>
      <c r="AJ51" t="s">
        <v>89</v>
      </c>
      <c r="AK51" t="s">
        <v>100</v>
      </c>
      <c r="AL51" t="s">
        <v>120</v>
      </c>
      <c r="AM51" t="s">
        <v>87</v>
      </c>
      <c r="AN51" t="s">
        <v>87</v>
      </c>
      <c r="AO51" t="s">
        <v>86</v>
      </c>
      <c r="AP51" t="s">
        <v>87</v>
      </c>
      <c r="AQ51" t="s">
        <v>87</v>
      </c>
      <c r="AR51" t="s">
        <v>101</v>
      </c>
      <c r="AS51" t="s">
        <v>76</v>
      </c>
      <c r="AT51" t="s">
        <v>120</v>
      </c>
      <c r="AU51">
        <v>0</v>
      </c>
      <c r="AV51">
        <v>0</v>
      </c>
      <c r="AW51">
        <v>0</v>
      </c>
      <c r="AX51">
        <v>1</v>
      </c>
      <c r="AY51">
        <v>0</v>
      </c>
      <c r="AZ51" t="s">
        <v>580</v>
      </c>
    </row>
    <row r="52" spans="1:52" x14ac:dyDescent="0.2">
      <c r="A52">
        <v>0</v>
      </c>
      <c r="B52">
        <v>1</v>
      </c>
      <c r="C52">
        <v>0</v>
      </c>
      <c r="D52">
        <v>0</v>
      </c>
      <c r="E52">
        <v>0</v>
      </c>
      <c r="F52">
        <v>0</v>
      </c>
      <c r="G52">
        <v>0</v>
      </c>
      <c r="H52">
        <v>0</v>
      </c>
      <c r="I52">
        <v>1</v>
      </c>
      <c r="J52" t="s">
        <v>79</v>
      </c>
      <c r="K52" t="s">
        <v>80</v>
      </c>
      <c r="L52">
        <v>1</v>
      </c>
      <c r="M52">
        <v>0</v>
      </c>
      <c r="N52">
        <v>0</v>
      </c>
      <c r="O52">
        <v>0</v>
      </c>
      <c r="P52">
        <v>0</v>
      </c>
      <c r="Q52" t="s">
        <v>584</v>
      </c>
      <c r="R52">
        <v>0</v>
      </c>
      <c r="S52">
        <v>0</v>
      </c>
      <c r="T52">
        <v>1</v>
      </c>
      <c r="U52">
        <v>0</v>
      </c>
      <c r="V52">
        <v>0</v>
      </c>
      <c r="W52">
        <v>0</v>
      </c>
      <c r="X52">
        <v>0</v>
      </c>
      <c r="Y52">
        <v>0</v>
      </c>
      <c r="Z52">
        <v>0</v>
      </c>
      <c r="AL52" t="s">
        <v>107</v>
      </c>
      <c r="AM52" t="s">
        <v>86</v>
      </c>
      <c r="AN52" t="s">
        <v>86</v>
      </c>
      <c r="AO52" t="s">
        <v>86</v>
      </c>
      <c r="AP52" t="s">
        <v>86</v>
      </c>
      <c r="AQ52" t="s">
        <v>86</v>
      </c>
      <c r="AR52" t="s">
        <v>75</v>
      </c>
      <c r="AS52" t="s">
        <v>76</v>
      </c>
      <c r="AT52" t="s">
        <v>107</v>
      </c>
      <c r="AU52">
        <v>1</v>
      </c>
      <c r="AV52">
        <v>0</v>
      </c>
      <c r="AW52">
        <v>0</v>
      </c>
      <c r="AX52">
        <v>0</v>
      </c>
      <c r="AY52">
        <v>0</v>
      </c>
      <c r="AZ52" t="s">
        <v>580</v>
      </c>
    </row>
    <row r="53" spans="1:52" x14ac:dyDescent="0.2">
      <c r="A53">
        <v>1</v>
      </c>
      <c r="B53">
        <v>0</v>
      </c>
      <c r="C53">
        <v>0</v>
      </c>
      <c r="D53">
        <v>0</v>
      </c>
      <c r="E53">
        <v>1</v>
      </c>
      <c r="F53">
        <v>0</v>
      </c>
      <c r="G53">
        <v>0</v>
      </c>
      <c r="H53">
        <v>0</v>
      </c>
      <c r="I53">
        <v>0</v>
      </c>
      <c r="L53">
        <v>1</v>
      </c>
      <c r="M53">
        <v>0</v>
      </c>
      <c r="N53">
        <v>0</v>
      </c>
      <c r="O53">
        <v>0</v>
      </c>
      <c r="P53">
        <v>0</v>
      </c>
      <c r="Q53" t="s">
        <v>584</v>
      </c>
      <c r="R53">
        <v>0</v>
      </c>
      <c r="S53">
        <v>1</v>
      </c>
      <c r="T53">
        <v>0</v>
      </c>
      <c r="U53">
        <v>0</v>
      </c>
      <c r="V53">
        <v>0</v>
      </c>
      <c r="W53">
        <v>0</v>
      </c>
      <c r="X53">
        <v>0</v>
      </c>
      <c r="Y53">
        <v>0</v>
      </c>
      <c r="Z53">
        <v>0</v>
      </c>
      <c r="AL53" t="s">
        <v>73</v>
      </c>
      <c r="AM53" t="s">
        <v>86</v>
      </c>
      <c r="AN53" t="s">
        <v>74</v>
      </c>
      <c r="AO53" t="s">
        <v>86</v>
      </c>
      <c r="AP53" t="s">
        <v>86</v>
      </c>
      <c r="AQ53" t="s">
        <v>86</v>
      </c>
      <c r="AR53" t="s">
        <v>75</v>
      </c>
      <c r="AS53" t="s">
        <v>76</v>
      </c>
      <c r="AT53" t="s">
        <v>73</v>
      </c>
      <c r="AU53">
        <v>0</v>
      </c>
      <c r="AV53">
        <v>0</v>
      </c>
      <c r="AW53">
        <v>0</v>
      </c>
      <c r="AX53">
        <v>1</v>
      </c>
      <c r="AY53">
        <v>0</v>
      </c>
      <c r="AZ53" t="s">
        <v>579</v>
      </c>
    </row>
    <row r="54" spans="1:52" x14ac:dyDescent="0.2">
      <c r="A54">
        <v>1</v>
      </c>
      <c r="B54">
        <v>0</v>
      </c>
      <c r="C54">
        <v>0</v>
      </c>
      <c r="D54">
        <v>0</v>
      </c>
      <c r="E54">
        <v>0</v>
      </c>
      <c r="F54">
        <v>1</v>
      </c>
      <c r="G54">
        <v>0</v>
      </c>
      <c r="H54">
        <v>0</v>
      </c>
      <c r="I54">
        <v>0</v>
      </c>
      <c r="J54" t="s">
        <v>88</v>
      </c>
      <c r="K54" t="s">
        <v>89</v>
      </c>
      <c r="L54">
        <v>0</v>
      </c>
      <c r="M54">
        <v>0</v>
      </c>
      <c r="N54">
        <v>1</v>
      </c>
      <c r="O54">
        <v>0</v>
      </c>
      <c r="P54">
        <v>0</v>
      </c>
      <c r="Q54" t="s">
        <v>584</v>
      </c>
      <c r="AA54" t="s">
        <v>81</v>
      </c>
      <c r="AB54" t="s">
        <v>81</v>
      </c>
      <c r="AC54" t="s">
        <v>83</v>
      </c>
      <c r="AD54" t="s">
        <v>82</v>
      </c>
      <c r="AE54" t="s">
        <v>82</v>
      </c>
      <c r="AF54" t="s">
        <v>83</v>
      </c>
      <c r="AG54" t="s">
        <v>83</v>
      </c>
      <c r="AH54" t="s">
        <v>83</v>
      </c>
      <c r="AI54" t="s">
        <v>88</v>
      </c>
      <c r="AJ54" t="s">
        <v>89</v>
      </c>
      <c r="AK54" t="s">
        <v>85</v>
      </c>
      <c r="AL54" t="s">
        <v>107</v>
      </c>
      <c r="AM54" t="s">
        <v>86</v>
      </c>
      <c r="AN54" t="s">
        <v>87</v>
      </c>
      <c r="AO54" t="s">
        <v>87</v>
      </c>
      <c r="AP54" t="s">
        <v>74</v>
      </c>
      <c r="AQ54" t="s">
        <v>86</v>
      </c>
      <c r="AR54" t="s">
        <v>101</v>
      </c>
      <c r="AS54" t="s">
        <v>76</v>
      </c>
      <c r="AT54" t="s">
        <v>107</v>
      </c>
      <c r="AU54">
        <v>0</v>
      </c>
      <c r="AV54">
        <v>0</v>
      </c>
      <c r="AW54">
        <v>0</v>
      </c>
      <c r="AX54">
        <v>1</v>
      </c>
      <c r="AY54">
        <v>0</v>
      </c>
      <c r="AZ54" t="s">
        <v>580</v>
      </c>
    </row>
    <row r="55" spans="1:52" x14ac:dyDescent="0.2">
      <c r="A55">
        <v>1</v>
      </c>
      <c r="B55">
        <v>0</v>
      </c>
      <c r="C55">
        <v>0</v>
      </c>
      <c r="D55">
        <v>0</v>
      </c>
      <c r="E55">
        <v>1</v>
      </c>
      <c r="F55">
        <v>0</v>
      </c>
      <c r="G55">
        <v>0</v>
      </c>
      <c r="H55">
        <v>0</v>
      </c>
      <c r="I55">
        <v>0</v>
      </c>
      <c r="L55">
        <v>0</v>
      </c>
      <c r="M55">
        <v>0</v>
      </c>
      <c r="N55">
        <v>1</v>
      </c>
      <c r="O55">
        <v>0</v>
      </c>
      <c r="P55">
        <v>0</v>
      </c>
      <c r="Q55" t="s">
        <v>584</v>
      </c>
      <c r="AA55" t="s">
        <v>83</v>
      </c>
      <c r="AB55" t="s">
        <v>81</v>
      </c>
      <c r="AC55" t="s">
        <v>83</v>
      </c>
      <c r="AD55" t="s">
        <v>81</v>
      </c>
      <c r="AE55" t="s">
        <v>81</v>
      </c>
      <c r="AF55" t="s">
        <v>83</v>
      </c>
      <c r="AG55" t="s">
        <v>83</v>
      </c>
      <c r="AH55" t="s">
        <v>83</v>
      </c>
      <c r="AI55" t="s">
        <v>88</v>
      </c>
      <c r="AJ55" t="s">
        <v>89</v>
      </c>
      <c r="AK55" t="s">
        <v>85</v>
      </c>
      <c r="AL55" t="s">
        <v>73</v>
      </c>
      <c r="AM55" t="s">
        <v>86</v>
      </c>
      <c r="AN55" t="s">
        <v>87</v>
      </c>
      <c r="AO55" t="s">
        <v>87</v>
      </c>
      <c r="AP55" t="s">
        <v>86</v>
      </c>
      <c r="AQ55" t="s">
        <v>74</v>
      </c>
      <c r="AR55" t="s">
        <v>75</v>
      </c>
      <c r="AS55" t="s">
        <v>76</v>
      </c>
      <c r="AT55" t="s">
        <v>73</v>
      </c>
      <c r="AU55">
        <v>0</v>
      </c>
      <c r="AV55">
        <v>0</v>
      </c>
      <c r="AW55">
        <v>0</v>
      </c>
      <c r="AX55">
        <v>1</v>
      </c>
      <c r="AY55">
        <v>0</v>
      </c>
      <c r="AZ55" t="s">
        <v>580</v>
      </c>
    </row>
    <row r="56" spans="1:52" x14ac:dyDescent="0.2">
      <c r="A56">
        <v>1</v>
      </c>
      <c r="B56">
        <v>0</v>
      </c>
      <c r="C56">
        <v>0</v>
      </c>
      <c r="D56">
        <v>0</v>
      </c>
      <c r="E56">
        <v>0</v>
      </c>
      <c r="F56">
        <v>1</v>
      </c>
      <c r="G56">
        <v>0</v>
      </c>
      <c r="H56">
        <v>1</v>
      </c>
      <c r="I56">
        <v>1</v>
      </c>
      <c r="J56" t="s">
        <v>79</v>
      </c>
      <c r="K56" t="s">
        <v>80</v>
      </c>
      <c r="L56">
        <v>0</v>
      </c>
      <c r="M56">
        <v>1</v>
      </c>
      <c r="N56">
        <v>0</v>
      </c>
      <c r="O56">
        <v>0</v>
      </c>
      <c r="P56">
        <v>0</v>
      </c>
      <c r="Q56" t="s">
        <v>584</v>
      </c>
      <c r="AA56" t="s">
        <v>90</v>
      </c>
      <c r="AB56" t="s">
        <v>81</v>
      </c>
      <c r="AC56" t="s">
        <v>82</v>
      </c>
      <c r="AD56" t="s">
        <v>83</v>
      </c>
      <c r="AE56" t="s">
        <v>81</v>
      </c>
      <c r="AF56" t="s">
        <v>90</v>
      </c>
      <c r="AG56" t="s">
        <v>90</v>
      </c>
      <c r="AH56" t="s">
        <v>83</v>
      </c>
      <c r="AI56" t="s">
        <v>84</v>
      </c>
      <c r="AJ56" t="s">
        <v>80</v>
      </c>
      <c r="AK56" t="s">
        <v>100</v>
      </c>
      <c r="AL56" t="s">
        <v>73</v>
      </c>
      <c r="AM56" t="s">
        <v>87</v>
      </c>
      <c r="AN56" t="s">
        <v>87</v>
      </c>
      <c r="AO56" t="s">
        <v>87</v>
      </c>
      <c r="AP56" t="s">
        <v>86</v>
      </c>
      <c r="AQ56" t="s">
        <v>87</v>
      </c>
      <c r="AR56" t="s">
        <v>75</v>
      </c>
      <c r="AS56" t="s">
        <v>76</v>
      </c>
      <c r="AT56" t="s">
        <v>73</v>
      </c>
      <c r="AU56">
        <v>0</v>
      </c>
      <c r="AV56">
        <v>0</v>
      </c>
      <c r="AW56">
        <v>0</v>
      </c>
      <c r="AX56">
        <v>1</v>
      </c>
      <c r="AY56">
        <v>0</v>
      </c>
      <c r="AZ56" t="s">
        <v>579</v>
      </c>
    </row>
    <row r="57" spans="1:52" x14ac:dyDescent="0.2">
      <c r="A57">
        <v>1</v>
      </c>
      <c r="B57">
        <v>0</v>
      </c>
      <c r="C57">
        <v>0</v>
      </c>
      <c r="D57">
        <v>0</v>
      </c>
      <c r="E57">
        <v>1</v>
      </c>
      <c r="F57">
        <v>0</v>
      </c>
      <c r="G57">
        <v>0</v>
      </c>
      <c r="H57">
        <v>0</v>
      </c>
      <c r="I57">
        <v>0</v>
      </c>
      <c r="L57">
        <v>0</v>
      </c>
      <c r="M57">
        <v>0</v>
      </c>
      <c r="N57">
        <v>1</v>
      </c>
      <c r="O57">
        <v>0</v>
      </c>
      <c r="P57">
        <v>0</v>
      </c>
      <c r="Q57" t="s">
        <v>584</v>
      </c>
      <c r="AA57" t="s">
        <v>83</v>
      </c>
      <c r="AB57" t="s">
        <v>83</v>
      </c>
      <c r="AC57" t="s">
        <v>83</v>
      </c>
      <c r="AD57" t="s">
        <v>83</v>
      </c>
      <c r="AE57" t="s">
        <v>82</v>
      </c>
      <c r="AF57" t="s">
        <v>82</v>
      </c>
      <c r="AG57" t="s">
        <v>82</v>
      </c>
      <c r="AH57" t="s">
        <v>83</v>
      </c>
      <c r="AI57" t="s">
        <v>127</v>
      </c>
      <c r="AJ57" t="s">
        <v>127</v>
      </c>
      <c r="AL57" t="s">
        <v>73</v>
      </c>
      <c r="AM57" t="s">
        <v>74</v>
      </c>
      <c r="AR57" t="s">
        <v>75</v>
      </c>
      <c r="AS57" t="s">
        <v>76</v>
      </c>
      <c r="AT57" t="s">
        <v>73</v>
      </c>
      <c r="AU57">
        <v>0</v>
      </c>
      <c r="AV57">
        <v>0</v>
      </c>
      <c r="AW57">
        <v>0</v>
      </c>
      <c r="AX57">
        <v>1</v>
      </c>
      <c r="AY57">
        <v>0</v>
      </c>
      <c r="AZ57" t="s">
        <v>580</v>
      </c>
    </row>
    <row r="58" spans="1:52" x14ac:dyDescent="0.2">
      <c r="A58">
        <v>1</v>
      </c>
      <c r="B58">
        <v>0</v>
      </c>
      <c r="C58">
        <v>0</v>
      </c>
      <c r="D58">
        <v>0</v>
      </c>
      <c r="E58">
        <v>0</v>
      </c>
      <c r="F58">
        <v>0</v>
      </c>
      <c r="G58">
        <v>0</v>
      </c>
      <c r="H58">
        <v>0</v>
      </c>
      <c r="I58">
        <v>1</v>
      </c>
      <c r="J58" t="s">
        <v>88</v>
      </c>
      <c r="K58" t="s">
        <v>89</v>
      </c>
      <c r="L58">
        <v>0</v>
      </c>
      <c r="M58">
        <v>1</v>
      </c>
      <c r="N58">
        <v>0</v>
      </c>
      <c r="O58">
        <v>0</v>
      </c>
      <c r="P58">
        <v>0</v>
      </c>
      <c r="Q58" t="s">
        <v>584</v>
      </c>
      <c r="AA58" t="s">
        <v>90</v>
      </c>
      <c r="AB58" t="s">
        <v>82</v>
      </c>
      <c r="AC58" t="s">
        <v>81</v>
      </c>
      <c r="AD58" t="s">
        <v>90</v>
      </c>
      <c r="AE58" t="s">
        <v>90</v>
      </c>
      <c r="AF58" t="s">
        <v>90</v>
      </c>
      <c r="AG58" t="s">
        <v>90</v>
      </c>
      <c r="AH58" t="s">
        <v>83</v>
      </c>
      <c r="AI58" t="s">
        <v>88</v>
      </c>
      <c r="AJ58" t="s">
        <v>89</v>
      </c>
      <c r="AK58" t="s">
        <v>100</v>
      </c>
      <c r="AL58" t="s">
        <v>73</v>
      </c>
      <c r="AM58" t="s">
        <v>86</v>
      </c>
      <c r="AN58" t="s">
        <v>86</v>
      </c>
      <c r="AO58" t="s">
        <v>86</v>
      </c>
      <c r="AP58" t="s">
        <v>86</v>
      </c>
      <c r="AQ58" t="s">
        <v>86</v>
      </c>
      <c r="AR58" t="s">
        <v>75</v>
      </c>
      <c r="AS58" t="s">
        <v>76</v>
      </c>
      <c r="AT58" t="s">
        <v>73</v>
      </c>
      <c r="AU58">
        <v>0</v>
      </c>
      <c r="AV58">
        <v>0</v>
      </c>
      <c r="AW58">
        <v>0</v>
      </c>
      <c r="AX58">
        <v>1</v>
      </c>
      <c r="AY58">
        <v>0</v>
      </c>
      <c r="AZ58" t="s">
        <v>579</v>
      </c>
    </row>
    <row r="59" spans="1:52" x14ac:dyDescent="0.2">
      <c r="A59">
        <v>1</v>
      </c>
      <c r="B59">
        <v>0</v>
      </c>
      <c r="C59">
        <v>0</v>
      </c>
      <c r="D59">
        <v>0</v>
      </c>
      <c r="E59">
        <v>0</v>
      </c>
      <c r="F59">
        <v>0</v>
      </c>
      <c r="G59">
        <v>0</v>
      </c>
      <c r="H59">
        <v>0</v>
      </c>
      <c r="I59">
        <v>1</v>
      </c>
      <c r="J59" t="s">
        <v>79</v>
      </c>
      <c r="K59" t="s">
        <v>127</v>
      </c>
      <c r="L59">
        <v>0</v>
      </c>
      <c r="M59">
        <v>1</v>
      </c>
      <c r="N59">
        <v>0</v>
      </c>
      <c r="O59">
        <v>0</v>
      </c>
      <c r="P59">
        <v>0</v>
      </c>
      <c r="Q59" t="s">
        <v>584</v>
      </c>
      <c r="AA59" t="s">
        <v>83</v>
      </c>
      <c r="AB59" t="s">
        <v>82</v>
      </c>
      <c r="AC59" t="s">
        <v>83</v>
      </c>
      <c r="AD59" t="s">
        <v>83</v>
      </c>
      <c r="AE59" t="s">
        <v>83</v>
      </c>
      <c r="AF59" t="s">
        <v>83</v>
      </c>
      <c r="AG59" t="s">
        <v>83</v>
      </c>
      <c r="AH59" t="s">
        <v>83</v>
      </c>
      <c r="AI59" t="s">
        <v>88</v>
      </c>
      <c r="AJ59" t="s">
        <v>89</v>
      </c>
      <c r="AK59" t="s">
        <v>100</v>
      </c>
      <c r="AL59" t="s">
        <v>73</v>
      </c>
      <c r="AM59" t="s">
        <v>74</v>
      </c>
      <c r="AR59" t="s">
        <v>75</v>
      </c>
      <c r="AS59" t="s">
        <v>76</v>
      </c>
      <c r="AT59" t="s">
        <v>73</v>
      </c>
      <c r="AU59">
        <v>1</v>
      </c>
      <c r="AV59">
        <v>0</v>
      </c>
      <c r="AW59">
        <v>0</v>
      </c>
      <c r="AX59">
        <v>0</v>
      </c>
      <c r="AY59">
        <v>0</v>
      </c>
      <c r="AZ59" t="s">
        <v>580</v>
      </c>
    </row>
    <row r="60" spans="1:52" x14ac:dyDescent="0.2">
      <c r="A60">
        <v>0</v>
      </c>
      <c r="B60">
        <v>1</v>
      </c>
      <c r="C60">
        <v>0</v>
      </c>
      <c r="D60">
        <v>0</v>
      </c>
      <c r="E60">
        <v>1</v>
      </c>
      <c r="F60">
        <v>0</v>
      </c>
      <c r="G60">
        <v>0</v>
      </c>
      <c r="H60">
        <v>0</v>
      </c>
      <c r="I60">
        <v>0</v>
      </c>
      <c r="L60">
        <v>0</v>
      </c>
      <c r="M60">
        <v>1</v>
      </c>
      <c r="N60">
        <v>0</v>
      </c>
      <c r="O60">
        <v>0</v>
      </c>
      <c r="P60">
        <v>0</v>
      </c>
      <c r="Q60" t="s">
        <v>584</v>
      </c>
      <c r="AA60" t="s">
        <v>82</v>
      </c>
      <c r="AB60" t="s">
        <v>90</v>
      </c>
      <c r="AC60" t="s">
        <v>90</v>
      </c>
      <c r="AD60" t="s">
        <v>90</v>
      </c>
      <c r="AE60" t="s">
        <v>82</v>
      </c>
      <c r="AF60" t="s">
        <v>90</v>
      </c>
      <c r="AG60" t="s">
        <v>81</v>
      </c>
      <c r="AH60" t="s">
        <v>90</v>
      </c>
      <c r="AI60" t="s">
        <v>127</v>
      </c>
      <c r="AJ60" t="s">
        <v>127</v>
      </c>
      <c r="AL60" t="s">
        <v>107</v>
      </c>
      <c r="AM60" t="s">
        <v>87</v>
      </c>
      <c r="AN60" t="s">
        <v>86</v>
      </c>
      <c r="AO60" t="s">
        <v>86</v>
      </c>
      <c r="AP60" t="s">
        <v>87</v>
      </c>
      <c r="AQ60" t="s">
        <v>86</v>
      </c>
      <c r="AR60" t="s">
        <v>108</v>
      </c>
      <c r="AS60" t="s">
        <v>76</v>
      </c>
      <c r="AT60" t="s">
        <v>107</v>
      </c>
      <c r="AU60">
        <v>0</v>
      </c>
      <c r="AV60">
        <v>0</v>
      </c>
      <c r="AW60">
        <v>0</v>
      </c>
      <c r="AX60">
        <v>0</v>
      </c>
      <c r="AY60">
        <v>1</v>
      </c>
      <c r="AZ60" t="s">
        <v>580</v>
      </c>
    </row>
    <row r="61" spans="1:52" x14ac:dyDescent="0.2">
      <c r="A61">
        <v>1</v>
      </c>
      <c r="B61">
        <v>0</v>
      </c>
      <c r="C61">
        <v>0</v>
      </c>
      <c r="D61">
        <v>0</v>
      </c>
      <c r="E61">
        <v>1</v>
      </c>
      <c r="F61">
        <v>0</v>
      </c>
      <c r="G61">
        <v>0</v>
      </c>
      <c r="H61">
        <v>0</v>
      </c>
      <c r="I61">
        <v>0</v>
      </c>
      <c r="L61">
        <v>0</v>
      </c>
      <c r="M61">
        <v>1</v>
      </c>
      <c r="N61">
        <v>0</v>
      </c>
      <c r="O61">
        <v>0</v>
      </c>
      <c r="P61">
        <v>0</v>
      </c>
      <c r="Q61" t="s">
        <v>585</v>
      </c>
      <c r="AA61" t="s">
        <v>81</v>
      </c>
      <c r="AB61" t="s">
        <v>81</v>
      </c>
      <c r="AC61" t="s">
        <v>83</v>
      </c>
      <c r="AD61" t="s">
        <v>83</v>
      </c>
      <c r="AE61" t="s">
        <v>81</v>
      </c>
      <c r="AF61" t="s">
        <v>82</v>
      </c>
      <c r="AG61" t="s">
        <v>83</v>
      </c>
      <c r="AH61" t="s">
        <v>83</v>
      </c>
      <c r="AI61" t="s">
        <v>88</v>
      </c>
      <c r="AJ61" t="s">
        <v>127</v>
      </c>
      <c r="AK61" t="s">
        <v>153</v>
      </c>
      <c r="AL61" t="s">
        <v>107</v>
      </c>
      <c r="AM61" t="s">
        <v>87</v>
      </c>
      <c r="AN61" t="s">
        <v>74</v>
      </c>
      <c r="AO61" t="s">
        <v>86</v>
      </c>
      <c r="AP61" t="s">
        <v>74</v>
      </c>
      <c r="AQ61" t="s">
        <v>74</v>
      </c>
      <c r="AR61" t="s">
        <v>75</v>
      </c>
      <c r="AS61" t="s">
        <v>76</v>
      </c>
      <c r="AT61" t="s">
        <v>107</v>
      </c>
      <c r="AU61">
        <v>0</v>
      </c>
      <c r="AV61">
        <v>0</v>
      </c>
      <c r="AW61">
        <v>0</v>
      </c>
      <c r="AX61">
        <v>1</v>
      </c>
      <c r="AY61">
        <v>0</v>
      </c>
      <c r="AZ61" t="s">
        <v>580</v>
      </c>
    </row>
    <row r="62" spans="1:52" x14ac:dyDescent="0.2">
      <c r="A62">
        <v>1</v>
      </c>
      <c r="B62">
        <v>0</v>
      </c>
      <c r="C62">
        <v>0</v>
      </c>
      <c r="D62">
        <v>0</v>
      </c>
      <c r="E62">
        <v>0</v>
      </c>
      <c r="F62">
        <v>1</v>
      </c>
      <c r="G62">
        <v>0</v>
      </c>
      <c r="H62">
        <v>0</v>
      </c>
      <c r="I62">
        <v>0</v>
      </c>
      <c r="J62" t="s">
        <v>135</v>
      </c>
      <c r="K62" t="s">
        <v>80</v>
      </c>
      <c r="L62">
        <v>0</v>
      </c>
      <c r="M62">
        <v>0</v>
      </c>
      <c r="N62">
        <v>1</v>
      </c>
      <c r="O62">
        <v>0</v>
      </c>
      <c r="P62">
        <v>0</v>
      </c>
      <c r="Q62" t="s">
        <v>584</v>
      </c>
      <c r="AA62" t="s">
        <v>82</v>
      </c>
      <c r="AB62" t="s">
        <v>82</v>
      </c>
      <c r="AC62" t="s">
        <v>81</v>
      </c>
      <c r="AD62" t="s">
        <v>81</v>
      </c>
      <c r="AE62" t="s">
        <v>82</v>
      </c>
      <c r="AF62" t="s">
        <v>83</v>
      </c>
      <c r="AG62" t="s">
        <v>82</v>
      </c>
      <c r="AH62" t="s">
        <v>82</v>
      </c>
      <c r="AI62" t="s">
        <v>88</v>
      </c>
      <c r="AJ62" t="s">
        <v>89</v>
      </c>
      <c r="AK62" t="s">
        <v>100</v>
      </c>
      <c r="AL62" t="s">
        <v>96</v>
      </c>
      <c r="AM62" t="s">
        <v>86</v>
      </c>
      <c r="AN62" t="s">
        <v>87</v>
      </c>
      <c r="AO62" t="s">
        <v>87</v>
      </c>
      <c r="AP62" t="s">
        <v>87</v>
      </c>
      <c r="AQ62" t="s">
        <v>86</v>
      </c>
      <c r="AR62" t="s">
        <v>75</v>
      </c>
      <c r="AS62" t="s">
        <v>76</v>
      </c>
      <c r="AT62" t="s">
        <v>96</v>
      </c>
      <c r="AU62">
        <v>0</v>
      </c>
      <c r="AV62">
        <v>0</v>
      </c>
      <c r="AW62">
        <v>0</v>
      </c>
      <c r="AX62">
        <v>1</v>
      </c>
      <c r="AY62">
        <v>0</v>
      </c>
      <c r="AZ62" t="s">
        <v>580</v>
      </c>
    </row>
    <row r="63" spans="1:52" x14ac:dyDescent="0.2">
      <c r="A63">
        <v>1</v>
      </c>
      <c r="B63">
        <v>0</v>
      </c>
      <c r="C63">
        <v>0</v>
      </c>
      <c r="D63">
        <v>0</v>
      </c>
      <c r="E63">
        <v>0</v>
      </c>
      <c r="F63">
        <v>1</v>
      </c>
      <c r="G63">
        <v>1</v>
      </c>
      <c r="H63">
        <v>1</v>
      </c>
      <c r="I63">
        <v>1</v>
      </c>
      <c r="J63" t="s">
        <v>88</v>
      </c>
      <c r="K63" t="s">
        <v>89</v>
      </c>
      <c r="L63">
        <v>0</v>
      </c>
      <c r="M63">
        <v>0</v>
      </c>
      <c r="N63">
        <v>1</v>
      </c>
      <c r="O63">
        <v>1</v>
      </c>
      <c r="P63">
        <v>0</v>
      </c>
      <c r="Q63" t="s">
        <v>584</v>
      </c>
      <c r="AA63" t="s">
        <v>83</v>
      </c>
      <c r="AB63" t="s">
        <v>82</v>
      </c>
      <c r="AC63" t="s">
        <v>82</v>
      </c>
      <c r="AD63" t="s">
        <v>82</v>
      </c>
      <c r="AE63" t="s">
        <v>82</v>
      </c>
      <c r="AF63" t="s">
        <v>83</v>
      </c>
      <c r="AG63" t="s">
        <v>83</v>
      </c>
      <c r="AH63" t="s">
        <v>83</v>
      </c>
      <c r="AI63" t="s">
        <v>135</v>
      </c>
      <c r="AJ63" t="s">
        <v>89</v>
      </c>
      <c r="AK63" t="s">
        <v>100</v>
      </c>
      <c r="AL63" t="s">
        <v>107</v>
      </c>
      <c r="AM63" t="s">
        <v>87</v>
      </c>
      <c r="AN63" t="s">
        <v>87</v>
      </c>
      <c r="AO63" t="s">
        <v>87</v>
      </c>
      <c r="AP63" t="s">
        <v>87</v>
      </c>
      <c r="AQ63" t="s">
        <v>87</v>
      </c>
      <c r="AR63" t="s">
        <v>101</v>
      </c>
      <c r="AS63" t="s">
        <v>76</v>
      </c>
      <c r="AT63" t="s">
        <v>107</v>
      </c>
      <c r="AU63">
        <v>0</v>
      </c>
      <c r="AV63">
        <v>0</v>
      </c>
      <c r="AW63">
        <v>0</v>
      </c>
      <c r="AX63">
        <v>1</v>
      </c>
      <c r="AY63">
        <v>0</v>
      </c>
      <c r="AZ63" t="s">
        <v>580</v>
      </c>
    </row>
    <row r="64" spans="1:52" x14ac:dyDescent="0.2">
      <c r="A64">
        <v>0</v>
      </c>
      <c r="B64">
        <v>1</v>
      </c>
      <c r="C64">
        <v>0</v>
      </c>
      <c r="D64">
        <v>0</v>
      </c>
      <c r="E64">
        <v>1</v>
      </c>
      <c r="F64">
        <v>0</v>
      </c>
      <c r="G64">
        <v>0</v>
      </c>
      <c r="H64">
        <v>0</v>
      </c>
      <c r="I64">
        <v>0</v>
      </c>
      <c r="L64">
        <v>1</v>
      </c>
      <c r="M64">
        <v>0</v>
      </c>
      <c r="N64">
        <v>0</v>
      </c>
      <c r="O64">
        <v>0</v>
      </c>
      <c r="P64">
        <v>0</v>
      </c>
      <c r="Q64" t="s">
        <v>584</v>
      </c>
      <c r="R64">
        <v>0</v>
      </c>
      <c r="S64">
        <v>0</v>
      </c>
      <c r="T64">
        <v>0</v>
      </c>
      <c r="U64">
        <v>0</v>
      </c>
      <c r="V64">
        <v>0</v>
      </c>
      <c r="W64">
        <v>0</v>
      </c>
      <c r="X64">
        <v>1</v>
      </c>
      <c r="Y64">
        <v>0</v>
      </c>
      <c r="Z64">
        <v>0</v>
      </c>
      <c r="AL64" t="s">
        <v>96</v>
      </c>
      <c r="AM64" t="s">
        <v>86</v>
      </c>
      <c r="AN64" t="s">
        <v>86</v>
      </c>
      <c r="AO64" t="s">
        <v>86</v>
      </c>
      <c r="AP64" t="s">
        <v>86</v>
      </c>
      <c r="AQ64" t="s">
        <v>86</v>
      </c>
      <c r="AR64" t="s">
        <v>75</v>
      </c>
      <c r="AS64" t="s">
        <v>76</v>
      </c>
      <c r="AT64" t="s">
        <v>96</v>
      </c>
      <c r="AU64">
        <v>0</v>
      </c>
      <c r="AV64">
        <v>0</v>
      </c>
      <c r="AW64">
        <v>0</v>
      </c>
      <c r="AX64">
        <v>1</v>
      </c>
      <c r="AY64">
        <v>0</v>
      </c>
      <c r="AZ64" t="s">
        <v>580</v>
      </c>
    </row>
    <row r="65" spans="1:52" x14ac:dyDescent="0.2">
      <c r="A65">
        <v>0</v>
      </c>
      <c r="B65">
        <v>1</v>
      </c>
      <c r="C65">
        <v>0</v>
      </c>
      <c r="D65">
        <v>0</v>
      </c>
      <c r="E65">
        <v>1</v>
      </c>
      <c r="F65">
        <v>0</v>
      </c>
      <c r="G65">
        <v>0</v>
      </c>
      <c r="H65">
        <v>0</v>
      </c>
      <c r="I65">
        <v>0</v>
      </c>
      <c r="L65">
        <v>0</v>
      </c>
      <c r="M65">
        <v>0</v>
      </c>
      <c r="N65">
        <v>0</v>
      </c>
      <c r="O65">
        <v>1</v>
      </c>
      <c r="P65">
        <v>0</v>
      </c>
      <c r="Q65" t="s">
        <v>584</v>
      </c>
      <c r="AA65" t="s">
        <v>90</v>
      </c>
      <c r="AB65" t="s">
        <v>82</v>
      </c>
      <c r="AC65" t="s">
        <v>81</v>
      </c>
      <c r="AD65" t="s">
        <v>90</v>
      </c>
      <c r="AE65" t="s">
        <v>90</v>
      </c>
      <c r="AF65" t="s">
        <v>90</v>
      </c>
      <c r="AG65" t="s">
        <v>90</v>
      </c>
      <c r="AH65" t="s">
        <v>83</v>
      </c>
      <c r="AI65" t="s">
        <v>88</v>
      </c>
      <c r="AJ65" t="s">
        <v>89</v>
      </c>
      <c r="AK65" t="s">
        <v>100</v>
      </c>
      <c r="AL65" t="s">
        <v>96</v>
      </c>
      <c r="AM65" t="s">
        <v>87</v>
      </c>
      <c r="AN65" t="s">
        <v>87</v>
      </c>
      <c r="AO65" t="s">
        <v>87</v>
      </c>
      <c r="AP65" t="s">
        <v>87</v>
      </c>
      <c r="AQ65" t="s">
        <v>87</v>
      </c>
      <c r="AR65" t="s">
        <v>75</v>
      </c>
      <c r="AS65" t="s">
        <v>76</v>
      </c>
      <c r="AT65" t="s">
        <v>96</v>
      </c>
      <c r="AU65">
        <v>0</v>
      </c>
      <c r="AV65">
        <v>0</v>
      </c>
      <c r="AW65">
        <v>0</v>
      </c>
      <c r="AX65">
        <v>1</v>
      </c>
      <c r="AY65">
        <v>0</v>
      </c>
      <c r="AZ65" t="s">
        <v>580</v>
      </c>
    </row>
    <row r="66" spans="1:52" x14ac:dyDescent="0.2">
      <c r="A66">
        <v>1</v>
      </c>
      <c r="B66">
        <v>0</v>
      </c>
      <c r="C66">
        <v>0</v>
      </c>
      <c r="D66">
        <v>0</v>
      </c>
      <c r="E66">
        <v>0</v>
      </c>
      <c r="F66">
        <v>1</v>
      </c>
      <c r="G66">
        <v>0</v>
      </c>
      <c r="H66">
        <v>0</v>
      </c>
      <c r="I66">
        <v>0</v>
      </c>
      <c r="J66" t="s">
        <v>88</v>
      </c>
      <c r="K66" t="s">
        <v>89</v>
      </c>
      <c r="L66">
        <v>1</v>
      </c>
      <c r="M66">
        <v>0</v>
      </c>
      <c r="N66">
        <v>0</v>
      </c>
      <c r="O66">
        <v>0</v>
      </c>
      <c r="P66">
        <v>0</v>
      </c>
      <c r="Q66" t="s">
        <v>584</v>
      </c>
      <c r="R66">
        <v>0</v>
      </c>
      <c r="S66">
        <v>1</v>
      </c>
      <c r="T66">
        <v>0</v>
      </c>
      <c r="U66">
        <v>0</v>
      </c>
      <c r="V66">
        <v>0</v>
      </c>
      <c r="W66">
        <v>0</v>
      </c>
      <c r="X66">
        <v>0</v>
      </c>
      <c r="Y66">
        <v>0</v>
      </c>
      <c r="Z66">
        <v>0</v>
      </c>
      <c r="AL66" t="s">
        <v>73</v>
      </c>
      <c r="AM66" t="s">
        <v>87</v>
      </c>
      <c r="AN66" t="s">
        <v>87</v>
      </c>
      <c r="AO66" t="s">
        <v>87</v>
      </c>
      <c r="AP66" t="s">
        <v>86</v>
      </c>
      <c r="AQ66" t="s">
        <v>86</v>
      </c>
      <c r="AR66" t="s">
        <v>108</v>
      </c>
      <c r="AS66" t="s">
        <v>76</v>
      </c>
      <c r="AT66" t="s">
        <v>73</v>
      </c>
      <c r="AU66">
        <v>0</v>
      </c>
      <c r="AV66">
        <v>0</v>
      </c>
      <c r="AW66">
        <v>0</v>
      </c>
      <c r="AX66">
        <v>1</v>
      </c>
      <c r="AY66">
        <v>0</v>
      </c>
      <c r="AZ66" t="s">
        <v>579</v>
      </c>
    </row>
    <row r="67" spans="1:52" x14ac:dyDescent="0.2">
      <c r="A67">
        <v>1</v>
      </c>
      <c r="B67">
        <v>0</v>
      </c>
      <c r="C67">
        <v>0</v>
      </c>
      <c r="D67">
        <v>0</v>
      </c>
      <c r="E67">
        <v>0</v>
      </c>
      <c r="F67">
        <v>1</v>
      </c>
      <c r="G67">
        <v>1</v>
      </c>
      <c r="H67">
        <v>1</v>
      </c>
      <c r="I67">
        <v>0</v>
      </c>
      <c r="J67" t="s">
        <v>88</v>
      </c>
      <c r="K67" t="s">
        <v>89</v>
      </c>
      <c r="L67">
        <v>0</v>
      </c>
      <c r="M67">
        <v>0</v>
      </c>
      <c r="N67">
        <v>1</v>
      </c>
      <c r="O67">
        <v>0</v>
      </c>
      <c r="P67">
        <v>0</v>
      </c>
      <c r="Q67" t="s">
        <v>584</v>
      </c>
      <c r="AA67" t="s">
        <v>81</v>
      </c>
      <c r="AB67" t="s">
        <v>82</v>
      </c>
      <c r="AC67" t="s">
        <v>82</v>
      </c>
      <c r="AD67" t="s">
        <v>82</v>
      </c>
      <c r="AE67" t="s">
        <v>82</v>
      </c>
      <c r="AF67" t="s">
        <v>83</v>
      </c>
      <c r="AG67" t="s">
        <v>81</v>
      </c>
      <c r="AH67" t="s">
        <v>81</v>
      </c>
      <c r="AI67" t="s">
        <v>88</v>
      </c>
      <c r="AJ67" t="s">
        <v>89</v>
      </c>
      <c r="AK67" t="s">
        <v>100</v>
      </c>
      <c r="AL67" t="s">
        <v>73</v>
      </c>
      <c r="AM67" t="s">
        <v>87</v>
      </c>
      <c r="AN67" t="s">
        <v>87</v>
      </c>
      <c r="AO67" t="s">
        <v>87</v>
      </c>
      <c r="AP67" t="s">
        <v>87</v>
      </c>
      <c r="AQ67" t="s">
        <v>87</v>
      </c>
      <c r="AR67" t="s">
        <v>97</v>
      </c>
      <c r="AS67" t="s">
        <v>76</v>
      </c>
      <c r="AT67" t="s">
        <v>73</v>
      </c>
      <c r="AU67">
        <v>0</v>
      </c>
      <c r="AV67">
        <v>0</v>
      </c>
      <c r="AW67">
        <v>0</v>
      </c>
      <c r="AX67">
        <v>1</v>
      </c>
      <c r="AY67">
        <v>0</v>
      </c>
      <c r="AZ67" t="s">
        <v>580</v>
      </c>
    </row>
    <row r="68" spans="1:52" x14ac:dyDescent="0.2">
      <c r="A68">
        <v>1</v>
      </c>
      <c r="B68">
        <v>0</v>
      </c>
      <c r="C68">
        <v>0</v>
      </c>
      <c r="D68">
        <v>0</v>
      </c>
      <c r="E68">
        <v>1</v>
      </c>
      <c r="F68">
        <v>0</v>
      </c>
      <c r="G68">
        <v>0</v>
      </c>
      <c r="H68">
        <v>0</v>
      </c>
      <c r="I68">
        <v>0</v>
      </c>
      <c r="L68">
        <v>1</v>
      </c>
      <c r="M68">
        <v>0</v>
      </c>
      <c r="N68">
        <v>0</v>
      </c>
      <c r="O68">
        <v>0</v>
      </c>
      <c r="P68">
        <v>0</v>
      </c>
      <c r="Q68" t="s">
        <v>584</v>
      </c>
      <c r="R68">
        <v>0</v>
      </c>
      <c r="S68">
        <v>0</v>
      </c>
      <c r="T68">
        <v>0</v>
      </c>
      <c r="U68">
        <v>0</v>
      </c>
      <c r="V68">
        <v>0</v>
      </c>
      <c r="W68">
        <v>0</v>
      </c>
      <c r="X68">
        <v>1</v>
      </c>
      <c r="Y68">
        <v>0</v>
      </c>
      <c r="Z68">
        <v>0</v>
      </c>
      <c r="AL68" t="s">
        <v>73</v>
      </c>
      <c r="AM68" t="s">
        <v>74</v>
      </c>
      <c r="AR68" t="s">
        <v>75</v>
      </c>
      <c r="AS68" t="s">
        <v>76</v>
      </c>
      <c r="AT68" t="s">
        <v>73</v>
      </c>
      <c r="AU68">
        <v>0</v>
      </c>
      <c r="AV68">
        <v>0</v>
      </c>
      <c r="AW68">
        <v>0</v>
      </c>
      <c r="AX68">
        <v>1</v>
      </c>
      <c r="AY68">
        <v>0</v>
      </c>
      <c r="AZ68" t="s">
        <v>580</v>
      </c>
    </row>
    <row r="69" spans="1:52" x14ac:dyDescent="0.2">
      <c r="A69">
        <v>0</v>
      </c>
      <c r="B69">
        <v>1</v>
      </c>
      <c r="C69">
        <v>0</v>
      </c>
      <c r="D69">
        <v>0</v>
      </c>
      <c r="E69">
        <v>0</v>
      </c>
      <c r="F69">
        <v>1</v>
      </c>
      <c r="G69">
        <v>1</v>
      </c>
      <c r="H69">
        <v>1</v>
      </c>
      <c r="I69">
        <v>0</v>
      </c>
      <c r="J69" t="s">
        <v>88</v>
      </c>
      <c r="K69" t="s">
        <v>89</v>
      </c>
      <c r="L69">
        <v>0</v>
      </c>
      <c r="M69">
        <v>1</v>
      </c>
      <c r="N69">
        <v>0</v>
      </c>
      <c r="O69">
        <v>0</v>
      </c>
      <c r="P69">
        <v>0</v>
      </c>
      <c r="Q69" t="s">
        <v>584</v>
      </c>
      <c r="AA69" t="s">
        <v>90</v>
      </c>
      <c r="AB69" t="s">
        <v>82</v>
      </c>
      <c r="AC69" t="s">
        <v>82</v>
      </c>
      <c r="AD69" t="s">
        <v>82</v>
      </c>
      <c r="AE69" t="s">
        <v>81</v>
      </c>
      <c r="AF69" t="s">
        <v>90</v>
      </c>
      <c r="AG69" t="s">
        <v>81</v>
      </c>
      <c r="AH69" t="s">
        <v>81</v>
      </c>
      <c r="AI69" t="s">
        <v>88</v>
      </c>
      <c r="AJ69" t="s">
        <v>89</v>
      </c>
      <c r="AK69" t="s">
        <v>100</v>
      </c>
      <c r="AL69" t="s">
        <v>96</v>
      </c>
      <c r="AM69" t="s">
        <v>87</v>
      </c>
      <c r="AN69" t="s">
        <v>87</v>
      </c>
      <c r="AO69" t="s">
        <v>87</v>
      </c>
      <c r="AP69" t="s">
        <v>87</v>
      </c>
      <c r="AQ69" t="s">
        <v>87</v>
      </c>
      <c r="AR69" t="s">
        <v>113</v>
      </c>
      <c r="AS69" t="s">
        <v>76</v>
      </c>
      <c r="AT69" t="s">
        <v>96</v>
      </c>
      <c r="AU69">
        <v>0</v>
      </c>
      <c r="AV69">
        <v>0</v>
      </c>
      <c r="AW69">
        <v>0</v>
      </c>
      <c r="AX69">
        <v>1</v>
      </c>
      <c r="AY69">
        <v>1</v>
      </c>
      <c r="AZ69" t="s">
        <v>580</v>
      </c>
    </row>
    <row r="70" spans="1:52" x14ac:dyDescent="0.2">
      <c r="A70">
        <v>0</v>
      </c>
      <c r="B70">
        <v>1</v>
      </c>
      <c r="C70">
        <v>0</v>
      </c>
      <c r="D70">
        <v>0</v>
      </c>
      <c r="E70">
        <v>0</v>
      </c>
      <c r="F70">
        <v>0</v>
      </c>
      <c r="G70">
        <v>0</v>
      </c>
      <c r="H70">
        <v>0</v>
      </c>
      <c r="I70">
        <v>1</v>
      </c>
      <c r="J70" t="s">
        <v>135</v>
      </c>
      <c r="K70" t="s">
        <v>89</v>
      </c>
      <c r="L70">
        <v>0</v>
      </c>
      <c r="M70">
        <v>0</v>
      </c>
      <c r="N70">
        <v>0</v>
      </c>
      <c r="O70">
        <v>1</v>
      </c>
      <c r="P70">
        <v>0</v>
      </c>
      <c r="Q70" t="s">
        <v>584</v>
      </c>
      <c r="AA70" t="s">
        <v>83</v>
      </c>
      <c r="AB70" t="s">
        <v>82</v>
      </c>
      <c r="AC70" t="s">
        <v>81</v>
      </c>
      <c r="AD70" t="s">
        <v>82</v>
      </c>
      <c r="AE70" t="s">
        <v>83</v>
      </c>
      <c r="AF70" t="s">
        <v>81</v>
      </c>
      <c r="AG70" t="s">
        <v>83</v>
      </c>
      <c r="AH70" t="s">
        <v>83</v>
      </c>
      <c r="AI70" t="s">
        <v>88</v>
      </c>
      <c r="AJ70" t="s">
        <v>89</v>
      </c>
      <c r="AK70" t="s">
        <v>100</v>
      </c>
      <c r="AL70" t="s">
        <v>73</v>
      </c>
      <c r="AM70" t="s">
        <v>87</v>
      </c>
      <c r="AN70" t="s">
        <v>87</v>
      </c>
      <c r="AO70" t="s">
        <v>87</v>
      </c>
      <c r="AP70" t="s">
        <v>87</v>
      </c>
      <c r="AQ70" t="s">
        <v>87</v>
      </c>
      <c r="AR70" t="s">
        <v>101</v>
      </c>
      <c r="AS70" t="s">
        <v>76</v>
      </c>
      <c r="AT70" t="s">
        <v>73</v>
      </c>
      <c r="AU70">
        <v>0</v>
      </c>
      <c r="AV70">
        <v>0</v>
      </c>
      <c r="AW70">
        <v>0</v>
      </c>
      <c r="AX70">
        <v>1</v>
      </c>
      <c r="AY70">
        <v>0</v>
      </c>
      <c r="AZ70" t="s">
        <v>580</v>
      </c>
    </row>
    <row r="71" spans="1:52" x14ac:dyDescent="0.2">
      <c r="A71">
        <v>0</v>
      </c>
      <c r="B71">
        <v>1</v>
      </c>
      <c r="C71">
        <v>0</v>
      </c>
      <c r="D71">
        <v>0</v>
      </c>
      <c r="E71">
        <v>1</v>
      </c>
      <c r="F71">
        <v>0</v>
      </c>
      <c r="G71">
        <v>0</v>
      </c>
      <c r="H71">
        <v>0</v>
      </c>
      <c r="I71">
        <v>0</v>
      </c>
      <c r="L71">
        <v>1</v>
      </c>
      <c r="M71">
        <v>0</v>
      </c>
      <c r="N71">
        <v>0</v>
      </c>
      <c r="O71">
        <v>0</v>
      </c>
      <c r="P71">
        <v>0</v>
      </c>
      <c r="Q71" t="s">
        <v>584</v>
      </c>
      <c r="R71">
        <v>0</v>
      </c>
      <c r="S71">
        <v>1</v>
      </c>
      <c r="T71">
        <v>0</v>
      </c>
      <c r="U71">
        <v>0</v>
      </c>
      <c r="V71">
        <v>0</v>
      </c>
      <c r="W71">
        <v>0</v>
      </c>
      <c r="X71">
        <v>0</v>
      </c>
      <c r="Y71">
        <v>0</v>
      </c>
      <c r="Z71">
        <v>0</v>
      </c>
      <c r="AL71" t="s">
        <v>96</v>
      </c>
      <c r="AM71" t="s">
        <v>87</v>
      </c>
      <c r="AN71" t="s">
        <v>87</v>
      </c>
      <c r="AO71" t="s">
        <v>87</v>
      </c>
      <c r="AP71" t="s">
        <v>86</v>
      </c>
      <c r="AQ71" t="s">
        <v>86</v>
      </c>
      <c r="AR71" t="s">
        <v>97</v>
      </c>
      <c r="AS71" t="s">
        <v>92</v>
      </c>
      <c r="AT71" t="s">
        <v>96</v>
      </c>
      <c r="AU71">
        <v>1</v>
      </c>
      <c r="AV71">
        <v>0</v>
      </c>
      <c r="AW71">
        <v>0</v>
      </c>
      <c r="AX71">
        <v>0</v>
      </c>
      <c r="AY71">
        <v>0</v>
      </c>
      <c r="AZ71" t="s">
        <v>581</v>
      </c>
    </row>
    <row r="72" spans="1:52" x14ac:dyDescent="0.2">
      <c r="A72">
        <v>1</v>
      </c>
      <c r="B72">
        <v>0</v>
      </c>
      <c r="C72">
        <v>0</v>
      </c>
      <c r="D72">
        <v>0</v>
      </c>
      <c r="E72">
        <v>0</v>
      </c>
      <c r="F72">
        <v>1</v>
      </c>
      <c r="G72">
        <v>1</v>
      </c>
      <c r="H72">
        <v>0</v>
      </c>
      <c r="I72">
        <v>0</v>
      </c>
      <c r="J72" t="s">
        <v>88</v>
      </c>
      <c r="K72" t="s">
        <v>89</v>
      </c>
      <c r="L72">
        <v>0</v>
      </c>
      <c r="M72">
        <v>0</v>
      </c>
      <c r="N72">
        <v>1</v>
      </c>
      <c r="O72">
        <v>0</v>
      </c>
      <c r="P72">
        <v>0</v>
      </c>
      <c r="Q72" t="s">
        <v>584</v>
      </c>
      <c r="AA72" t="s">
        <v>81</v>
      </c>
      <c r="AB72" t="s">
        <v>81</v>
      </c>
      <c r="AC72" t="s">
        <v>83</v>
      </c>
      <c r="AD72" t="s">
        <v>81</v>
      </c>
      <c r="AE72" t="s">
        <v>81</v>
      </c>
      <c r="AF72" t="s">
        <v>81</v>
      </c>
      <c r="AG72" t="s">
        <v>82</v>
      </c>
      <c r="AH72" t="s">
        <v>83</v>
      </c>
      <c r="AI72" t="s">
        <v>88</v>
      </c>
      <c r="AJ72" t="s">
        <v>89</v>
      </c>
      <c r="AK72" t="s">
        <v>85</v>
      </c>
      <c r="AL72" t="s">
        <v>73</v>
      </c>
      <c r="AM72" t="s">
        <v>86</v>
      </c>
      <c r="AN72" t="s">
        <v>87</v>
      </c>
      <c r="AO72" t="s">
        <v>87</v>
      </c>
      <c r="AP72" t="s">
        <v>87</v>
      </c>
      <c r="AQ72" t="s">
        <v>86</v>
      </c>
      <c r="AR72" t="s">
        <v>113</v>
      </c>
      <c r="AS72" t="s">
        <v>92</v>
      </c>
      <c r="AT72" t="s">
        <v>73</v>
      </c>
      <c r="AU72">
        <v>1</v>
      </c>
      <c r="AV72">
        <v>0</v>
      </c>
      <c r="AW72">
        <v>0</v>
      </c>
      <c r="AX72">
        <v>0</v>
      </c>
      <c r="AY72">
        <v>0</v>
      </c>
      <c r="AZ72" t="s">
        <v>580</v>
      </c>
    </row>
    <row r="73" spans="1:52" x14ac:dyDescent="0.2">
      <c r="A73">
        <v>1</v>
      </c>
      <c r="B73">
        <v>0</v>
      </c>
      <c r="C73">
        <v>0</v>
      </c>
      <c r="D73">
        <v>0</v>
      </c>
      <c r="E73">
        <v>1</v>
      </c>
      <c r="F73">
        <v>0</v>
      </c>
      <c r="G73">
        <v>0</v>
      </c>
      <c r="H73">
        <v>0</v>
      </c>
      <c r="I73">
        <v>0</v>
      </c>
      <c r="L73">
        <v>0</v>
      </c>
      <c r="M73">
        <v>0</v>
      </c>
      <c r="N73">
        <v>1</v>
      </c>
      <c r="O73">
        <v>0</v>
      </c>
      <c r="P73">
        <v>0</v>
      </c>
      <c r="Q73" t="s">
        <v>584</v>
      </c>
      <c r="AA73" t="s">
        <v>83</v>
      </c>
      <c r="AB73" t="s">
        <v>81</v>
      </c>
      <c r="AC73" t="s">
        <v>83</v>
      </c>
      <c r="AD73" t="s">
        <v>81</v>
      </c>
      <c r="AE73" t="s">
        <v>82</v>
      </c>
      <c r="AF73" t="s">
        <v>81</v>
      </c>
      <c r="AG73" t="s">
        <v>83</v>
      </c>
      <c r="AH73" t="s">
        <v>81</v>
      </c>
      <c r="AI73" t="s">
        <v>88</v>
      </c>
      <c r="AJ73" t="s">
        <v>80</v>
      </c>
      <c r="AK73" t="s">
        <v>100</v>
      </c>
      <c r="AL73" t="s">
        <v>73</v>
      </c>
      <c r="AM73" t="s">
        <v>87</v>
      </c>
      <c r="AN73" t="s">
        <v>87</v>
      </c>
      <c r="AO73" t="s">
        <v>87</v>
      </c>
      <c r="AP73" t="s">
        <v>87</v>
      </c>
      <c r="AQ73" t="s">
        <v>87</v>
      </c>
      <c r="AR73" t="s">
        <v>159</v>
      </c>
      <c r="AS73" t="s">
        <v>76</v>
      </c>
      <c r="AT73" t="s">
        <v>73</v>
      </c>
      <c r="AU73">
        <v>1</v>
      </c>
      <c r="AV73">
        <v>0</v>
      </c>
      <c r="AW73">
        <v>0</v>
      </c>
      <c r="AX73">
        <v>0</v>
      </c>
      <c r="AY73">
        <v>0</v>
      </c>
      <c r="AZ73" t="s">
        <v>578</v>
      </c>
    </row>
    <row r="74" spans="1:52" x14ac:dyDescent="0.2">
      <c r="A74">
        <v>0</v>
      </c>
      <c r="B74">
        <v>1</v>
      </c>
      <c r="C74">
        <v>0</v>
      </c>
      <c r="D74">
        <v>0</v>
      </c>
      <c r="E74">
        <v>1</v>
      </c>
      <c r="F74">
        <v>0</v>
      </c>
      <c r="G74">
        <v>0</v>
      </c>
      <c r="H74">
        <v>0</v>
      </c>
      <c r="I74">
        <v>0</v>
      </c>
      <c r="L74">
        <v>1</v>
      </c>
      <c r="M74">
        <v>0</v>
      </c>
      <c r="N74">
        <v>0</v>
      </c>
      <c r="O74">
        <v>0</v>
      </c>
      <c r="P74">
        <v>0</v>
      </c>
      <c r="Q74" t="s">
        <v>584</v>
      </c>
      <c r="R74">
        <v>0</v>
      </c>
      <c r="S74">
        <v>0</v>
      </c>
      <c r="T74">
        <v>0</v>
      </c>
      <c r="U74">
        <v>0</v>
      </c>
      <c r="V74">
        <v>0</v>
      </c>
      <c r="W74">
        <v>0</v>
      </c>
      <c r="X74">
        <v>0</v>
      </c>
      <c r="Y74">
        <v>0</v>
      </c>
      <c r="Z74">
        <v>1</v>
      </c>
      <c r="AL74" t="s">
        <v>96</v>
      </c>
      <c r="AM74" t="s">
        <v>74</v>
      </c>
      <c r="AR74" t="s">
        <v>101</v>
      </c>
      <c r="AS74" t="s">
        <v>92</v>
      </c>
      <c r="AT74" t="s">
        <v>96</v>
      </c>
      <c r="AU74">
        <v>1</v>
      </c>
      <c r="AV74">
        <v>0</v>
      </c>
      <c r="AW74">
        <v>0</v>
      </c>
      <c r="AX74">
        <v>0</v>
      </c>
      <c r="AY74">
        <v>0</v>
      </c>
      <c r="AZ74" t="s">
        <v>581</v>
      </c>
    </row>
    <row r="75" spans="1:52" x14ac:dyDescent="0.2">
      <c r="A75">
        <v>0</v>
      </c>
      <c r="B75">
        <v>1</v>
      </c>
      <c r="C75">
        <v>0</v>
      </c>
      <c r="D75">
        <v>0</v>
      </c>
      <c r="E75">
        <v>0</v>
      </c>
      <c r="F75">
        <v>1</v>
      </c>
      <c r="G75">
        <v>1</v>
      </c>
      <c r="H75">
        <v>1</v>
      </c>
      <c r="I75">
        <v>0</v>
      </c>
      <c r="J75" t="s">
        <v>88</v>
      </c>
      <c r="K75" t="s">
        <v>89</v>
      </c>
      <c r="L75">
        <v>0</v>
      </c>
      <c r="M75">
        <v>1</v>
      </c>
      <c r="N75">
        <v>0</v>
      </c>
      <c r="O75">
        <v>0</v>
      </c>
      <c r="P75">
        <v>0</v>
      </c>
      <c r="Q75" t="s">
        <v>585</v>
      </c>
      <c r="AA75" t="s">
        <v>83</v>
      </c>
      <c r="AB75" t="s">
        <v>82</v>
      </c>
      <c r="AC75" t="s">
        <v>81</v>
      </c>
      <c r="AD75" t="s">
        <v>82</v>
      </c>
      <c r="AE75" t="s">
        <v>83</v>
      </c>
      <c r="AF75" t="s">
        <v>90</v>
      </c>
      <c r="AG75" t="s">
        <v>90</v>
      </c>
      <c r="AH75" t="s">
        <v>83</v>
      </c>
      <c r="AI75" t="s">
        <v>88</v>
      </c>
      <c r="AJ75" t="s">
        <v>89</v>
      </c>
      <c r="AK75" t="s">
        <v>117</v>
      </c>
      <c r="AL75" t="s">
        <v>96</v>
      </c>
      <c r="AM75" t="s">
        <v>86</v>
      </c>
      <c r="AN75" t="s">
        <v>87</v>
      </c>
      <c r="AO75" t="s">
        <v>87</v>
      </c>
      <c r="AP75" t="s">
        <v>87</v>
      </c>
      <c r="AQ75" t="s">
        <v>74</v>
      </c>
      <c r="AR75" t="s">
        <v>113</v>
      </c>
      <c r="AS75" t="s">
        <v>76</v>
      </c>
      <c r="AT75" t="s">
        <v>96</v>
      </c>
      <c r="AU75">
        <v>1</v>
      </c>
      <c r="AV75">
        <v>0</v>
      </c>
      <c r="AW75">
        <v>0</v>
      </c>
      <c r="AX75">
        <v>0</v>
      </c>
      <c r="AY75">
        <v>0</v>
      </c>
      <c r="AZ75" t="s">
        <v>579</v>
      </c>
    </row>
    <row r="76" spans="1:52" x14ac:dyDescent="0.2">
      <c r="A76">
        <v>1</v>
      </c>
      <c r="B76">
        <v>0</v>
      </c>
      <c r="C76">
        <v>0</v>
      </c>
      <c r="D76">
        <v>0</v>
      </c>
      <c r="E76">
        <v>1</v>
      </c>
      <c r="F76">
        <v>0</v>
      </c>
      <c r="G76">
        <v>0</v>
      </c>
      <c r="H76">
        <v>0</v>
      </c>
      <c r="I76">
        <v>0</v>
      </c>
      <c r="L76">
        <v>0</v>
      </c>
      <c r="M76">
        <v>1</v>
      </c>
      <c r="N76">
        <v>0</v>
      </c>
      <c r="O76">
        <v>0</v>
      </c>
      <c r="P76">
        <v>0</v>
      </c>
      <c r="Q76" t="s">
        <v>584</v>
      </c>
      <c r="AA76" t="s">
        <v>90</v>
      </c>
      <c r="AB76" t="s">
        <v>82</v>
      </c>
      <c r="AC76" t="s">
        <v>81</v>
      </c>
      <c r="AD76" t="s">
        <v>83</v>
      </c>
      <c r="AE76" t="s">
        <v>90</v>
      </c>
      <c r="AF76" t="s">
        <v>90</v>
      </c>
      <c r="AG76" t="s">
        <v>90</v>
      </c>
      <c r="AH76" t="s">
        <v>83</v>
      </c>
      <c r="AI76" t="s">
        <v>88</v>
      </c>
      <c r="AJ76" t="s">
        <v>89</v>
      </c>
      <c r="AK76" t="s">
        <v>100</v>
      </c>
      <c r="AL76" t="s">
        <v>73</v>
      </c>
      <c r="AM76" t="s">
        <v>87</v>
      </c>
      <c r="AN76" t="s">
        <v>87</v>
      </c>
      <c r="AO76" t="s">
        <v>87</v>
      </c>
      <c r="AP76" t="s">
        <v>87</v>
      </c>
      <c r="AQ76" t="s">
        <v>87</v>
      </c>
      <c r="AR76" t="s">
        <v>97</v>
      </c>
      <c r="AS76" t="s">
        <v>76</v>
      </c>
      <c r="AT76" t="s">
        <v>73</v>
      </c>
      <c r="AU76">
        <v>1</v>
      </c>
      <c r="AV76">
        <v>0</v>
      </c>
      <c r="AW76">
        <v>0</v>
      </c>
      <c r="AX76">
        <v>0</v>
      </c>
      <c r="AY76">
        <v>0</v>
      </c>
      <c r="AZ76" t="s">
        <v>581</v>
      </c>
    </row>
    <row r="77" spans="1:52" x14ac:dyDescent="0.2">
      <c r="A77">
        <v>0</v>
      </c>
      <c r="B77">
        <v>1</v>
      </c>
      <c r="C77">
        <v>0</v>
      </c>
      <c r="D77">
        <v>0</v>
      </c>
      <c r="E77">
        <v>0</v>
      </c>
      <c r="F77">
        <v>1</v>
      </c>
      <c r="G77">
        <v>0</v>
      </c>
      <c r="H77">
        <v>0</v>
      </c>
      <c r="I77">
        <v>0</v>
      </c>
      <c r="J77" t="s">
        <v>88</v>
      </c>
      <c r="K77" t="s">
        <v>80</v>
      </c>
      <c r="L77">
        <v>0</v>
      </c>
      <c r="M77">
        <v>0</v>
      </c>
      <c r="N77">
        <v>0</v>
      </c>
      <c r="O77">
        <v>0</v>
      </c>
      <c r="P77">
        <v>1</v>
      </c>
      <c r="Q77" t="s">
        <v>584</v>
      </c>
      <c r="AA77" t="s">
        <v>83</v>
      </c>
      <c r="AB77" t="s">
        <v>82</v>
      </c>
      <c r="AC77" t="s">
        <v>83</v>
      </c>
      <c r="AD77" t="s">
        <v>81</v>
      </c>
      <c r="AE77" t="s">
        <v>82</v>
      </c>
      <c r="AF77" t="s">
        <v>83</v>
      </c>
      <c r="AG77" t="s">
        <v>83</v>
      </c>
      <c r="AH77" t="s">
        <v>83</v>
      </c>
      <c r="AI77" t="s">
        <v>88</v>
      </c>
      <c r="AJ77" t="s">
        <v>80</v>
      </c>
      <c r="AK77" t="s">
        <v>85</v>
      </c>
      <c r="AL77" t="s">
        <v>120</v>
      </c>
      <c r="AM77" t="s">
        <v>87</v>
      </c>
      <c r="AN77" t="s">
        <v>87</v>
      </c>
      <c r="AO77" t="s">
        <v>87</v>
      </c>
      <c r="AP77" t="s">
        <v>86</v>
      </c>
      <c r="AQ77" t="s">
        <v>86</v>
      </c>
      <c r="AR77" t="s">
        <v>108</v>
      </c>
      <c r="AS77" t="s">
        <v>76</v>
      </c>
      <c r="AT77" t="s">
        <v>120</v>
      </c>
      <c r="AU77">
        <v>0</v>
      </c>
      <c r="AV77">
        <v>0</v>
      </c>
      <c r="AW77">
        <v>0</v>
      </c>
      <c r="AX77">
        <v>1</v>
      </c>
      <c r="AY77">
        <v>0</v>
      </c>
      <c r="AZ77" t="s">
        <v>579</v>
      </c>
    </row>
    <row r="78" spans="1:52" x14ac:dyDescent="0.2">
      <c r="A78">
        <v>0</v>
      </c>
      <c r="B78">
        <v>1</v>
      </c>
      <c r="C78">
        <v>1</v>
      </c>
      <c r="D78">
        <v>0</v>
      </c>
      <c r="E78">
        <v>1</v>
      </c>
      <c r="F78">
        <v>0</v>
      </c>
      <c r="G78">
        <v>0</v>
      </c>
      <c r="H78">
        <v>0</v>
      </c>
      <c r="I78">
        <v>0</v>
      </c>
      <c r="L78">
        <v>1</v>
      </c>
      <c r="M78">
        <v>0</v>
      </c>
      <c r="N78">
        <v>0</v>
      </c>
      <c r="O78">
        <v>0</v>
      </c>
      <c r="P78">
        <v>0</v>
      </c>
      <c r="Q78" t="s">
        <v>584</v>
      </c>
      <c r="R78">
        <v>0</v>
      </c>
      <c r="S78">
        <v>0</v>
      </c>
      <c r="T78">
        <v>1</v>
      </c>
      <c r="U78">
        <v>0</v>
      </c>
      <c r="V78">
        <v>0</v>
      </c>
      <c r="W78">
        <v>0</v>
      </c>
      <c r="X78">
        <v>0</v>
      </c>
      <c r="Y78">
        <v>0</v>
      </c>
      <c r="Z78">
        <v>0</v>
      </c>
      <c r="AL78" t="s">
        <v>107</v>
      </c>
      <c r="AM78" t="s">
        <v>87</v>
      </c>
      <c r="AN78" t="s">
        <v>87</v>
      </c>
      <c r="AO78" t="s">
        <v>87</v>
      </c>
      <c r="AP78" t="s">
        <v>87</v>
      </c>
      <c r="AQ78" t="s">
        <v>87</v>
      </c>
      <c r="AR78" t="s">
        <v>101</v>
      </c>
      <c r="AS78" t="s">
        <v>76</v>
      </c>
      <c r="AT78" t="s">
        <v>107</v>
      </c>
      <c r="AU78">
        <v>1</v>
      </c>
      <c r="AV78">
        <v>0</v>
      </c>
      <c r="AW78">
        <v>0</v>
      </c>
      <c r="AX78">
        <v>0</v>
      </c>
      <c r="AY78">
        <v>0</v>
      </c>
      <c r="AZ78" t="s">
        <v>580</v>
      </c>
    </row>
    <row r="79" spans="1:52" x14ac:dyDescent="0.2">
      <c r="A79">
        <v>1</v>
      </c>
      <c r="B79">
        <v>0</v>
      </c>
      <c r="C79">
        <v>0</v>
      </c>
      <c r="D79">
        <v>0</v>
      </c>
      <c r="E79">
        <v>0</v>
      </c>
      <c r="F79">
        <v>1</v>
      </c>
      <c r="G79">
        <v>0</v>
      </c>
      <c r="H79">
        <v>1</v>
      </c>
      <c r="I79">
        <v>0</v>
      </c>
      <c r="J79" t="s">
        <v>79</v>
      </c>
      <c r="K79" t="s">
        <v>80</v>
      </c>
      <c r="L79">
        <v>1</v>
      </c>
      <c r="M79">
        <v>0</v>
      </c>
      <c r="N79">
        <v>0</v>
      </c>
      <c r="O79">
        <v>0</v>
      </c>
      <c r="P79">
        <v>0</v>
      </c>
      <c r="Q79" t="s">
        <v>584</v>
      </c>
      <c r="R79">
        <v>0</v>
      </c>
      <c r="S79">
        <v>0</v>
      </c>
      <c r="T79">
        <v>1</v>
      </c>
      <c r="U79">
        <v>0</v>
      </c>
      <c r="V79">
        <v>0</v>
      </c>
      <c r="W79">
        <v>0</v>
      </c>
      <c r="X79">
        <v>0</v>
      </c>
      <c r="Y79">
        <v>0</v>
      </c>
      <c r="Z79">
        <v>0</v>
      </c>
      <c r="AL79" t="s">
        <v>73</v>
      </c>
      <c r="AM79" t="s">
        <v>74</v>
      </c>
      <c r="AR79" t="s">
        <v>75</v>
      </c>
      <c r="AS79" t="s">
        <v>76</v>
      </c>
      <c r="AT79" t="s">
        <v>73</v>
      </c>
      <c r="AU79">
        <v>1</v>
      </c>
      <c r="AV79">
        <v>0</v>
      </c>
      <c r="AW79">
        <v>0</v>
      </c>
      <c r="AX79">
        <v>0</v>
      </c>
      <c r="AY79">
        <v>0</v>
      </c>
      <c r="AZ79" t="s">
        <v>580</v>
      </c>
    </row>
    <row r="80" spans="1:52" x14ac:dyDescent="0.2">
      <c r="A80">
        <v>0</v>
      </c>
      <c r="B80">
        <v>1</v>
      </c>
      <c r="C80">
        <v>0</v>
      </c>
      <c r="D80">
        <v>0</v>
      </c>
      <c r="E80">
        <v>0</v>
      </c>
      <c r="F80">
        <v>0</v>
      </c>
      <c r="G80">
        <v>1</v>
      </c>
      <c r="H80">
        <v>0</v>
      </c>
      <c r="I80">
        <v>0</v>
      </c>
      <c r="J80" t="s">
        <v>135</v>
      </c>
      <c r="K80" t="s">
        <v>142</v>
      </c>
      <c r="L80">
        <v>1</v>
      </c>
      <c r="M80">
        <v>0</v>
      </c>
      <c r="N80">
        <v>0</v>
      </c>
      <c r="O80">
        <v>0</v>
      </c>
      <c r="P80">
        <v>0</v>
      </c>
      <c r="Q80" t="s">
        <v>584</v>
      </c>
      <c r="R80">
        <v>0</v>
      </c>
      <c r="S80">
        <v>0</v>
      </c>
      <c r="T80">
        <v>1</v>
      </c>
      <c r="U80">
        <v>0</v>
      </c>
      <c r="V80">
        <v>1</v>
      </c>
      <c r="W80">
        <v>0</v>
      </c>
      <c r="X80">
        <v>0</v>
      </c>
      <c r="Y80">
        <v>1</v>
      </c>
      <c r="Z80">
        <v>0</v>
      </c>
      <c r="AL80" t="s">
        <v>73</v>
      </c>
      <c r="AM80" t="s">
        <v>74</v>
      </c>
      <c r="AR80" t="s">
        <v>75</v>
      </c>
      <c r="AS80" t="s">
        <v>92</v>
      </c>
      <c r="AT80" t="s">
        <v>73</v>
      </c>
      <c r="AU80">
        <v>1</v>
      </c>
      <c r="AV80">
        <v>0</v>
      </c>
      <c r="AW80">
        <v>0</v>
      </c>
      <c r="AX80">
        <v>0</v>
      </c>
      <c r="AY80">
        <v>0</v>
      </c>
      <c r="AZ80" t="s">
        <v>579</v>
      </c>
    </row>
    <row r="81" spans="1:52" x14ac:dyDescent="0.2">
      <c r="A81">
        <v>1</v>
      </c>
      <c r="B81">
        <v>0</v>
      </c>
      <c r="C81">
        <v>0</v>
      </c>
      <c r="D81">
        <v>0</v>
      </c>
      <c r="E81">
        <v>0</v>
      </c>
      <c r="F81">
        <v>1</v>
      </c>
      <c r="G81">
        <v>1</v>
      </c>
      <c r="H81">
        <v>0</v>
      </c>
      <c r="I81">
        <v>0</v>
      </c>
      <c r="J81" t="s">
        <v>88</v>
      </c>
      <c r="K81" t="s">
        <v>89</v>
      </c>
      <c r="L81">
        <v>0</v>
      </c>
      <c r="M81">
        <v>0</v>
      </c>
      <c r="N81">
        <v>1</v>
      </c>
      <c r="O81">
        <v>0</v>
      </c>
      <c r="P81">
        <v>0</v>
      </c>
      <c r="Q81" t="s">
        <v>584</v>
      </c>
      <c r="AA81" t="s">
        <v>81</v>
      </c>
      <c r="AB81" t="s">
        <v>82</v>
      </c>
      <c r="AC81" t="s">
        <v>83</v>
      </c>
      <c r="AD81" t="s">
        <v>82</v>
      </c>
      <c r="AE81" t="s">
        <v>82</v>
      </c>
      <c r="AF81" t="s">
        <v>81</v>
      </c>
      <c r="AG81" t="s">
        <v>83</v>
      </c>
      <c r="AH81" t="s">
        <v>83</v>
      </c>
      <c r="AI81" t="s">
        <v>88</v>
      </c>
      <c r="AJ81" t="s">
        <v>89</v>
      </c>
      <c r="AK81" t="s">
        <v>100</v>
      </c>
      <c r="AL81" t="s">
        <v>73</v>
      </c>
      <c r="AM81" t="s">
        <v>87</v>
      </c>
      <c r="AN81" t="s">
        <v>87</v>
      </c>
      <c r="AO81" t="s">
        <v>87</v>
      </c>
      <c r="AP81" t="s">
        <v>86</v>
      </c>
      <c r="AQ81" t="s">
        <v>86</v>
      </c>
      <c r="AR81" t="s">
        <v>97</v>
      </c>
      <c r="AS81" t="s">
        <v>76</v>
      </c>
      <c r="AT81" t="s">
        <v>73</v>
      </c>
      <c r="AU81">
        <v>1</v>
      </c>
      <c r="AV81">
        <v>0</v>
      </c>
      <c r="AW81">
        <v>0</v>
      </c>
      <c r="AX81">
        <v>0</v>
      </c>
      <c r="AY81">
        <v>0</v>
      </c>
      <c r="AZ81" t="s">
        <v>580</v>
      </c>
    </row>
    <row r="82" spans="1:52" x14ac:dyDescent="0.2">
      <c r="A82">
        <v>0</v>
      </c>
      <c r="B82">
        <v>1</v>
      </c>
      <c r="C82">
        <v>0</v>
      </c>
      <c r="D82">
        <v>0</v>
      </c>
      <c r="E82">
        <v>1</v>
      </c>
      <c r="F82">
        <v>0</v>
      </c>
      <c r="G82">
        <v>0</v>
      </c>
      <c r="H82">
        <v>0</v>
      </c>
      <c r="I82">
        <v>0</v>
      </c>
      <c r="L82">
        <v>1</v>
      </c>
      <c r="M82">
        <v>0</v>
      </c>
      <c r="N82">
        <v>0</v>
      </c>
      <c r="O82">
        <v>0</v>
      </c>
      <c r="P82">
        <v>0</v>
      </c>
      <c r="Q82" t="s">
        <v>584</v>
      </c>
      <c r="R82">
        <v>0</v>
      </c>
      <c r="S82">
        <v>0</v>
      </c>
      <c r="T82">
        <v>0</v>
      </c>
      <c r="U82">
        <v>0</v>
      </c>
      <c r="V82">
        <v>0</v>
      </c>
      <c r="W82">
        <v>0</v>
      </c>
      <c r="X82">
        <v>1</v>
      </c>
      <c r="Y82">
        <v>0</v>
      </c>
      <c r="Z82">
        <v>0</v>
      </c>
      <c r="AL82" t="s">
        <v>107</v>
      </c>
      <c r="AM82" t="s">
        <v>74</v>
      </c>
      <c r="AR82" t="s">
        <v>97</v>
      </c>
      <c r="AS82" t="s">
        <v>76</v>
      </c>
      <c r="AT82" t="s">
        <v>107</v>
      </c>
      <c r="AU82">
        <v>1</v>
      </c>
      <c r="AV82">
        <v>0</v>
      </c>
      <c r="AW82">
        <v>0</v>
      </c>
      <c r="AX82">
        <v>0</v>
      </c>
      <c r="AY82">
        <v>0</v>
      </c>
      <c r="AZ82" t="s">
        <v>580</v>
      </c>
    </row>
    <row r="83" spans="1:52" x14ac:dyDescent="0.2">
      <c r="A83">
        <v>0</v>
      </c>
      <c r="B83">
        <v>1</v>
      </c>
      <c r="C83">
        <v>0</v>
      </c>
      <c r="D83">
        <v>0</v>
      </c>
      <c r="E83">
        <v>0</v>
      </c>
      <c r="F83">
        <v>1</v>
      </c>
      <c r="G83">
        <v>1</v>
      </c>
      <c r="H83">
        <v>1</v>
      </c>
      <c r="I83">
        <v>0</v>
      </c>
      <c r="J83" t="s">
        <v>88</v>
      </c>
      <c r="K83" t="s">
        <v>89</v>
      </c>
      <c r="L83">
        <v>1</v>
      </c>
      <c r="M83">
        <v>0</v>
      </c>
      <c r="N83">
        <v>0</v>
      </c>
      <c r="O83">
        <v>0</v>
      </c>
      <c r="P83">
        <v>0</v>
      </c>
      <c r="Q83" t="s">
        <v>584</v>
      </c>
      <c r="R83">
        <v>0</v>
      </c>
      <c r="S83">
        <v>0</v>
      </c>
      <c r="T83">
        <v>1</v>
      </c>
      <c r="U83">
        <v>0</v>
      </c>
      <c r="V83">
        <v>0</v>
      </c>
      <c r="W83">
        <v>0</v>
      </c>
      <c r="X83">
        <v>0</v>
      </c>
      <c r="Y83">
        <v>0</v>
      </c>
      <c r="Z83">
        <v>0</v>
      </c>
      <c r="AL83" t="s">
        <v>73</v>
      </c>
      <c r="AM83" t="s">
        <v>87</v>
      </c>
      <c r="AN83" t="s">
        <v>87</v>
      </c>
      <c r="AO83" t="s">
        <v>87</v>
      </c>
      <c r="AP83" t="s">
        <v>87</v>
      </c>
      <c r="AQ83" t="s">
        <v>87</v>
      </c>
      <c r="AR83" t="s">
        <v>113</v>
      </c>
      <c r="AS83" t="s">
        <v>76</v>
      </c>
      <c r="AT83" t="s">
        <v>73</v>
      </c>
      <c r="AU83">
        <v>1</v>
      </c>
      <c r="AV83">
        <v>0</v>
      </c>
      <c r="AW83">
        <v>0</v>
      </c>
      <c r="AX83">
        <v>0</v>
      </c>
      <c r="AY83">
        <v>0</v>
      </c>
      <c r="AZ83" t="s">
        <v>579</v>
      </c>
    </row>
    <row r="84" spans="1:52" x14ac:dyDescent="0.2">
      <c r="A84">
        <v>1</v>
      </c>
      <c r="B84">
        <v>0</v>
      </c>
      <c r="C84">
        <v>0</v>
      </c>
      <c r="D84">
        <v>0</v>
      </c>
      <c r="E84">
        <v>0</v>
      </c>
      <c r="F84">
        <v>1</v>
      </c>
      <c r="G84">
        <v>1</v>
      </c>
      <c r="H84">
        <v>1</v>
      </c>
      <c r="I84">
        <v>0</v>
      </c>
      <c r="J84" t="s">
        <v>135</v>
      </c>
      <c r="K84" t="s">
        <v>80</v>
      </c>
      <c r="L84">
        <v>0</v>
      </c>
      <c r="M84">
        <v>0</v>
      </c>
      <c r="N84">
        <v>1</v>
      </c>
      <c r="O84">
        <v>0</v>
      </c>
      <c r="P84">
        <v>0</v>
      </c>
      <c r="Q84" t="s">
        <v>584</v>
      </c>
      <c r="AA84" t="s">
        <v>82</v>
      </c>
      <c r="AB84" t="s">
        <v>82</v>
      </c>
      <c r="AC84" t="s">
        <v>81</v>
      </c>
      <c r="AD84" t="s">
        <v>81</v>
      </c>
      <c r="AE84" t="s">
        <v>82</v>
      </c>
      <c r="AF84" t="s">
        <v>82</v>
      </c>
      <c r="AG84" t="s">
        <v>83</v>
      </c>
      <c r="AH84" t="s">
        <v>83</v>
      </c>
      <c r="AI84" t="s">
        <v>88</v>
      </c>
      <c r="AJ84" t="s">
        <v>80</v>
      </c>
      <c r="AK84" t="s">
        <v>85</v>
      </c>
      <c r="AL84" t="s">
        <v>73</v>
      </c>
      <c r="AM84" t="s">
        <v>87</v>
      </c>
      <c r="AN84" t="s">
        <v>87</v>
      </c>
      <c r="AO84" t="s">
        <v>87</v>
      </c>
      <c r="AP84" t="s">
        <v>87</v>
      </c>
      <c r="AQ84" t="s">
        <v>87</v>
      </c>
      <c r="AR84" t="s">
        <v>75</v>
      </c>
      <c r="AS84" t="s">
        <v>76</v>
      </c>
      <c r="AT84" t="s">
        <v>73</v>
      </c>
      <c r="AU84">
        <v>0</v>
      </c>
      <c r="AV84">
        <v>0</v>
      </c>
      <c r="AW84">
        <v>0</v>
      </c>
      <c r="AX84">
        <v>1</v>
      </c>
      <c r="AY84">
        <v>0</v>
      </c>
      <c r="AZ84" t="s">
        <v>579</v>
      </c>
    </row>
    <row r="85" spans="1:52" x14ac:dyDescent="0.2">
      <c r="A85">
        <v>1</v>
      </c>
      <c r="B85">
        <v>0</v>
      </c>
      <c r="C85">
        <v>0</v>
      </c>
      <c r="D85">
        <v>0</v>
      </c>
      <c r="E85">
        <v>1</v>
      </c>
      <c r="F85">
        <v>0</v>
      </c>
      <c r="G85">
        <v>0</v>
      </c>
      <c r="H85">
        <v>0</v>
      </c>
      <c r="I85">
        <v>0</v>
      </c>
      <c r="L85">
        <v>1</v>
      </c>
      <c r="M85">
        <v>0</v>
      </c>
      <c r="N85">
        <v>0</v>
      </c>
      <c r="O85">
        <v>0</v>
      </c>
      <c r="P85">
        <v>0</v>
      </c>
      <c r="Q85" t="s">
        <v>584</v>
      </c>
      <c r="R85">
        <v>0</v>
      </c>
      <c r="S85">
        <v>0</v>
      </c>
      <c r="T85">
        <v>0</v>
      </c>
      <c r="U85">
        <v>0</v>
      </c>
      <c r="V85">
        <v>0</v>
      </c>
      <c r="W85">
        <v>0</v>
      </c>
      <c r="X85">
        <v>1</v>
      </c>
      <c r="Y85">
        <v>1</v>
      </c>
      <c r="Z85">
        <v>1</v>
      </c>
      <c r="AL85" t="s">
        <v>107</v>
      </c>
      <c r="AM85" t="s">
        <v>86</v>
      </c>
      <c r="AN85" t="s">
        <v>87</v>
      </c>
      <c r="AO85" t="s">
        <v>74</v>
      </c>
      <c r="AP85" t="s">
        <v>87</v>
      </c>
      <c r="AQ85" t="s">
        <v>74</v>
      </c>
      <c r="AR85" t="s">
        <v>159</v>
      </c>
      <c r="AS85" t="s">
        <v>76</v>
      </c>
      <c r="AT85" t="s">
        <v>107</v>
      </c>
      <c r="AU85">
        <v>1</v>
      </c>
      <c r="AV85">
        <v>0</v>
      </c>
      <c r="AW85">
        <v>0</v>
      </c>
      <c r="AX85">
        <v>0</v>
      </c>
      <c r="AY85">
        <v>0</v>
      </c>
      <c r="AZ85" t="s">
        <v>579</v>
      </c>
    </row>
    <row r="86" spans="1:52" x14ac:dyDescent="0.2">
      <c r="A86">
        <v>1</v>
      </c>
      <c r="B86">
        <v>0</v>
      </c>
      <c r="C86">
        <v>0</v>
      </c>
      <c r="D86">
        <v>0</v>
      </c>
      <c r="E86">
        <v>1</v>
      </c>
      <c r="F86">
        <v>0</v>
      </c>
      <c r="G86">
        <v>0</v>
      </c>
      <c r="H86">
        <v>0</v>
      </c>
      <c r="I86">
        <v>0</v>
      </c>
      <c r="L86">
        <v>0</v>
      </c>
      <c r="M86">
        <v>1</v>
      </c>
      <c r="N86">
        <v>0</v>
      </c>
      <c r="O86">
        <v>0</v>
      </c>
      <c r="P86">
        <v>0</v>
      </c>
      <c r="Q86" t="s">
        <v>584</v>
      </c>
      <c r="AA86" t="s">
        <v>82</v>
      </c>
      <c r="AB86" t="s">
        <v>83</v>
      </c>
      <c r="AC86" t="s">
        <v>81</v>
      </c>
      <c r="AD86" t="s">
        <v>81</v>
      </c>
      <c r="AE86" t="s">
        <v>82</v>
      </c>
      <c r="AF86" t="s">
        <v>83</v>
      </c>
      <c r="AG86" t="s">
        <v>81</v>
      </c>
      <c r="AH86" t="s">
        <v>83</v>
      </c>
      <c r="AI86" t="s">
        <v>84</v>
      </c>
      <c r="AJ86" t="s">
        <v>80</v>
      </c>
      <c r="AK86" t="s">
        <v>169</v>
      </c>
      <c r="AL86" t="s">
        <v>73</v>
      </c>
      <c r="AM86" t="s">
        <v>87</v>
      </c>
      <c r="AN86" t="s">
        <v>86</v>
      </c>
      <c r="AO86" t="s">
        <v>86</v>
      </c>
      <c r="AP86" t="s">
        <v>87</v>
      </c>
      <c r="AQ86" t="s">
        <v>86</v>
      </c>
      <c r="AR86" t="s">
        <v>97</v>
      </c>
      <c r="AS86" t="s">
        <v>76</v>
      </c>
      <c r="AT86" t="s">
        <v>73</v>
      </c>
      <c r="AU86">
        <v>1</v>
      </c>
      <c r="AV86">
        <v>0</v>
      </c>
      <c r="AW86">
        <v>0</v>
      </c>
      <c r="AX86">
        <v>0</v>
      </c>
      <c r="AY86">
        <v>0</v>
      </c>
      <c r="AZ86" t="s">
        <v>581</v>
      </c>
    </row>
    <row r="87" spans="1:52" x14ac:dyDescent="0.2">
      <c r="A87">
        <v>1</v>
      </c>
      <c r="B87">
        <v>0</v>
      </c>
      <c r="C87">
        <v>0</v>
      </c>
      <c r="D87">
        <v>0</v>
      </c>
      <c r="E87">
        <v>0</v>
      </c>
      <c r="F87">
        <v>1</v>
      </c>
      <c r="G87">
        <v>1</v>
      </c>
      <c r="H87">
        <v>1</v>
      </c>
      <c r="I87">
        <v>0</v>
      </c>
      <c r="J87" t="s">
        <v>79</v>
      </c>
      <c r="K87" t="s">
        <v>80</v>
      </c>
      <c r="L87">
        <v>0</v>
      </c>
      <c r="M87">
        <v>0</v>
      </c>
      <c r="N87">
        <v>1</v>
      </c>
      <c r="O87">
        <v>0</v>
      </c>
      <c r="P87">
        <v>0</v>
      </c>
      <c r="Q87" t="s">
        <v>585</v>
      </c>
      <c r="AA87" t="s">
        <v>83</v>
      </c>
      <c r="AB87" t="s">
        <v>81</v>
      </c>
      <c r="AC87" t="s">
        <v>82</v>
      </c>
      <c r="AD87" t="s">
        <v>81</v>
      </c>
      <c r="AE87" t="s">
        <v>81</v>
      </c>
      <c r="AF87" t="s">
        <v>83</v>
      </c>
      <c r="AG87" t="s">
        <v>81</v>
      </c>
      <c r="AH87" t="s">
        <v>83</v>
      </c>
      <c r="AI87" t="s">
        <v>88</v>
      </c>
      <c r="AJ87" t="s">
        <v>89</v>
      </c>
      <c r="AK87" t="s">
        <v>100</v>
      </c>
      <c r="AL87" t="s">
        <v>73</v>
      </c>
      <c r="AM87" t="s">
        <v>86</v>
      </c>
      <c r="AN87" t="s">
        <v>74</v>
      </c>
      <c r="AO87" t="s">
        <v>86</v>
      </c>
      <c r="AP87" t="s">
        <v>87</v>
      </c>
      <c r="AQ87" t="s">
        <v>86</v>
      </c>
      <c r="AR87" t="s">
        <v>108</v>
      </c>
      <c r="AS87" t="s">
        <v>171</v>
      </c>
      <c r="AT87" t="s">
        <v>73</v>
      </c>
      <c r="AU87">
        <v>0</v>
      </c>
      <c r="AV87">
        <v>1</v>
      </c>
      <c r="AW87">
        <v>0</v>
      </c>
      <c r="AX87">
        <v>1</v>
      </c>
      <c r="AY87">
        <v>0</v>
      </c>
      <c r="AZ87" t="s">
        <v>579</v>
      </c>
    </row>
    <row r="88" spans="1:52" x14ac:dyDescent="0.2">
      <c r="A88">
        <v>1</v>
      </c>
      <c r="B88">
        <v>0</v>
      </c>
      <c r="C88">
        <v>0</v>
      </c>
      <c r="D88">
        <v>0</v>
      </c>
      <c r="E88">
        <v>0</v>
      </c>
      <c r="F88">
        <v>1</v>
      </c>
      <c r="G88">
        <v>0</v>
      </c>
      <c r="H88">
        <v>0</v>
      </c>
      <c r="I88">
        <v>0</v>
      </c>
      <c r="J88" t="s">
        <v>88</v>
      </c>
      <c r="K88" t="s">
        <v>89</v>
      </c>
      <c r="L88">
        <v>1</v>
      </c>
      <c r="M88">
        <v>0</v>
      </c>
      <c r="N88">
        <v>0</v>
      </c>
      <c r="O88">
        <v>0</v>
      </c>
      <c r="P88">
        <v>0</v>
      </c>
      <c r="Q88" t="s">
        <v>584</v>
      </c>
      <c r="R88">
        <v>0</v>
      </c>
      <c r="S88">
        <v>0</v>
      </c>
      <c r="T88">
        <v>0</v>
      </c>
      <c r="U88">
        <v>0</v>
      </c>
      <c r="V88">
        <v>0</v>
      </c>
      <c r="W88">
        <v>0</v>
      </c>
      <c r="X88">
        <v>0</v>
      </c>
      <c r="Y88">
        <v>0</v>
      </c>
      <c r="Z88">
        <v>1</v>
      </c>
      <c r="AL88" t="s">
        <v>73</v>
      </c>
      <c r="AM88" t="s">
        <v>86</v>
      </c>
      <c r="AN88" t="s">
        <v>74</v>
      </c>
      <c r="AO88" t="s">
        <v>87</v>
      </c>
      <c r="AP88" t="s">
        <v>74</v>
      </c>
      <c r="AQ88" t="s">
        <v>74</v>
      </c>
      <c r="AR88" t="s">
        <v>97</v>
      </c>
      <c r="AS88" t="s">
        <v>92</v>
      </c>
      <c r="AT88" t="s">
        <v>73</v>
      </c>
      <c r="AU88">
        <v>1</v>
      </c>
      <c r="AV88">
        <v>0</v>
      </c>
      <c r="AW88">
        <v>0</v>
      </c>
      <c r="AX88">
        <v>0</v>
      </c>
      <c r="AY88">
        <v>0</v>
      </c>
      <c r="AZ88" t="s">
        <v>580</v>
      </c>
    </row>
    <row r="89" spans="1:52" x14ac:dyDescent="0.2">
      <c r="A89">
        <v>1</v>
      </c>
      <c r="B89">
        <v>0</v>
      </c>
      <c r="C89">
        <v>0</v>
      </c>
      <c r="D89">
        <v>0</v>
      </c>
      <c r="E89">
        <v>1</v>
      </c>
      <c r="F89">
        <v>0</v>
      </c>
      <c r="G89">
        <v>0</v>
      </c>
      <c r="H89">
        <v>0</v>
      </c>
      <c r="I89">
        <v>0</v>
      </c>
      <c r="L89">
        <v>1</v>
      </c>
      <c r="M89">
        <v>0</v>
      </c>
      <c r="N89">
        <v>0</v>
      </c>
      <c r="O89">
        <v>0</v>
      </c>
      <c r="P89">
        <v>0</v>
      </c>
      <c r="Q89" t="s">
        <v>584</v>
      </c>
      <c r="R89">
        <v>0</v>
      </c>
      <c r="S89">
        <v>0</v>
      </c>
      <c r="T89">
        <v>0</v>
      </c>
      <c r="U89">
        <v>0</v>
      </c>
      <c r="V89">
        <v>0</v>
      </c>
      <c r="W89">
        <v>0</v>
      </c>
      <c r="X89">
        <v>1</v>
      </c>
      <c r="Y89">
        <v>0</v>
      </c>
      <c r="Z89">
        <v>0</v>
      </c>
      <c r="AL89" t="s">
        <v>107</v>
      </c>
      <c r="AM89" t="s">
        <v>74</v>
      </c>
      <c r="AR89" t="s">
        <v>75</v>
      </c>
      <c r="AS89" t="s">
        <v>76</v>
      </c>
      <c r="AT89" t="s">
        <v>107</v>
      </c>
      <c r="AU89">
        <v>0</v>
      </c>
      <c r="AV89">
        <v>0</v>
      </c>
      <c r="AW89">
        <v>0</v>
      </c>
      <c r="AX89">
        <v>1</v>
      </c>
      <c r="AY89">
        <v>0</v>
      </c>
      <c r="AZ89" t="s">
        <v>580</v>
      </c>
    </row>
    <row r="90" spans="1:52" x14ac:dyDescent="0.2">
      <c r="A90">
        <v>1</v>
      </c>
      <c r="B90">
        <v>0</v>
      </c>
      <c r="C90">
        <v>0</v>
      </c>
      <c r="D90">
        <v>0</v>
      </c>
      <c r="E90">
        <v>0</v>
      </c>
      <c r="F90">
        <v>1</v>
      </c>
      <c r="G90">
        <v>0</v>
      </c>
      <c r="H90">
        <v>0</v>
      </c>
      <c r="I90">
        <v>0</v>
      </c>
      <c r="J90" t="s">
        <v>88</v>
      </c>
      <c r="K90" t="s">
        <v>89</v>
      </c>
      <c r="L90">
        <v>0</v>
      </c>
      <c r="M90">
        <v>1</v>
      </c>
      <c r="N90">
        <v>0</v>
      </c>
      <c r="O90">
        <v>0</v>
      </c>
      <c r="P90">
        <v>0</v>
      </c>
      <c r="Q90" t="s">
        <v>584</v>
      </c>
      <c r="AA90" t="s">
        <v>83</v>
      </c>
      <c r="AB90" t="s">
        <v>82</v>
      </c>
      <c r="AC90" t="s">
        <v>81</v>
      </c>
      <c r="AD90" t="s">
        <v>81</v>
      </c>
      <c r="AE90" t="s">
        <v>81</v>
      </c>
      <c r="AF90" t="s">
        <v>83</v>
      </c>
      <c r="AG90" t="s">
        <v>83</v>
      </c>
      <c r="AH90" t="s">
        <v>83</v>
      </c>
      <c r="AI90" t="s">
        <v>88</v>
      </c>
      <c r="AJ90" t="s">
        <v>89</v>
      </c>
      <c r="AK90" t="s">
        <v>100</v>
      </c>
      <c r="AL90" t="s">
        <v>107</v>
      </c>
      <c r="AM90" t="s">
        <v>87</v>
      </c>
      <c r="AN90" t="s">
        <v>87</v>
      </c>
      <c r="AO90" t="s">
        <v>87</v>
      </c>
      <c r="AP90" t="s">
        <v>87</v>
      </c>
      <c r="AQ90" t="s">
        <v>87</v>
      </c>
      <c r="AR90" t="s">
        <v>101</v>
      </c>
      <c r="AS90" t="s">
        <v>76</v>
      </c>
      <c r="AT90" t="s">
        <v>107</v>
      </c>
      <c r="AU90">
        <v>1</v>
      </c>
      <c r="AV90">
        <v>0</v>
      </c>
      <c r="AW90">
        <v>0</v>
      </c>
      <c r="AX90">
        <v>0</v>
      </c>
      <c r="AY90">
        <v>0</v>
      </c>
      <c r="AZ90" t="s">
        <v>580</v>
      </c>
    </row>
    <row r="91" spans="1:52" x14ac:dyDescent="0.2">
      <c r="A91">
        <v>1</v>
      </c>
      <c r="B91">
        <v>0</v>
      </c>
      <c r="C91">
        <v>0</v>
      </c>
      <c r="D91">
        <v>0</v>
      </c>
      <c r="E91">
        <v>1</v>
      </c>
      <c r="F91">
        <v>0</v>
      </c>
      <c r="G91">
        <v>0</v>
      </c>
      <c r="H91">
        <v>0</v>
      </c>
      <c r="I91">
        <v>0</v>
      </c>
      <c r="L91">
        <v>1</v>
      </c>
      <c r="M91">
        <v>0</v>
      </c>
      <c r="N91">
        <v>0</v>
      </c>
      <c r="O91">
        <v>0</v>
      </c>
      <c r="P91">
        <v>0</v>
      </c>
      <c r="Q91" t="s">
        <v>584</v>
      </c>
      <c r="R91">
        <v>0</v>
      </c>
      <c r="S91">
        <v>0</v>
      </c>
      <c r="T91">
        <v>1</v>
      </c>
      <c r="U91">
        <v>1</v>
      </c>
      <c r="V91">
        <v>0</v>
      </c>
      <c r="W91">
        <v>1</v>
      </c>
      <c r="X91">
        <v>0</v>
      </c>
      <c r="Y91">
        <v>0</v>
      </c>
      <c r="Z91">
        <v>0</v>
      </c>
      <c r="AL91" t="s">
        <v>120</v>
      </c>
      <c r="AM91" t="s">
        <v>86</v>
      </c>
      <c r="AN91" t="s">
        <v>86</v>
      </c>
      <c r="AO91" t="s">
        <v>86</v>
      </c>
      <c r="AP91" t="s">
        <v>86</v>
      </c>
      <c r="AQ91" t="s">
        <v>86</v>
      </c>
      <c r="AR91" t="s">
        <v>97</v>
      </c>
      <c r="AS91" t="s">
        <v>76</v>
      </c>
      <c r="AT91" t="s">
        <v>120</v>
      </c>
      <c r="AU91">
        <v>1</v>
      </c>
      <c r="AV91">
        <v>0</v>
      </c>
      <c r="AW91">
        <v>0</v>
      </c>
      <c r="AX91">
        <v>0</v>
      </c>
      <c r="AY91">
        <v>0</v>
      </c>
      <c r="AZ91" t="s">
        <v>580</v>
      </c>
    </row>
    <row r="92" spans="1:52" x14ac:dyDescent="0.2">
      <c r="A92">
        <v>1</v>
      </c>
      <c r="B92">
        <v>0</v>
      </c>
      <c r="C92">
        <v>0</v>
      </c>
      <c r="D92">
        <v>0</v>
      </c>
      <c r="E92">
        <v>0</v>
      </c>
      <c r="F92">
        <v>1</v>
      </c>
      <c r="G92">
        <v>0</v>
      </c>
      <c r="H92">
        <v>1</v>
      </c>
      <c r="I92">
        <v>0</v>
      </c>
      <c r="J92" t="s">
        <v>88</v>
      </c>
      <c r="K92" t="s">
        <v>89</v>
      </c>
      <c r="L92">
        <v>0</v>
      </c>
      <c r="M92">
        <v>0</v>
      </c>
      <c r="N92">
        <v>1</v>
      </c>
      <c r="O92">
        <v>0</v>
      </c>
      <c r="P92">
        <v>0</v>
      </c>
      <c r="Q92" t="s">
        <v>584</v>
      </c>
      <c r="AA92" t="s">
        <v>81</v>
      </c>
      <c r="AB92" t="s">
        <v>82</v>
      </c>
      <c r="AC92" t="s">
        <v>81</v>
      </c>
      <c r="AD92" t="s">
        <v>81</v>
      </c>
      <c r="AE92" t="s">
        <v>81</v>
      </c>
      <c r="AF92" t="s">
        <v>81</v>
      </c>
      <c r="AG92" t="s">
        <v>81</v>
      </c>
      <c r="AH92" t="s">
        <v>83</v>
      </c>
      <c r="AI92" t="s">
        <v>88</v>
      </c>
      <c r="AJ92" t="s">
        <v>89</v>
      </c>
      <c r="AK92" t="s">
        <v>100</v>
      </c>
      <c r="AL92" t="s">
        <v>107</v>
      </c>
      <c r="AM92" t="s">
        <v>87</v>
      </c>
      <c r="AN92" t="s">
        <v>87</v>
      </c>
      <c r="AO92" t="s">
        <v>87</v>
      </c>
      <c r="AP92" t="s">
        <v>86</v>
      </c>
      <c r="AQ92" t="s">
        <v>86</v>
      </c>
      <c r="AR92" t="s">
        <v>75</v>
      </c>
      <c r="AS92" t="s">
        <v>92</v>
      </c>
      <c r="AT92" t="s">
        <v>107</v>
      </c>
      <c r="AU92">
        <v>1</v>
      </c>
      <c r="AV92">
        <v>0</v>
      </c>
      <c r="AW92">
        <v>0</v>
      </c>
      <c r="AX92">
        <v>0</v>
      </c>
      <c r="AY92">
        <v>0</v>
      </c>
      <c r="AZ92" t="s">
        <v>578</v>
      </c>
    </row>
    <row r="93" spans="1:52" x14ac:dyDescent="0.2">
      <c r="A93">
        <v>1</v>
      </c>
      <c r="B93">
        <v>0</v>
      </c>
      <c r="C93">
        <v>0</v>
      </c>
      <c r="D93">
        <v>0</v>
      </c>
      <c r="E93">
        <v>0</v>
      </c>
      <c r="F93">
        <v>0</v>
      </c>
      <c r="G93">
        <v>0</v>
      </c>
      <c r="H93">
        <v>0</v>
      </c>
      <c r="I93">
        <v>1</v>
      </c>
      <c r="J93" t="s">
        <v>88</v>
      </c>
      <c r="K93" t="s">
        <v>89</v>
      </c>
      <c r="L93">
        <v>0</v>
      </c>
      <c r="M93">
        <v>0</v>
      </c>
      <c r="N93">
        <v>1</v>
      </c>
      <c r="O93">
        <v>0</v>
      </c>
      <c r="P93">
        <v>0</v>
      </c>
      <c r="Q93" t="s">
        <v>584</v>
      </c>
      <c r="AA93" t="s">
        <v>81</v>
      </c>
      <c r="AB93" t="s">
        <v>81</v>
      </c>
      <c r="AC93" t="s">
        <v>83</v>
      </c>
      <c r="AD93" t="s">
        <v>90</v>
      </c>
      <c r="AE93" t="s">
        <v>82</v>
      </c>
      <c r="AF93" t="s">
        <v>83</v>
      </c>
      <c r="AG93" t="s">
        <v>83</v>
      </c>
      <c r="AH93" t="s">
        <v>83</v>
      </c>
      <c r="AI93" t="s">
        <v>88</v>
      </c>
      <c r="AJ93" t="s">
        <v>89</v>
      </c>
      <c r="AK93" t="s">
        <v>100</v>
      </c>
      <c r="AL93" t="s">
        <v>73</v>
      </c>
      <c r="AM93" t="s">
        <v>86</v>
      </c>
      <c r="AN93" t="s">
        <v>86</v>
      </c>
      <c r="AO93" t="s">
        <v>86</v>
      </c>
      <c r="AP93" t="s">
        <v>87</v>
      </c>
      <c r="AQ93" t="s">
        <v>86</v>
      </c>
      <c r="AR93" t="s">
        <v>97</v>
      </c>
      <c r="AS93" t="s">
        <v>76</v>
      </c>
      <c r="AT93" t="s">
        <v>73</v>
      </c>
      <c r="AU93">
        <v>1</v>
      </c>
      <c r="AV93">
        <v>0</v>
      </c>
      <c r="AW93">
        <v>0</v>
      </c>
      <c r="AX93">
        <v>0</v>
      </c>
      <c r="AY93">
        <v>0</v>
      </c>
      <c r="AZ93" t="s">
        <v>580</v>
      </c>
    </row>
    <row r="94" spans="1:52" x14ac:dyDescent="0.2">
      <c r="A94">
        <v>1</v>
      </c>
      <c r="B94">
        <v>0</v>
      </c>
      <c r="C94">
        <v>0</v>
      </c>
      <c r="D94">
        <v>0</v>
      </c>
      <c r="E94">
        <v>1</v>
      </c>
      <c r="F94">
        <v>0</v>
      </c>
      <c r="G94">
        <v>0</v>
      </c>
      <c r="H94">
        <v>0</v>
      </c>
      <c r="I94">
        <v>0</v>
      </c>
      <c r="L94">
        <v>1</v>
      </c>
      <c r="M94">
        <v>0</v>
      </c>
      <c r="N94">
        <v>0</v>
      </c>
      <c r="O94">
        <v>0</v>
      </c>
      <c r="P94">
        <v>0</v>
      </c>
      <c r="Q94" t="s">
        <v>584</v>
      </c>
      <c r="R94">
        <v>0</v>
      </c>
      <c r="S94">
        <v>0</v>
      </c>
      <c r="T94">
        <v>1</v>
      </c>
      <c r="U94">
        <v>0</v>
      </c>
      <c r="V94">
        <v>0</v>
      </c>
      <c r="W94">
        <v>0</v>
      </c>
      <c r="X94">
        <v>0</v>
      </c>
      <c r="Y94">
        <v>0</v>
      </c>
      <c r="Z94">
        <v>0</v>
      </c>
      <c r="AL94" t="s">
        <v>107</v>
      </c>
      <c r="AM94" t="s">
        <v>87</v>
      </c>
      <c r="AN94" t="s">
        <v>87</v>
      </c>
      <c r="AO94" t="s">
        <v>87</v>
      </c>
      <c r="AP94" t="s">
        <v>87</v>
      </c>
      <c r="AQ94" t="s">
        <v>87</v>
      </c>
      <c r="AR94" t="s">
        <v>75</v>
      </c>
      <c r="AS94" t="s">
        <v>76</v>
      </c>
      <c r="AT94" t="s">
        <v>107</v>
      </c>
      <c r="AU94">
        <v>1</v>
      </c>
      <c r="AV94">
        <v>0</v>
      </c>
      <c r="AW94">
        <v>0</v>
      </c>
      <c r="AX94">
        <v>0</v>
      </c>
      <c r="AY94">
        <v>0</v>
      </c>
      <c r="AZ94" t="s">
        <v>579</v>
      </c>
    </row>
    <row r="95" spans="1:52" x14ac:dyDescent="0.2">
      <c r="A95">
        <v>1</v>
      </c>
      <c r="B95">
        <v>0</v>
      </c>
      <c r="C95">
        <v>0</v>
      </c>
      <c r="D95">
        <v>0</v>
      </c>
      <c r="E95">
        <v>1</v>
      </c>
      <c r="F95">
        <v>0</v>
      </c>
      <c r="G95">
        <v>0</v>
      </c>
      <c r="H95">
        <v>0</v>
      </c>
      <c r="I95">
        <v>0</v>
      </c>
      <c r="L95">
        <v>1</v>
      </c>
      <c r="M95">
        <v>0</v>
      </c>
      <c r="N95">
        <v>0</v>
      </c>
      <c r="O95">
        <v>0</v>
      </c>
      <c r="P95">
        <v>0</v>
      </c>
      <c r="Q95" t="s">
        <v>584</v>
      </c>
      <c r="R95">
        <v>0</v>
      </c>
      <c r="S95">
        <v>0</v>
      </c>
      <c r="T95">
        <v>1</v>
      </c>
      <c r="U95">
        <v>0</v>
      </c>
      <c r="V95">
        <v>0</v>
      </c>
      <c r="W95">
        <v>0</v>
      </c>
      <c r="X95">
        <v>0</v>
      </c>
      <c r="Y95">
        <v>0</v>
      </c>
      <c r="Z95">
        <v>0</v>
      </c>
      <c r="AL95" t="s">
        <v>107</v>
      </c>
      <c r="AM95" t="s">
        <v>86</v>
      </c>
      <c r="AN95" t="s">
        <v>86</v>
      </c>
      <c r="AO95" t="s">
        <v>86</v>
      </c>
      <c r="AP95" t="s">
        <v>74</v>
      </c>
      <c r="AQ95" t="s">
        <v>87</v>
      </c>
      <c r="AR95" t="s">
        <v>97</v>
      </c>
      <c r="AS95" t="s">
        <v>76</v>
      </c>
      <c r="AT95" t="s">
        <v>107</v>
      </c>
      <c r="AU95">
        <v>0</v>
      </c>
      <c r="AV95">
        <v>0</v>
      </c>
      <c r="AW95">
        <v>0</v>
      </c>
      <c r="AX95">
        <v>1</v>
      </c>
      <c r="AY95">
        <v>0</v>
      </c>
      <c r="AZ95" t="s">
        <v>580</v>
      </c>
    </row>
    <row r="96" spans="1:52" x14ac:dyDescent="0.2">
      <c r="A96">
        <v>0</v>
      </c>
      <c r="B96">
        <v>1</v>
      </c>
      <c r="C96">
        <v>0</v>
      </c>
      <c r="D96">
        <v>0</v>
      </c>
      <c r="E96">
        <v>1</v>
      </c>
      <c r="F96">
        <v>0</v>
      </c>
      <c r="G96">
        <v>0</v>
      </c>
      <c r="H96">
        <v>0</v>
      </c>
      <c r="I96">
        <v>0</v>
      </c>
      <c r="L96">
        <v>1</v>
      </c>
      <c r="M96">
        <v>0</v>
      </c>
      <c r="N96">
        <v>0</v>
      </c>
      <c r="O96">
        <v>0</v>
      </c>
      <c r="P96">
        <v>0</v>
      </c>
      <c r="Q96" t="s">
        <v>584</v>
      </c>
      <c r="R96">
        <v>0</v>
      </c>
      <c r="S96">
        <v>1</v>
      </c>
      <c r="T96">
        <v>0</v>
      </c>
      <c r="U96">
        <v>0</v>
      </c>
      <c r="V96">
        <v>0</v>
      </c>
      <c r="W96">
        <v>0</v>
      </c>
      <c r="X96">
        <v>0</v>
      </c>
      <c r="Y96">
        <v>0</v>
      </c>
      <c r="Z96">
        <v>0</v>
      </c>
      <c r="AL96" t="s">
        <v>73</v>
      </c>
      <c r="AM96" t="s">
        <v>74</v>
      </c>
      <c r="AR96" t="s">
        <v>97</v>
      </c>
      <c r="AS96" t="s">
        <v>92</v>
      </c>
      <c r="AT96" t="s">
        <v>73</v>
      </c>
      <c r="AU96">
        <v>1</v>
      </c>
      <c r="AV96">
        <v>0</v>
      </c>
      <c r="AW96">
        <v>0</v>
      </c>
      <c r="AX96">
        <v>0</v>
      </c>
      <c r="AY96">
        <v>0</v>
      </c>
      <c r="AZ96" t="s">
        <v>581</v>
      </c>
    </row>
    <row r="97" spans="1:52" x14ac:dyDescent="0.2">
      <c r="A97">
        <v>0</v>
      </c>
      <c r="B97">
        <v>1</v>
      </c>
      <c r="C97">
        <v>0</v>
      </c>
      <c r="D97">
        <v>0</v>
      </c>
      <c r="E97">
        <v>1</v>
      </c>
      <c r="F97">
        <v>0</v>
      </c>
      <c r="G97">
        <v>0</v>
      </c>
      <c r="H97">
        <v>0</v>
      </c>
      <c r="I97">
        <v>0</v>
      </c>
      <c r="L97">
        <v>0</v>
      </c>
      <c r="M97">
        <v>1</v>
      </c>
      <c r="N97">
        <v>0</v>
      </c>
      <c r="O97">
        <v>0</v>
      </c>
      <c r="P97">
        <v>0</v>
      </c>
      <c r="Q97" t="s">
        <v>584</v>
      </c>
      <c r="AA97" t="s">
        <v>83</v>
      </c>
      <c r="AB97" t="s">
        <v>82</v>
      </c>
      <c r="AC97" t="s">
        <v>83</v>
      </c>
      <c r="AD97" t="s">
        <v>82</v>
      </c>
      <c r="AE97" t="s">
        <v>83</v>
      </c>
      <c r="AF97" t="s">
        <v>83</v>
      </c>
      <c r="AG97" t="s">
        <v>83</v>
      </c>
      <c r="AH97" t="s">
        <v>83</v>
      </c>
      <c r="AI97" t="s">
        <v>88</v>
      </c>
      <c r="AJ97" t="s">
        <v>89</v>
      </c>
      <c r="AK97" t="s">
        <v>100</v>
      </c>
      <c r="AL97" t="s">
        <v>96</v>
      </c>
      <c r="AM97" t="s">
        <v>87</v>
      </c>
      <c r="AN97" t="s">
        <v>74</v>
      </c>
      <c r="AO97" t="s">
        <v>87</v>
      </c>
      <c r="AP97" t="s">
        <v>74</v>
      </c>
      <c r="AQ97" t="s">
        <v>74</v>
      </c>
      <c r="AR97" t="s">
        <v>101</v>
      </c>
      <c r="AS97" t="s">
        <v>76</v>
      </c>
      <c r="AT97" t="s">
        <v>96</v>
      </c>
      <c r="AU97">
        <v>1</v>
      </c>
      <c r="AV97">
        <v>0</v>
      </c>
      <c r="AW97">
        <v>0</v>
      </c>
      <c r="AX97">
        <v>0</v>
      </c>
      <c r="AY97">
        <v>0</v>
      </c>
      <c r="AZ97" t="s">
        <v>579</v>
      </c>
    </row>
    <row r="98" spans="1:52" x14ac:dyDescent="0.2">
      <c r="A98">
        <v>1</v>
      </c>
      <c r="B98">
        <v>1</v>
      </c>
      <c r="C98">
        <v>0</v>
      </c>
      <c r="D98">
        <v>0</v>
      </c>
      <c r="E98">
        <v>0</v>
      </c>
      <c r="F98">
        <v>1</v>
      </c>
      <c r="G98">
        <v>1</v>
      </c>
      <c r="H98">
        <v>0</v>
      </c>
      <c r="I98">
        <v>0</v>
      </c>
      <c r="J98" t="s">
        <v>88</v>
      </c>
      <c r="K98" t="s">
        <v>89</v>
      </c>
      <c r="L98">
        <v>0</v>
      </c>
      <c r="M98">
        <v>0</v>
      </c>
      <c r="N98">
        <v>0</v>
      </c>
      <c r="O98">
        <v>1</v>
      </c>
      <c r="P98">
        <v>0</v>
      </c>
      <c r="Q98" t="s">
        <v>584</v>
      </c>
      <c r="AA98" t="s">
        <v>83</v>
      </c>
      <c r="AB98" t="s">
        <v>82</v>
      </c>
      <c r="AC98" t="s">
        <v>83</v>
      </c>
      <c r="AD98" t="s">
        <v>82</v>
      </c>
      <c r="AE98" t="s">
        <v>81</v>
      </c>
      <c r="AF98" t="s">
        <v>90</v>
      </c>
      <c r="AG98" t="s">
        <v>83</v>
      </c>
      <c r="AH98" t="s">
        <v>81</v>
      </c>
      <c r="AI98" t="s">
        <v>88</v>
      </c>
      <c r="AJ98" t="s">
        <v>89</v>
      </c>
      <c r="AK98" t="s">
        <v>100</v>
      </c>
      <c r="AL98" t="s">
        <v>73</v>
      </c>
      <c r="AM98" t="s">
        <v>86</v>
      </c>
      <c r="AN98" t="s">
        <v>86</v>
      </c>
      <c r="AO98" t="s">
        <v>87</v>
      </c>
      <c r="AP98" t="s">
        <v>74</v>
      </c>
      <c r="AQ98" t="s">
        <v>86</v>
      </c>
      <c r="AR98" t="s">
        <v>113</v>
      </c>
      <c r="AS98" t="s">
        <v>76</v>
      </c>
      <c r="AT98" t="s">
        <v>73</v>
      </c>
      <c r="AU98">
        <v>1</v>
      </c>
      <c r="AV98">
        <v>0</v>
      </c>
      <c r="AW98">
        <v>0</v>
      </c>
      <c r="AX98">
        <v>0</v>
      </c>
      <c r="AY98">
        <v>0</v>
      </c>
      <c r="AZ98" t="s">
        <v>578</v>
      </c>
    </row>
    <row r="99" spans="1:52" x14ac:dyDescent="0.2">
      <c r="A99">
        <v>0</v>
      </c>
      <c r="B99">
        <v>1</v>
      </c>
      <c r="C99">
        <v>0</v>
      </c>
      <c r="D99">
        <v>0</v>
      </c>
      <c r="E99">
        <v>1</v>
      </c>
      <c r="F99">
        <v>0</v>
      </c>
      <c r="G99">
        <v>0</v>
      </c>
      <c r="H99">
        <v>0</v>
      </c>
      <c r="I99">
        <v>0</v>
      </c>
      <c r="L99">
        <v>1</v>
      </c>
      <c r="M99">
        <v>0</v>
      </c>
      <c r="N99">
        <v>0</v>
      </c>
      <c r="O99">
        <v>0</v>
      </c>
      <c r="P99">
        <v>0</v>
      </c>
      <c r="Q99" t="s">
        <v>584</v>
      </c>
      <c r="R99">
        <v>0</v>
      </c>
      <c r="S99">
        <v>1</v>
      </c>
      <c r="T99">
        <v>0</v>
      </c>
      <c r="U99">
        <v>0</v>
      </c>
      <c r="V99">
        <v>0</v>
      </c>
      <c r="W99">
        <v>0</v>
      </c>
      <c r="X99">
        <v>0</v>
      </c>
      <c r="Y99">
        <v>0</v>
      </c>
      <c r="Z99">
        <v>0</v>
      </c>
      <c r="AL99" t="s">
        <v>120</v>
      </c>
      <c r="AM99" t="s">
        <v>86</v>
      </c>
      <c r="AN99" t="s">
        <v>87</v>
      </c>
      <c r="AO99" t="s">
        <v>87</v>
      </c>
      <c r="AP99" t="s">
        <v>87</v>
      </c>
      <c r="AQ99" t="s">
        <v>87</v>
      </c>
      <c r="AR99" t="s">
        <v>101</v>
      </c>
      <c r="AS99" t="s">
        <v>76</v>
      </c>
      <c r="AT99" t="s">
        <v>120</v>
      </c>
      <c r="AU99">
        <v>1</v>
      </c>
      <c r="AV99">
        <v>0</v>
      </c>
      <c r="AW99">
        <v>0</v>
      </c>
      <c r="AX99">
        <v>0</v>
      </c>
      <c r="AY99">
        <v>0</v>
      </c>
      <c r="AZ99" t="s">
        <v>580</v>
      </c>
    </row>
    <row r="100" spans="1:52" x14ac:dyDescent="0.2">
      <c r="A100">
        <v>1</v>
      </c>
      <c r="B100">
        <v>0</v>
      </c>
      <c r="C100">
        <v>0</v>
      </c>
      <c r="D100">
        <v>0</v>
      </c>
      <c r="E100">
        <v>0</v>
      </c>
      <c r="F100">
        <v>1</v>
      </c>
      <c r="G100">
        <v>1</v>
      </c>
      <c r="H100">
        <v>1</v>
      </c>
      <c r="I100">
        <v>0</v>
      </c>
      <c r="J100" t="s">
        <v>135</v>
      </c>
      <c r="K100" t="s">
        <v>80</v>
      </c>
      <c r="L100">
        <v>0</v>
      </c>
      <c r="M100">
        <v>0</v>
      </c>
      <c r="N100">
        <v>1</v>
      </c>
      <c r="O100">
        <v>0</v>
      </c>
      <c r="P100">
        <v>0</v>
      </c>
      <c r="Q100" t="s">
        <v>584</v>
      </c>
      <c r="AA100" t="s">
        <v>83</v>
      </c>
      <c r="AB100" t="s">
        <v>82</v>
      </c>
      <c r="AC100" t="s">
        <v>81</v>
      </c>
      <c r="AD100" t="s">
        <v>81</v>
      </c>
      <c r="AE100" t="s">
        <v>81</v>
      </c>
      <c r="AF100" t="s">
        <v>90</v>
      </c>
      <c r="AG100" t="s">
        <v>81</v>
      </c>
      <c r="AH100" t="s">
        <v>83</v>
      </c>
      <c r="AI100" t="s">
        <v>88</v>
      </c>
      <c r="AJ100" t="s">
        <v>89</v>
      </c>
      <c r="AK100" t="s">
        <v>100</v>
      </c>
      <c r="AL100" t="s">
        <v>107</v>
      </c>
      <c r="AM100" t="s">
        <v>86</v>
      </c>
      <c r="AN100" t="s">
        <v>87</v>
      </c>
      <c r="AO100" t="s">
        <v>86</v>
      </c>
      <c r="AP100" t="s">
        <v>87</v>
      </c>
      <c r="AQ100" t="s">
        <v>86</v>
      </c>
      <c r="AR100" t="s">
        <v>75</v>
      </c>
      <c r="AS100" t="s">
        <v>76</v>
      </c>
      <c r="AT100" t="s">
        <v>107</v>
      </c>
      <c r="AU100">
        <v>1</v>
      </c>
      <c r="AV100">
        <v>0</v>
      </c>
      <c r="AW100">
        <v>0</v>
      </c>
      <c r="AX100">
        <v>0</v>
      </c>
      <c r="AY100">
        <v>0</v>
      </c>
      <c r="AZ100" t="s">
        <v>579</v>
      </c>
    </row>
    <row r="101" spans="1:52" x14ac:dyDescent="0.2">
      <c r="A101">
        <v>0</v>
      </c>
      <c r="B101">
        <v>0</v>
      </c>
      <c r="C101">
        <v>0</v>
      </c>
      <c r="D101">
        <v>1</v>
      </c>
      <c r="L101">
        <v>1</v>
      </c>
      <c r="M101">
        <v>0</v>
      </c>
      <c r="N101">
        <v>0</v>
      </c>
      <c r="O101">
        <v>0</v>
      </c>
      <c r="P101">
        <v>0</v>
      </c>
      <c r="Q101" t="s">
        <v>584</v>
      </c>
      <c r="R101">
        <v>0</v>
      </c>
      <c r="S101">
        <v>0</v>
      </c>
      <c r="T101">
        <v>0</v>
      </c>
      <c r="U101">
        <v>0</v>
      </c>
      <c r="V101">
        <v>0</v>
      </c>
      <c r="W101">
        <v>1</v>
      </c>
      <c r="X101">
        <v>0</v>
      </c>
      <c r="Y101">
        <v>1</v>
      </c>
      <c r="Z101">
        <v>0</v>
      </c>
      <c r="AL101" t="s">
        <v>107</v>
      </c>
      <c r="AR101" t="s">
        <v>97</v>
      </c>
      <c r="AS101" t="s">
        <v>92</v>
      </c>
      <c r="AT101" t="s">
        <v>107</v>
      </c>
      <c r="AU101">
        <v>1</v>
      </c>
      <c r="AV101">
        <v>0</v>
      </c>
      <c r="AW101">
        <v>0</v>
      </c>
      <c r="AX101">
        <v>0</v>
      </c>
      <c r="AY101">
        <v>0</v>
      </c>
      <c r="AZ101" t="s">
        <v>580</v>
      </c>
    </row>
    <row r="102" spans="1:52" x14ac:dyDescent="0.2">
      <c r="A102">
        <v>0</v>
      </c>
      <c r="B102">
        <v>1</v>
      </c>
      <c r="C102">
        <v>0</v>
      </c>
      <c r="D102">
        <v>0</v>
      </c>
      <c r="E102">
        <v>0</v>
      </c>
      <c r="F102">
        <v>1</v>
      </c>
      <c r="G102">
        <v>0</v>
      </c>
      <c r="H102">
        <v>1</v>
      </c>
      <c r="I102">
        <v>0</v>
      </c>
      <c r="J102" t="s">
        <v>88</v>
      </c>
      <c r="K102" t="s">
        <v>89</v>
      </c>
      <c r="L102">
        <v>0</v>
      </c>
      <c r="M102">
        <v>0</v>
      </c>
      <c r="N102">
        <v>0</v>
      </c>
      <c r="O102">
        <v>0</v>
      </c>
      <c r="P102">
        <v>1</v>
      </c>
      <c r="Q102" t="s">
        <v>584</v>
      </c>
      <c r="AA102" t="s">
        <v>83</v>
      </c>
      <c r="AB102" t="s">
        <v>81</v>
      </c>
      <c r="AC102" t="s">
        <v>82</v>
      </c>
      <c r="AD102" t="s">
        <v>82</v>
      </c>
      <c r="AE102" t="s">
        <v>83</v>
      </c>
      <c r="AF102" t="s">
        <v>90</v>
      </c>
      <c r="AG102" t="s">
        <v>90</v>
      </c>
      <c r="AH102" t="s">
        <v>83</v>
      </c>
      <c r="AI102" t="s">
        <v>88</v>
      </c>
      <c r="AJ102" t="s">
        <v>89</v>
      </c>
      <c r="AK102" t="s">
        <v>100</v>
      </c>
      <c r="AL102" t="s">
        <v>96</v>
      </c>
      <c r="AM102" t="s">
        <v>87</v>
      </c>
      <c r="AN102" t="s">
        <v>87</v>
      </c>
      <c r="AO102" t="s">
        <v>87</v>
      </c>
      <c r="AP102" t="s">
        <v>87</v>
      </c>
      <c r="AQ102" t="s">
        <v>86</v>
      </c>
      <c r="AR102" t="s">
        <v>101</v>
      </c>
      <c r="AS102" t="s">
        <v>76</v>
      </c>
      <c r="AT102" t="s">
        <v>96</v>
      </c>
      <c r="AU102">
        <v>0</v>
      </c>
      <c r="AV102">
        <v>0</v>
      </c>
      <c r="AW102">
        <v>0</v>
      </c>
      <c r="AX102">
        <v>1</v>
      </c>
      <c r="AY102">
        <v>0</v>
      </c>
      <c r="AZ102" t="s">
        <v>579</v>
      </c>
    </row>
    <row r="103" spans="1:52" x14ac:dyDescent="0.2">
      <c r="A103">
        <v>0</v>
      </c>
      <c r="B103">
        <v>1</v>
      </c>
      <c r="C103">
        <v>0</v>
      </c>
      <c r="D103">
        <v>0</v>
      </c>
      <c r="E103">
        <v>1</v>
      </c>
      <c r="F103">
        <v>0</v>
      </c>
      <c r="G103">
        <v>0</v>
      </c>
      <c r="H103">
        <v>0</v>
      </c>
      <c r="I103">
        <v>0</v>
      </c>
      <c r="L103">
        <v>1</v>
      </c>
      <c r="M103">
        <v>0</v>
      </c>
      <c r="N103">
        <v>0</v>
      </c>
      <c r="O103">
        <v>0</v>
      </c>
      <c r="P103">
        <v>0</v>
      </c>
      <c r="Q103" t="s">
        <v>584</v>
      </c>
      <c r="R103">
        <v>0</v>
      </c>
      <c r="S103">
        <v>0</v>
      </c>
      <c r="T103">
        <v>1</v>
      </c>
      <c r="U103">
        <v>0</v>
      </c>
      <c r="V103">
        <v>1</v>
      </c>
      <c r="W103">
        <v>0</v>
      </c>
      <c r="X103">
        <v>0</v>
      </c>
      <c r="Y103">
        <v>0</v>
      </c>
      <c r="Z103">
        <v>0</v>
      </c>
      <c r="AL103" t="s">
        <v>107</v>
      </c>
      <c r="AM103" t="s">
        <v>86</v>
      </c>
      <c r="AN103" t="s">
        <v>87</v>
      </c>
      <c r="AO103" t="s">
        <v>86</v>
      </c>
      <c r="AP103" t="s">
        <v>86</v>
      </c>
      <c r="AQ103" t="s">
        <v>86</v>
      </c>
      <c r="AR103" t="s">
        <v>75</v>
      </c>
      <c r="AS103" t="s">
        <v>76</v>
      </c>
      <c r="AT103" t="s">
        <v>107</v>
      </c>
      <c r="AU103">
        <v>0</v>
      </c>
      <c r="AV103">
        <v>0</v>
      </c>
      <c r="AW103">
        <v>0</v>
      </c>
      <c r="AX103">
        <v>0</v>
      </c>
      <c r="AY103">
        <v>1</v>
      </c>
      <c r="AZ103" t="s">
        <v>578</v>
      </c>
    </row>
    <row r="104" spans="1:52" x14ac:dyDescent="0.2">
      <c r="A104">
        <v>1</v>
      </c>
      <c r="B104">
        <v>0</v>
      </c>
      <c r="C104">
        <v>0</v>
      </c>
      <c r="D104">
        <v>0</v>
      </c>
      <c r="E104">
        <v>1</v>
      </c>
      <c r="F104">
        <v>0</v>
      </c>
      <c r="G104">
        <v>0</v>
      </c>
      <c r="H104">
        <v>0</v>
      </c>
      <c r="I104">
        <v>0</v>
      </c>
      <c r="L104">
        <v>1</v>
      </c>
      <c r="M104">
        <v>0</v>
      </c>
      <c r="N104">
        <v>0</v>
      </c>
      <c r="O104">
        <v>0</v>
      </c>
      <c r="P104">
        <v>0</v>
      </c>
      <c r="Q104" t="s">
        <v>584</v>
      </c>
      <c r="R104">
        <v>0</v>
      </c>
      <c r="S104">
        <v>0</v>
      </c>
      <c r="T104">
        <v>1</v>
      </c>
      <c r="U104">
        <v>0</v>
      </c>
      <c r="V104">
        <v>0</v>
      </c>
      <c r="W104">
        <v>0</v>
      </c>
      <c r="X104">
        <v>0</v>
      </c>
      <c r="Y104">
        <v>0</v>
      </c>
      <c r="Z104">
        <v>0</v>
      </c>
      <c r="AL104" t="s">
        <v>96</v>
      </c>
      <c r="AM104" t="s">
        <v>74</v>
      </c>
      <c r="AR104" t="s">
        <v>97</v>
      </c>
      <c r="AS104" t="s">
        <v>76</v>
      </c>
      <c r="AT104" t="s">
        <v>96</v>
      </c>
      <c r="AU104">
        <v>1</v>
      </c>
      <c r="AV104">
        <v>0</v>
      </c>
      <c r="AW104">
        <v>0</v>
      </c>
      <c r="AX104">
        <v>0</v>
      </c>
      <c r="AY104">
        <v>0</v>
      </c>
      <c r="AZ104" t="s">
        <v>581</v>
      </c>
    </row>
    <row r="105" spans="1:52" x14ac:dyDescent="0.2">
      <c r="A105">
        <v>0</v>
      </c>
      <c r="B105">
        <v>1</v>
      </c>
      <c r="C105">
        <v>0</v>
      </c>
      <c r="D105">
        <v>0</v>
      </c>
      <c r="E105">
        <v>1</v>
      </c>
      <c r="F105">
        <v>0</v>
      </c>
      <c r="G105">
        <v>0</v>
      </c>
      <c r="H105">
        <v>0</v>
      </c>
      <c r="I105">
        <v>0</v>
      </c>
      <c r="L105">
        <v>0</v>
      </c>
      <c r="M105">
        <v>1</v>
      </c>
      <c r="N105">
        <v>0</v>
      </c>
      <c r="O105">
        <v>0</v>
      </c>
      <c r="P105">
        <v>0</v>
      </c>
      <c r="Q105" t="s">
        <v>584</v>
      </c>
      <c r="AA105" t="s">
        <v>83</v>
      </c>
      <c r="AB105" t="s">
        <v>82</v>
      </c>
      <c r="AC105" t="s">
        <v>81</v>
      </c>
      <c r="AD105" t="s">
        <v>82</v>
      </c>
      <c r="AE105" t="s">
        <v>83</v>
      </c>
      <c r="AF105" t="s">
        <v>90</v>
      </c>
      <c r="AG105" t="s">
        <v>90</v>
      </c>
      <c r="AH105" t="s">
        <v>83</v>
      </c>
      <c r="AI105" t="s">
        <v>88</v>
      </c>
      <c r="AJ105" t="s">
        <v>89</v>
      </c>
      <c r="AK105" t="s">
        <v>100</v>
      </c>
      <c r="AL105" t="s">
        <v>107</v>
      </c>
      <c r="AM105" t="s">
        <v>86</v>
      </c>
      <c r="AN105" t="s">
        <v>86</v>
      </c>
      <c r="AO105" t="s">
        <v>87</v>
      </c>
      <c r="AP105" t="s">
        <v>86</v>
      </c>
      <c r="AQ105" t="s">
        <v>87</v>
      </c>
      <c r="AR105" t="s">
        <v>97</v>
      </c>
      <c r="AS105" t="s">
        <v>76</v>
      </c>
      <c r="AT105" t="s">
        <v>107</v>
      </c>
      <c r="AU105">
        <v>1</v>
      </c>
      <c r="AV105">
        <v>0</v>
      </c>
      <c r="AW105">
        <v>0</v>
      </c>
      <c r="AX105">
        <v>0</v>
      </c>
      <c r="AY105">
        <v>0</v>
      </c>
      <c r="AZ105" t="s">
        <v>580</v>
      </c>
    </row>
    <row r="106" spans="1:52" x14ac:dyDescent="0.2">
      <c r="A106">
        <v>1</v>
      </c>
      <c r="B106">
        <v>0</v>
      </c>
      <c r="C106">
        <v>0</v>
      </c>
      <c r="D106">
        <v>0</v>
      </c>
      <c r="E106">
        <v>1</v>
      </c>
      <c r="F106">
        <v>0</v>
      </c>
      <c r="G106">
        <v>0</v>
      </c>
      <c r="H106">
        <v>0</v>
      </c>
      <c r="I106">
        <v>0</v>
      </c>
      <c r="L106">
        <v>1</v>
      </c>
      <c r="M106">
        <v>0</v>
      </c>
      <c r="N106">
        <v>0</v>
      </c>
      <c r="O106">
        <v>0</v>
      </c>
      <c r="P106">
        <v>0</v>
      </c>
      <c r="Q106" t="s">
        <v>584</v>
      </c>
      <c r="R106">
        <v>0</v>
      </c>
      <c r="S106">
        <v>0</v>
      </c>
      <c r="T106">
        <v>1</v>
      </c>
      <c r="U106">
        <v>0</v>
      </c>
      <c r="V106">
        <v>0</v>
      </c>
      <c r="W106">
        <v>0</v>
      </c>
      <c r="X106">
        <v>0</v>
      </c>
      <c r="Y106">
        <v>0</v>
      </c>
      <c r="Z106">
        <v>0</v>
      </c>
      <c r="AL106" t="s">
        <v>96</v>
      </c>
      <c r="AM106" t="s">
        <v>87</v>
      </c>
      <c r="AN106" t="s">
        <v>74</v>
      </c>
      <c r="AO106" t="s">
        <v>74</v>
      </c>
      <c r="AP106" t="s">
        <v>74</v>
      </c>
      <c r="AQ106" t="s">
        <v>87</v>
      </c>
      <c r="AR106" t="s">
        <v>75</v>
      </c>
      <c r="AS106" t="s">
        <v>92</v>
      </c>
      <c r="AT106" t="s">
        <v>96</v>
      </c>
      <c r="AU106">
        <v>1</v>
      </c>
      <c r="AV106">
        <v>0</v>
      </c>
      <c r="AW106">
        <v>0</v>
      </c>
      <c r="AX106">
        <v>0</v>
      </c>
      <c r="AY106">
        <v>0</v>
      </c>
      <c r="AZ106" t="s">
        <v>579</v>
      </c>
    </row>
    <row r="107" spans="1:52" x14ac:dyDescent="0.2">
      <c r="A107">
        <v>0</v>
      </c>
      <c r="B107">
        <v>1</v>
      </c>
      <c r="C107">
        <v>0</v>
      </c>
      <c r="D107">
        <v>0</v>
      </c>
      <c r="E107">
        <v>0</v>
      </c>
      <c r="F107">
        <v>1</v>
      </c>
      <c r="G107">
        <v>0</v>
      </c>
      <c r="H107">
        <v>0</v>
      </c>
      <c r="I107">
        <v>0</v>
      </c>
      <c r="J107" t="s">
        <v>79</v>
      </c>
      <c r="K107" t="s">
        <v>127</v>
      </c>
      <c r="L107">
        <v>0</v>
      </c>
      <c r="M107">
        <v>1</v>
      </c>
      <c r="N107">
        <v>0</v>
      </c>
      <c r="O107">
        <v>0</v>
      </c>
      <c r="P107">
        <v>0</v>
      </c>
      <c r="Q107" t="s">
        <v>584</v>
      </c>
      <c r="AA107" t="s">
        <v>83</v>
      </c>
      <c r="AB107" t="s">
        <v>82</v>
      </c>
      <c r="AC107" t="s">
        <v>81</v>
      </c>
      <c r="AD107" t="s">
        <v>81</v>
      </c>
      <c r="AE107" t="s">
        <v>83</v>
      </c>
      <c r="AF107" t="s">
        <v>81</v>
      </c>
      <c r="AG107" t="s">
        <v>83</v>
      </c>
      <c r="AH107" t="s">
        <v>81</v>
      </c>
      <c r="AI107" t="s">
        <v>88</v>
      </c>
      <c r="AJ107" t="s">
        <v>142</v>
      </c>
      <c r="AK107" t="s">
        <v>100</v>
      </c>
      <c r="AL107" t="s">
        <v>107</v>
      </c>
      <c r="AM107" t="s">
        <v>87</v>
      </c>
      <c r="AN107" t="s">
        <v>87</v>
      </c>
      <c r="AO107" t="s">
        <v>87</v>
      </c>
      <c r="AP107" t="s">
        <v>87</v>
      </c>
      <c r="AQ107" t="s">
        <v>87</v>
      </c>
      <c r="AR107" t="s">
        <v>97</v>
      </c>
      <c r="AS107" t="s">
        <v>76</v>
      </c>
      <c r="AT107" t="s">
        <v>107</v>
      </c>
      <c r="AU107">
        <v>1</v>
      </c>
      <c r="AV107">
        <v>0</v>
      </c>
      <c r="AW107">
        <v>0</v>
      </c>
      <c r="AX107">
        <v>0</v>
      </c>
      <c r="AY107">
        <v>0</v>
      </c>
      <c r="AZ107" t="s">
        <v>580</v>
      </c>
    </row>
    <row r="108" spans="1:52" x14ac:dyDescent="0.2">
      <c r="A108">
        <v>1</v>
      </c>
      <c r="B108">
        <v>0</v>
      </c>
      <c r="C108">
        <v>0</v>
      </c>
      <c r="D108">
        <v>0</v>
      </c>
      <c r="E108">
        <v>0</v>
      </c>
      <c r="F108">
        <v>1</v>
      </c>
      <c r="G108">
        <v>0</v>
      </c>
      <c r="H108">
        <v>0</v>
      </c>
      <c r="I108">
        <v>1</v>
      </c>
      <c r="J108" t="s">
        <v>88</v>
      </c>
      <c r="K108" t="s">
        <v>89</v>
      </c>
      <c r="L108">
        <v>0</v>
      </c>
      <c r="M108">
        <v>0</v>
      </c>
      <c r="N108">
        <v>1</v>
      </c>
      <c r="O108">
        <v>0</v>
      </c>
      <c r="P108">
        <v>0</v>
      </c>
      <c r="Q108" t="s">
        <v>584</v>
      </c>
      <c r="AA108" t="s">
        <v>83</v>
      </c>
      <c r="AB108" t="s">
        <v>83</v>
      </c>
      <c r="AC108" t="s">
        <v>83</v>
      </c>
      <c r="AD108" t="s">
        <v>81</v>
      </c>
      <c r="AE108" t="s">
        <v>83</v>
      </c>
      <c r="AF108" t="s">
        <v>83</v>
      </c>
      <c r="AG108" t="s">
        <v>83</v>
      </c>
      <c r="AH108" t="s">
        <v>82</v>
      </c>
      <c r="AI108" t="s">
        <v>88</v>
      </c>
      <c r="AJ108" t="s">
        <v>89</v>
      </c>
      <c r="AK108" t="s">
        <v>85</v>
      </c>
      <c r="AL108" t="s">
        <v>107</v>
      </c>
      <c r="AM108" t="s">
        <v>86</v>
      </c>
      <c r="AN108" t="s">
        <v>87</v>
      </c>
      <c r="AO108" t="s">
        <v>87</v>
      </c>
      <c r="AP108" t="s">
        <v>74</v>
      </c>
      <c r="AQ108" t="s">
        <v>87</v>
      </c>
      <c r="AR108" t="s">
        <v>97</v>
      </c>
      <c r="AS108" t="s">
        <v>92</v>
      </c>
      <c r="AT108" t="s">
        <v>107</v>
      </c>
      <c r="AU108">
        <v>1</v>
      </c>
      <c r="AV108">
        <v>0</v>
      </c>
      <c r="AW108">
        <v>0</v>
      </c>
      <c r="AX108">
        <v>0</v>
      </c>
      <c r="AY108">
        <v>0</v>
      </c>
      <c r="AZ108" t="s">
        <v>581</v>
      </c>
    </row>
    <row r="109" spans="1:52" x14ac:dyDescent="0.2">
      <c r="A109">
        <v>1</v>
      </c>
      <c r="B109">
        <v>0</v>
      </c>
      <c r="C109">
        <v>0</v>
      </c>
      <c r="D109">
        <v>0</v>
      </c>
      <c r="E109">
        <v>0</v>
      </c>
      <c r="F109">
        <v>1</v>
      </c>
      <c r="G109">
        <v>1</v>
      </c>
      <c r="H109">
        <v>0</v>
      </c>
      <c r="I109">
        <v>0</v>
      </c>
      <c r="J109" t="s">
        <v>88</v>
      </c>
      <c r="K109" t="s">
        <v>80</v>
      </c>
      <c r="L109">
        <v>0</v>
      </c>
      <c r="M109">
        <v>0</v>
      </c>
      <c r="N109">
        <v>1</v>
      </c>
      <c r="O109">
        <v>0</v>
      </c>
      <c r="P109">
        <v>0</v>
      </c>
      <c r="Q109" t="s">
        <v>584</v>
      </c>
      <c r="AA109" t="s">
        <v>81</v>
      </c>
      <c r="AB109" t="s">
        <v>82</v>
      </c>
      <c r="AC109" t="s">
        <v>82</v>
      </c>
      <c r="AD109" t="s">
        <v>82</v>
      </c>
      <c r="AE109" t="s">
        <v>82</v>
      </c>
      <c r="AF109" t="s">
        <v>83</v>
      </c>
      <c r="AG109" t="s">
        <v>90</v>
      </c>
      <c r="AH109" t="s">
        <v>82</v>
      </c>
      <c r="AI109" t="s">
        <v>88</v>
      </c>
      <c r="AJ109" t="s">
        <v>89</v>
      </c>
      <c r="AK109" t="s">
        <v>153</v>
      </c>
      <c r="AL109" t="s">
        <v>73</v>
      </c>
      <c r="AM109" t="s">
        <v>87</v>
      </c>
      <c r="AN109" t="s">
        <v>87</v>
      </c>
      <c r="AO109" t="s">
        <v>87</v>
      </c>
      <c r="AP109" t="s">
        <v>74</v>
      </c>
      <c r="AQ109" t="s">
        <v>87</v>
      </c>
      <c r="AR109" t="s">
        <v>75</v>
      </c>
      <c r="AS109" t="s">
        <v>76</v>
      </c>
      <c r="AT109" t="s">
        <v>73</v>
      </c>
      <c r="AU109">
        <v>1</v>
      </c>
      <c r="AV109">
        <v>0</v>
      </c>
      <c r="AW109">
        <v>0</v>
      </c>
      <c r="AX109">
        <v>0</v>
      </c>
      <c r="AY109">
        <v>0</v>
      </c>
      <c r="AZ109" t="s">
        <v>578</v>
      </c>
    </row>
    <row r="110" spans="1:52" x14ac:dyDescent="0.2">
      <c r="A110">
        <v>1</v>
      </c>
      <c r="B110">
        <v>0</v>
      </c>
      <c r="C110">
        <v>0</v>
      </c>
      <c r="D110">
        <v>0</v>
      </c>
      <c r="E110">
        <v>0</v>
      </c>
      <c r="F110">
        <v>0</v>
      </c>
      <c r="G110">
        <v>0</v>
      </c>
      <c r="H110">
        <v>0</v>
      </c>
      <c r="I110">
        <v>1</v>
      </c>
      <c r="J110" t="s">
        <v>88</v>
      </c>
      <c r="K110" t="s">
        <v>89</v>
      </c>
      <c r="L110">
        <v>1</v>
      </c>
      <c r="M110">
        <v>0</v>
      </c>
      <c r="N110">
        <v>0</v>
      </c>
      <c r="O110">
        <v>0</v>
      </c>
      <c r="P110">
        <v>0</v>
      </c>
      <c r="Q110" t="s">
        <v>584</v>
      </c>
      <c r="R110">
        <v>0</v>
      </c>
      <c r="S110">
        <v>0</v>
      </c>
      <c r="T110">
        <v>0</v>
      </c>
      <c r="U110">
        <v>0</v>
      </c>
      <c r="V110">
        <v>0</v>
      </c>
      <c r="W110">
        <v>1</v>
      </c>
      <c r="X110">
        <v>0</v>
      </c>
      <c r="Y110">
        <v>0</v>
      </c>
      <c r="Z110">
        <v>0</v>
      </c>
      <c r="AL110" t="s">
        <v>107</v>
      </c>
      <c r="AM110" t="s">
        <v>86</v>
      </c>
      <c r="AN110" t="s">
        <v>74</v>
      </c>
      <c r="AO110" t="s">
        <v>74</v>
      </c>
      <c r="AP110" t="s">
        <v>74</v>
      </c>
      <c r="AQ110" t="s">
        <v>87</v>
      </c>
      <c r="AR110" t="s">
        <v>97</v>
      </c>
      <c r="AS110" t="s">
        <v>92</v>
      </c>
      <c r="AT110" t="s">
        <v>107</v>
      </c>
      <c r="AU110">
        <v>1</v>
      </c>
      <c r="AV110">
        <v>0</v>
      </c>
      <c r="AW110">
        <v>0</v>
      </c>
      <c r="AX110">
        <v>0</v>
      </c>
      <c r="AY110">
        <v>0</v>
      </c>
      <c r="AZ110" t="s">
        <v>580</v>
      </c>
    </row>
    <row r="111" spans="1:52" x14ac:dyDescent="0.2">
      <c r="A111">
        <v>0</v>
      </c>
      <c r="B111">
        <v>1</v>
      </c>
      <c r="C111">
        <v>0</v>
      </c>
      <c r="D111">
        <v>0</v>
      </c>
      <c r="E111">
        <v>0</v>
      </c>
      <c r="F111">
        <v>1</v>
      </c>
      <c r="G111">
        <v>0</v>
      </c>
      <c r="H111">
        <v>1</v>
      </c>
      <c r="I111">
        <v>0</v>
      </c>
      <c r="J111" t="s">
        <v>79</v>
      </c>
      <c r="K111" t="s">
        <v>80</v>
      </c>
      <c r="L111">
        <v>0</v>
      </c>
      <c r="M111">
        <v>1</v>
      </c>
      <c r="N111">
        <v>0</v>
      </c>
      <c r="O111">
        <v>0</v>
      </c>
      <c r="P111">
        <v>0</v>
      </c>
      <c r="Q111" t="s">
        <v>584</v>
      </c>
      <c r="AA111" t="s">
        <v>81</v>
      </c>
      <c r="AB111" t="s">
        <v>81</v>
      </c>
      <c r="AC111" t="s">
        <v>81</v>
      </c>
      <c r="AD111" t="s">
        <v>82</v>
      </c>
      <c r="AE111" t="s">
        <v>82</v>
      </c>
      <c r="AF111" t="s">
        <v>81</v>
      </c>
      <c r="AG111" t="s">
        <v>81</v>
      </c>
      <c r="AH111" t="s">
        <v>83</v>
      </c>
      <c r="AI111" t="s">
        <v>88</v>
      </c>
      <c r="AJ111" t="s">
        <v>89</v>
      </c>
      <c r="AK111" t="s">
        <v>100</v>
      </c>
      <c r="AL111" t="s">
        <v>107</v>
      </c>
      <c r="AM111" t="s">
        <v>86</v>
      </c>
      <c r="AN111" t="s">
        <v>86</v>
      </c>
      <c r="AO111" t="s">
        <v>86</v>
      </c>
      <c r="AP111" t="s">
        <v>86</v>
      </c>
      <c r="AQ111" t="s">
        <v>86</v>
      </c>
      <c r="AR111" t="s">
        <v>75</v>
      </c>
      <c r="AS111" t="s">
        <v>76</v>
      </c>
      <c r="AT111" t="s">
        <v>107</v>
      </c>
      <c r="AU111">
        <v>0</v>
      </c>
      <c r="AV111">
        <v>0</v>
      </c>
      <c r="AW111">
        <v>0</v>
      </c>
      <c r="AX111">
        <v>1</v>
      </c>
      <c r="AY111">
        <v>0</v>
      </c>
      <c r="AZ111" t="s">
        <v>580</v>
      </c>
    </row>
    <row r="112" spans="1:52" x14ac:dyDescent="0.2">
      <c r="A112">
        <v>1</v>
      </c>
      <c r="B112">
        <v>0</v>
      </c>
      <c r="C112">
        <v>0</v>
      </c>
      <c r="D112">
        <v>0</v>
      </c>
      <c r="E112">
        <v>0</v>
      </c>
      <c r="F112">
        <v>0</v>
      </c>
      <c r="G112">
        <v>0</v>
      </c>
      <c r="H112">
        <v>1</v>
      </c>
      <c r="I112">
        <v>1</v>
      </c>
      <c r="J112" t="s">
        <v>88</v>
      </c>
      <c r="K112" t="s">
        <v>89</v>
      </c>
      <c r="L112">
        <v>1</v>
      </c>
      <c r="M112">
        <v>0</v>
      </c>
      <c r="N112">
        <v>0</v>
      </c>
      <c r="O112">
        <v>0</v>
      </c>
      <c r="P112">
        <v>0</v>
      </c>
      <c r="Q112" t="s">
        <v>584</v>
      </c>
      <c r="R112">
        <v>1</v>
      </c>
      <c r="S112">
        <v>0</v>
      </c>
      <c r="T112">
        <v>0</v>
      </c>
      <c r="U112">
        <v>0</v>
      </c>
      <c r="V112">
        <v>0</v>
      </c>
      <c r="W112">
        <v>0</v>
      </c>
      <c r="X112">
        <v>0</v>
      </c>
      <c r="Y112">
        <v>0</v>
      </c>
      <c r="Z112">
        <v>0</v>
      </c>
      <c r="AL112" t="s">
        <v>73</v>
      </c>
      <c r="AM112" t="s">
        <v>87</v>
      </c>
      <c r="AN112" t="s">
        <v>87</v>
      </c>
      <c r="AO112" t="s">
        <v>87</v>
      </c>
      <c r="AP112" t="s">
        <v>87</v>
      </c>
      <c r="AQ112" t="s">
        <v>87</v>
      </c>
      <c r="AR112" t="s">
        <v>108</v>
      </c>
      <c r="AS112" t="s">
        <v>76</v>
      </c>
      <c r="AT112" t="s">
        <v>73</v>
      </c>
      <c r="AU112">
        <v>0</v>
      </c>
      <c r="AV112">
        <v>0</v>
      </c>
      <c r="AW112">
        <v>0</v>
      </c>
      <c r="AX112">
        <v>0</v>
      </c>
      <c r="AY112">
        <v>1</v>
      </c>
      <c r="AZ112" t="s">
        <v>577</v>
      </c>
    </row>
    <row r="113" spans="1:52" x14ac:dyDescent="0.2">
      <c r="A113">
        <v>0</v>
      </c>
      <c r="B113">
        <v>1</v>
      </c>
      <c r="C113">
        <v>0</v>
      </c>
      <c r="D113">
        <v>0</v>
      </c>
      <c r="E113">
        <v>1</v>
      </c>
      <c r="F113">
        <v>0</v>
      </c>
      <c r="G113">
        <v>0</v>
      </c>
      <c r="H113">
        <v>0</v>
      </c>
      <c r="I113">
        <v>0</v>
      </c>
      <c r="L113">
        <v>1</v>
      </c>
      <c r="M113">
        <v>0</v>
      </c>
      <c r="N113">
        <v>0</v>
      </c>
      <c r="O113">
        <v>0</v>
      </c>
      <c r="P113">
        <v>0</v>
      </c>
      <c r="Q113" t="s">
        <v>584</v>
      </c>
      <c r="R113">
        <v>0</v>
      </c>
      <c r="S113">
        <v>0</v>
      </c>
      <c r="T113">
        <v>1</v>
      </c>
      <c r="U113">
        <v>0</v>
      </c>
      <c r="V113">
        <v>0</v>
      </c>
      <c r="W113">
        <v>0</v>
      </c>
      <c r="X113">
        <v>0</v>
      </c>
      <c r="Y113">
        <v>0</v>
      </c>
      <c r="Z113">
        <v>0</v>
      </c>
      <c r="AL113" t="s">
        <v>107</v>
      </c>
      <c r="AM113" t="s">
        <v>87</v>
      </c>
      <c r="AN113" t="s">
        <v>74</v>
      </c>
      <c r="AO113" t="s">
        <v>87</v>
      </c>
      <c r="AP113" t="s">
        <v>86</v>
      </c>
      <c r="AQ113" t="s">
        <v>87</v>
      </c>
      <c r="AR113" t="s">
        <v>101</v>
      </c>
      <c r="AS113" t="s">
        <v>76</v>
      </c>
      <c r="AT113" t="s">
        <v>107</v>
      </c>
      <c r="AU113">
        <v>1</v>
      </c>
      <c r="AV113">
        <v>0</v>
      </c>
      <c r="AW113">
        <v>0</v>
      </c>
      <c r="AX113">
        <v>0</v>
      </c>
      <c r="AY113">
        <v>0</v>
      </c>
      <c r="AZ113" t="s">
        <v>579</v>
      </c>
    </row>
    <row r="114" spans="1:52" x14ac:dyDescent="0.2">
      <c r="A114">
        <v>1</v>
      </c>
      <c r="B114">
        <v>0</v>
      </c>
      <c r="C114">
        <v>0</v>
      </c>
      <c r="D114">
        <v>0</v>
      </c>
      <c r="E114">
        <v>0</v>
      </c>
      <c r="F114">
        <v>1</v>
      </c>
      <c r="G114">
        <v>1</v>
      </c>
      <c r="H114">
        <v>0</v>
      </c>
      <c r="I114">
        <v>0</v>
      </c>
      <c r="J114" t="s">
        <v>79</v>
      </c>
      <c r="K114" t="s">
        <v>80</v>
      </c>
      <c r="L114">
        <v>0</v>
      </c>
      <c r="M114">
        <v>1</v>
      </c>
      <c r="N114">
        <v>0</v>
      </c>
      <c r="O114">
        <v>0</v>
      </c>
      <c r="P114">
        <v>0</v>
      </c>
      <c r="Q114" t="s">
        <v>584</v>
      </c>
      <c r="AA114" t="s">
        <v>83</v>
      </c>
      <c r="AB114" t="s">
        <v>82</v>
      </c>
      <c r="AC114" t="s">
        <v>83</v>
      </c>
      <c r="AD114" t="s">
        <v>83</v>
      </c>
      <c r="AE114" t="s">
        <v>83</v>
      </c>
      <c r="AF114" t="s">
        <v>83</v>
      </c>
      <c r="AG114" t="s">
        <v>90</v>
      </c>
      <c r="AH114" t="s">
        <v>83</v>
      </c>
      <c r="AI114" t="s">
        <v>88</v>
      </c>
      <c r="AJ114" t="s">
        <v>80</v>
      </c>
      <c r="AK114" t="s">
        <v>85</v>
      </c>
      <c r="AL114" t="s">
        <v>107</v>
      </c>
      <c r="AM114" t="s">
        <v>87</v>
      </c>
      <c r="AN114" t="s">
        <v>87</v>
      </c>
      <c r="AO114" t="s">
        <v>87</v>
      </c>
      <c r="AP114" t="s">
        <v>86</v>
      </c>
      <c r="AQ114" t="s">
        <v>87</v>
      </c>
      <c r="AR114" t="s">
        <v>75</v>
      </c>
      <c r="AS114" t="s">
        <v>76</v>
      </c>
      <c r="AT114" t="s">
        <v>107</v>
      </c>
      <c r="AU114">
        <v>0</v>
      </c>
      <c r="AV114">
        <v>0</v>
      </c>
      <c r="AW114">
        <v>0</v>
      </c>
      <c r="AX114">
        <v>0</v>
      </c>
      <c r="AY114">
        <v>1</v>
      </c>
      <c r="AZ114" t="s">
        <v>579</v>
      </c>
    </row>
    <row r="115" spans="1:52" x14ac:dyDescent="0.2">
      <c r="A115">
        <v>0</v>
      </c>
      <c r="B115">
        <v>1</v>
      </c>
      <c r="C115">
        <v>0</v>
      </c>
      <c r="D115">
        <v>0</v>
      </c>
      <c r="E115">
        <v>0</v>
      </c>
      <c r="F115">
        <v>0</v>
      </c>
      <c r="G115">
        <v>0</v>
      </c>
      <c r="H115">
        <v>0</v>
      </c>
      <c r="I115">
        <v>1</v>
      </c>
      <c r="J115" t="s">
        <v>135</v>
      </c>
      <c r="K115" t="s">
        <v>142</v>
      </c>
      <c r="L115">
        <v>0</v>
      </c>
      <c r="M115">
        <v>0</v>
      </c>
      <c r="N115">
        <v>0</v>
      </c>
      <c r="O115">
        <v>0</v>
      </c>
      <c r="P115">
        <v>1</v>
      </c>
      <c r="Q115" t="s">
        <v>584</v>
      </c>
      <c r="AA115" t="s">
        <v>82</v>
      </c>
      <c r="AB115" t="s">
        <v>82</v>
      </c>
      <c r="AC115" t="s">
        <v>90</v>
      </c>
      <c r="AD115" t="s">
        <v>90</v>
      </c>
      <c r="AE115" t="s">
        <v>82</v>
      </c>
      <c r="AF115" t="s">
        <v>90</v>
      </c>
      <c r="AG115" t="s">
        <v>90</v>
      </c>
      <c r="AH115" t="s">
        <v>90</v>
      </c>
      <c r="AI115" t="s">
        <v>88</v>
      </c>
      <c r="AJ115" t="s">
        <v>89</v>
      </c>
      <c r="AK115" t="s">
        <v>85</v>
      </c>
      <c r="AL115" t="s">
        <v>73</v>
      </c>
      <c r="AM115" t="s">
        <v>87</v>
      </c>
      <c r="AN115" t="s">
        <v>74</v>
      </c>
      <c r="AO115" t="s">
        <v>87</v>
      </c>
      <c r="AP115" t="s">
        <v>74</v>
      </c>
      <c r="AQ115" t="s">
        <v>87</v>
      </c>
      <c r="AR115" t="s">
        <v>97</v>
      </c>
      <c r="AS115" t="s">
        <v>76</v>
      </c>
      <c r="AT115" t="s">
        <v>73</v>
      </c>
      <c r="AU115">
        <v>1</v>
      </c>
      <c r="AV115">
        <v>0</v>
      </c>
      <c r="AW115">
        <v>0</v>
      </c>
      <c r="AX115">
        <v>0</v>
      </c>
      <c r="AY115">
        <v>0</v>
      </c>
      <c r="AZ115" t="s">
        <v>580</v>
      </c>
    </row>
    <row r="116" spans="1:52" x14ac:dyDescent="0.2">
      <c r="A116">
        <v>0</v>
      </c>
      <c r="B116">
        <v>1</v>
      </c>
      <c r="C116">
        <v>0</v>
      </c>
      <c r="D116">
        <v>0</v>
      </c>
      <c r="E116">
        <v>1</v>
      </c>
      <c r="F116">
        <v>0</v>
      </c>
      <c r="G116">
        <v>0</v>
      </c>
      <c r="H116">
        <v>0</v>
      </c>
      <c r="I116">
        <v>0</v>
      </c>
      <c r="L116">
        <v>1</v>
      </c>
      <c r="M116">
        <v>0</v>
      </c>
      <c r="N116">
        <v>0</v>
      </c>
      <c r="O116">
        <v>0</v>
      </c>
      <c r="P116">
        <v>0</v>
      </c>
      <c r="Q116" t="s">
        <v>584</v>
      </c>
      <c r="R116">
        <v>0</v>
      </c>
      <c r="S116">
        <v>1</v>
      </c>
      <c r="T116">
        <v>0</v>
      </c>
      <c r="U116">
        <v>0</v>
      </c>
      <c r="V116">
        <v>0</v>
      </c>
      <c r="W116">
        <v>0</v>
      </c>
      <c r="X116">
        <v>0</v>
      </c>
      <c r="Y116">
        <v>0</v>
      </c>
      <c r="Z116">
        <v>0</v>
      </c>
      <c r="AL116" t="s">
        <v>107</v>
      </c>
      <c r="AM116" t="s">
        <v>86</v>
      </c>
      <c r="AN116" t="s">
        <v>74</v>
      </c>
      <c r="AO116" t="s">
        <v>74</v>
      </c>
      <c r="AP116" t="s">
        <v>87</v>
      </c>
      <c r="AQ116" t="s">
        <v>86</v>
      </c>
      <c r="AR116" t="s">
        <v>75</v>
      </c>
      <c r="AS116" t="s">
        <v>76</v>
      </c>
      <c r="AT116" t="s">
        <v>107</v>
      </c>
      <c r="AU116">
        <v>1</v>
      </c>
      <c r="AV116">
        <v>0</v>
      </c>
      <c r="AW116">
        <v>0</v>
      </c>
      <c r="AX116">
        <v>0</v>
      </c>
      <c r="AY116">
        <v>0</v>
      </c>
      <c r="AZ116" t="s">
        <v>580</v>
      </c>
    </row>
    <row r="117" spans="1:52" x14ac:dyDescent="0.2">
      <c r="A117">
        <v>0</v>
      </c>
      <c r="B117">
        <v>0</v>
      </c>
      <c r="C117">
        <v>0</v>
      </c>
      <c r="D117">
        <v>1</v>
      </c>
      <c r="L117">
        <v>1</v>
      </c>
      <c r="M117">
        <v>0</v>
      </c>
      <c r="N117">
        <v>0</v>
      </c>
      <c r="O117">
        <v>0</v>
      </c>
      <c r="P117">
        <v>0</v>
      </c>
      <c r="Q117" t="s">
        <v>584</v>
      </c>
      <c r="R117">
        <v>0</v>
      </c>
      <c r="S117">
        <v>0</v>
      </c>
      <c r="T117">
        <v>0</v>
      </c>
      <c r="U117">
        <v>0</v>
      </c>
      <c r="V117">
        <v>0</v>
      </c>
      <c r="W117">
        <v>1</v>
      </c>
      <c r="X117">
        <v>0</v>
      </c>
      <c r="Y117">
        <v>0</v>
      </c>
      <c r="Z117">
        <v>0</v>
      </c>
      <c r="AL117" t="s">
        <v>96</v>
      </c>
      <c r="AR117" t="s">
        <v>97</v>
      </c>
      <c r="AS117" t="s">
        <v>92</v>
      </c>
      <c r="AT117" t="s">
        <v>96</v>
      </c>
      <c r="AU117">
        <v>1</v>
      </c>
      <c r="AV117">
        <v>0</v>
      </c>
      <c r="AW117">
        <v>0</v>
      </c>
      <c r="AX117">
        <v>0</v>
      </c>
      <c r="AY117">
        <v>0</v>
      </c>
      <c r="AZ117" t="s">
        <v>580</v>
      </c>
    </row>
    <row r="118" spans="1:52" x14ac:dyDescent="0.2">
      <c r="A118">
        <v>1</v>
      </c>
      <c r="B118">
        <v>0</v>
      </c>
      <c r="C118">
        <v>0</v>
      </c>
      <c r="D118">
        <v>0</v>
      </c>
      <c r="E118">
        <v>0</v>
      </c>
      <c r="F118">
        <v>1</v>
      </c>
      <c r="G118">
        <v>0</v>
      </c>
      <c r="H118">
        <v>0</v>
      </c>
      <c r="I118">
        <v>0</v>
      </c>
      <c r="J118" t="s">
        <v>88</v>
      </c>
      <c r="K118" t="s">
        <v>80</v>
      </c>
      <c r="L118">
        <v>0</v>
      </c>
      <c r="M118">
        <v>0</v>
      </c>
      <c r="N118">
        <v>1</v>
      </c>
      <c r="O118">
        <v>0</v>
      </c>
      <c r="P118">
        <v>0</v>
      </c>
      <c r="Q118" t="s">
        <v>585</v>
      </c>
      <c r="AA118" t="s">
        <v>83</v>
      </c>
      <c r="AB118" t="s">
        <v>82</v>
      </c>
      <c r="AC118" t="s">
        <v>83</v>
      </c>
      <c r="AD118" t="s">
        <v>81</v>
      </c>
      <c r="AE118" t="s">
        <v>81</v>
      </c>
      <c r="AF118" t="s">
        <v>83</v>
      </c>
      <c r="AG118" t="s">
        <v>81</v>
      </c>
      <c r="AH118" t="s">
        <v>83</v>
      </c>
      <c r="AI118" t="s">
        <v>88</v>
      </c>
      <c r="AJ118" t="s">
        <v>89</v>
      </c>
      <c r="AK118" t="s">
        <v>85</v>
      </c>
      <c r="AL118" t="s">
        <v>107</v>
      </c>
      <c r="AM118" t="s">
        <v>87</v>
      </c>
      <c r="AN118" t="s">
        <v>87</v>
      </c>
      <c r="AO118" t="s">
        <v>87</v>
      </c>
      <c r="AP118" t="s">
        <v>87</v>
      </c>
      <c r="AQ118" t="s">
        <v>74</v>
      </c>
      <c r="AR118" t="s">
        <v>75</v>
      </c>
      <c r="AS118" t="s">
        <v>92</v>
      </c>
      <c r="AT118" t="s">
        <v>107</v>
      </c>
      <c r="AU118">
        <v>1</v>
      </c>
      <c r="AV118">
        <v>0</v>
      </c>
      <c r="AW118">
        <v>0</v>
      </c>
      <c r="AX118">
        <v>0</v>
      </c>
      <c r="AY118">
        <v>0</v>
      </c>
      <c r="AZ118" t="s">
        <v>579</v>
      </c>
    </row>
    <row r="119" spans="1:52" x14ac:dyDescent="0.2">
      <c r="A119">
        <v>1</v>
      </c>
      <c r="B119">
        <v>0</v>
      </c>
      <c r="C119">
        <v>0</v>
      </c>
      <c r="D119">
        <v>0</v>
      </c>
      <c r="E119">
        <v>0</v>
      </c>
      <c r="F119">
        <v>1</v>
      </c>
      <c r="G119">
        <v>0</v>
      </c>
      <c r="H119">
        <v>0</v>
      </c>
      <c r="I119">
        <v>0</v>
      </c>
      <c r="J119" t="s">
        <v>88</v>
      </c>
      <c r="K119" t="s">
        <v>127</v>
      </c>
      <c r="L119">
        <v>1</v>
      </c>
      <c r="M119">
        <v>0</v>
      </c>
      <c r="N119">
        <v>0</v>
      </c>
      <c r="O119">
        <v>0</v>
      </c>
      <c r="P119">
        <v>0</v>
      </c>
      <c r="Q119" t="s">
        <v>584</v>
      </c>
      <c r="R119">
        <v>0</v>
      </c>
      <c r="S119">
        <v>1</v>
      </c>
      <c r="T119">
        <v>0</v>
      </c>
      <c r="U119">
        <v>0</v>
      </c>
      <c r="V119">
        <v>0</v>
      </c>
      <c r="W119">
        <v>0</v>
      </c>
      <c r="X119">
        <v>0</v>
      </c>
      <c r="Y119">
        <v>0</v>
      </c>
      <c r="Z119">
        <v>0</v>
      </c>
      <c r="AL119" t="s">
        <v>120</v>
      </c>
      <c r="AM119" t="s">
        <v>87</v>
      </c>
      <c r="AN119" t="s">
        <v>86</v>
      </c>
      <c r="AO119" t="s">
        <v>87</v>
      </c>
      <c r="AP119" t="s">
        <v>74</v>
      </c>
      <c r="AQ119" t="s">
        <v>86</v>
      </c>
      <c r="AR119" t="s">
        <v>75</v>
      </c>
      <c r="AS119" t="s">
        <v>92</v>
      </c>
      <c r="AT119" t="s">
        <v>120</v>
      </c>
      <c r="AU119">
        <v>1</v>
      </c>
      <c r="AV119">
        <v>0</v>
      </c>
      <c r="AW119">
        <v>0</v>
      </c>
      <c r="AX119">
        <v>0</v>
      </c>
      <c r="AY119">
        <v>0</v>
      </c>
      <c r="AZ119" t="s">
        <v>579</v>
      </c>
    </row>
    <row r="120" spans="1:52" x14ac:dyDescent="0.2">
      <c r="A120">
        <v>1</v>
      </c>
      <c r="B120">
        <v>0</v>
      </c>
      <c r="C120">
        <v>0</v>
      </c>
      <c r="D120">
        <v>0</v>
      </c>
      <c r="E120">
        <v>0</v>
      </c>
      <c r="F120">
        <v>1</v>
      </c>
      <c r="G120">
        <v>0</v>
      </c>
      <c r="H120">
        <v>0</v>
      </c>
      <c r="I120">
        <v>0</v>
      </c>
      <c r="J120" t="s">
        <v>88</v>
      </c>
      <c r="K120" t="s">
        <v>80</v>
      </c>
      <c r="L120">
        <v>1</v>
      </c>
      <c r="M120">
        <v>0</v>
      </c>
      <c r="N120">
        <v>0</v>
      </c>
      <c r="O120">
        <v>0</v>
      </c>
      <c r="P120">
        <v>0</v>
      </c>
      <c r="Q120" t="s">
        <v>584</v>
      </c>
      <c r="R120">
        <v>1</v>
      </c>
      <c r="S120">
        <v>0</v>
      </c>
      <c r="T120">
        <v>0</v>
      </c>
      <c r="U120">
        <v>0</v>
      </c>
      <c r="V120">
        <v>0</v>
      </c>
      <c r="W120">
        <v>0</v>
      </c>
      <c r="X120">
        <v>0</v>
      </c>
      <c r="Y120">
        <v>0</v>
      </c>
      <c r="Z120">
        <v>0</v>
      </c>
      <c r="AL120" t="s">
        <v>73</v>
      </c>
      <c r="AM120" t="s">
        <v>87</v>
      </c>
      <c r="AN120" t="s">
        <v>87</v>
      </c>
      <c r="AO120" t="s">
        <v>87</v>
      </c>
      <c r="AP120" t="s">
        <v>87</v>
      </c>
      <c r="AQ120" t="s">
        <v>74</v>
      </c>
      <c r="AR120" t="s">
        <v>75</v>
      </c>
      <c r="AS120" t="s">
        <v>76</v>
      </c>
      <c r="AT120" t="s">
        <v>73</v>
      </c>
      <c r="AU120">
        <v>1</v>
      </c>
      <c r="AV120">
        <v>0</v>
      </c>
      <c r="AW120">
        <v>0</v>
      </c>
      <c r="AX120">
        <v>0</v>
      </c>
      <c r="AY120">
        <v>0</v>
      </c>
      <c r="AZ120" t="s">
        <v>579</v>
      </c>
    </row>
    <row r="121" spans="1:52" x14ac:dyDescent="0.2">
      <c r="A121">
        <v>0</v>
      </c>
      <c r="B121">
        <v>1</v>
      </c>
      <c r="C121">
        <v>0</v>
      </c>
      <c r="D121">
        <v>0</v>
      </c>
      <c r="E121">
        <v>1</v>
      </c>
      <c r="F121">
        <v>0</v>
      </c>
      <c r="G121">
        <v>0</v>
      </c>
      <c r="H121">
        <v>0</v>
      </c>
      <c r="I121">
        <v>0</v>
      </c>
      <c r="L121">
        <v>1</v>
      </c>
      <c r="M121">
        <v>0</v>
      </c>
      <c r="N121">
        <v>0</v>
      </c>
      <c r="O121">
        <v>0</v>
      </c>
      <c r="P121">
        <v>0</v>
      </c>
      <c r="Q121" t="s">
        <v>584</v>
      </c>
      <c r="R121">
        <v>0</v>
      </c>
      <c r="S121">
        <v>0</v>
      </c>
      <c r="T121">
        <v>0</v>
      </c>
      <c r="U121">
        <v>0</v>
      </c>
      <c r="V121">
        <v>0</v>
      </c>
      <c r="W121">
        <v>1</v>
      </c>
      <c r="X121">
        <v>0</v>
      </c>
      <c r="Y121">
        <v>0</v>
      </c>
      <c r="Z121">
        <v>0</v>
      </c>
      <c r="AL121" t="s">
        <v>96</v>
      </c>
      <c r="AM121" t="s">
        <v>87</v>
      </c>
      <c r="AN121" t="s">
        <v>87</v>
      </c>
      <c r="AO121" t="s">
        <v>74</v>
      </c>
      <c r="AP121" t="s">
        <v>87</v>
      </c>
      <c r="AQ121" t="s">
        <v>74</v>
      </c>
      <c r="AR121" t="s">
        <v>101</v>
      </c>
      <c r="AS121" t="s">
        <v>76</v>
      </c>
      <c r="AT121" t="s">
        <v>96</v>
      </c>
      <c r="AU121">
        <v>0</v>
      </c>
      <c r="AV121">
        <v>0</v>
      </c>
      <c r="AW121">
        <v>0</v>
      </c>
      <c r="AX121">
        <v>1</v>
      </c>
      <c r="AY121">
        <v>0</v>
      </c>
      <c r="AZ121" t="s">
        <v>580</v>
      </c>
    </row>
    <row r="122" spans="1:52" x14ac:dyDescent="0.2">
      <c r="A122">
        <v>1</v>
      </c>
      <c r="B122">
        <v>0</v>
      </c>
      <c r="C122">
        <v>0</v>
      </c>
      <c r="D122">
        <v>0</v>
      </c>
      <c r="E122">
        <v>0</v>
      </c>
      <c r="F122">
        <v>1</v>
      </c>
      <c r="G122">
        <v>0</v>
      </c>
      <c r="H122">
        <v>0</v>
      </c>
      <c r="I122">
        <v>0</v>
      </c>
      <c r="J122" t="s">
        <v>88</v>
      </c>
      <c r="K122" t="s">
        <v>89</v>
      </c>
      <c r="L122">
        <v>0</v>
      </c>
      <c r="M122">
        <v>0</v>
      </c>
      <c r="N122">
        <v>1</v>
      </c>
      <c r="O122">
        <v>0</v>
      </c>
      <c r="P122">
        <v>0</v>
      </c>
      <c r="Q122" t="s">
        <v>584</v>
      </c>
      <c r="AA122" t="s">
        <v>83</v>
      </c>
      <c r="AB122" t="s">
        <v>81</v>
      </c>
      <c r="AC122" t="s">
        <v>83</v>
      </c>
      <c r="AD122" t="s">
        <v>83</v>
      </c>
      <c r="AE122" t="s">
        <v>82</v>
      </c>
      <c r="AF122" t="s">
        <v>83</v>
      </c>
      <c r="AG122" t="s">
        <v>83</v>
      </c>
      <c r="AH122" t="s">
        <v>83</v>
      </c>
      <c r="AI122" t="s">
        <v>88</v>
      </c>
      <c r="AJ122" t="s">
        <v>89</v>
      </c>
      <c r="AK122" t="s">
        <v>85</v>
      </c>
      <c r="AL122" t="s">
        <v>73</v>
      </c>
      <c r="AM122" t="s">
        <v>87</v>
      </c>
      <c r="AN122" t="s">
        <v>87</v>
      </c>
      <c r="AO122" t="s">
        <v>87</v>
      </c>
      <c r="AP122" t="s">
        <v>87</v>
      </c>
      <c r="AQ122" t="s">
        <v>87</v>
      </c>
      <c r="AR122" t="s">
        <v>97</v>
      </c>
      <c r="AS122" t="s">
        <v>76</v>
      </c>
      <c r="AT122" t="s">
        <v>73</v>
      </c>
      <c r="AU122">
        <v>1</v>
      </c>
      <c r="AV122">
        <v>0</v>
      </c>
      <c r="AW122">
        <v>0</v>
      </c>
      <c r="AX122">
        <v>0</v>
      </c>
      <c r="AY122">
        <v>0</v>
      </c>
      <c r="AZ122" t="s">
        <v>580</v>
      </c>
    </row>
    <row r="123" spans="1:52" x14ac:dyDescent="0.2">
      <c r="A123">
        <v>0</v>
      </c>
      <c r="B123">
        <v>1</v>
      </c>
      <c r="C123">
        <v>0</v>
      </c>
      <c r="D123">
        <v>0</v>
      </c>
      <c r="E123">
        <v>1</v>
      </c>
      <c r="F123">
        <v>0</v>
      </c>
      <c r="G123">
        <v>0</v>
      </c>
      <c r="H123">
        <v>0</v>
      </c>
      <c r="I123">
        <v>0</v>
      </c>
      <c r="L123">
        <v>0</v>
      </c>
      <c r="M123">
        <v>1</v>
      </c>
      <c r="N123">
        <v>0</v>
      </c>
      <c r="O123">
        <v>0</v>
      </c>
      <c r="P123">
        <v>0</v>
      </c>
      <c r="Q123" t="s">
        <v>584</v>
      </c>
      <c r="AA123" t="s">
        <v>90</v>
      </c>
      <c r="AB123" t="s">
        <v>82</v>
      </c>
      <c r="AC123" t="s">
        <v>82</v>
      </c>
      <c r="AD123" t="s">
        <v>90</v>
      </c>
      <c r="AE123" t="s">
        <v>90</v>
      </c>
      <c r="AF123" t="s">
        <v>90</v>
      </c>
      <c r="AG123" t="s">
        <v>90</v>
      </c>
      <c r="AH123" t="s">
        <v>81</v>
      </c>
      <c r="AI123" t="s">
        <v>88</v>
      </c>
      <c r="AJ123" t="s">
        <v>89</v>
      </c>
      <c r="AK123" t="s">
        <v>100</v>
      </c>
      <c r="AL123" t="s">
        <v>73</v>
      </c>
      <c r="AM123" t="s">
        <v>87</v>
      </c>
      <c r="AN123" t="s">
        <v>86</v>
      </c>
      <c r="AO123" t="s">
        <v>87</v>
      </c>
      <c r="AP123" t="s">
        <v>87</v>
      </c>
      <c r="AQ123" t="s">
        <v>87</v>
      </c>
      <c r="AR123" t="s">
        <v>97</v>
      </c>
      <c r="AS123" t="s">
        <v>92</v>
      </c>
      <c r="AT123" t="s">
        <v>73</v>
      </c>
      <c r="AU123">
        <v>0</v>
      </c>
      <c r="AV123">
        <v>0</v>
      </c>
      <c r="AW123">
        <v>0</v>
      </c>
      <c r="AX123">
        <v>1</v>
      </c>
      <c r="AY123">
        <v>0</v>
      </c>
      <c r="AZ123" t="s">
        <v>581</v>
      </c>
    </row>
    <row r="124" spans="1:52" x14ac:dyDescent="0.2">
      <c r="A124">
        <v>1</v>
      </c>
      <c r="B124">
        <v>0</v>
      </c>
      <c r="C124">
        <v>0</v>
      </c>
      <c r="D124">
        <v>0</v>
      </c>
      <c r="E124">
        <v>0</v>
      </c>
      <c r="F124">
        <v>1</v>
      </c>
      <c r="G124">
        <v>1</v>
      </c>
      <c r="H124">
        <v>1</v>
      </c>
      <c r="I124">
        <v>0</v>
      </c>
      <c r="J124" t="s">
        <v>88</v>
      </c>
      <c r="K124" t="s">
        <v>89</v>
      </c>
      <c r="L124">
        <v>0</v>
      </c>
      <c r="M124">
        <v>0</v>
      </c>
      <c r="N124">
        <v>1</v>
      </c>
      <c r="O124">
        <v>0</v>
      </c>
      <c r="P124">
        <v>0</v>
      </c>
      <c r="Q124" t="s">
        <v>584</v>
      </c>
      <c r="AA124" t="s">
        <v>82</v>
      </c>
      <c r="AB124" t="s">
        <v>82</v>
      </c>
      <c r="AC124" t="s">
        <v>81</v>
      </c>
      <c r="AD124" t="s">
        <v>82</v>
      </c>
      <c r="AE124" t="s">
        <v>82</v>
      </c>
      <c r="AF124" t="s">
        <v>83</v>
      </c>
      <c r="AG124" t="s">
        <v>83</v>
      </c>
      <c r="AH124" t="s">
        <v>83</v>
      </c>
      <c r="AI124" t="s">
        <v>88</v>
      </c>
      <c r="AJ124" t="s">
        <v>89</v>
      </c>
      <c r="AK124" t="s">
        <v>100</v>
      </c>
      <c r="AL124" t="s">
        <v>96</v>
      </c>
      <c r="AM124" t="s">
        <v>87</v>
      </c>
      <c r="AN124" t="s">
        <v>87</v>
      </c>
      <c r="AO124" t="s">
        <v>87</v>
      </c>
      <c r="AP124" t="s">
        <v>87</v>
      </c>
      <c r="AQ124" t="s">
        <v>74</v>
      </c>
      <c r="AR124" t="s">
        <v>108</v>
      </c>
      <c r="AS124" t="s">
        <v>92</v>
      </c>
      <c r="AT124" t="s">
        <v>96</v>
      </c>
      <c r="AU124">
        <v>0</v>
      </c>
      <c r="AV124">
        <v>0</v>
      </c>
      <c r="AW124">
        <v>0</v>
      </c>
      <c r="AX124">
        <v>1</v>
      </c>
      <c r="AY124">
        <v>0</v>
      </c>
      <c r="AZ124" t="s">
        <v>580</v>
      </c>
    </row>
    <row r="125" spans="1:52" x14ac:dyDescent="0.2">
      <c r="A125">
        <v>1</v>
      </c>
      <c r="B125">
        <v>0</v>
      </c>
      <c r="C125">
        <v>0</v>
      </c>
      <c r="D125">
        <v>0</v>
      </c>
      <c r="E125">
        <v>0</v>
      </c>
      <c r="F125">
        <v>1</v>
      </c>
      <c r="G125">
        <v>0</v>
      </c>
      <c r="H125">
        <v>0</v>
      </c>
      <c r="I125">
        <v>0</v>
      </c>
      <c r="J125" t="s">
        <v>135</v>
      </c>
      <c r="K125" t="s">
        <v>80</v>
      </c>
      <c r="L125">
        <v>0</v>
      </c>
      <c r="M125">
        <v>0</v>
      </c>
      <c r="N125">
        <v>1</v>
      </c>
      <c r="O125">
        <v>0</v>
      </c>
      <c r="P125">
        <v>0</v>
      </c>
      <c r="Q125" t="s">
        <v>584</v>
      </c>
      <c r="AA125" t="s">
        <v>83</v>
      </c>
      <c r="AB125" t="s">
        <v>81</v>
      </c>
      <c r="AC125" t="s">
        <v>83</v>
      </c>
      <c r="AD125" t="s">
        <v>81</v>
      </c>
      <c r="AE125" t="s">
        <v>82</v>
      </c>
      <c r="AF125" t="s">
        <v>83</v>
      </c>
      <c r="AG125" t="s">
        <v>83</v>
      </c>
      <c r="AH125" t="s">
        <v>81</v>
      </c>
      <c r="AI125" t="s">
        <v>135</v>
      </c>
      <c r="AJ125" t="s">
        <v>89</v>
      </c>
      <c r="AK125" t="s">
        <v>85</v>
      </c>
      <c r="AL125" t="s">
        <v>107</v>
      </c>
      <c r="AM125" t="s">
        <v>74</v>
      </c>
      <c r="AR125" t="s">
        <v>75</v>
      </c>
      <c r="AS125" t="s">
        <v>76</v>
      </c>
      <c r="AT125" t="s">
        <v>107</v>
      </c>
      <c r="AU125">
        <v>0</v>
      </c>
      <c r="AV125">
        <v>0</v>
      </c>
      <c r="AW125">
        <v>0</v>
      </c>
      <c r="AX125">
        <v>1</v>
      </c>
      <c r="AY125">
        <v>0</v>
      </c>
      <c r="AZ125" t="s">
        <v>580</v>
      </c>
    </row>
    <row r="126" spans="1:52" x14ac:dyDescent="0.2">
      <c r="A126">
        <v>1</v>
      </c>
      <c r="B126">
        <v>0</v>
      </c>
      <c r="C126">
        <v>0</v>
      </c>
      <c r="D126">
        <v>0</v>
      </c>
      <c r="E126">
        <v>0</v>
      </c>
      <c r="F126">
        <v>1</v>
      </c>
      <c r="G126">
        <v>1</v>
      </c>
      <c r="H126">
        <v>1</v>
      </c>
      <c r="I126">
        <v>0</v>
      </c>
      <c r="J126" t="s">
        <v>88</v>
      </c>
      <c r="K126" t="s">
        <v>89</v>
      </c>
      <c r="L126">
        <v>0</v>
      </c>
      <c r="M126">
        <v>0</v>
      </c>
      <c r="N126">
        <v>0</v>
      </c>
      <c r="O126">
        <v>1</v>
      </c>
      <c r="P126">
        <v>0</v>
      </c>
      <c r="Q126" t="s">
        <v>584</v>
      </c>
      <c r="AA126" t="s">
        <v>83</v>
      </c>
      <c r="AB126" t="s">
        <v>82</v>
      </c>
      <c r="AC126" t="s">
        <v>81</v>
      </c>
      <c r="AD126" t="s">
        <v>81</v>
      </c>
      <c r="AE126" t="s">
        <v>83</v>
      </c>
      <c r="AF126" t="s">
        <v>83</v>
      </c>
      <c r="AG126" t="s">
        <v>83</v>
      </c>
      <c r="AH126" t="s">
        <v>83</v>
      </c>
      <c r="AI126" t="s">
        <v>88</v>
      </c>
      <c r="AJ126" t="s">
        <v>89</v>
      </c>
      <c r="AK126" t="s">
        <v>100</v>
      </c>
      <c r="AL126" t="s">
        <v>73</v>
      </c>
      <c r="AM126" t="s">
        <v>86</v>
      </c>
      <c r="AN126" t="s">
        <v>87</v>
      </c>
      <c r="AO126" t="s">
        <v>86</v>
      </c>
      <c r="AP126" t="s">
        <v>87</v>
      </c>
      <c r="AQ126" t="s">
        <v>86</v>
      </c>
      <c r="AR126" t="s">
        <v>159</v>
      </c>
      <c r="AS126" t="s">
        <v>76</v>
      </c>
      <c r="AT126" t="s">
        <v>73</v>
      </c>
      <c r="AU126">
        <v>0</v>
      </c>
      <c r="AV126">
        <v>0</v>
      </c>
      <c r="AW126">
        <v>0</v>
      </c>
      <c r="AX126">
        <v>1</v>
      </c>
      <c r="AY126">
        <v>0</v>
      </c>
      <c r="AZ126" t="s">
        <v>579</v>
      </c>
    </row>
    <row r="127" spans="1:52" x14ac:dyDescent="0.2">
      <c r="A127">
        <v>1</v>
      </c>
      <c r="B127">
        <v>0</v>
      </c>
      <c r="C127">
        <v>0</v>
      </c>
      <c r="D127">
        <v>0</v>
      </c>
      <c r="E127">
        <v>0</v>
      </c>
      <c r="F127">
        <v>1</v>
      </c>
      <c r="G127">
        <v>0</v>
      </c>
      <c r="H127">
        <v>0</v>
      </c>
      <c r="I127">
        <v>0</v>
      </c>
      <c r="J127" t="s">
        <v>79</v>
      </c>
      <c r="K127" t="s">
        <v>89</v>
      </c>
      <c r="L127">
        <v>0</v>
      </c>
      <c r="M127">
        <v>1</v>
      </c>
      <c r="N127">
        <v>0</v>
      </c>
      <c r="O127">
        <v>0</v>
      </c>
      <c r="P127">
        <v>0</v>
      </c>
      <c r="Q127" t="s">
        <v>584</v>
      </c>
      <c r="AA127" t="s">
        <v>90</v>
      </c>
      <c r="AB127" t="s">
        <v>82</v>
      </c>
      <c r="AC127" t="s">
        <v>81</v>
      </c>
      <c r="AD127" t="s">
        <v>90</v>
      </c>
      <c r="AE127" t="s">
        <v>90</v>
      </c>
      <c r="AF127" t="s">
        <v>90</v>
      </c>
      <c r="AG127" t="s">
        <v>90</v>
      </c>
      <c r="AH127" t="s">
        <v>83</v>
      </c>
      <c r="AI127" t="s">
        <v>88</v>
      </c>
      <c r="AJ127" t="s">
        <v>89</v>
      </c>
      <c r="AK127" t="s">
        <v>100</v>
      </c>
      <c r="AL127" t="s">
        <v>107</v>
      </c>
      <c r="AM127" t="s">
        <v>87</v>
      </c>
      <c r="AN127" t="s">
        <v>87</v>
      </c>
      <c r="AO127" t="s">
        <v>87</v>
      </c>
      <c r="AP127" t="s">
        <v>87</v>
      </c>
      <c r="AQ127" t="s">
        <v>87</v>
      </c>
      <c r="AR127" t="s">
        <v>75</v>
      </c>
      <c r="AS127" t="s">
        <v>76</v>
      </c>
      <c r="AT127" t="s">
        <v>107</v>
      </c>
      <c r="AU127">
        <v>0</v>
      </c>
      <c r="AV127">
        <v>0</v>
      </c>
      <c r="AW127">
        <v>0</v>
      </c>
      <c r="AX127">
        <v>1</v>
      </c>
      <c r="AY127">
        <v>0</v>
      </c>
      <c r="AZ127" t="s">
        <v>580</v>
      </c>
    </row>
    <row r="128" spans="1:52" x14ac:dyDescent="0.2">
      <c r="A128">
        <v>0</v>
      </c>
      <c r="B128">
        <v>1</v>
      </c>
      <c r="C128">
        <v>0</v>
      </c>
      <c r="D128">
        <v>0</v>
      </c>
      <c r="E128">
        <v>1</v>
      </c>
      <c r="F128">
        <v>0</v>
      </c>
      <c r="G128">
        <v>0</v>
      </c>
      <c r="H128">
        <v>0</v>
      </c>
      <c r="I128">
        <v>0</v>
      </c>
      <c r="L128">
        <v>1</v>
      </c>
      <c r="M128">
        <v>0</v>
      </c>
      <c r="N128">
        <v>0</v>
      </c>
      <c r="O128">
        <v>0</v>
      </c>
      <c r="P128">
        <v>0</v>
      </c>
      <c r="Q128" t="s">
        <v>584</v>
      </c>
      <c r="R128">
        <v>0</v>
      </c>
      <c r="S128">
        <v>1</v>
      </c>
      <c r="T128">
        <v>0</v>
      </c>
      <c r="U128">
        <v>0</v>
      </c>
      <c r="V128">
        <v>0</v>
      </c>
      <c r="W128">
        <v>0</v>
      </c>
      <c r="X128">
        <v>0</v>
      </c>
      <c r="Y128">
        <v>0</v>
      </c>
      <c r="Z128">
        <v>0</v>
      </c>
      <c r="AL128" t="s">
        <v>96</v>
      </c>
      <c r="AM128" t="s">
        <v>74</v>
      </c>
      <c r="AR128" t="s">
        <v>75</v>
      </c>
      <c r="AS128" t="s">
        <v>76</v>
      </c>
      <c r="AT128" t="s">
        <v>96</v>
      </c>
      <c r="AU128">
        <v>1</v>
      </c>
      <c r="AV128">
        <v>0</v>
      </c>
      <c r="AW128">
        <v>0</v>
      </c>
      <c r="AX128">
        <v>0</v>
      </c>
      <c r="AY128">
        <v>0</v>
      </c>
      <c r="AZ128" t="s">
        <v>580</v>
      </c>
    </row>
    <row r="129" spans="1:52" x14ac:dyDescent="0.2">
      <c r="A129">
        <v>1</v>
      </c>
      <c r="B129">
        <v>0</v>
      </c>
      <c r="C129">
        <v>0</v>
      </c>
      <c r="D129">
        <v>0</v>
      </c>
      <c r="E129">
        <v>1</v>
      </c>
      <c r="F129">
        <v>0</v>
      </c>
      <c r="G129">
        <v>0</v>
      </c>
      <c r="H129">
        <v>0</v>
      </c>
      <c r="I129">
        <v>0</v>
      </c>
      <c r="L129">
        <v>0</v>
      </c>
      <c r="M129">
        <v>0</v>
      </c>
      <c r="N129">
        <v>1</v>
      </c>
      <c r="O129">
        <v>1</v>
      </c>
      <c r="P129">
        <v>0</v>
      </c>
      <c r="Q129" t="s">
        <v>584</v>
      </c>
      <c r="AA129" t="s">
        <v>82</v>
      </c>
      <c r="AB129" t="s">
        <v>81</v>
      </c>
      <c r="AC129" t="s">
        <v>90</v>
      </c>
      <c r="AD129" t="s">
        <v>83</v>
      </c>
      <c r="AE129" t="s">
        <v>82</v>
      </c>
      <c r="AF129" t="s">
        <v>83</v>
      </c>
      <c r="AG129" t="s">
        <v>82</v>
      </c>
      <c r="AH129" t="s">
        <v>83</v>
      </c>
      <c r="AI129" t="s">
        <v>84</v>
      </c>
      <c r="AJ129" t="s">
        <v>89</v>
      </c>
      <c r="AK129" t="s">
        <v>85</v>
      </c>
      <c r="AL129" t="s">
        <v>96</v>
      </c>
      <c r="AM129" t="s">
        <v>74</v>
      </c>
      <c r="AR129" t="s">
        <v>75</v>
      </c>
      <c r="AS129" t="s">
        <v>76</v>
      </c>
      <c r="AT129" t="s">
        <v>96</v>
      </c>
      <c r="AU129">
        <v>1</v>
      </c>
      <c r="AV129">
        <v>0</v>
      </c>
      <c r="AW129">
        <v>0</v>
      </c>
      <c r="AX129">
        <v>0</v>
      </c>
      <c r="AY129">
        <v>0</v>
      </c>
      <c r="AZ129" t="s">
        <v>580</v>
      </c>
    </row>
    <row r="130" spans="1:52" x14ac:dyDescent="0.2">
      <c r="A130">
        <v>1</v>
      </c>
      <c r="B130">
        <v>0</v>
      </c>
      <c r="C130">
        <v>0</v>
      </c>
      <c r="D130">
        <v>0</v>
      </c>
      <c r="E130">
        <v>0</v>
      </c>
      <c r="F130">
        <v>1</v>
      </c>
      <c r="G130">
        <v>0</v>
      </c>
      <c r="H130">
        <v>0</v>
      </c>
      <c r="I130">
        <v>0</v>
      </c>
      <c r="J130" t="s">
        <v>88</v>
      </c>
      <c r="K130" t="s">
        <v>89</v>
      </c>
      <c r="L130">
        <v>0</v>
      </c>
      <c r="M130">
        <v>1</v>
      </c>
      <c r="N130">
        <v>0</v>
      </c>
      <c r="O130">
        <v>0</v>
      </c>
      <c r="P130">
        <v>0</v>
      </c>
      <c r="Q130" t="s">
        <v>584</v>
      </c>
      <c r="AA130" t="s">
        <v>90</v>
      </c>
      <c r="AB130" t="s">
        <v>82</v>
      </c>
      <c r="AC130" t="s">
        <v>83</v>
      </c>
      <c r="AD130" t="s">
        <v>82</v>
      </c>
      <c r="AE130" t="s">
        <v>90</v>
      </c>
      <c r="AF130" t="s">
        <v>81</v>
      </c>
      <c r="AG130" t="s">
        <v>83</v>
      </c>
      <c r="AH130" t="s">
        <v>90</v>
      </c>
      <c r="AI130" t="s">
        <v>88</v>
      </c>
      <c r="AJ130" t="s">
        <v>89</v>
      </c>
      <c r="AK130" t="s">
        <v>100</v>
      </c>
      <c r="AL130" t="s">
        <v>73</v>
      </c>
      <c r="AM130" t="s">
        <v>86</v>
      </c>
      <c r="AN130" t="s">
        <v>87</v>
      </c>
      <c r="AO130" t="s">
        <v>87</v>
      </c>
      <c r="AP130" t="s">
        <v>86</v>
      </c>
      <c r="AQ130" t="s">
        <v>87</v>
      </c>
      <c r="AR130" t="s">
        <v>75</v>
      </c>
      <c r="AS130" t="s">
        <v>76</v>
      </c>
      <c r="AT130" t="s">
        <v>73</v>
      </c>
      <c r="AU130">
        <v>1</v>
      </c>
      <c r="AV130">
        <v>0</v>
      </c>
      <c r="AW130">
        <v>0</v>
      </c>
      <c r="AX130">
        <v>0</v>
      </c>
      <c r="AY130">
        <v>0</v>
      </c>
      <c r="AZ130" t="s">
        <v>579</v>
      </c>
    </row>
    <row r="131" spans="1:52" x14ac:dyDescent="0.2">
      <c r="A131">
        <v>1</v>
      </c>
      <c r="B131">
        <v>0</v>
      </c>
      <c r="C131">
        <v>0</v>
      </c>
      <c r="D131">
        <v>0</v>
      </c>
      <c r="E131">
        <v>0</v>
      </c>
      <c r="F131">
        <v>1</v>
      </c>
      <c r="G131">
        <v>0</v>
      </c>
      <c r="H131">
        <v>1</v>
      </c>
      <c r="I131">
        <v>0</v>
      </c>
      <c r="J131" t="s">
        <v>88</v>
      </c>
      <c r="K131" t="s">
        <v>89</v>
      </c>
      <c r="L131">
        <v>1</v>
      </c>
      <c r="M131">
        <v>0</v>
      </c>
      <c r="N131">
        <v>0</v>
      </c>
      <c r="O131">
        <v>0</v>
      </c>
      <c r="P131">
        <v>0</v>
      </c>
      <c r="Q131" t="s">
        <v>584</v>
      </c>
      <c r="R131">
        <v>0</v>
      </c>
      <c r="S131">
        <v>0</v>
      </c>
      <c r="T131">
        <v>1</v>
      </c>
      <c r="U131">
        <v>0</v>
      </c>
      <c r="V131">
        <v>0</v>
      </c>
      <c r="W131">
        <v>0</v>
      </c>
      <c r="X131">
        <v>0</v>
      </c>
      <c r="Y131">
        <v>0</v>
      </c>
      <c r="Z131">
        <v>0</v>
      </c>
      <c r="AL131" t="s">
        <v>73</v>
      </c>
      <c r="AM131" t="s">
        <v>87</v>
      </c>
      <c r="AN131" t="s">
        <v>87</v>
      </c>
      <c r="AO131" t="s">
        <v>87</v>
      </c>
      <c r="AP131" t="s">
        <v>87</v>
      </c>
      <c r="AQ131" t="s">
        <v>87</v>
      </c>
      <c r="AR131" t="s">
        <v>75</v>
      </c>
      <c r="AS131" t="s">
        <v>76</v>
      </c>
      <c r="AT131" t="s">
        <v>73</v>
      </c>
      <c r="AU131">
        <v>1</v>
      </c>
      <c r="AV131">
        <v>0</v>
      </c>
      <c r="AW131">
        <v>0</v>
      </c>
      <c r="AX131">
        <v>0</v>
      </c>
      <c r="AY131">
        <v>1</v>
      </c>
      <c r="AZ131" t="s">
        <v>579</v>
      </c>
    </row>
    <row r="132" spans="1:52" x14ac:dyDescent="0.2">
      <c r="A132">
        <v>1</v>
      </c>
      <c r="B132">
        <v>0</v>
      </c>
      <c r="C132">
        <v>0</v>
      </c>
      <c r="D132">
        <v>0</v>
      </c>
      <c r="E132">
        <v>1</v>
      </c>
      <c r="F132">
        <v>0</v>
      </c>
      <c r="G132">
        <v>0</v>
      </c>
      <c r="H132">
        <v>0</v>
      </c>
      <c r="I132">
        <v>0</v>
      </c>
      <c r="L132">
        <v>1</v>
      </c>
      <c r="M132">
        <v>0</v>
      </c>
      <c r="N132">
        <v>0</v>
      </c>
      <c r="O132">
        <v>0</v>
      </c>
      <c r="P132">
        <v>0</v>
      </c>
      <c r="Q132" t="s">
        <v>584</v>
      </c>
      <c r="R132">
        <v>0</v>
      </c>
      <c r="S132">
        <v>0</v>
      </c>
      <c r="T132">
        <v>0</v>
      </c>
      <c r="U132">
        <v>0</v>
      </c>
      <c r="V132">
        <v>0</v>
      </c>
      <c r="W132">
        <v>0</v>
      </c>
      <c r="X132">
        <v>0</v>
      </c>
      <c r="Y132">
        <v>0</v>
      </c>
      <c r="Z132">
        <v>1</v>
      </c>
      <c r="AL132" t="s">
        <v>107</v>
      </c>
      <c r="AM132" t="s">
        <v>86</v>
      </c>
      <c r="AN132" t="s">
        <v>86</v>
      </c>
      <c r="AO132" t="s">
        <v>86</v>
      </c>
      <c r="AP132" t="s">
        <v>87</v>
      </c>
      <c r="AQ132" t="s">
        <v>86</v>
      </c>
      <c r="AR132" t="s">
        <v>75</v>
      </c>
      <c r="AS132" t="s">
        <v>76</v>
      </c>
      <c r="AT132" t="s">
        <v>107</v>
      </c>
      <c r="AU132">
        <v>0</v>
      </c>
      <c r="AV132">
        <v>0</v>
      </c>
      <c r="AW132">
        <v>0</v>
      </c>
      <c r="AX132">
        <v>1</v>
      </c>
      <c r="AY132">
        <v>0</v>
      </c>
      <c r="AZ132" t="s">
        <v>580</v>
      </c>
    </row>
    <row r="133" spans="1:52" x14ac:dyDescent="0.2">
      <c r="A133">
        <v>0</v>
      </c>
      <c r="B133">
        <v>1</v>
      </c>
      <c r="C133">
        <v>0</v>
      </c>
      <c r="D133">
        <v>0</v>
      </c>
      <c r="E133">
        <v>0</v>
      </c>
      <c r="F133">
        <v>1</v>
      </c>
      <c r="G133">
        <v>0</v>
      </c>
      <c r="H133">
        <v>1</v>
      </c>
      <c r="I133">
        <v>0</v>
      </c>
      <c r="J133" t="s">
        <v>88</v>
      </c>
      <c r="K133" t="s">
        <v>89</v>
      </c>
      <c r="L133">
        <v>0</v>
      </c>
      <c r="M133">
        <v>1</v>
      </c>
      <c r="N133">
        <v>0</v>
      </c>
      <c r="O133">
        <v>0</v>
      </c>
      <c r="P133">
        <v>0</v>
      </c>
      <c r="Q133" t="s">
        <v>584</v>
      </c>
      <c r="AA133" t="s">
        <v>90</v>
      </c>
      <c r="AB133" t="s">
        <v>82</v>
      </c>
      <c r="AC133" t="s">
        <v>81</v>
      </c>
      <c r="AD133" t="s">
        <v>83</v>
      </c>
      <c r="AE133" t="s">
        <v>83</v>
      </c>
      <c r="AF133" t="s">
        <v>90</v>
      </c>
      <c r="AG133" t="s">
        <v>83</v>
      </c>
      <c r="AH133" t="s">
        <v>83</v>
      </c>
      <c r="AI133" t="s">
        <v>88</v>
      </c>
      <c r="AJ133" t="s">
        <v>89</v>
      </c>
      <c r="AK133" t="s">
        <v>100</v>
      </c>
      <c r="AL133" t="s">
        <v>107</v>
      </c>
      <c r="AM133" t="s">
        <v>87</v>
      </c>
      <c r="AN133" t="s">
        <v>74</v>
      </c>
      <c r="AO133" t="s">
        <v>87</v>
      </c>
      <c r="AP133" t="s">
        <v>87</v>
      </c>
      <c r="AQ133" t="s">
        <v>74</v>
      </c>
      <c r="AR133" t="s">
        <v>101</v>
      </c>
      <c r="AS133" t="s">
        <v>76</v>
      </c>
      <c r="AT133" t="s">
        <v>107</v>
      </c>
      <c r="AU133">
        <v>0</v>
      </c>
      <c r="AV133">
        <v>0</v>
      </c>
      <c r="AW133">
        <v>0</v>
      </c>
      <c r="AX133">
        <v>1</v>
      </c>
      <c r="AY133">
        <v>0</v>
      </c>
      <c r="AZ133" t="s">
        <v>580</v>
      </c>
    </row>
    <row r="134" spans="1:52" x14ac:dyDescent="0.2">
      <c r="A134">
        <v>1</v>
      </c>
      <c r="B134">
        <v>0</v>
      </c>
      <c r="C134">
        <v>0</v>
      </c>
      <c r="D134">
        <v>0</v>
      </c>
      <c r="E134">
        <v>1</v>
      </c>
      <c r="F134">
        <v>0</v>
      </c>
      <c r="G134">
        <v>0</v>
      </c>
      <c r="H134">
        <v>0</v>
      </c>
      <c r="I134">
        <v>0</v>
      </c>
      <c r="L134">
        <v>0</v>
      </c>
      <c r="M134">
        <v>1</v>
      </c>
      <c r="N134">
        <v>0</v>
      </c>
      <c r="O134">
        <v>0</v>
      </c>
      <c r="P134">
        <v>0</v>
      </c>
      <c r="Q134" t="s">
        <v>584</v>
      </c>
      <c r="AA134" t="s">
        <v>90</v>
      </c>
      <c r="AB134" t="s">
        <v>82</v>
      </c>
      <c r="AC134" t="s">
        <v>81</v>
      </c>
      <c r="AD134" t="s">
        <v>90</v>
      </c>
      <c r="AE134" t="s">
        <v>90</v>
      </c>
      <c r="AF134" t="s">
        <v>90</v>
      </c>
      <c r="AG134" t="s">
        <v>90</v>
      </c>
      <c r="AH134" t="s">
        <v>83</v>
      </c>
      <c r="AI134" t="s">
        <v>84</v>
      </c>
      <c r="AJ134" t="s">
        <v>80</v>
      </c>
      <c r="AK134" t="s">
        <v>117</v>
      </c>
      <c r="AL134" t="s">
        <v>107</v>
      </c>
      <c r="AM134" t="s">
        <v>86</v>
      </c>
      <c r="AN134" t="s">
        <v>86</v>
      </c>
      <c r="AO134" t="s">
        <v>86</v>
      </c>
      <c r="AP134" t="s">
        <v>86</v>
      </c>
      <c r="AQ134" t="s">
        <v>86</v>
      </c>
      <c r="AR134" t="s">
        <v>75</v>
      </c>
      <c r="AS134" t="s">
        <v>76</v>
      </c>
      <c r="AT134" t="s">
        <v>107</v>
      </c>
      <c r="AU134">
        <v>0</v>
      </c>
      <c r="AV134">
        <v>0</v>
      </c>
      <c r="AW134">
        <v>0</v>
      </c>
      <c r="AX134">
        <v>0</v>
      </c>
      <c r="AY134">
        <v>1</v>
      </c>
      <c r="AZ134" t="s">
        <v>579</v>
      </c>
    </row>
    <row r="135" spans="1:52" x14ac:dyDescent="0.2">
      <c r="A135">
        <v>1</v>
      </c>
      <c r="B135">
        <v>0</v>
      </c>
      <c r="C135">
        <v>0</v>
      </c>
      <c r="D135">
        <v>0</v>
      </c>
      <c r="E135">
        <v>1</v>
      </c>
      <c r="F135">
        <v>0</v>
      </c>
      <c r="G135">
        <v>0</v>
      </c>
      <c r="H135">
        <v>0</v>
      </c>
      <c r="I135">
        <v>0</v>
      </c>
      <c r="L135">
        <v>1</v>
      </c>
      <c r="M135">
        <v>0</v>
      </c>
      <c r="N135">
        <v>0</v>
      </c>
      <c r="O135">
        <v>0</v>
      </c>
      <c r="P135">
        <v>0</v>
      </c>
      <c r="Q135" t="s">
        <v>584</v>
      </c>
      <c r="R135">
        <v>0</v>
      </c>
      <c r="S135">
        <v>1</v>
      </c>
      <c r="T135">
        <v>0</v>
      </c>
      <c r="U135">
        <v>0</v>
      </c>
      <c r="V135">
        <v>0</v>
      </c>
      <c r="W135">
        <v>0</v>
      </c>
      <c r="X135">
        <v>0</v>
      </c>
      <c r="Y135">
        <v>0</v>
      </c>
      <c r="Z135">
        <v>0</v>
      </c>
      <c r="AL135" t="s">
        <v>107</v>
      </c>
      <c r="AM135" t="s">
        <v>74</v>
      </c>
      <c r="AR135" t="s">
        <v>97</v>
      </c>
      <c r="AS135" t="s">
        <v>76</v>
      </c>
      <c r="AT135" t="s">
        <v>107</v>
      </c>
      <c r="AU135">
        <v>0</v>
      </c>
      <c r="AV135">
        <v>0</v>
      </c>
      <c r="AW135">
        <v>0</v>
      </c>
      <c r="AX135">
        <v>1</v>
      </c>
      <c r="AY135">
        <v>0</v>
      </c>
      <c r="AZ135" t="s">
        <v>580</v>
      </c>
    </row>
    <row r="136" spans="1:52" x14ac:dyDescent="0.2">
      <c r="A136">
        <v>0</v>
      </c>
      <c r="B136">
        <v>1</v>
      </c>
      <c r="C136">
        <v>0</v>
      </c>
      <c r="D136">
        <v>0</v>
      </c>
      <c r="E136">
        <v>1</v>
      </c>
      <c r="F136">
        <v>0</v>
      </c>
      <c r="G136">
        <v>0</v>
      </c>
      <c r="H136">
        <v>0</v>
      </c>
      <c r="I136">
        <v>0</v>
      </c>
      <c r="L136">
        <v>1</v>
      </c>
      <c r="M136">
        <v>0</v>
      </c>
      <c r="N136">
        <v>0</v>
      </c>
      <c r="O136">
        <v>0</v>
      </c>
      <c r="P136">
        <v>0</v>
      </c>
      <c r="Q136" t="s">
        <v>584</v>
      </c>
      <c r="R136">
        <v>0</v>
      </c>
      <c r="S136">
        <v>1</v>
      </c>
      <c r="T136">
        <v>0</v>
      </c>
      <c r="U136">
        <v>0</v>
      </c>
      <c r="V136">
        <v>0</v>
      </c>
      <c r="W136">
        <v>0</v>
      </c>
      <c r="X136">
        <v>0</v>
      </c>
      <c r="Y136">
        <v>0</v>
      </c>
      <c r="Z136">
        <v>0</v>
      </c>
      <c r="AL136" t="s">
        <v>107</v>
      </c>
      <c r="AM136" t="s">
        <v>86</v>
      </c>
      <c r="AN136" t="s">
        <v>86</v>
      </c>
      <c r="AO136" t="s">
        <v>74</v>
      </c>
      <c r="AP136" t="s">
        <v>74</v>
      </c>
      <c r="AQ136" t="s">
        <v>74</v>
      </c>
      <c r="AR136" t="s">
        <v>101</v>
      </c>
      <c r="AS136" t="s">
        <v>76</v>
      </c>
      <c r="AT136" t="s">
        <v>107</v>
      </c>
      <c r="AU136">
        <v>1</v>
      </c>
      <c r="AV136">
        <v>0</v>
      </c>
      <c r="AW136">
        <v>0</v>
      </c>
      <c r="AX136">
        <v>0</v>
      </c>
      <c r="AY136">
        <v>0</v>
      </c>
      <c r="AZ136" t="s">
        <v>579</v>
      </c>
    </row>
    <row r="137" spans="1:52" x14ac:dyDescent="0.2">
      <c r="A137">
        <v>0</v>
      </c>
      <c r="B137">
        <v>1</v>
      </c>
      <c r="C137">
        <v>0</v>
      </c>
      <c r="D137">
        <v>0</v>
      </c>
      <c r="E137">
        <v>1</v>
      </c>
      <c r="F137">
        <v>0</v>
      </c>
      <c r="G137">
        <v>0</v>
      </c>
      <c r="H137">
        <v>0</v>
      </c>
      <c r="I137">
        <v>0</v>
      </c>
      <c r="L137">
        <v>1</v>
      </c>
      <c r="M137">
        <v>0</v>
      </c>
      <c r="N137">
        <v>0</v>
      </c>
      <c r="O137">
        <v>0</v>
      </c>
      <c r="P137">
        <v>0</v>
      </c>
      <c r="Q137" t="s">
        <v>584</v>
      </c>
      <c r="R137">
        <v>0</v>
      </c>
      <c r="S137">
        <v>0</v>
      </c>
      <c r="T137">
        <v>1</v>
      </c>
      <c r="U137">
        <v>0</v>
      </c>
      <c r="V137">
        <v>0</v>
      </c>
      <c r="W137">
        <v>0</v>
      </c>
      <c r="X137">
        <v>0</v>
      </c>
      <c r="Y137">
        <v>0</v>
      </c>
      <c r="Z137">
        <v>0</v>
      </c>
      <c r="AL137" t="s">
        <v>120</v>
      </c>
      <c r="AM137" t="s">
        <v>87</v>
      </c>
      <c r="AN137" t="s">
        <v>87</v>
      </c>
      <c r="AO137" t="s">
        <v>74</v>
      </c>
      <c r="AP137" t="s">
        <v>87</v>
      </c>
      <c r="AQ137" t="s">
        <v>74</v>
      </c>
      <c r="AR137" t="s">
        <v>101</v>
      </c>
      <c r="AS137" t="s">
        <v>76</v>
      </c>
      <c r="AT137" t="s">
        <v>120</v>
      </c>
      <c r="AU137">
        <v>0</v>
      </c>
      <c r="AV137">
        <v>0</v>
      </c>
      <c r="AW137">
        <v>0</v>
      </c>
      <c r="AX137">
        <v>1</v>
      </c>
      <c r="AY137">
        <v>0</v>
      </c>
      <c r="AZ137" t="s">
        <v>580</v>
      </c>
    </row>
    <row r="138" spans="1:52" x14ac:dyDescent="0.2">
      <c r="A138">
        <v>1</v>
      </c>
      <c r="B138">
        <v>0</v>
      </c>
      <c r="C138">
        <v>0</v>
      </c>
      <c r="D138">
        <v>0</v>
      </c>
      <c r="E138">
        <v>1</v>
      </c>
      <c r="F138">
        <v>0</v>
      </c>
      <c r="G138">
        <v>0</v>
      </c>
      <c r="H138">
        <v>0</v>
      </c>
      <c r="I138">
        <v>0</v>
      </c>
      <c r="L138">
        <v>1</v>
      </c>
      <c r="M138">
        <v>0</v>
      </c>
      <c r="N138">
        <v>0</v>
      </c>
      <c r="O138">
        <v>0</v>
      </c>
      <c r="P138">
        <v>0</v>
      </c>
      <c r="Q138" t="s">
        <v>584</v>
      </c>
      <c r="R138">
        <v>0</v>
      </c>
      <c r="S138">
        <v>1</v>
      </c>
      <c r="T138">
        <v>0</v>
      </c>
      <c r="U138">
        <v>0</v>
      </c>
      <c r="V138">
        <v>0</v>
      </c>
      <c r="W138">
        <v>0</v>
      </c>
      <c r="X138">
        <v>0</v>
      </c>
      <c r="Y138">
        <v>0</v>
      </c>
      <c r="Z138">
        <v>0</v>
      </c>
      <c r="AL138" t="s">
        <v>107</v>
      </c>
      <c r="AM138" t="s">
        <v>86</v>
      </c>
      <c r="AN138" t="s">
        <v>87</v>
      </c>
      <c r="AO138" t="s">
        <v>87</v>
      </c>
      <c r="AP138" t="s">
        <v>87</v>
      </c>
      <c r="AQ138" t="s">
        <v>87</v>
      </c>
      <c r="AR138" t="s">
        <v>75</v>
      </c>
      <c r="AS138" t="s">
        <v>76</v>
      </c>
      <c r="AT138" t="s">
        <v>107</v>
      </c>
      <c r="AU138">
        <v>0</v>
      </c>
      <c r="AV138">
        <v>0</v>
      </c>
      <c r="AW138">
        <v>0</v>
      </c>
      <c r="AX138">
        <v>1</v>
      </c>
      <c r="AY138">
        <v>0</v>
      </c>
      <c r="AZ138" t="s">
        <v>580</v>
      </c>
    </row>
    <row r="139" spans="1:52" x14ac:dyDescent="0.2">
      <c r="A139">
        <v>1</v>
      </c>
      <c r="B139">
        <v>0</v>
      </c>
      <c r="C139">
        <v>0</v>
      </c>
      <c r="D139">
        <v>0</v>
      </c>
      <c r="E139">
        <v>0</v>
      </c>
      <c r="F139">
        <v>1</v>
      </c>
      <c r="G139">
        <v>0</v>
      </c>
      <c r="H139">
        <v>0</v>
      </c>
      <c r="I139">
        <v>0</v>
      </c>
      <c r="J139" t="s">
        <v>135</v>
      </c>
      <c r="K139" t="s">
        <v>80</v>
      </c>
      <c r="L139">
        <v>0</v>
      </c>
      <c r="M139">
        <v>0</v>
      </c>
      <c r="N139">
        <v>1</v>
      </c>
      <c r="O139">
        <v>0</v>
      </c>
      <c r="P139">
        <v>0</v>
      </c>
      <c r="Q139" t="s">
        <v>584</v>
      </c>
      <c r="AA139" t="s">
        <v>81</v>
      </c>
      <c r="AB139" t="s">
        <v>81</v>
      </c>
      <c r="AC139" t="s">
        <v>83</v>
      </c>
      <c r="AD139" t="s">
        <v>81</v>
      </c>
      <c r="AE139" t="s">
        <v>82</v>
      </c>
      <c r="AF139" t="s">
        <v>81</v>
      </c>
      <c r="AG139" t="s">
        <v>81</v>
      </c>
      <c r="AH139" t="s">
        <v>83</v>
      </c>
      <c r="AI139" t="s">
        <v>135</v>
      </c>
      <c r="AJ139" t="s">
        <v>80</v>
      </c>
      <c r="AK139" t="s">
        <v>117</v>
      </c>
      <c r="AL139" t="s">
        <v>96</v>
      </c>
      <c r="AM139" t="s">
        <v>86</v>
      </c>
      <c r="AN139" t="s">
        <v>86</v>
      </c>
      <c r="AO139" t="s">
        <v>86</v>
      </c>
      <c r="AP139" t="s">
        <v>86</v>
      </c>
      <c r="AQ139" t="s">
        <v>86</v>
      </c>
      <c r="AR139" t="s">
        <v>75</v>
      </c>
      <c r="AS139" t="s">
        <v>92</v>
      </c>
      <c r="AT139" t="s">
        <v>96</v>
      </c>
      <c r="AU139">
        <v>1</v>
      </c>
      <c r="AV139">
        <v>0</v>
      </c>
      <c r="AW139">
        <v>0</v>
      </c>
      <c r="AX139">
        <v>0</v>
      </c>
      <c r="AY139">
        <v>0</v>
      </c>
      <c r="AZ139" t="s">
        <v>579</v>
      </c>
    </row>
    <row r="140" spans="1:52" x14ac:dyDescent="0.2">
      <c r="A140">
        <v>0</v>
      </c>
      <c r="B140">
        <v>1</v>
      </c>
      <c r="C140">
        <v>0</v>
      </c>
      <c r="D140">
        <v>0</v>
      </c>
      <c r="E140">
        <v>1</v>
      </c>
      <c r="F140">
        <v>0</v>
      </c>
      <c r="G140">
        <v>0</v>
      </c>
      <c r="H140">
        <v>0</v>
      </c>
      <c r="I140">
        <v>0</v>
      </c>
      <c r="L140">
        <v>1</v>
      </c>
      <c r="M140">
        <v>0</v>
      </c>
      <c r="N140">
        <v>0</v>
      </c>
      <c r="O140">
        <v>0</v>
      </c>
      <c r="P140">
        <v>0</v>
      </c>
      <c r="Q140" t="s">
        <v>584</v>
      </c>
      <c r="R140">
        <v>0</v>
      </c>
      <c r="S140">
        <v>0</v>
      </c>
      <c r="T140">
        <v>0</v>
      </c>
      <c r="U140">
        <v>0</v>
      </c>
      <c r="V140">
        <v>0</v>
      </c>
      <c r="W140">
        <v>0</v>
      </c>
      <c r="X140">
        <v>0</v>
      </c>
      <c r="Y140">
        <v>0</v>
      </c>
      <c r="Z140">
        <v>1</v>
      </c>
      <c r="AL140" t="s">
        <v>96</v>
      </c>
      <c r="AM140" t="s">
        <v>87</v>
      </c>
      <c r="AN140" t="s">
        <v>87</v>
      </c>
      <c r="AO140" t="s">
        <v>87</v>
      </c>
      <c r="AP140" t="s">
        <v>87</v>
      </c>
      <c r="AQ140" t="s">
        <v>87</v>
      </c>
      <c r="AR140" t="s">
        <v>75</v>
      </c>
      <c r="AS140" t="s">
        <v>92</v>
      </c>
      <c r="AT140" t="s">
        <v>96</v>
      </c>
      <c r="AU140">
        <v>1</v>
      </c>
      <c r="AV140">
        <v>0</v>
      </c>
      <c r="AW140">
        <v>0</v>
      </c>
      <c r="AX140">
        <v>0</v>
      </c>
      <c r="AY140">
        <v>0</v>
      </c>
      <c r="AZ140" t="s">
        <v>580</v>
      </c>
    </row>
    <row r="141" spans="1:52" x14ac:dyDescent="0.2">
      <c r="A141">
        <v>1</v>
      </c>
      <c r="B141">
        <v>0</v>
      </c>
      <c r="C141">
        <v>0</v>
      </c>
      <c r="D141">
        <v>0</v>
      </c>
      <c r="E141">
        <v>0</v>
      </c>
      <c r="F141">
        <v>1</v>
      </c>
      <c r="G141">
        <v>1</v>
      </c>
      <c r="H141">
        <v>0</v>
      </c>
      <c r="I141">
        <v>0</v>
      </c>
      <c r="J141" t="s">
        <v>88</v>
      </c>
      <c r="K141" t="s">
        <v>89</v>
      </c>
      <c r="L141">
        <v>0</v>
      </c>
      <c r="M141">
        <v>0</v>
      </c>
      <c r="N141">
        <v>1</v>
      </c>
      <c r="O141">
        <v>0</v>
      </c>
      <c r="P141">
        <v>0</v>
      </c>
      <c r="Q141" t="s">
        <v>584</v>
      </c>
      <c r="AA141" t="s">
        <v>83</v>
      </c>
      <c r="AB141" t="s">
        <v>82</v>
      </c>
      <c r="AC141" t="s">
        <v>83</v>
      </c>
      <c r="AD141" t="s">
        <v>81</v>
      </c>
      <c r="AE141" t="s">
        <v>83</v>
      </c>
      <c r="AF141" t="s">
        <v>83</v>
      </c>
      <c r="AG141" t="s">
        <v>83</v>
      </c>
      <c r="AH141" t="s">
        <v>83</v>
      </c>
      <c r="AI141" t="s">
        <v>88</v>
      </c>
      <c r="AJ141" t="s">
        <v>89</v>
      </c>
      <c r="AK141" t="s">
        <v>85</v>
      </c>
      <c r="AL141" t="s">
        <v>107</v>
      </c>
      <c r="AM141" t="s">
        <v>87</v>
      </c>
      <c r="AN141" t="s">
        <v>87</v>
      </c>
      <c r="AO141" t="s">
        <v>87</v>
      </c>
      <c r="AP141" t="s">
        <v>87</v>
      </c>
      <c r="AQ141" t="s">
        <v>87</v>
      </c>
      <c r="AR141" t="s">
        <v>97</v>
      </c>
      <c r="AS141" t="s">
        <v>76</v>
      </c>
      <c r="AT141" t="s">
        <v>107</v>
      </c>
      <c r="AU141">
        <v>0</v>
      </c>
      <c r="AV141">
        <v>0</v>
      </c>
      <c r="AW141">
        <v>0</v>
      </c>
      <c r="AX141">
        <v>1</v>
      </c>
      <c r="AY141">
        <v>0</v>
      </c>
      <c r="AZ141" t="s">
        <v>580</v>
      </c>
    </row>
    <row r="142" spans="1:52" x14ac:dyDescent="0.2">
      <c r="A142">
        <v>0</v>
      </c>
      <c r="B142">
        <v>1</v>
      </c>
      <c r="C142">
        <v>0</v>
      </c>
      <c r="D142">
        <v>0</v>
      </c>
      <c r="E142">
        <v>0</v>
      </c>
      <c r="F142">
        <v>0</v>
      </c>
      <c r="G142">
        <v>0</v>
      </c>
      <c r="H142">
        <v>0</v>
      </c>
      <c r="I142">
        <v>1</v>
      </c>
      <c r="J142" t="s">
        <v>79</v>
      </c>
      <c r="K142" t="s">
        <v>80</v>
      </c>
      <c r="L142">
        <v>1</v>
      </c>
      <c r="M142">
        <v>0</v>
      </c>
      <c r="N142">
        <v>0</v>
      </c>
      <c r="O142">
        <v>0</v>
      </c>
      <c r="P142">
        <v>0</v>
      </c>
      <c r="Q142" t="s">
        <v>584</v>
      </c>
      <c r="R142">
        <v>0</v>
      </c>
      <c r="S142">
        <v>1</v>
      </c>
      <c r="T142">
        <v>0</v>
      </c>
      <c r="U142">
        <v>0</v>
      </c>
      <c r="V142">
        <v>0</v>
      </c>
      <c r="W142">
        <v>0</v>
      </c>
      <c r="X142">
        <v>0</v>
      </c>
      <c r="Y142">
        <v>0</v>
      </c>
      <c r="Z142">
        <v>0</v>
      </c>
      <c r="AL142" t="s">
        <v>73</v>
      </c>
      <c r="AM142" t="s">
        <v>74</v>
      </c>
      <c r="AR142" t="s">
        <v>97</v>
      </c>
      <c r="AS142" t="s">
        <v>76</v>
      </c>
      <c r="AT142" t="s">
        <v>73</v>
      </c>
      <c r="AU142">
        <v>1</v>
      </c>
      <c r="AV142">
        <v>0</v>
      </c>
      <c r="AW142">
        <v>0</v>
      </c>
      <c r="AX142">
        <v>0</v>
      </c>
      <c r="AY142">
        <v>0</v>
      </c>
      <c r="AZ142" t="s">
        <v>580</v>
      </c>
    </row>
    <row r="143" spans="1:52" x14ac:dyDescent="0.2">
      <c r="A143">
        <v>1</v>
      </c>
      <c r="B143">
        <v>0</v>
      </c>
      <c r="C143">
        <v>0</v>
      </c>
      <c r="D143">
        <v>0</v>
      </c>
      <c r="E143">
        <v>1</v>
      </c>
      <c r="F143">
        <v>0</v>
      </c>
      <c r="G143">
        <v>0</v>
      </c>
      <c r="H143">
        <v>0</v>
      </c>
      <c r="I143">
        <v>0</v>
      </c>
      <c r="L143">
        <v>0</v>
      </c>
      <c r="M143">
        <v>1</v>
      </c>
      <c r="N143">
        <v>1</v>
      </c>
      <c r="O143">
        <v>0</v>
      </c>
      <c r="P143">
        <v>0</v>
      </c>
      <c r="Q143" t="s">
        <v>584</v>
      </c>
      <c r="AA143" t="s">
        <v>81</v>
      </c>
      <c r="AB143" t="s">
        <v>83</v>
      </c>
      <c r="AC143" t="s">
        <v>83</v>
      </c>
      <c r="AD143" t="s">
        <v>83</v>
      </c>
      <c r="AE143" t="s">
        <v>82</v>
      </c>
      <c r="AF143" t="s">
        <v>83</v>
      </c>
      <c r="AG143" t="s">
        <v>83</v>
      </c>
      <c r="AH143" t="s">
        <v>83</v>
      </c>
      <c r="AI143" t="s">
        <v>84</v>
      </c>
      <c r="AJ143" t="s">
        <v>80</v>
      </c>
      <c r="AK143" t="s">
        <v>85</v>
      </c>
      <c r="AL143" t="s">
        <v>107</v>
      </c>
      <c r="AM143" t="s">
        <v>87</v>
      </c>
      <c r="AN143" t="s">
        <v>87</v>
      </c>
      <c r="AO143" t="s">
        <v>87</v>
      </c>
      <c r="AP143" t="s">
        <v>87</v>
      </c>
      <c r="AQ143" t="s">
        <v>87</v>
      </c>
      <c r="AR143" t="s">
        <v>101</v>
      </c>
      <c r="AS143" t="s">
        <v>76</v>
      </c>
      <c r="AT143" t="s">
        <v>107</v>
      </c>
      <c r="AU143">
        <v>0</v>
      </c>
      <c r="AV143">
        <v>0</v>
      </c>
      <c r="AW143">
        <v>0</v>
      </c>
      <c r="AX143">
        <v>1</v>
      </c>
      <c r="AY143">
        <v>0</v>
      </c>
      <c r="AZ143" t="s">
        <v>580</v>
      </c>
    </row>
    <row r="144" spans="1:52" x14ac:dyDescent="0.2">
      <c r="A144">
        <v>1</v>
      </c>
      <c r="B144">
        <v>0</v>
      </c>
      <c r="C144">
        <v>0</v>
      </c>
      <c r="D144">
        <v>0</v>
      </c>
      <c r="E144">
        <v>0</v>
      </c>
      <c r="F144">
        <v>1</v>
      </c>
      <c r="G144">
        <v>1</v>
      </c>
      <c r="H144">
        <v>0</v>
      </c>
      <c r="I144">
        <v>0</v>
      </c>
      <c r="J144" t="s">
        <v>79</v>
      </c>
      <c r="K144" t="s">
        <v>80</v>
      </c>
      <c r="L144">
        <v>0</v>
      </c>
      <c r="M144">
        <v>0</v>
      </c>
      <c r="N144">
        <v>1</v>
      </c>
      <c r="O144">
        <v>0</v>
      </c>
      <c r="P144">
        <v>0</v>
      </c>
      <c r="Q144" t="s">
        <v>584</v>
      </c>
      <c r="AA144" t="s">
        <v>83</v>
      </c>
      <c r="AB144" t="s">
        <v>82</v>
      </c>
      <c r="AC144" t="s">
        <v>83</v>
      </c>
      <c r="AD144" t="s">
        <v>82</v>
      </c>
      <c r="AE144" t="s">
        <v>81</v>
      </c>
      <c r="AF144" t="s">
        <v>83</v>
      </c>
      <c r="AG144" t="s">
        <v>81</v>
      </c>
      <c r="AH144" t="s">
        <v>83</v>
      </c>
      <c r="AI144" t="s">
        <v>88</v>
      </c>
      <c r="AJ144" t="s">
        <v>89</v>
      </c>
      <c r="AK144" t="s">
        <v>85</v>
      </c>
      <c r="AL144" t="s">
        <v>107</v>
      </c>
      <c r="AM144" t="s">
        <v>87</v>
      </c>
      <c r="AN144" t="s">
        <v>87</v>
      </c>
      <c r="AO144" t="s">
        <v>87</v>
      </c>
      <c r="AP144" t="s">
        <v>86</v>
      </c>
      <c r="AQ144" t="s">
        <v>87</v>
      </c>
      <c r="AR144" t="s">
        <v>159</v>
      </c>
      <c r="AS144" t="s">
        <v>76</v>
      </c>
      <c r="AT144" t="s">
        <v>107</v>
      </c>
      <c r="AU144">
        <v>0</v>
      </c>
      <c r="AV144">
        <v>0</v>
      </c>
      <c r="AW144">
        <v>0</v>
      </c>
      <c r="AX144">
        <v>1</v>
      </c>
      <c r="AY144">
        <v>0</v>
      </c>
      <c r="AZ144" t="s">
        <v>579</v>
      </c>
    </row>
    <row r="145" spans="1:52" x14ac:dyDescent="0.2">
      <c r="A145">
        <v>1</v>
      </c>
      <c r="B145">
        <v>0</v>
      </c>
      <c r="C145">
        <v>0</v>
      </c>
      <c r="D145">
        <v>0</v>
      </c>
      <c r="E145">
        <v>0</v>
      </c>
      <c r="F145">
        <v>1</v>
      </c>
      <c r="G145">
        <v>0</v>
      </c>
      <c r="H145">
        <v>0</v>
      </c>
      <c r="I145">
        <v>0</v>
      </c>
      <c r="J145" t="s">
        <v>88</v>
      </c>
      <c r="K145" t="s">
        <v>89</v>
      </c>
      <c r="L145">
        <v>0</v>
      </c>
      <c r="M145">
        <v>0</v>
      </c>
      <c r="N145">
        <v>1</v>
      </c>
      <c r="O145">
        <v>0</v>
      </c>
      <c r="P145">
        <v>0</v>
      </c>
      <c r="Q145" t="s">
        <v>584</v>
      </c>
      <c r="AA145" t="s">
        <v>81</v>
      </c>
      <c r="AB145" t="s">
        <v>82</v>
      </c>
      <c r="AC145" t="s">
        <v>81</v>
      </c>
      <c r="AD145" t="s">
        <v>82</v>
      </c>
      <c r="AE145" t="s">
        <v>81</v>
      </c>
      <c r="AF145" t="s">
        <v>83</v>
      </c>
      <c r="AG145" t="s">
        <v>83</v>
      </c>
      <c r="AH145" t="s">
        <v>83</v>
      </c>
      <c r="AI145" t="s">
        <v>88</v>
      </c>
      <c r="AJ145" t="s">
        <v>89</v>
      </c>
      <c r="AK145" t="s">
        <v>85</v>
      </c>
      <c r="AL145" t="s">
        <v>73</v>
      </c>
      <c r="AM145" t="s">
        <v>74</v>
      </c>
      <c r="AR145" t="s">
        <v>97</v>
      </c>
      <c r="AS145" t="s">
        <v>76</v>
      </c>
      <c r="AT145" t="s">
        <v>73</v>
      </c>
      <c r="AU145">
        <v>0</v>
      </c>
      <c r="AV145">
        <v>0</v>
      </c>
      <c r="AW145">
        <v>0</v>
      </c>
      <c r="AX145">
        <v>1</v>
      </c>
      <c r="AY145">
        <v>0</v>
      </c>
      <c r="AZ145" t="s">
        <v>580</v>
      </c>
    </row>
    <row r="146" spans="1:52" x14ac:dyDescent="0.2">
      <c r="A146">
        <v>0</v>
      </c>
      <c r="B146">
        <v>0</v>
      </c>
      <c r="C146">
        <v>1</v>
      </c>
      <c r="D146">
        <v>0</v>
      </c>
      <c r="E146">
        <v>1</v>
      </c>
      <c r="F146">
        <v>0</v>
      </c>
      <c r="G146">
        <v>0</v>
      </c>
      <c r="H146">
        <v>0</v>
      </c>
      <c r="I146">
        <v>0</v>
      </c>
      <c r="L146">
        <v>1</v>
      </c>
      <c r="M146">
        <v>0</v>
      </c>
      <c r="N146">
        <v>0</v>
      </c>
      <c r="O146">
        <v>0</v>
      </c>
      <c r="P146">
        <v>0</v>
      </c>
      <c r="Q146" t="s">
        <v>584</v>
      </c>
      <c r="R146">
        <v>0</v>
      </c>
      <c r="S146">
        <v>0</v>
      </c>
      <c r="T146">
        <v>1</v>
      </c>
      <c r="U146">
        <v>1</v>
      </c>
      <c r="V146">
        <v>0</v>
      </c>
      <c r="W146">
        <v>0</v>
      </c>
      <c r="X146">
        <v>0</v>
      </c>
      <c r="Y146">
        <v>0</v>
      </c>
      <c r="Z146">
        <v>1</v>
      </c>
      <c r="AL146" t="s">
        <v>107</v>
      </c>
      <c r="AM146" t="s">
        <v>87</v>
      </c>
      <c r="AN146" t="s">
        <v>87</v>
      </c>
      <c r="AO146" t="s">
        <v>74</v>
      </c>
      <c r="AP146" t="s">
        <v>87</v>
      </c>
      <c r="AQ146" t="s">
        <v>74</v>
      </c>
      <c r="AR146" t="s">
        <v>101</v>
      </c>
      <c r="AS146" t="s">
        <v>76</v>
      </c>
      <c r="AT146" t="s">
        <v>107</v>
      </c>
      <c r="AU146">
        <v>1</v>
      </c>
      <c r="AV146">
        <v>0</v>
      </c>
      <c r="AW146">
        <v>0</v>
      </c>
      <c r="AX146">
        <v>0</v>
      </c>
      <c r="AY146">
        <v>0</v>
      </c>
      <c r="AZ146" t="s">
        <v>580</v>
      </c>
    </row>
    <row r="147" spans="1:52" x14ac:dyDescent="0.2">
      <c r="A147">
        <v>1</v>
      </c>
      <c r="B147">
        <v>0</v>
      </c>
      <c r="C147">
        <v>0</v>
      </c>
      <c r="D147">
        <v>0</v>
      </c>
      <c r="E147">
        <v>0</v>
      </c>
      <c r="F147">
        <v>1</v>
      </c>
      <c r="G147">
        <v>0</v>
      </c>
      <c r="H147">
        <v>0</v>
      </c>
      <c r="I147">
        <v>0</v>
      </c>
      <c r="J147" t="s">
        <v>135</v>
      </c>
      <c r="K147" t="s">
        <v>80</v>
      </c>
      <c r="L147">
        <v>0</v>
      </c>
      <c r="M147">
        <v>0</v>
      </c>
      <c r="N147">
        <v>0</v>
      </c>
      <c r="O147">
        <v>0</v>
      </c>
      <c r="P147">
        <v>0</v>
      </c>
      <c r="Q147" t="s">
        <v>585</v>
      </c>
      <c r="AA147" t="s">
        <v>83</v>
      </c>
      <c r="AB147" t="s">
        <v>82</v>
      </c>
      <c r="AC147" t="s">
        <v>83</v>
      </c>
      <c r="AD147" t="s">
        <v>82</v>
      </c>
      <c r="AE147" t="s">
        <v>83</v>
      </c>
      <c r="AF147" t="s">
        <v>83</v>
      </c>
      <c r="AG147" t="s">
        <v>83</v>
      </c>
      <c r="AH147" t="s">
        <v>83</v>
      </c>
      <c r="AI147" t="s">
        <v>135</v>
      </c>
      <c r="AJ147" t="s">
        <v>80</v>
      </c>
      <c r="AK147" t="s">
        <v>153</v>
      </c>
      <c r="AL147" t="s">
        <v>73</v>
      </c>
      <c r="AM147" t="s">
        <v>86</v>
      </c>
      <c r="AN147" t="s">
        <v>74</v>
      </c>
      <c r="AO147" t="s">
        <v>87</v>
      </c>
      <c r="AP147" t="s">
        <v>86</v>
      </c>
      <c r="AQ147" t="s">
        <v>86</v>
      </c>
      <c r="AR147" t="s">
        <v>97</v>
      </c>
      <c r="AS147" t="s">
        <v>76</v>
      </c>
      <c r="AT147" t="s">
        <v>73</v>
      </c>
      <c r="AU147">
        <v>0</v>
      </c>
      <c r="AV147">
        <v>0</v>
      </c>
      <c r="AW147">
        <v>0</v>
      </c>
      <c r="AX147">
        <v>1</v>
      </c>
      <c r="AY147">
        <v>0</v>
      </c>
      <c r="AZ147" t="s">
        <v>580</v>
      </c>
    </row>
    <row r="148" spans="1:52" x14ac:dyDescent="0.2">
      <c r="A148">
        <v>1</v>
      </c>
      <c r="B148">
        <v>0</v>
      </c>
      <c r="C148">
        <v>0</v>
      </c>
      <c r="D148">
        <v>0</v>
      </c>
      <c r="E148">
        <v>1</v>
      </c>
      <c r="F148">
        <v>0</v>
      </c>
      <c r="G148">
        <v>0</v>
      </c>
      <c r="H148">
        <v>0</v>
      </c>
      <c r="I148">
        <v>0</v>
      </c>
      <c r="L148">
        <v>0</v>
      </c>
      <c r="M148">
        <v>0</v>
      </c>
      <c r="N148">
        <v>1</v>
      </c>
      <c r="O148">
        <v>0</v>
      </c>
      <c r="P148">
        <v>0</v>
      </c>
      <c r="Q148" t="s">
        <v>584</v>
      </c>
      <c r="AA148" t="s">
        <v>83</v>
      </c>
      <c r="AB148" t="s">
        <v>82</v>
      </c>
      <c r="AC148" t="s">
        <v>83</v>
      </c>
      <c r="AD148" t="s">
        <v>81</v>
      </c>
      <c r="AE148" t="s">
        <v>81</v>
      </c>
      <c r="AF148" t="s">
        <v>81</v>
      </c>
      <c r="AG148" t="s">
        <v>83</v>
      </c>
      <c r="AH148" t="s">
        <v>83</v>
      </c>
      <c r="AI148" t="s">
        <v>88</v>
      </c>
      <c r="AJ148" t="s">
        <v>89</v>
      </c>
      <c r="AK148" t="s">
        <v>85</v>
      </c>
      <c r="AL148" t="s">
        <v>107</v>
      </c>
      <c r="AM148" t="s">
        <v>87</v>
      </c>
      <c r="AN148" t="s">
        <v>74</v>
      </c>
      <c r="AO148" t="s">
        <v>87</v>
      </c>
      <c r="AP148" t="s">
        <v>74</v>
      </c>
      <c r="AQ148" t="s">
        <v>74</v>
      </c>
      <c r="AR148" t="s">
        <v>97</v>
      </c>
      <c r="AS148" t="s">
        <v>76</v>
      </c>
      <c r="AT148" t="s">
        <v>107</v>
      </c>
      <c r="AU148">
        <v>0</v>
      </c>
      <c r="AV148">
        <v>0</v>
      </c>
      <c r="AW148">
        <v>0</v>
      </c>
      <c r="AX148">
        <v>1</v>
      </c>
      <c r="AY148">
        <v>0</v>
      </c>
      <c r="AZ148" t="s">
        <v>580</v>
      </c>
    </row>
    <row r="149" spans="1:52" x14ac:dyDescent="0.2">
      <c r="A149">
        <v>1</v>
      </c>
      <c r="B149">
        <v>0</v>
      </c>
      <c r="C149">
        <v>0</v>
      </c>
      <c r="D149">
        <v>0</v>
      </c>
      <c r="E149">
        <v>1</v>
      </c>
      <c r="F149">
        <v>0</v>
      </c>
      <c r="G149">
        <v>0</v>
      </c>
      <c r="H149">
        <v>0</v>
      </c>
      <c r="I149">
        <v>0</v>
      </c>
      <c r="L149">
        <v>0</v>
      </c>
      <c r="M149">
        <v>0</v>
      </c>
      <c r="N149">
        <v>1</v>
      </c>
      <c r="O149">
        <v>0</v>
      </c>
      <c r="P149">
        <v>0</v>
      </c>
      <c r="Q149" t="s">
        <v>584</v>
      </c>
      <c r="AA149" t="s">
        <v>81</v>
      </c>
      <c r="AB149" t="s">
        <v>83</v>
      </c>
      <c r="AC149" t="s">
        <v>83</v>
      </c>
      <c r="AD149" t="s">
        <v>83</v>
      </c>
      <c r="AE149" t="s">
        <v>82</v>
      </c>
      <c r="AF149" t="s">
        <v>81</v>
      </c>
      <c r="AG149" t="s">
        <v>83</v>
      </c>
      <c r="AH149" t="s">
        <v>81</v>
      </c>
      <c r="AI149" t="s">
        <v>88</v>
      </c>
      <c r="AJ149" t="s">
        <v>89</v>
      </c>
      <c r="AK149" t="s">
        <v>85</v>
      </c>
      <c r="AL149" t="s">
        <v>107</v>
      </c>
      <c r="AM149" t="s">
        <v>87</v>
      </c>
      <c r="AN149" t="s">
        <v>87</v>
      </c>
      <c r="AO149" t="s">
        <v>87</v>
      </c>
      <c r="AP149" t="s">
        <v>87</v>
      </c>
      <c r="AQ149" t="s">
        <v>87</v>
      </c>
      <c r="AR149" t="s">
        <v>159</v>
      </c>
      <c r="AS149" t="s">
        <v>76</v>
      </c>
      <c r="AT149" t="s">
        <v>107</v>
      </c>
      <c r="AU149">
        <v>0</v>
      </c>
      <c r="AV149">
        <v>0</v>
      </c>
      <c r="AW149">
        <v>0</v>
      </c>
      <c r="AX149">
        <v>1</v>
      </c>
      <c r="AY149">
        <v>0</v>
      </c>
      <c r="AZ149" t="s">
        <v>579</v>
      </c>
    </row>
    <row r="150" spans="1:52" x14ac:dyDescent="0.2">
      <c r="A150">
        <v>0</v>
      </c>
      <c r="B150">
        <v>1</v>
      </c>
      <c r="C150">
        <v>0</v>
      </c>
      <c r="D150">
        <v>0</v>
      </c>
      <c r="E150">
        <v>1</v>
      </c>
      <c r="F150">
        <v>0</v>
      </c>
      <c r="G150">
        <v>0</v>
      </c>
      <c r="H150">
        <v>0</v>
      </c>
      <c r="I150">
        <v>0</v>
      </c>
      <c r="L150">
        <v>1</v>
      </c>
      <c r="M150">
        <v>0</v>
      </c>
      <c r="N150">
        <v>0</v>
      </c>
      <c r="O150">
        <v>0</v>
      </c>
      <c r="P150">
        <v>0</v>
      </c>
      <c r="Q150" t="s">
        <v>584</v>
      </c>
      <c r="R150">
        <v>1</v>
      </c>
      <c r="S150">
        <v>0</v>
      </c>
      <c r="T150">
        <v>0</v>
      </c>
      <c r="U150">
        <v>0</v>
      </c>
      <c r="V150">
        <v>0</v>
      </c>
      <c r="W150">
        <v>0</v>
      </c>
      <c r="X150">
        <v>0</v>
      </c>
      <c r="Y150">
        <v>0</v>
      </c>
      <c r="Z150">
        <v>0</v>
      </c>
      <c r="AL150" t="s">
        <v>107</v>
      </c>
      <c r="AM150" t="s">
        <v>86</v>
      </c>
      <c r="AN150" t="s">
        <v>86</v>
      </c>
      <c r="AO150" t="s">
        <v>86</v>
      </c>
      <c r="AP150" t="s">
        <v>86</v>
      </c>
      <c r="AQ150" t="s">
        <v>87</v>
      </c>
      <c r="AR150" t="s">
        <v>97</v>
      </c>
      <c r="AS150" t="s">
        <v>76</v>
      </c>
      <c r="AT150" t="s">
        <v>107</v>
      </c>
      <c r="AU150">
        <v>1</v>
      </c>
      <c r="AV150">
        <v>0</v>
      </c>
      <c r="AW150">
        <v>0</v>
      </c>
      <c r="AX150">
        <v>0</v>
      </c>
      <c r="AY150">
        <v>0</v>
      </c>
      <c r="AZ150" t="s">
        <v>580</v>
      </c>
    </row>
    <row r="151" spans="1:52" x14ac:dyDescent="0.2">
      <c r="A151">
        <v>0</v>
      </c>
      <c r="B151">
        <v>1</v>
      </c>
      <c r="C151">
        <v>0</v>
      </c>
      <c r="D151">
        <v>0</v>
      </c>
      <c r="E151">
        <v>0</v>
      </c>
      <c r="F151">
        <v>1</v>
      </c>
      <c r="G151">
        <v>0</v>
      </c>
      <c r="H151">
        <v>1</v>
      </c>
      <c r="I151">
        <v>0</v>
      </c>
      <c r="J151" t="s">
        <v>79</v>
      </c>
      <c r="K151" t="s">
        <v>80</v>
      </c>
      <c r="L151">
        <v>0</v>
      </c>
      <c r="M151">
        <v>1</v>
      </c>
      <c r="N151">
        <v>0</v>
      </c>
      <c r="O151">
        <v>0</v>
      </c>
      <c r="P151">
        <v>0</v>
      </c>
      <c r="Q151" t="s">
        <v>584</v>
      </c>
      <c r="AA151" t="s">
        <v>82</v>
      </c>
      <c r="AB151" t="s">
        <v>81</v>
      </c>
      <c r="AC151" t="s">
        <v>81</v>
      </c>
      <c r="AD151" t="s">
        <v>81</v>
      </c>
      <c r="AE151" t="s">
        <v>82</v>
      </c>
      <c r="AF151" t="s">
        <v>83</v>
      </c>
      <c r="AG151" t="s">
        <v>83</v>
      </c>
      <c r="AH151" t="s">
        <v>81</v>
      </c>
      <c r="AI151" t="s">
        <v>84</v>
      </c>
      <c r="AJ151" t="s">
        <v>80</v>
      </c>
      <c r="AK151" t="s">
        <v>85</v>
      </c>
      <c r="AL151" t="s">
        <v>73</v>
      </c>
      <c r="AM151" t="s">
        <v>87</v>
      </c>
      <c r="AN151" t="s">
        <v>87</v>
      </c>
      <c r="AO151" t="s">
        <v>87</v>
      </c>
      <c r="AP151" t="s">
        <v>87</v>
      </c>
      <c r="AQ151" t="s">
        <v>87</v>
      </c>
      <c r="AR151" t="s">
        <v>75</v>
      </c>
      <c r="AS151" t="s">
        <v>76</v>
      </c>
      <c r="AT151" t="s">
        <v>73</v>
      </c>
      <c r="AU151">
        <v>1</v>
      </c>
      <c r="AV151">
        <v>0</v>
      </c>
      <c r="AW151">
        <v>0</v>
      </c>
      <c r="AX151">
        <v>0</v>
      </c>
      <c r="AY151">
        <v>0</v>
      </c>
      <c r="AZ151" t="s">
        <v>579</v>
      </c>
    </row>
    <row r="152" spans="1:52" x14ac:dyDescent="0.2">
      <c r="A152">
        <v>1</v>
      </c>
      <c r="B152">
        <v>0</v>
      </c>
      <c r="C152">
        <v>0</v>
      </c>
      <c r="D152">
        <v>0</v>
      </c>
      <c r="E152">
        <v>1</v>
      </c>
      <c r="F152">
        <v>0</v>
      </c>
      <c r="G152">
        <v>0</v>
      </c>
      <c r="H152">
        <v>0</v>
      </c>
      <c r="I152">
        <v>0</v>
      </c>
      <c r="L152">
        <v>0</v>
      </c>
      <c r="M152">
        <v>1</v>
      </c>
      <c r="N152">
        <v>0</v>
      </c>
      <c r="O152">
        <v>0</v>
      </c>
      <c r="P152">
        <v>0</v>
      </c>
      <c r="Q152" t="s">
        <v>584</v>
      </c>
      <c r="AA152" t="s">
        <v>83</v>
      </c>
      <c r="AB152" t="s">
        <v>82</v>
      </c>
      <c r="AC152" t="s">
        <v>83</v>
      </c>
      <c r="AD152" t="s">
        <v>82</v>
      </c>
      <c r="AE152" t="s">
        <v>83</v>
      </c>
      <c r="AF152" t="s">
        <v>83</v>
      </c>
      <c r="AG152" t="s">
        <v>83</v>
      </c>
      <c r="AH152" t="s">
        <v>83</v>
      </c>
      <c r="AI152" t="s">
        <v>88</v>
      </c>
      <c r="AJ152" t="s">
        <v>89</v>
      </c>
      <c r="AK152" t="s">
        <v>85</v>
      </c>
      <c r="AL152" t="s">
        <v>107</v>
      </c>
      <c r="AM152" t="s">
        <v>87</v>
      </c>
      <c r="AN152" t="s">
        <v>86</v>
      </c>
      <c r="AO152" t="s">
        <v>87</v>
      </c>
      <c r="AP152" t="s">
        <v>74</v>
      </c>
      <c r="AQ152" t="s">
        <v>87</v>
      </c>
      <c r="AR152" t="s">
        <v>97</v>
      </c>
      <c r="AS152" t="s">
        <v>76</v>
      </c>
      <c r="AT152" t="s">
        <v>107</v>
      </c>
      <c r="AU152">
        <v>0</v>
      </c>
      <c r="AV152">
        <v>0</v>
      </c>
      <c r="AW152">
        <v>0</v>
      </c>
      <c r="AX152">
        <v>1</v>
      </c>
      <c r="AY152">
        <v>0</v>
      </c>
      <c r="AZ152" t="s">
        <v>580</v>
      </c>
    </row>
    <row r="153" spans="1:52" x14ac:dyDescent="0.2">
      <c r="A153">
        <v>0</v>
      </c>
      <c r="B153">
        <v>1</v>
      </c>
      <c r="C153">
        <v>0</v>
      </c>
      <c r="D153">
        <v>0</v>
      </c>
      <c r="E153">
        <v>1</v>
      </c>
      <c r="F153">
        <v>0</v>
      </c>
      <c r="G153">
        <v>0</v>
      </c>
      <c r="H153">
        <v>0</v>
      </c>
      <c r="I153">
        <v>0</v>
      </c>
      <c r="L153">
        <v>0</v>
      </c>
      <c r="M153">
        <v>0</v>
      </c>
      <c r="N153">
        <v>0</v>
      </c>
      <c r="O153">
        <v>0</v>
      </c>
      <c r="P153">
        <v>1</v>
      </c>
      <c r="Q153" t="s">
        <v>584</v>
      </c>
      <c r="AA153" t="s">
        <v>83</v>
      </c>
      <c r="AB153" t="s">
        <v>83</v>
      </c>
      <c r="AC153" t="s">
        <v>83</v>
      </c>
      <c r="AD153" t="s">
        <v>83</v>
      </c>
      <c r="AE153" t="s">
        <v>81</v>
      </c>
      <c r="AF153" t="s">
        <v>83</v>
      </c>
      <c r="AG153" t="s">
        <v>83</v>
      </c>
      <c r="AH153" t="s">
        <v>83</v>
      </c>
      <c r="AI153" t="s">
        <v>127</v>
      </c>
      <c r="AJ153" t="s">
        <v>127</v>
      </c>
      <c r="AL153" t="s">
        <v>96</v>
      </c>
      <c r="AM153" t="s">
        <v>74</v>
      </c>
      <c r="AR153" t="s">
        <v>159</v>
      </c>
      <c r="AS153" t="s">
        <v>76</v>
      </c>
      <c r="AT153" t="s">
        <v>96</v>
      </c>
      <c r="AU153">
        <v>1</v>
      </c>
      <c r="AV153">
        <v>0</v>
      </c>
      <c r="AW153">
        <v>0</v>
      </c>
      <c r="AX153">
        <v>0</v>
      </c>
      <c r="AY153">
        <v>0</v>
      </c>
      <c r="AZ153" t="s">
        <v>579</v>
      </c>
    </row>
    <row r="154" spans="1:52" x14ac:dyDescent="0.2">
      <c r="A154">
        <v>1</v>
      </c>
      <c r="B154">
        <v>0</v>
      </c>
      <c r="C154">
        <v>0</v>
      </c>
      <c r="D154">
        <v>0</v>
      </c>
      <c r="E154">
        <v>0</v>
      </c>
      <c r="F154">
        <v>1</v>
      </c>
      <c r="G154">
        <v>0</v>
      </c>
      <c r="H154">
        <v>0</v>
      </c>
      <c r="I154">
        <v>0</v>
      </c>
      <c r="J154" t="s">
        <v>88</v>
      </c>
      <c r="K154" t="s">
        <v>80</v>
      </c>
      <c r="L154">
        <v>0</v>
      </c>
      <c r="M154">
        <v>0</v>
      </c>
      <c r="N154">
        <v>1</v>
      </c>
      <c r="O154">
        <v>0</v>
      </c>
      <c r="P154">
        <v>0</v>
      </c>
      <c r="Q154" t="s">
        <v>584</v>
      </c>
      <c r="AA154" t="s">
        <v>83</v>
      </c>
      <c r="AB154" t="s">
        <v>81</v>
      </c>
      <c r="AC154" t="s">
        <v>83</v>
      </c>
      <c r="AD154" t="s">
        <v>83</v>
      </c>
      <c r="AE154" t="s">
        <v>82</v>
      </c>
      <c r="AF154" t="s">
        <v>83</v>
      </c>
      <c r="AG154" t="s">
        <v>83</v>
      </c>
      <c r="AH154" t="s">
        <v>83</v>
      </c>
      <c r="AI154" t="s">
        <v>88</v>
      </c>
      <c r="AJ154" t="s">
        <v>89</v>
      </c>
      <c r="AK154" t="s">
        <v>85</v>
      </c>
      <c r="AL154" t="s">
        <v>73</v>
      </c>
      <c r="AM154" t="s">
        <v>86</v>
      </c>
      <c r="AN154" t="s">
        <v>86</v>
      </c>
      <c r="AO154" t="s">
        <v>86</v>
      </c>
      <c r="AP154" t="s">
        <v>87</v>
      </c>
      <c r="AQ154" t="s">
        <v>86</v>
      </c>
      <c r="AR154" t="s">
        <v>97</v>
      </c>
      <c r="AS154" t="s">
        <v>76</v>
      </c>
      <c r="AT154" t="s">
        <v>73</v>
      </c>
      <c r="AU154">
        <v>0</v>
      </c>
      <c r="AV154">
        <v>0</v>
      </c>
      <c r="AW154">
        <v>0</v>
      </c>
      <c r="AX154">
        <v>1</v>
      </c>
      <c r="AY154">
        <v>0</v>
      </c>
      <c r="AZ154" t="s">
        <v>580</v>
      </c>
    </row>
    <row r="155" spans="1:52" x14ac:dyDescent="0.2">
      <c r="A155">
        <v>0</v>
      </c>
      <c r="B155">
        <v>1</v>
      </c>
      <c r="C155">
        <v>0</v>
      </c>
      <c r="D155">
        <v>0</v>
      </c>
      <c r="E155">
        <v>0</v>
      </c>
      <c r="F155">
        <v>1</v>
      </c>
      <c r="G155">
        <v>0</v>
      </c>
      <c r="H155">
        <v>0</v>
      </c>
      <c r="I155">
        <v>1</v>
      </c>
      <c r="J155" t="s">
        <v>88</v>
      </c>
      <c r="K155" t="s">
        <v>89</v>
      </c>
      <c r="L155">
        <v>0</v>
      </c>
      <c r="M155">
        <v>0</v>
      </c>
      <c r="N155">
        <v>0</v>
      </c>
      <c r="O155">
        <v>0</v>
      </c>
      <c r="P155">
        <v>1</v>
      </c>
      <c r="Q155" t="s">
        <v>584</v>
      </c>
      <c r="AA155" t="s">
        <v>82</v>
      </c>
      <c r="AB155" t="s">
        <v>81</v>
      </c>
      <c r="AC155" t="s">
        <v>81</v>
      </c>
      <c r="AD155" t="s">
        <v>90</v>
      </c>
      <c r="AE155" t="s">
        <v>82</v>
      </c>
      <c r="AF155" t="s">
        <v>82</v>
      </c>
      <c r="AG155" t="s">
        <v>82</v>
      </c>
      <c r="AH155" t="s">
        <v>83</v>
      </c>
      <c r="AI155" t="s">
        <v>88</v>
      </c>
      <c r="AJ155" t="s">
        <v>89</v>
      </c>
      <c r="AK155" t="s">
        <v>117</v>
      </c>
      <c r="AL155" t="s">
        <v>96</v>
      </c>
      <c r="AM155" t="s">
        <v>87</v>
      </c>
      <c r="AN155" t="s">
        <v>74</v>
      </c>
      <c r="AO155" t="s">
        <v>87</v>
      </c>
      <c r="AP155" t="s">
        <v>87</v>
      </c>
      <c r="AQ155" t="s">
        <v>87</v>
      </c>
      <c r="AR155" t="s">
        <v>101</v>
      </c>
      <c r="AS155" t="s">
        <v>76</v>
      </c>
      <c r="AT155" t="s">
        <v>96</v>
      </c>
      <c r="AU155">
        <v>1</v>
      </c>
      <c r="AV155">
        <v>0</v>
      </c>
      <c r="AW155">
        <v>0</v>
      </c>
      <c r="AX155">
        <v>0</v>
      </c>
      <c r="AY155">
        <v>0</v>
      </c>
      <c r="AZ155" t="s">
        <v>579</v>
      </c>
    </row>
    <row r="156" spans="1:52" x14ac:dyDescent="0.2">
      <c r="A156">
        <v>1</v>
      </c>
      <c r="B156">
        <v>0</v>
      </c>
      <c r="C156">
        <v>0</v>
      </c>
      <c r="D156">
        <v>0</v>
      </c>
      <c r="E156">
        <v>0</v>
      </c>
      <c r="F156">
        <v>1</v>
      </c>
      <c r="G156">
        <v>0</v>
      </c>
      <c r="H156">
        <v>0</v>
      </c>
      <c r="I156">
        <v>0</v>
      </c>
      <c r="J156" t="s">
        <v>88</v>
      </c>
      <c r="K156" t="s">
        <v>127</v>
      </c>
      <c r="L156">
        <v>1</v>
      </c>
      <c r="M156">
        <v>0</v>
      </c>
      <c r="N156">
        <v>0</v>
      </c>
      <c r="O156">
        <v>0</v>
      </c>
      <c r="P156">
        <v>0</v>
      </c>
      <c r="Q156" t="s">
        <v>584</v>
      </c>
      <c r="R156">
        <v>0</v>
      </c>
      <c r="S156">
        <v>0</v>
      </c>
      <c r="T156">
        <v>1</v>
      </c>
      <c r="U156">
        <v>0</v>
      </c>
      <c r="V156">
        <v>0</v>
      </c>
      <c r="W156">
        <v>0</v>
      </c>
      <c r="X156">
        <v>0</v>
      </c>
      <c r="Y156">
        <v>0</v>
      </c>
      <c r="Z156">
        <v>0</v>
      </c>
      <c r="AL156" t="s">
        <v>120</v>
      </c>
      <c r="AM156" t="s">
        <v>86</v>
      </c>
      <c r="AN156" t="s">
        <v>74</v>
      </c>
      <c r="AO156" t="s">
        <v>86</v>
      </c>
      <c r="AP156" t="s">
        <v>74</v>
      </c>
      <c r="AQ156" t="s">
        <v>74</v>
      </c>
      <c r="AR156" t="s">
        <v>108</v>
      </c>
      <c r="AS156" t="s">
        <v>76</v>
      </c>
      <c r="AT156" t="s">
        <v>120</v>
      </c>
      <c r="AU156">
        <v>0</v>
      </c>
      <c r="AV156">
        <v>0</v>
      </c>
      <c r="AW156">
        <v>0</v>
      </c>
      <c r="AX156">
        <v>1</v>
      </c>
      <c r="AY156">
        <v>0</v>
      </c>
      <c r="AZ156" t="s">
        <v>580</v>
      </c>
    </row>
    <row r="157" spans="1:52" x14ac:dyDescent="0.2">
      <c r="A157">
        <v>1</v>
      </c>
      <c r="B157">
        <v>0</v>
      </c>
      <c r="C157">
        <v>0</v>
      </c>
      <c r="D157">
        <v>0</v>
      </c>
      <c r="E157">
        <v>1</v>
      </c>
      <c r="F157">
        <v>0</v>
      </c>
      <c r="G157">
        <v>0</v>
      </c>
      <c r="H157">
        <v>0</v>
      </c>
      <c r="I157">
        <v>0</v>
      </c>
      <c r="L157">
        <v>0</v>
      </c>
      <c r="M157">
        <v>0</v>
      </c>
      <c r="N157">
        <v>1</v>
      </c>
      <c r="O157">
        <v>0</v>
      </c>
      <c r="P157">
        <v>0</v>
      </c>
      <c r="Q157" t="s">
        <v>584</v>
      </c>
      <c r="AA157" t="s">
        <v>83</v>
      </c>
      <c r="AB157" t="s">
        <v>83</v>
      </c>
      <c r="AC157" t="s">
        <v>83</v>
      </c>
      <c r="AD157" t="s">
        <v>81</v>
      </c>
      <c r="AE157" t="s">
        <v>82</v>
      </c>
      <c r="AF157" t="s">
        <v>83</v>
      </c>
      <c r="AG157" t="s">
        <v>83</v>
      </c>
      <c r="AH157" t="s">
        <v>82</v>
      </c>
      <c r="AI157" t="s">
        <v>135</v>
      </c>
      <c r="AJ157" t="s">
        <v>80</v>
      </c>
      <c r="AK157" t="s">
        <v>85</v>
      </c>
      <c r="AL157" t="s">
        <v>96</v>
      </c>
      <c r="AM157" t="s">
        <v>74</v>
      </c>
      <c r="AR157" t="s">
        <v>75</v>
      </c>
      <c r="AS157" t="s">
        <v>76</v>
      </c>
      <c r="AT157" t="s">
        <v>96</v>
      </c>
      <c r="AU157">
        <v>1</v>
      </c>
      <c r="AV157">
        <v>0</v>
      </c>
      <c r="AW157">
        <v>0</v>
      </c>
      <c r="AX157">
        <v>0</v>
      </c>
      <c r="AY157">
        <v>0</v>
      </c>
      <c r="AZ157" t="s">
        <v>580</v>
      </c>
    </row>
    <row r="158" spans="1:52" x14ac:dyDescent="0.2">
      <c r="A158">
        <v>1</v>
      </c>
      <c r="B158">
        <v>0</v>
      </c>
      <c r="C158">
        <v>0</v>
      </c>
      <c r="D158">
        <v>0</v>
      </c>
      <c r="E158">
        <v>0</v>
      </c>
      <c r="F158">
        <v>1</v>
      </c>
      <c r="G158">
        <v>0</v>
      </c>
      <c r="H158">
        <v>0</v>
      </c>
      <c r="I158">
        <v>0</v>
      </c>
      <c r="J158" t="s">
        <v>135</v>
      </c>
      <c r="K158" t="s">
        <v>80</v>
      </c>
      <c r="L158">
        <v>0</v>
      </c>
      <c r="M158">
        <v>0</v>
      </c>
      <c r="N158">
        <v>1</v>
      </c>
      <c r="O158">
        <v>0</v>
      </c>
      <c r="P158">
        <v>0</v>
      </c>
      <c r="Q158" t="s">
        <v>584</v>
      </c>
      <c r="AA158" t="s">
        <v>83</v>
      </c>
      <c r="AB158" t="s">
        <v>81</v>
      </c>
      <c r="AC158" t="s">
        <v>83</v>
      </c>
      <c r="AD158" t="s">
        <v>81</v>
      </c>
      <c r="AE158" t="s">
        <v>82</v>
      </c>
      <c r="AF158" t="s">
        <v>83</v>
      </c>
      <c r="AG158" t="s">
        <v>90</v>
      </c>
      <c r="AH158" t="s">
        <v>81</v>
      </c>
      <c r="AI158" t="s">
        <v>88</v>
      </c>
      <c r="AJ158" t="s">
        <v>89</v>
      </c>
      <c r="AK158" t="s">
        <v>85</v>
      </c>
      <c r="AL158" t="s">
        <v>107</v>
      </c>
      <c r="AM158" t="s">
        <v>87</v>
      </c>
      <c r="AN158" t="s">
        <v>86</v>
      </c>
      <c r="AO158" t="s">
        <v>87</v>
      </c>
      <c r="AP158" t="s">
        <v>87</v>
      </c>
      <c r="AQ158" t="s">
        <v>86</v>
      </c>
      <c r="AR158" t="s">
        <v>159</v>
      </c>
      <c r="AS158" t="s">
        <v>76</v>
      </c>
      <c r="AT158" t="s">
        <v>107</v>
      </c>
      <c r="AU158">
        <v>0</v>
      </c>
      <c r="AV158">
        <v>0</v>
      </c>
      <c r="AW158">
        <v>0</v>
      </c>
      <c r="AX158">
        <v>1</v>
      </c>
      <c r="AY158">
        <v>0</v>
      </c>
      <c r="AZ158" t="s">
        <v>579</v>
      </c>
    </row>
    <row r="159" spans="1:52" x14ac:dyDescent="0.2">
      <c r="A159">
        <v>1</v>
      </c>
      <c r="B159">
        <v>0</v>
      </c>
      <c r="C159">
        <v>0</v>
      </c>
      <c r="D159">
        <v>0</v>
      </c>
      <c r="E159">
        <v>1</v>
      </c>
      <c r="F159">
        <v>0</v>
      </c>
      <c r="G159">
        <v>0</v>
      </c>
      <c r="H159">
        <v>0</v>
      </c>
      <c r="I159">
        <v>0</v>
      </c>
      <c r="L159">
        <v>0</v>
      </c>
      <c r="M159">
        <v>1</v>
      </c>
      <c r="N159">
        <v>0</v>
      </c>
      <c r="O159">
        <v>0</v>
      </c>
      <c r="P159">
        <v>0</v>
      </c>
      <c r="Q159" t="s">
        <v>584</v>
      </c>
      <c r="AA159" t="s">
        <v>83</v>
      </c>
      <c r="AB159" t="s">
        <v>83</v>
      </c>
      <c r="AC159" t="s">
        <v>83</v>
      </c>
      <c r="AD159" t="s">
        <v>83</v>
      </c>
      <c r="AE159" t="s">
        <v>83</v>
      </c>
      <c r="AF159" t="s">
        <v>83</v>
      </c>
      <c r="AG159" t="s">
        <v>83</v>
      </c>
      <c r="AH159" t="s">
        <v>83</v>
      </c>
      <c r="AI159" t="s">
        <v>127</v>
      </c>
      <c r="AJ159" t="s">
        <v>127</v>
      </c>
      <c r="AL159" t="s">
        <v>107</v>
      </c>
      <c r="AM159" t="s">
        <v>87</v>
      </c>
      <c r="AN159" t="s">
        <v>87</v>
      </c>
      <c r="AO159" t="s">
        <v>87</v>
      </c>
      <c r="AP159" t="s">
        <v>87</v>
      </c>
      <c r="AQ159" t="s">
        <v>87</v>
      </c>
      <c r="AR159" t="s">
        <v>75</v>
      </c>
      <c r="AS159" t="s">
        <v>76</v>
      </c>
      <c r="AT159" t="s">
        <v>107</v>
      </c>
      <c r="AU159">
        <v>0</v>
      </c>
      <c r="AV159">
        <v>0</v>
      </c>
      <c r="AW159">
        <v>0</v>
      </c>
      <c r="AX159">
        <v>1</v>
      </c>
      <c r="AY159">
        <v>0</v>
      </c>
      <c r="AZ159" t="s">
        <v>579</v>
      </c>
    </row>
    <row r="160" spans="1:52" x14ac:dyDescent="0.2">
      <c r="A160">
        <v>1</v>
      </c>
      <c r="B160">
        <v>0</v>
      </c>
      <c r="C160">
        <v>0</v>
      </c>
      <c r="D160">
        <v>0</v>
      </c>
      <c r="E160">
        <v>0</v>
      </c>
      <c r="F160">
        <v>1</v>
      </c>
      <c r="G160">
        <v>1</v>
      </c>
      <c r="H160">
        <v>0</v>
      </c>
      <c r="I160">
        <v>0</v>
      </c>
      <c r="J160" t="s">
        <v>79</v>
      </c>
      <c r="K160" t="s">
        <v>80</v>
      </c>
      <c r="L160">
        <v>0</v>
      </c>
      <c r="M160">
        <v>0</v>
      </c>
      <c r="N160">
        <v>1</v>
      </c>
      <c r="O160">
        <v>0</v>
      </c>
      <c r="P160">
        <v>0</v>
      </c>
      <c r="Q160" t="s">
        <v>584</v>
      </c>
      <c r="AA160" t="s">
        <v>81</v>
      </c>
      <c r="AB160" t="s">
        <v>82</v>
      </c>
      <c r="AC160" t="s">
        <v>83</v>
      </c>
      <c r="AD160" t="s">
        <v>82</v>
      </c>
      <c r="AE160" t="s">
        <v>82</v>
      </c>
      <c r="AF160" t="s">
        <v>82</v>
      </c>
      <c r="AG160" t="s">
        <v>81</v>
      </c>
      <c r="AH160" t="s">
        <v>83</v>
      </c>
      <c r="AI160" t="s">
        <v>88</v>
      </c>
      <c r="AJ160" t="s">
        <v>89</v>
      </c>
      <c r="AK160" t="s">
        <v>85</v>
      </c>
      <c r="AL160" t="s">
        <v>96</v>
      </c>
      <c r="AM160" t="s">
        <v>86</v>
      </c>
      <c r="AN160" t="s">
        <v>87</v>
      </c>
      <c r="AO160" t="s">
        <v>87</v>
      </c>
      <c r="AP160" t="s">
        <v>86</v>
      </c>
      <c r="AQ160" t="s">
        <v>86</v>
      </c>
      <c r="AR160" t="s">
        <v>97</v>
      </c>
      <c r="AS160" t="s">
        <v>76</v>
      </c>
      <c r="AT160" t="s">
        <v>96</v>
      </c>
      <c r="AU160">
        <v>0</v>
      </c>
      <c r="AV160">
        <v>0</v>
      </c>
      <c r="AW160">
        <v>0</v>
      </c>
      <c r="AX160">
        <v>1</v>
      </c>
      <c r="AY160">
        <v>0</v>
      </c>
      <c r="AZ160" t="s">
        <v>580</v>
      </c>
    </row>
    <row r="161" spans="1:52" x14ac:dyDescent="0.2">
      <c r="A161">
        <v>0</v>
      </c>
      <c r="B161">
        <v>1</v>
      </c>
      <c r="C161">
        <v>0</v>
      </c>
      <c r="D161">
        <v>0</v>
      </c>
      <c r="E161">
        <v>1</v>
      </c>
      <c r="F161">
        <v>0</v>
      </c>
      <c r="G161">
        <v>0</v>
      </c>
      <c r="H161">
        <v>0</v>
      </c>
      <c r="I161">
        <v>0</v>
      </c>
      <c r="L161">
        <v>0</v>
      </c>
      <c r="M161">
        <v>1</v>
      </c>
      <c r="N161">
        <v>0</v>
      </c>
      <c r="O161">
        <v>0</v>
      </c>
      <c r="P161">
        <v>0</v>
      </c>
      <c r="Q161" t="s">
        <v>584</v>
      </c>
      <c r="AA161" t="s">
        <v>82</v>
      </c>
      <c r="AB161" t="s">
        <v>83</v>
      </c>
      <c r="AC161" t="s">
        <v>83</v>
      </c>
      <c r="AD161" t="s">
        <v>83</v>
      </c>
      <c r="AE161" t="s">
        <v>83</v>
      </c>
      <c r="AF161" t="s">
        <v>83</v>
      </c>
      <c r="AG161" t="s">
        <v>81</v>
      </c>
      <c r="AH161" t="s">
        <v>83</v>
      </c>
      <c r="AI161" t="s">
        <v>84</v>
      </c>
      <c r="AJ161" t="s">
        <v>89</v>
      </c>
      <c r="AK161" t="s">
        <v>85</v>
      </c>
      <c r="AL161" t="s">
        <v>120</v>
      </c>
      <c r="AM161" t="s">
        <v>87</v>
      </c>
      <c r="AN161" t="s">
        <v>87</v>
      </c>
      <c r="AO161" t="s">
        <v>87</v>
      </c>
      <c r="AP161" t="s">
        <v>87</v>
      </c>
      <c r="AQ161" t="s">
        <v>87</v>
      </c>
      <c r="AR161" t="s">
        <v>75</v>
      </c>
      <c r="AS161" t="s">
        <v>76</v>
      </c>
      <c r="AT161" t="s">
        <v>120</v>
      </c>
      <c r="AU161">
        <v>0</v>
      </c>
      <c r="AV161">
        <v>0</v>
      </c>
      <c r="AW161">
        <v>0</v>
      </c>
      <c r="AX161">
        <v>1</v>
      </c>
      <c r="AY161">
        <v>0</v>
      </c>
      <c r="AZ161" t="s">
        <v>579</v>
      </c>
    </row>
    <row r="162" spans="1:52" x14ac:dyDescent="0.2">
      <c r="A162">
        <v>1</v>
      </c>
      <c r="B162">
        <v>0</v>
      </c>
      <c r="C162">
        <v>0</v>
      </c>
      <c r="D162">
        <v>0</v>
      </c>
      <c r="E162">
        <v>0</v>
      </c>
      <c r="F162">
        <v>1</v>
      </c>
      <c r="G162">
        <v>0</v>
      </c>
      <c r="H162">
        <v>0</v>
      </c>
      <c r="I162">
        <v>0</v>
      </c>
      <c r="J162" t="s">
        <v>135</v>
      </c>
      <c r="K162" t="s">
        <v>80</v>
      </c>
      <c r="L162">
        <v>0</v>
      </c>
      <c r="M162">
        <v>0</v>
      </c>
      <c r="N162">
        <v>1</v>
      </c>
      <c r="O162">
        <v>0</v>
      </c>
      <c r="P162">
        <v>0</v>
      </c>
      <c r="Q162" t="s">
        <v>584</v>
      </c>
      <c r="AA162" t="s">
        <v>83</v>
      </c>
      <c r="AB162" t="s">
        <v>82</v>
      </c>
      <c r="AC162" t="s">
        <v>83</v>
      </c>
      <c r="AD162" t="s">
        <v>81</v>
      </c>
      <c r="AE162" t="s">
        <v>82</v>
      </c>
      <c r="AF162" t="s">
        <v>83</v>
      </c>
      <c r="AG162" t="s">
        <v>83</v>
      </c>
      <c r="AH162" t="s">
        <v>82</v>
      </c>
      <c r="AI162" t="s">
        <v>88</v>
      </c>
      <c r="AJ162" t="s">
        <v>89</v>
      </c>
      <c r="AK162" t="s">
        <v>85</v>
      </c>
      <c r="AL162" t="s">
        <v>107</v>
      </c>
      <c r="AM162" t="s">
        <v>86</v>
      </c>
      <c r="AN162" t="s">
        <v>87</v>
      </c>
      <c r="AO162" t="s">
        <v>87</v>
      </c>
      <c r="AP162" t="s">
        <v>86</v>
      </c>
      <c r="AQ162" t="s">
        <v>86</v>
      </c>
      <c r="AR162" t="s">
        <v>97</v>
      </c>
      <c r="AS162" t="s">
        <v>76</v>
      </c>
      <c r="AT162" t="s">
        <v>107</v>
      </c>
      <c r="AU162">
        <v>0</v>
      </c>
      <c r="AV162">
        <v>0</v>
      </c>
      <c r="AW162">
        <v>0</v>
      </c>
      <c r="AX162">
        <v>1</v>
      </c>
      <c r="AY162">
        <v>0</v>
      </c>
      <c r="AZ162" t="s">
        <v>580</v>
      </c>
    </row>
    <row r="163" spans="1:52" x14ac:dyDescent="0.2">
      <c r="A163">
        <v>1</v>
      </c>
      <c r="B163">
        <v>0</v>
      </c>
      <c r="C163">
        <v>0</v>
      </c>
      <c r="D163">
        <v>0</v>
      </c>
      <c r="E163">
        <v>0</v>
      </c>
      <c r="F163">
        <v>1</v>
      </c>
      <c r="G163">
        <v>1</v>
      </c>
      <c r="H163">
        <v>0</v>
      </c>
      <c r="I163">
        <v>0</v>
      </c>
      <c r="J163" t="s">
        <v>88</v>
      </c>
      <c r="K163" t="s">
        <v>89</v>
      </c>
      <c r="L163">
        <v>0</v>
      </c>
      <c r="M163">
        <v>0</v>
      </c>
      <c r="N163">
        <v>1</v>
      </c>
      <c r="O163">
        <v>0</v>
      </c>
      <c r="P163">
        <v>0</v>
      </c>
      <c r="Q163" t="s">
        <v>584</v>
      </c>
      <c r="AA163" t="s">
        <v>81</v>
      </c>
      <c r="AB163" t="s">
        <v>82</v>
      </c>
      <c r="AC163" t="s">
        <v>83</v>
      </c>
      <c r="AD163" t="s">
        <v>81</v>
      </c>
      <c r="AE163" t="s">
        <v>81</v>
      </c>
      <c r="AF163" t="s">
        <v>81</v>
      </c>
      <c r="AG163" t="s">
        <v>90</v>
      </c>
      <c r="AH163" t="s">
        <v>83</v>
      </c>
      <c r="AI163" t="s">
        <v>88</v>
      </c>
      <c r="AJ163" t="s">
        <v>89</v>
      </c>
      <c r="AK163" t="s">
        <v>85</v>
      </c>
      <c r="AL163" t="s">
        <v>73</v>
      </c>
      <c r="AM163" t="s">
        <v>87</v>
      </c>
      <c r="AN163" t="s">
        <v>87</v>
      </c>
      <c r="AO163" t="s">
        <v>87</v>
      </c>
      <c r="AP163" t="s">
        <v>74</v>
      </c>
      <c r="AQ163" t="s">
        <v>87</v>
      </c>
      <c r="AR163" t="s">
        <v>75</v>
      </c>
      <c r="AS163" t="s">
        <v>76</v>
      </c>
      <c r="AT163" t="s">
        <v>73</v>
      </c>
      <c r="AU163">
        <v>0</v>
      </c>
      <c r="AV163">
        <v>0</v>
      </c>
      <c r="AW163">
        <v>0</v>
      </c>
      <c r="AX163">
        <v>1</v>
      </c>
      <c r="AY163">
        <v>0</v>
      </c>
      <c r="AZ163" t="s">
        <v>580</v>
      </c>
    </row>
    <row r="164" spans="1:52" x14ac:dyDescent="0.2">
      <c r="A164">
        <v>1</v>
      </c>
      <c r="B164">
        <v>0</v>
      </c>
      <c r="C164">
        <v>0</v>
      </c>
      <c r="D164">
        <v>0</v>
      </c>
      <c r="E164">
        <v>0</v>
      </c>
      <c r="F164">
        <v>1</v>
      </c>
      <c r="G164">
        <v>0</v>
      </c>
      <c r="H164">
        <v>0</v>
      </c>
      <c r="I164">
        <v>0</v>
      </c>
      <c r="J164" t="s">
        <v>79</v>
      </c>
      <c r="K164" t="s">
        <v>80</v>
      </c>
      <c r="L164">
        <v>1</v>
      </c>
      <c r="M164">
        <v>0</v>
      </c>
      <c r="N164">
        <v>0</v>
      </c>
      <c r="O164">
        <v>0</v>
      </c>
      <c r="P164">
        <v>0</v>
      </c>
      <c r="Q164" t="s">
        <v>584</v>
      </c>
      <c r="R164">
        <v>0</v>
      </c>
      <c r="S164">
        <v>0</v>
      </c>
      <c r="T164">
        <v>0</v>
      </c>
      <c r="U164">
        <v>0</v>
      </c>
      <c r="V164">
        <v>0</v>
      </c>
      <c r="W164">
        <v>0</v>
      </c>
      <c r="X164">
        <v>1</v>
      </c>
      <c r="Y164">
        <v>1</v>
      </c>
      <c r="Z164">
        <v>0</v>
      </c>
      <c r="AL164" t="s">
        <v>120</v>
      </c>
      <c r="AM164" t="s">
        <v>74</v>
      </c>
      <c r="AR164" t="s">
        <v>75</v>
      </c>
      <c r="AS164" t="s">
        <v>76</v>
      </c>
      <c r="AT164" t="s">
        <v>120</v>
      </c>
      <c r="AU164">
        <v>0</v>
      </c>
      <c r="AV164">
        <v>0</v>
      </c>
      <c r="AW164">
        <v>0</v>
      </c>
      <c r="AX164">
        <v>1</v>
      </c>
      <c r="AY164">
        <v>0</v>
      </c>
      <c r="AZ164" t="s">
        <v>580</v>
      </c>
    </row>
    <row r="165" spans="1:52" x14ac:dyDescent="0.2">
      <c r="A165">
        <v>1</v>
      </c>
      <c r="B165">
        <v>0</v>
      </c>
      <c r="C165">
        <v>0</v>
      </c>
      <c r="D165">
        <v>0</v>
      </c>
      <c r="E165">
        <v>0</v>
      </c>
      <c r="F165">
        <v>1</v>
      </c>
      <c r="G165">
        <v>0</v>
      </c>
      <c r="H165">
        <v>0</v>
      </c>
      <c r="I165">
        <v>0</v>
      </c>
      <c r="J165" t="s">
        <v>88</v>
      </c>
      <c r="K165" t="s">
        <v>80</v>
      </c>
      <c r="L165">
        <v>0</v>
      </c>
      <c r="M165">
        <v>0</v>
      </c>
      <c r="N165">
        <v>1</v>
      </c>
      <c r="O165">
        <v>0</v>
      </c>
      <c r="P165">
        <v>0</v>
      </c>
      <c r="Q165" t="s">
        <v>584</v>
      </c>
      <c r="AA165" t="s">
        <v>82</v>
      </c>
      <c r="AB165" t="s">
        <v>82</v>
      </c>
      <c r="AC165" t="s">
        <v>83</v>
      </c>
      <c r="AD165" t="s">
        <v>83</v>
      </c>
      <c r="AE165" t="s">
        <v>83</v>
      </c>
      <c r="AF165" t="s">
        <v>83</v>
      </c>
      <c r="AG165" t="s">
        <v>83</v>
      </c>
      <c r="AH165" t="s">
        <v>83</v>
      </c>
      <c r="AI165" t="s">
        <v>88</v>
      </c>
      <c r="AJ165" t="s">
        <v>89</v>
      </c>
      <c r="AK165" t="s">
        <v>85</v>
      </c>
      <c r="AL165" t="s">
        <v>107</v>
      </c>
      <c r="AM165" t="s">
        <v>87</v>
      </c>
      <c r="AN165" t="s">
        <v>87</v>
      </c>
      <c r="AO165" t="s">
        <v>87</v>
      </c>
      <c r="AP165" t="s">
        <v>74</v>
      </c>
      <c r="AQ165" t="s">
        <v>87</v>
      </c>
      <c r="AR165" t="s">
        <v>108</v>
      </c>
      <c r="AS165" t="s">
        <v>76</v>
      </c>
      <c r="AT165" t="s">
        <v>107</v>
      </c>
      <c r="AU165">
        <v>1</v>
      </c>
      <c r="AV165">
        <v>0</v>
      </c>
      <c r="AW165">
        <v>0</v>
      </c>
      <c r="AX165">
        <v>0</v>
      </c>
      <c r="AY165">
        <v>0</v>
      </c>
      <c r="AZ165" t="s">
        <v>579</v>
      </c>
    </row>
    <row r="166" spans="1:52" x14ac:dyDescent="0.2">
      <c r="A166">
        <v>1</v>
      </c>
      <c r="B166">
        <v>0</v>
      </c>
      <c r="C166">
        <v>0</v>
      </c>
      <c r="D166">
        <v>0</v>
      </c>
      <c r="E166">
        <v>1</v>
      </c>
      <c r="F166">
        <v>0</v>
      </c>
      <c r="G166">
        <v>0</v>
      </c>
      <c r="H166">
        <v>0</v>
      </c>
      <c r="I166">
        <v>0</v>
      </c>
      <c r="L166">
        <v>1</v>
      </c>
      <c r="M166">
        <v>0</v>
      </c>
      <c r="N166">
        <v>0</v>
      </c>
      <c r="O166">
        <v>0</v>
      </c>
      <c r="P166">
        <v>0</v>
      </c>
      <c r="Q166" t="s">
        <v>584</v>
      </c>
      <c r="R166">
        <v>0</v>
      </c>
      <c r="S166">
        <v>1</v>
      </c>
      <c r="T166">
        <v>0</v>
      </c>
      <c r="U166">
        <v>0</v>
      </c>
      <c r="V166">
        <v>0</v>
      </c>
      <c r="W166">
        <v>0</v>
      </c>
      <c r="X166">
        <v>0</v>
      </c>
      <c r="Y166">
        <v>0</v>
      </c>
      <c r="Z166">
        <v>0</v>
      </c>
      <c r="AL166" t="s">
        <v>96</v>
      </c>
      <c r="AM166" t="s">
        <v>86</v>
      </c>
      <c r="AN166" t="s">
        <v>87</v>
      </c>
      <c r="AO166" t="s">
        <v>87</v>
      </c>
      <c r="AP166" t="s">
        <v>87</v>
      </c>
      <c r="AQ166" t="s">
        <v>86</v>
      </c>
      <c r="AR166" t="s">
        <v>75</v>
      </c>
      <c r="AS166" t="s">
        <v>76</v>
      </c>
      <c r="AT166" t="s">
        <v>96</v>
      </c>
      <c r="AU166">
        <v>0</v>
      </c>
      <c r="AV166">
        <v>0</v>
      </c>
      <c r="AW166">
        <v>0</v>
      </c>
      <c r="AX166">
        <v>1</v>
      </c>
      <c r="AY166">
        <v>0</v>
      </c>
      <c r="AZ166" t="s">
        <v>580</v>
      </c>
    </row>
    <row r="167" spans="1:52" x14ac:dyDescent="0.2">
      <c r="A167">
        <v>1</v>
      </c>
      <c r="B167">
        <v>0</v>
      </c>
      <c r="C167">
        <v>0</v>
      </c>
      <c r="D167">
        <v>0</v>
      </c>
      <c r="E167">
        <v>0</v>
      </c>
      <c r="F167">
        <v>0</v>
      </c>
      <c r="G167">
        <v>1</v>
      </c>
      <c r="H167">
        <v>0</v>
      </c>
      <c r="I167">
        <v>0</v>
      </c>
      <c r="J167" t="s">
        <v>79</v>
      </c>
      <c r="K167" t="s">
        <v>80</v>
      </c>
      <c r="L167">
        <v>0</v>
      </c>
      <c r="M167">
        <v>0</v>
      </c>
      <c r="N167">
        <v>1</v>
      </c>
      <c r="O167">
        <v>0</v>
      </c>
      <c r="P167">
        <v>0</v>
      </c>
      <c r="Q167" t="s">
        <v>584</v>
      </c>
      <c r="AA167" t="s">
        <v>83</v>
      </c>
      <c r="AB167" t="s">
        <v>81</v>
      </c>
      <c r="AC167" t="s">
        <v>83</v>
      </c>
      <c r="AD167" t="s">
        <v>82</v>
      </c>
      <c r="AE167" t="s">
        <v>83</v>
      </c>
      <c r="AF167" t="s">
        <v>83</v>
      </c>
      <c r="AG167" t="s">
        <v>83</v>
      </c>
      <c r="AH167" t="s">
        <v>82</v>
      </c>
      <c r="AI167" t="s">
        <v>135</v>
      </c>
      <c r="AJ167" t="s">
        <v>89</v>
      </c>
      <c r="AK167" t="s">
        <v>85</v>
      </c>
      <c r="AL167" t="s">
        <v>96</v>
      </c>
      <c r="AM167" t="s">
        <v>87</v>
      </c>
      <c r="AN167" t="s">
        <v>87</v>
      </c>
      <c r="AO167" t="s">
        <v>86</v>
      </c>
      <c r="AP167" t="s">
        <v>74</v>
      </c>
      <c r="AQ167" t="s">
        <v>86</v>
      </c>
      <c r="AR167" t="s">
        <v>75</v>
      </c>
      <c r="AS167" t="s">
        <v>76</v>
      </c>
      <c r="AT167" t="s">
        <v>96</v>
      </c>
      <c r="AU167">
        <v>1</v>
      </c>
      <c r="AV167">
        <v>0</v>
      </c>
      <c r="AW167">
        <v>0</v>
      </c>
      <c r="AX167">
        <v>0</v>
      </c>
      <c r="AY167">
        <v>0</v>
      </c>
      <c r="AZ167" t="s">
        <v>578</v>
      </c>
    </row>
    <row r="168" spans="1:52" x14ac:dyDescent="0.2">
      <c r="A168">
        <v>0</v>
      </c>
      <c r="B168">
        <v>1</v>
      </c>
      <c r="C168">
        <v>0</v>
      </c>
      <c r="D168">
        <v>0</v>
      </c>
      <c r="E168">
        <v>0</v>
      </c>
      <c r="F168">
        <v>1</v>
      </c>
      <c r="G168">
        <v>0</v>
      </c>
      <c r="H168">
        <v>0</v>
      </c>
      <c r="I168">
        <v>0</v>
      </c>
      <c r="J168" t="s">
        <v>88</v>
      </c>
      <c r="K168" t="s">
        <v>89</v>
      </c>
      <c r="L168">
        <v>0</v>
      </c>
      <c r="M168">
        <v>0</v>
      </c>
      <c r="N168">
        <v>0</v>
      </c>
      <c r="O168">
        <v>1</v>
      </c>
      <c r="P168">
        <v>0</v>
      </c>
      <c r="Q168" t="s">
        <v>584</v>
      </c>
      <c r="AA168" t="s">
        <v>83</v>
      </c>
      <c r="AB168" t="s">
        <v>82</v>
      </c>
      <c r="AC168" t="s">
        <v>82</v>
      </c>
      <c r="AD168" t="s">
        <v>81</v>
      </c>
      <c r="AE168" t="s">
        <v>82</v>
      </c>
      <c r="AF168" t="s">
        <v>90</v>
      </c>
      <c r="AG168" t="s">
        <v>81</v>
      </c>
      <c r="AH168" t="s">
        <v>83</v>
      </c>
      <c r="AI168" t="s">
        <v>88</v>
      </c>
      <c r="AJ168" t="s">
        <v>89</v>
      </c>
      <c r="AK168" t="s">
        <v>100</v>
      </c>
      <c r="AL168" t="s">
        <v>107</v>
      </c>
      <c r="AM168" t="s">
        <v>87</v>
      </c>
      <c r="AN168" t="s">
        <v>87</v>
      </c>
      <c r="AO168" t="s">
        <v>87</v>
      </c>
      <c r="AP168" t="s">
        <v>87</v>
      </c>
      <c r="AQ168" t="s">
        <v>87</v>
      </c>
      <c r="AR168" t="s">
        <v>159</v>
      </c>
      <c r="AS168" t="s">
        <v>76</v>
      </c>
      <c r="AT168" t="s">
        <v>107</v>
      </c>
      <c r="AU168">
        <v>0</v>
      </c>
      <c r="AV168">
        <v>0</v>
      </c>
      <c r="AW168">
        <v>0</v>
      </c>
      <c r="AX168">
        <v>1</v>
      </c>
      <c r="AY168">
        <v>0</v>
      </c>
      <c r="AZ168" t="s">
        <v>580</v>
      </c>
    </row>
    <row r="169" spans="1:52" x14ac:dyDescent="0.2">
      <c r="A169">
        <v>1</v>
      </c>
      <c r="B169">
        <v>0</v>
      </c>
      <c r="C169">
        <v>0</v>
      </c>
      <c r="D169">
        <v>0</v>
      </c>
      <c r="E169">
        <v>0</v>
      </c>
      <c r="F169">
        <v>1</v>
      </c>
      <c r="G169">
        <v>0</v>
      </c>
      <c r="H169">
        <v>0</v>
      </c>
      <c r="I169">
        <v>0</v>
      </c>
      <c r="J169" t="s">
        <v>135</v>
      </c>
      <c r="K169" t="s">
        <v>127</v>
      </c>
      <c r="L169">
        <v>0</v>
      </c>
      <c r="M169">
        <v>0</v>
      </c>
      <c r="N169">
        <v>0</v>
      </c>
      <c r="O169">
        <v>1</v>
      </c>
      <c r="P169">
        <v>0</v>
      </c>
      <c r="Q169" t="s">
        <v>585</v>
      </c>
      <c r="AA169" t="s">
        <v>83</v>
      </c>
      <c r="AB169" t="s">
        <v>82</v>
      </c>
      <c r="AC169" t="s">
        <v>81</v>
      </c>
      <c r="AD169" t="s">
        <v>82</v>
      </c>
      <c r="AE169" t="s">
        <v>83</v>
      </c>
      <c r="AF169" t="s">
        <v>83</v>
      </c>
      <c r="AG169" t="s">
        <v>83</v>
      </c>
      <c r="AH169" t="s">
        <v>83</v>
      </c>
      <c r="AI169" t="s">
        <v>88</v>
      </c>
      <c r="AJ169" t="s">
        <v>89</v>
      </c>
      <c r="AK169" t="s">
        <v>85</v>
      </c>
      <c r="AL169" t="s">
        <v>73</v>
      </c>
      <c r="AM169" t="s">
        <v>86</v>
      </c>
      <c r="AN169" t="s">
        <v>86</v>
      </c>
      <c r="AO169" t="s">
        <v>86</v>
      </c>
      <c r="AP169" t="s">
        <v>86</v>
      </c>
      <c r="AQ169" t="s">
        <v>74</v>
      </c>
      <c r="AR169" t="s">
        <v>113</v>
      </c>
      <c r="AS169" t="s">
        <v>76</v>
      </c>
      <c r="AT169" t="s">
        <v>73</v>
      </c>
      <c r="AU169">
        <v>1</v>
      </c>
      <c r="AV169">
        <v>0</v>
      </c>
      <c r="AW169">
        <v>0</v>
      </c>
      <c r="AX169">
        <v>1</v>
      </c>
      <c r="AY169">
        <v>0</v>
      </c>
      <c r="AZ169" t="s">
        <v>579</v>
      </c>
    </row>
    <row r="170" spans="1:52" x14ac:dyDescent="0.2">
      <c r="A170">
        <v>0</v>
      </c>
      <c r="B170">
        <v>1</v>
      </c>
      <c r="C170">
        <v>0</v>
      </c>
      <c r="D170">
        <v>0</v>
      </c>
      <c r="E170">
        <v>1</v>
      </c>
      <c r="F170">
        <v>0</v>
      </c>
      <c r="G170">
        <v>0</v>
      </c>
      <c r="H170">
        <v>0</v>
      </c>
      <c r="I170">
        <v>0</v>
      </c>
      <c r="L170">
        <v>1</v>
      </c>
      <c r="M170">
        <v>0</v>
      </c>
      <c r="N170">
        <v>0</v>
      </c>
      <c r="O170">
        <v>0</v>
      </c>
      <c r="P170">
        <v>0</v>
      </c>
      <c r="Q170" t="s">
        <v>584</v>
      </c>
      <c r="R170">
        <v>0</v>
      </c>
      <c r="S170">
        <v>0</v>
      </c>
      <c r="T170">
        <v>1</v>
      </c>
      <c r="U170">
        <v>0</v>
      </c>
      <c r="V170">
        <v>0</v>
      </c>
      <c r="W170">
        <v>0</v>
      </c>
      <c r="X170">
        <v>0</v>
      </c>
      <c r="Y170">
        <v>0</v>
      </c>
      <c r="Z170">
        <v>0</v>
      </c>
      <c r="AL170" t="s">
        <v>96</v>
      </c>
      <c r="AM170" t="s">
        <v>87</v>
      </c>
      <c r="AN170" t="s">
        <v>87</v>
      </c>
      <c r="AO170" t="s">
        <v>87</v>
      </c>
      <c r="AP170" t="s">
        <v>87</v>
      </c>
      <c r="AQ170" t="s">
        <v>87</v>
      </c>
      <c r="AR170" t="s">
        <v>108</v>
      </c>
      <c r="AS170" t="s">
        <v>76</v>
      </c>
      <c r="AT170" t="s">
        <v>96</v>
      </c>
      <c r="AU170">
        <v>1</v>
      </c>
      <c r="AV170">
        <v>0</v>
      </c>
      <c r="AW170">
        <v>0</v>
      </c>
      <c r="AX170">
        <v>0</v>
      </c>
      <c r="AY170">
        <v>0</v>
      </c>
      <c r="AZ170" t="s">
        <v>579</v>
      </c>
    </row>
    <row r="171" spans="1:52" x14ac:dyDescent="0.2">
      <c r="A171">
        <v>1</v>
      </c>
      <c r="B171">
        <v>0</v>
      </c>
      <c r="C171">
        <v>0</v>
      </c>
      <c r="D171">
        <v>0</v>
      </c>
      <c r="E171">
        <v>0</v>
      </c>
      <c r="F171">
        <v>0</v>
      </c>
      <c r="G171">
        <v>0</v>
      </c>
      <c r="H171">
        <v>0</v>
      </c>
      <c r="I171">
        <v>1</v>
      </c>
      <c r="J171" t="s">
        <v>79</v>
      </c>
      <c r="K171" t="s">
        <v>80</v>
      </c>
      <c r="L171">
        <v>1</v>
      </c>
      <c r="M171">
        <v>0</v>
      </c>
      <c r="N171">
        <v>0</v>
      </c>
      <c r="O171">
        <v>0</v>
      </c>
      <c r="P171">
        <v>0</v>
      </c>
      <c r="Q171" t="s">
        <v>584</v>
      </c>
      <c r="R171">
        <v>0</v>
      </c>
      <c r="S171">
        <v>1</v>
      </c>
      <c r="T171">
        <v>0</v>
      </c>
      <c r="U171">
        <v>0</v>
      </c>
      <c r="V171">
        <v>0</v>
      </c>
      <c r="W171">
        <v>0</v>
      </c>
      <c r="X171">
        <v>0</v>
      </c>
      <c r="Y171">
        <v>0</v>
      </c>
      <c r="Z171">
        <v>0</v>
      </c>
      <c r="AL171" t="s">
        <v>73</v>
      </c>
      <c r="AM171" t="s">
        <v>74</v>
      </c>
      <c r="AR171" t="s">
        <v>75</v>
      </c>
      <c r="AS171" t="s">
        <v>76</v>
      </c>
      <c r="AT171" t="s">
        <v>73</v>
      </c>
      <c r="AU171">
        <v>1</v>
      </c>
      <c r="AV171">
        <v>0</v>
      </c>
      <c r="AW171">
        <v>0</v>
      </c>
      <c r="AX171">
        <v>0</v>
      </c>
      <c r="AY171">
        <v>0</v>
      </c>
      <c r="AZ171" t="s">
        <v>580</v>
      </c>
    </row>
    <row r="172" spans="1:52" x14ac:dyDescent="0.2">
      <c r="A172">
        <v>0</v>
      </c>
      <c r="B172">
        <v>1</v>
      </c>
      <c r="C172">
        <v>0</v>
      </c>
      <c r="D172">
        <v>0</v>
      </c>
      <c r="E172">
        <v>1</v>
      </c>
      <c r="F172">
        <v>0</v>
      </c>
      <c r="G172">
        <v>0</v>
      </c>
      <c r="H172">
        <v>0</v>
      </c>
      <c r="I172">
        <v>0</v>
      </c>
      <c r="L172">
        <v>1</v>
      </c>
      <c r="M172">
        <v>0</v>
      </c>
      <c r="N172">
        <v>0</v>
      </c>
      <c r="O172">
        <v>0</v>
      </c>
      <c r="P172">
        <v>0</v>
      </c>
      <c r="Q172" t="s">
        <v>584</v>
      </c>
      <c r="R172">
        <v>0</v>
      </c>
      <c r="S172">
        <v>0</v>
      </c>
      <c r="T172">
        <v>1</v>
      </c>
      <c r="U172">
        <v>0</v>
      </c>
      <c r="V172">
        <v>0</v>
      </c>
      <c r="W172">
        <v>0</v>
      </c>
      <c r="X172">
        <v>0</v>
      </c>
      <c r="Y172">
        <v>0</v>
      </c>
      <c r="Z172">
        <v>0</v>
      </c>
      <c r="AL172" t="s">
        <v>107</v>
      </c>
      <c r="AM172" t="s">
        <v>86</v>
      </c>
      <c r="AN172" t="s">
        <v>74</v>
      </c>
      <c r="AO172" t="s">
        <v>86</v>
      </c>
      <c r="AP172" t="s">
        <v>74</v>
      </c>
      <c r="AQ172" t="s">
        <v>86</v>
      </c>
      <c r="AR172" t="s">
        <v>97</v>
      </c>
      <c r="AS172" t="s">
        <v>76</v>
      </c>
      <c r="AT172" t="s">
        <v>107</v>
      </c>
      <c r="AU172">
        <v>1</v>
      </c>
      <c r="AV172">
        <v>0</v>
      </c>
      <c r="AW172">
        <v>0</v>
      </c>
      <c r="AX172">
        <v>0</v>
      </c>
      <c r="AY172">
        <v>0</v>
      </c>
      <c r="AZ172" t="s">
        <v>580</v>
      </c>
    </row>
    <row r="173" spans="1:52" x14ac:dyDescent="0.2">
      <c r="A173">
        <v>1</v>
      </c>
      <c r="B173">
        <v>0</v>
      </c>
      <c r="C173">
        <v>0</v>
      </c>
      <c r="D173">
        <v>0</v>
      </c>
      <c r="E173">
        <v>0</v>
      </c>
      <c r="F173">
        <v>1</v>
      </c>
      <c r="G173">
        <v>0</v>
      </c>
      <c r="H173">
        <v>1</v>
      </c>
      <c r="I173">
        <v>0</v>
      </c>
      <c r="J173" t="s">
        <v>88</v>
      </c>
      <c r="K173" t="s">
        <v>89</v>
      </c>
      <c r="L173">
        <v>0</v>
      </c>
      <c r="M173">
        <v>0</v>
      </c>
      <c r="N173">
        <v>0</v>
      </c>
      <c r="O173">
        <v>0</v>
      </c>
      <c r="P173">
        <v>0</v>
      </c>
      <c r="Q173" t="s">
        <v>585</v>
      </c>
      <c r="AA173" t="s">
        <v>83</v>
      </c>
      <c r="AB173" t="s">
        <v>82</v>
      </c>
      <c r="AC173" t="s">
        <v>82</v>
      </c>
      <c r="AD173" t="s">
        <v>82</v>
      </c>
      <c r="AE173" t="s">
        <v>83</v>
      </c>
      <c r="AF173" t="s">
        <v>83</v>
      </c>
      <c r="AG173" t="s">
        <v>83</v>
      </c>
      <c r="AH173" t="s">
        <v>83</v>
      </c>
      <c r="AI173" t="s">
        <v>88</v>
      </c>
      <c r="AJ173" t="s">
        <v>89</v>
      </c>
      <c r="AK173" t="s">
        <v>100</v>
      </c>
      <c r="AL173" t="s">
        <v>73</v>
      </c>
      <c r="AM173" t="s">
        <v>87</v>
      </c>
      <c r="AN173" t="s">
        <v>87</v>
      </c>
      <c r="AO173" t="s">
        <v>87</v>
      </c>
      <c r="AP173" t="s">
        <v>87</v>
      </c>
      <c r="AQ173" t="s">
        <v>87</v>
      </c>
      <c r="AR173" t="s">
        <v>113</v>
      </c>
      <c r="AS173" t="s">
        <v>76</v>
      </c>
      <c r="AT173" t="s">
        <v>73</v>
      </c>
      <c r="AU173">
        <v>0</v>
      </c>
      <c r="AV173">
        <v>0</v>
      </c>
      <c r="AW173">
        <v>0</v>
      </c>
      <c r="AX173">
        <v>0</v>
      </c>
      <c r="AY173">
        <v>1</v>
      </c>
      <c r="AZ173" t="s">
        <v>580</v>
      </c>
    </row>
    <row r="174" spans="1:52" x14ac:dyDescent="0.2">
      <c r="A174">
        <v>1</v>
      </c>
      <c r="B174">
        <v>0</v>
      </c>
      <c r="C174">
        <v>0</v>
      </c>
      <c r="D174">
        <v>0</v>
      </c>
      <c r="E174">
        <v>0</v>
      </c>
      <c r="F174">
        <v>0</v>
      </c>
      <c r="G174">
        <v>0</v>
      </c>
      <c r="H174">
        <v>0</v>
      </c>
      <c r="I174">
        <v>1</v>
      </c>
      <c r="J174" t="s">
        <v>88</v>
      </c>
      <c r="K174" t="s">
        <v>89</v>
      </c>
      <c r="L174">
        <v>0</v>
      </c>
      <c r="M174">
        <v>1</v>
      </c>
      <c r="N174">
        <v>0</v>
      </c>
      <c r="O174">
        <v>0</v>
      </c>
      <c r="P174">
        <v>0</v>
      </c>
      <c r="Q174" t="s">
        <v>584</v>
      </c>
      <c r="AA174" t="s">
        <v>83</v>
      </c>
      <c r="AB174" t="s">
        <v>82</v>
      </c>
      <c r="AC174" t="s">
        <v>83</v>
      </c>
      <c r="AD174" t="s">
        <v>83</v>
      </c>
      <c r="AE174" t="s">
        <v>83</v>
      </c>
      <c r="AF174" t="s">
        <v>90</v>
      </c>
      <c r="AG174" t="s">
        <v>90</v>
      </c>
      <c r="AH174" t="s">
        <v>81</v>
      </c>
      <c r="AI174" t="s">
        <v>88</v>
      </c>
      <c r="AJ174" t="s">
        <v>89</v>
      </c>
      <c r="AK174" t="s">
        <v>100</v>
      </c>
      <c r="AL174" t="s">
        <v>107</v>
      </c>
      <c r="AM174" t="s">
        <v>86</v>
      </c>
      <c r="AN174" t="s">
        <v>74</v>
      </c>
      <c r="AO174" t="s">
        <v>87</v>
      </c>
      <c r="AP174" t="s">
        <v>87</v>
      </c>
      <c r="AQ174" t="s">
        <v>74</v>
      </c>
      <c r="AR174" t="s">
        <v>75</v>
      </c>
      <c r="AS174" t="s">
        <v>76</v>
      </c>
      <c r="AT174" t="s">
        <v>107</v>
      </c>
      <c r="AU174">
        <v>0</v>
      </c>
      <c r="AV174">
        <v>0</v>
      </c>
      <c r="AW174">
        <v>0</v>
      </c>
      <c r="AX174">
        <v>1</v>
      </c>
      <c r="AY174">
        <v>0</v>
      </c>
      <c r="AZ174" t="s">
        <v>580</v>
      </c>
    </row>
    <row r="175" spans="1:52" x14ac:dyDescent="0.2">
      <c r="A175">
        <v>1</v>
      </c>
      <c r="B175">
        <v>0</v>
      </c>
      <c r="C175">
        <v>0</v>
      </c>
      <c r="D175">
        <v>0</v>
      </c>
      <c r="E175">
        <v>1</v>
      </c>
      <c r="F175">
        <v>0</v>
      </c>
      <c r="G175">
        <v>0</v>
      </c>
      <c r="H175">
        <v>0</v>
      </c>
      <c r="I175">
        <v>0</v>
      </c>
      <c r="L175">
        <v>0</v>
      </c>
      <c r="M175">
        <v>0</v>
      </c>
      <c r="N175">
        <v>1</v>
      </c>
      <c r="O175">
        <v>0</v>
      </c>
      <c r="P175">
        <v>0</v>
      </c>
      <c r="Q175" t="s">
        <v>584</v>
      </c>
      <c r="AA175" t="s">
        <v>82</v>
      </c>
      <c r="AB175" t="s">
        <v>83</v>
      </c>
      <c r="AC175" t="s">
        <v>83</v>
      </c>
      <c r="AD175" t="s">
        <v>83</v>
      </c>
      <c r="AE175" t="s">
        <v>82</v>
      </c>
      <c r="AF175" t="s">
        <v>81</v>
      </c>
      <c r="AG175" t="s">
        <v>83</v>
      </c>
      <c r="AH175" t="s">
        <v>83</v>
      </c>
      <c r="AI175" t="s">
        <v>135</v>
      </c>
      <c r="AJ175" t="s">
        <v>80</v>
      </c>
      <c r="AK175" t="s">
        <v>85</v>
      </c>
      <c r="AL175" t="s">
        <v>107</v>
      </c>
      <c r="AM175" t="s">
        <v>74</v>
      </c>
      <c r="AR175" t="s">
        <v>75</v>
      </c>
      <c r="AS175" t="s">
        <v>76</v>
      </c>
      <c r="AT175" t="s">
        <v>107</v>
      </c>
      <c r="AU175">
        <v>1</v>
      </c>
      <c r="AV175">
        <v>0</v>
      </c>
      <c r="AW175">
        <v>0</v>
      </c>
      <c r="AX175">
        <v>0</v>
      </c>
      <c r="AY175">
        <v>0</v>
      </c>
      <c r="AZ175" t="s">
        <v>579</v>
      </c>
    </row>
    <row r="176" spans="1:52" x14ac:dyDescent="0.2">
      <c r="A176">
        <v>1</v>
      </c>
      <c r="B176">
        <v>0</v>
      </c>
      <c r="C176">
        <v>0</v>
      </c>
      <c r="D176">
        <v>0</v>
      </c>
      <c r="E176">
        <v>0</v>
      </c>
      <c r="F176">
        <v>1</v>
      </c>
      <c r="G176">
        <v>0</v>
      </c>
      <c r="H176">
        <v>0</v>
      </c>
      <c r="I176">
        <v>0</v>
      </c>
      <c r="J176" t="s">
        <v>88</v>
      </c>
      <c r="K176" t="s">
        <v>80</v>
      </c>
      <c r="L176">
        <v>0</v>
      </c>
      <c r="M176">
        <v>0</v>
      </c>
      <c r="N176">
        <v>1</v>
      </c>
      <c r="O176">
        <v>0</v>
      </c>
      <c r="P176">
        <v>0</v>
      </c>
      <c r="Q176" t="s">
        <v>584</v>
      </c>
      <c r="AA176" t="s">
        <v>83</v>
      </c>
      <c r="AB176" t="s">
        <v>82</v>
      </c>
      <c r="AC176" t="s">
        <v>83</v>
      </c>
      <c r="AD176" t="s">
        <v>82</v>
      </c>
      <c r="AE176" t="s">
        <v>82</v>
      </c>
      <c r="AF176" t="s">
        <v>83</v>
      </c>
      <c r="AG176" t="s">
        <v>83</v>
      </c>
      <c r="AH176" t="s">
        <v>83</v>
      </c>
      <c r="AI176" t="s">
        <v>88</v>
      </c>
      <c r="AJ176" t="s">
        <v>89</v>
      </c>
      <c r="AK176" t="s">
        <v>100</v>
      </c>
      <c r="AL176" t="s">
        <v>73</v>
      </c>
      <c r="AM176" t="s">
        <v>87</v>
      </c>
      <c r="AN176" t="s">
        <v>87</v>
      </c>
      <c r="AO176" t="s">
        <v>87</v>
      </c>
      <c r="AP176" t="s">
        <v>87</v>
      </c>
      <c r="AQ176" t="s">
        <v>87</v>
      </c>
      <c r="AR176" t="s">
        <v>75</v>
      </c>
      <c r="AS176" t="s">
        <v>76</v>
      </c>
      <c r="AT176" t="s">
        <v>73</v>
      </c>
      <c r="AU176">
        <v>0</v>
      </c>
      <c r="AV176">
        <v>0</v>
      </c>
      <c r="AW176">
        <v>0</v>
      </c>
      <c r="AX176">
        <v>0</v>
      </c>
      <c r="AY176">
        <v>1</v>
      </c>
      <c r="AZ176" t="s">
        <v>579</v>
      </c>
    </row>
    <row r="177" spans="1:52" x14ac:dyDescent="0.2">
      <c r="A177">
        <v>1</v>
      </c>
      <c r="B177">
        <v>0</v>
      </c>
      <c r="C177">
        <v>0</v>
      </c>
      <c r="D177">
        <v>0</v>
      </c>
      <c r="E177">
        <v>1</v>
      </c>
      <c r="F177">
        <v>0</v>
      </c>
      <c r="G177">
        <v>0</v>
      </c>
      <c r="H177">
        <v>0</v>
      </c>
      <c r="I177">
        <v>0</v>
      </c>
      <c r="L177">
        <v>0</v>
      </c>
      <c r="M177">
        <v>0</v>
      </c>
      <c r="N177">
        <v>1</v>
      </c>
      <c r="O177">
        <v>0</v>
      </c>
      <c r="P177">
        <v>0</v>
      </c>
      <c r="Q177" t="s">
        <v>584</v>
      </c>
      <c r="AA177" t="s">
        <v>83</v>
      </c>
      <c r="AB177" t="s">
        <v>82</v>
      </c>
      <c r="AC177" t="s">
        <v>81</v>
      </c>
      <c r="AD177" t="s">
        <v>83</v>
      </c>
      <c r="AE177" t="s">
        <v>82</v>
      </c>
      <c r="AF177" t="s">
        <v>83</v>
      </c>
      <c r="AG177" t="s">
        <v>83</v>
      </c>
      <c r="AH177" t="s">
        <v>83</v>
      </c>
      <c r="AI177" t="s">
        <v>88</v>
      </c>
      <c r="AJ177" t="s">
        <v>89</v>
      </c>
      <c r="AK177" t="s">
        <v>85</v>
      </c>
      <c r="AL177" t="s">
        <v>96</v>
      </c>
      <c r="AM177" t="s">
        <v>86</v>
      </c>
      <c r="AN177" t="s">
        <v>74</v>
      </c>
      <c r="AO177" t="s">
        <v>87</v>
      </c>
      <c r="AP177" t="s">
        <v>87</v>
      </c>
      <c r="AQ177" t="s">
        <v>74</v>
      </c>
      <c r="AR177" t="s">
        <v>75</v>
      </c>
      <c r="AS177" t="s">
        <v>76</v>
      </c>
      <c r="AT177" t="s">
        <v>96</v>
      </c>
      <c r="AU177">
        <v>0</v>
      </c>
      <c r="AV177">
        <v>0</v>
      </c>
      <c r="AW177">
        <v>0</v>
      </c>
      <c r="AX177">
        <v>1</v>
      </c>
      <c r="AY177">
        <v>0</v>
      </c>
      <c r="AZ177" t="s">
        <v>579</v>
      </c>
    </row>
    <row r="178" spans="1:52" x14ac:dyDescent="0.2">
      <c r="A178">
        <v>0</v>
      </c>
      <c r="B178">
        <v>1</v>
      </c>
      <c r="C178">
        <v>0</v>
      </c>
      <c r="D178">
        <v>0</v>
      </c>
      <c r="E178">
        <v>1</v>
      </c>
      <c r="F178">
        <v>0</v>
      </c>
      <c r="G178">
        <v>0</v>
      </c>
      <c r="H178">
        <v>0</v>
      </c>
      <c r="I178">
        <v>0</v>
      </c>
      <c r="L178">
        <v>1</v>
      </c>
      <c r="M178">
        <v>0</v>
      </c>
      <c r="N178">
        <v>0</v>
      </c>
      <c r="O178">
        <v>0</v>
      </c>
      <c r="P178">
        <v>0</v>
      </c>
      <c r="Q178" t="s">
        <v>584</v>
      </c>
      <c r="R178">
        <v>0</v>
      </c>
      <c r="S178">
        <v>0</v>
      </c>
      <c r="T178">
        <v>1</v>
      </c>
      <c r="U178">
        <v>0</v>
      </c>
      <c r="V178">
        <v>0</v>
      </c>
      <c r="W178">
        <v>0</v>
      </c>
      <c r="X178">
        <v>0</v>
      </c>
      <c r="Y178">
        <v>0</v>
      </c>
      <c r="Z178">
        <v>0</v>
      </c>
      <c r="AL178" t="s">
        <v>96</v>
      </c>
      <c r="AM178" t="s">
        <v>86</v>
      </c>
      <c r="AN178" t="s">
        <v>87</v>
      </c>
      <c r="AO178" t="s">
        <v>87</v>
      </c>
      <c r="AP178" t="s">
        <v>87</v>
      </c>
      <c r="AQ178" t="s">
        <v>87</v>
      </c>
      <c r="AR178" t="s">
        <v>75</v>
      </c>
      <c r="AS178" t="s">
        <v>76</v>
      </c>
      <c r="AT178" t="s">
        <v>96</v>
      </c>
      <c r="AU178">
        <v>0</v>
      </c>
      <c r="AV178">
        <v>0</v>
      </c>
      <c r="AW178">
        <v>0</v>
      </c>
      <c r="AX178">
        <v>1</v>
      </c>
      <c r="AY178">
        <v>0</v>
      </c>
      <c r="AZ178" t="s">
        <v>580</v>
      </c>
    </row>
    <row r="179" spans="1:52" x14ac:dyDescent="0.2">
      <c r="A179">
        <v>1</v>
      </c>
      <c r="B179">
        <v>0</v>
      </c>
      <c r="C179">
        <v>0</v>
      </c>
      <c r="D179">
        <v>0</v>
      </c>
      <c r="E179">
        <v>0</v>
      </c>
      <c r="F179">
        <v>1</v>
      </c>
      <c r="G179">
        <v>1</v>
      </c>
      <c r="H179">
        <v>0</v>
      </c>
      <c r="I179">
        <v>1</v>
      </c>
      <c r="J179" t="s">
        <v>88</v>
      </c>
      <c r="K179" t="s">
        <v>89</v>
      </c>
      <c r="L179">
        <v>0</v>
      </c>
      <c r="M179">
        <v>0</v>
      </c>
      <c r="N179">
        <v>1</v>
      </c>
      <c r="O179">
        <v>0</v>
      </c>
      <c r="P179">
        <v>0</v>
      </c>
      <c r="Q179" t="s">
        <v>585</v>
      </c>
      <c r="AA179" t="s">
        <v>81</v>
      </c>
      <c r="AB179" t="s">
        <v>82</v>
      </c>
      <c r="AC179" t="s">
        <v>83</v>
      </c>
      <c r="AD179" t="s">
        <v>81</v>
      </c>
      <c r="AE179" t="s">
        <v>82</v>
      </c>
      <c r="AF179" t="s">
        <v>81</v>
      </c>
      <c r="AG179" t="s">
        <v>81</v>
      </c>
      <c r="AH179" t="s">
        <v>83</v>
      </c>
      <c r="AI179" t="s">
        <v>88</v>
      </c>
      <c r="AJ179" t="s">
        <v>89</v>
      </c>
      <c r="AK179" t="s">
        <v>85</v>
      </c>
      <c r="AL179" t="s">
        <v>107</v>
      </c>
      <c r="AM179" t="s">
        <v>87</v>
      </c>
      <c r="AN179" t="s">
        <v>86</v>
      </c>
      <c r="AO179" t="s">
        <v>86</v>
      </c>
      <c r="AP179" t="s">
        <v>74</v>
      </c>
      <c r="AQ179" t="s">
        <v>86</v>
      </c>
      <c r="AR179" t="s">
        <v>75</v>
      </c>
      <c r="AS179" t="s">
        <v>76</v>
      </c>
      <c r="AT179" t="s">
        <v>107</v>
      </c>
      <c r="AU179">
        <v>0</v>
      </c>
      <c r="AV179">
        <v>0</v>
      </c>
      <c r="AW179">
        <v>0</v>
      </c>
      <c r="AX179">
        <v>1</v>
      </c>
      <c r="AY179">
        <v>0</v>
      </c>
      <c r="AZ179" t="s">
        <v>579</v>
      </c>
    </row>
    <row r="180" spans="1:52" x14ac:dyDescent="0.2">
      <c r="A180">
        <v>1</v>
      </c>
      <c r="B180">
        <v>0</v>
      </c>
      <c r="C180">
        <v>0</v>
      </c>
      <c r="D180">
        <v>0</v>
      </c>
      <c r="E180">
        <v>0</v>
      </c>
      <c r="F180">
        <v>1</v>
      </c>
      <c r="G180">
        <v>1</v>
      </c>
      <c r="H180">
        <v>1</v>
      </c>
      <c r="I180">
        <v>0</v>
      </c>
      <c r="J180" t="s">
        <v>88</v>
      </c>
      <c r="K180" t="s">
        <v>89</v>
      </c>
      <c r="L180">
        <v>0</v>
      </c>
      <c r="M180">
        <v>0</v>
      </c>
      <c r="N180">
        <v>1</v>
      </c>
      <c r="O180">
        <v>0</v>
      </c>
      <c r="P180">
        <v>0</v>
      </c>
      <c r="Q180" t="s">
        <v>584</v>
      </c>
      <c r="AA180" t="s">
        <v>81</v>
      </c>
      <c r="AB180" t="s">
        <v>82</v>
      </c>
      <c r="AC180" t="s">
        <v>82</v>
      </c>
      <c r="AD180" t="s">
        <v>82</v>
      </c>
      <c r="AE180" t="s">
        <v>81</v>
      </c>
      <c r="AF180" t="s">
        <v>83</v>
      </c>
      <c r="AG180" t="s">
        <v>83</v>
      </c>
      <c r="AH180" t="s">
        <v>83</v>
      </c>
      <c r="AI180" t="s">
        <v>88</v>
      </c>
      <c r="AJ180" t="s">
        <v>89</v>
      </c>
      <c r="AK180" t="s">
        <v>100</v>
      </c>
      <c r="AL180" t="s">
        <v>107</v>
      </c>
      <c r="AM180" t="s">
        <v>87</v>
      </c>
      <c r="AN180" t="s">
        <v>87</v>
      </c>
      <c r="AO180" t="s">
        <v>87</v>
      </c>
      <c r="AP180" t="s">
        <v>87</v>
      </c>
      <c r="AQ180" t="s">
        <v>87</v>
      </c>
      <c r="AR180" t="s">
        <v>75</v>
      </c>
      <c r="AS180" t="s">
        <v>76</v>
      </c>
      <c r="AT180" t="s">
        <v>107</v>
      </c>
      <c r="AU180">
        <v>1</v>
      </c>
      <c r="AV180">
        <v>0</v>
      </c>
      <c r="AW180">
        <v>0</v>
      </c>
      <c r="AX180">
        <v>0</v>
      </c>
      <c r="AY180">
        <v>0</v>
      </c>
      <c r="AZ180" t="s">
        <v>579</v>
      </c>
    </row>
    <row r="181" spans="1:52" x14ac:dyDescent="0.2">
      <c r="A181">
        <v>1</v>
      </c>
      <c r="B181">
        <v>0</v>
      </c>
      <c r="C181">
        <v>0</v>
      </c>
      <c r="D181">
        <v>0</v>
      </c>
      <c r="E181">
        <v>0</v>
      </c>
      <c r="F181">
        <v>1</v>
      </c>
      <c r="G181">
        <v>1</v>
      </c>
      <c r="H181">
        <v>1</v>
      </c>
      <c r="I181">
        <v>0</v>
      </c>
      <c r="J181" t="s">
        <v>79</v>
      </c>
      <c r="K181" t="s">
        <v>80</v>
      </c>
      <c r="L181">
        <v>0</v>
      </c>
      <c r="M181">
        <v>0</v>
      </c>
      <c r="N181">
        <v>1</v>
      </c>
      <c r="O181">
        <v>0</v>
      </c>
      <c r="P181">
        <v>0</v>
      </c>
      <c r="Q181" t="s">
        <v>584</v>
      </c>
      <c r="AA181" t="s">
        <v>81</v>
      </c>
      <c r="AB181" t="s">
        <v>81</v>
      </c>
      <c r="AC181" t="s">
        <v>81</v>
      </c>
      <c r="AD181" t="s">
        <v>82</v>
      </c>
      <c r="AE181" t="s">
        <v>82</v>
      </c>
      <c r="AF181" t="s">
        <v>81</v>
      </c>
      <c r="AG181" t="s">
        <v>81</v>
      </c>
      <c r="AH181" t="s">
        <v>83</v>
      </c>
      <c r="AI181" t="s">
        <v>84</v>
      </c>
      <c r="AJ181" t="s">
        <v>80</v>
      </c>
      <c r="AK181" t="s">
        <v>117</v>
      </c>
      <c r="AL181" t="s">
        <v>107</v>
      </c>
      <c r="AM181" t="s">
        <v>86</v>
      </c>
      <c r="AN181" t="s">
        <v>87</v>
      </c>
      <c r="AO181" t="s">
        <v>86</v>
      </c>
      <c r="AP181" t="s">
        <v>87</v>
      </c>
      <c r="AQ181" t="s">
        <v>86</v>
      </c>
      <c r="AR181" t="s">
        <v>108</v>
      </c>
      <c r="AS181" t="s">
        <v>76</v>
      </c>
      <c r="AT181" t="s">
        <v>107</v>
      </c>
      <c r="AU181">
        <v>1</v>
      </c>
      <c r="AV181">
        <v>0</v>
      </c>
      <c r="AW181">
        <v>1</v>
      </c>
      <c r="AX181">
        <v>0</v>
      </c>
      <c r="AY181">
        <v>0</v>
      </c>
      <c r="AZ181" t="s">
        <v>579</v>
      </c>
    </row>
    <row r="182" spans="1:52" x14ac:dyDescent="0.2">
      <c r="A182">
        <v>0</v>
      </c>
      <c r="B182">
        <v>0</v>
      </c>
      <c r="C182">
        <v>1</v>
      </c>
      <c r="D182">
        <v>0</v>
      </c>
      <c r="E182">
        <v>1</v>
      </c>
      <c r="F182">
        <v>0</v>
      </c>
      <c r="G182">
        <v>0</v>
      </c>
      <c r="H182">
        <v>0</v>
      </c>
      <c r="I182">
        <v>0</v>
      </c>
      <c r="L182">
        <v>1</v>
      </c>
      <c r="M182">
        <v>0</v>
      </c>
      <c r="N182">
        <v>0</v>
      </c>
      <c r="O182">
        <v>0</v>
      </c>
      <c r="P182">
        <v>0</v>
      </c>
      <c r="Q182" t="s">
        <v>584</v>
      </c>
      <c r="R182">
        <v>0</v>
      </c>
      <c r="S182">
        <v>0</v>
      </c>
      <c r="T182">
        <v>1</v>
      </c>
      <c r="U182">
        <v>0</v>
      </c>
      <c r="V182">
        <v>0</v>
      </c>
      <c r="W182">
        <v>0</v>
      </c>
      <c r="X182">
        <v>1</v>
      </c>
      <c r="Y182">
        <v>0</v>
      </c>
      <c r="Z182">
        <v>0</v>
      </c>
      <c r="AL182" t="s">
        <v>107</v>
      </c>
      <c r="AM182" t="s">
        <v>87</v>
      </c>
      <c r="AN182" t="s">
        <v>87</v>
      </c>
      <c r="AO182" t="s">
        <v>87</v>
      </c>
      <c r="AP182" t="s">
        <v>87</v>
      </c>
      <c r="AQ182" t="s">
        <v>87</v>
      </c>
      <c r="AR182" t="s">
        <v>97</v>
      </c>
      <c r="AS182" t="s">
        <v>76</v>
      </c>
      <c r="AT182" t="s">
        <v>107</v>
      </c>
      <c r="AU182">
        <v>0</v>
      </c>
      <c r="AV182">
        <v>0</v>
      </c>
      <c r="AW182">
        <v>0</v>
      </c>
      <c r="AX182">
        <v>1</v>
      </c>
      <c r="AY182">
        <v>0</v>
      </c>
      <c r="AZ182" t="s">
        <v>580</v>
      </c>
    </row>
    <row r="183" spans="1:52" x14ac:dyDescent="0.2">
      <c r="A183">
        <v>0</v>
      </c>
      <c r="B183">
        <v>1</v>
      </c>
      <c r="C183">
        <v>0</v>
      </c>
      <c r="D183">
        <v>0</v>
      </c>
      <c r="E183">
        <v>0</v>
      </c>
      <c r="F183">
        <v>1</v>
      </c>
      <c r="G183">
        <v>0</v>
      </c>
      <c r="H183">
        <v>0</v>
      </c>
      <c r="I183">
        <v>0</v>
      </c>
      <c r="J183" t="s">
        <v>88</v>
      </c>
      <c r="K183" t="s">
        <v>89</v>
      </c>
      <c r="L183">
        <v>1</v>
      </c>
      <c r="M183">
        <v>0</v>
      </c>
      <c r="N183">
        <v>0</v>
      </c>
      <c r="O183">
        <v>0</v>
      </c>
      <c r="P183">
        <v>0</v>
      </c>
      <c r="Q183" t="s">
        <v>584</v>
      </c>
      <c r="R183">
        <v>0</v>
      </c>
      <c r="S183">
        <v>0</v>
      </c>
      <c r="T183">
        <v>0</v>
      </c>
      <c r="U183">
        <v>0</v>
      </c>
      <c r="V183">
        <v>1</v>
      </c>
      <c r="W183">
        <v>0</v>
      </c>
      <c r="X183">
        <v>0</v>
      </c>
      <c r="Y183">
        <v>0</v>
      </c>
      <c r="Z183">
        <v>0</v>
      </c>
      <c r="AL183" t="s">
        <v>107</v>
      </c>
      <c r="AM183" t="s">
        <v>87</v>
      </c>
      <c r="AN183" t="s">
        <v>74</v>
      </c>
      <c r="AO183" t="s">
        <v>87</v>
      </c>
      <c r="AP183" t="s">
        <v>87</v>
      </c>
      <c r="AQ183" t="s">
        <v>87</v>
      </c>
      <c r="AR183" t="s">
        <v>97</v>
      </c>
      <c r="AS183" t="s">
        <v>76</v>
      </c>
      <c r="AT183" t="s">
        <v>107</v>
      </c>
      <c r="AU183">
        <v>0</v>
      </c>
      <c r="AV183">
        <v>0</v>
      </c>
      <c r="AW183">
        <v>0</v>
      </c>
      <c r="AX183">
        <v>1</v>
      </c>
      <c r="AY183">
        <v>0</v>
      </c>
      <c r="AZ183" t="s">
        <v>580</v>
      </c>
    </row>
    <row r="184" spans="1:52" x14ac:dyDescent="0.2">
      <c r="A184">
        <v>1</v>
      </c>
      <c r="B184">
        <v>0</v>
      </c>
      <c r="C184">
        <v>0</v>
      </c>
      <c r="D184">
        <v>0</v>
      </c>
      <c r="E184">
        <v>1</v>
      </c>
      <c r="F184">
        <v>0</v>
      </c>
      <c r="G184">
        <v>0</v>
      </c>
      <c r="H184">
        <v>0</v>
      </c>
      <c r="I184">
        <v>0</v>
      </c>
      <c r="L184">
        <v>0</v>
      </c>
      <c r="M184">
        <v>1</v>
      </c>
      <c r="N184">
        <v>0</v>
      </c>
      <c r="O184">
        <v>0</v>
      </c>
      <c r="P184">
        <v>0</v>
      </c>
      <c r="Q184" t="s">
        <v>584</v>
      </c>
      <c r="AA184" t="s">
        <v>81</v>
      </c>
      <c r="AB184" t="s">
        <v>83</v>
      </c>
      <c r="AC184" t="s">
        <v>83</v>
      </c>
      <c r="AD184" t="s">
        <v>83</v>
      </c>
      <c r="AE184" t="s">
        <v>82</v>
      </c>
      <c r="AF184" t="s">
        <v>81</v>
      </c>
      <c r="AG184" t="s">
        <v>83</v>
      </c>
      <c r="AH184" t="s">
        <v>82</v>
      </c>
      <c r="AI184" t="s">
        <v>88</v>
      </c>
      <c r="AJ184" t="s">
        <v>89</v>
      </c>
      <c r="AK184" t="s">
        <v>100</v>
      </c>
      <c r="AL184" t="s">
        <v>96</v>
      </c>
      <c r="AM184" t="s">
        <v>86</v>
      </c>
      <c r="AN184" t="s">
        <v>86</v>
      </c>
      <c r="AO184" t="s">
        <v>87</v>
      </c>
      <c r="AP184" t="s">
        <v>87</v>
      </c>
      <c r="AQ184" t="s">
        <v>87</v>
      </c>
      <c r="AR184" t="s">
        <v>101</v>
      </c>
      <c r="AS184" t="s">
        <v>76</v>
      </c>
      <c r="AT184" t="s">
        <v>96</v>
      </c>
      <c r="AU184">
        <v>1</v>
      </c>
      <c r="AV184">
        <v>0</v>
      </c>
      <c r="AW184">
        <v>0</v>
      </c>
      <c r="AX184">
        <v>0</v>
      </c>
      <c r="AY184">
        <v>0</v>
      </c>
      <c r="AZ184" t="s">
        <v>580</v>
      </c>
    </row>
    <row r="185" spans="1:52" x14ac:dyDescent="0.2">
      <c r="A185">
        <v>1</v>
      </c>
      <c r="B185">
        <v>0</v>
      </c>
      <c r="C185">
        <v>0</v>
      </c>
      <c r="D185">
        <v>0</v>
      </c>
      <c r="E185">
        <v>0</v>
      </c>
      <c r="F185">
        <v>1</v>
      </c>
      <c r="G185">
        <v>1</v>
      </c>
      <c r="H185">
        <v>1</v>
      </c>
      <c r="I185">
        <v>0</v>
      </c>
      <c r="J185" t="s">
        <v>88</v>
      </c>
      <c r="K185" t="s">
        <v>89</v>
      </c>
      <c r="L185">
        <v>0</v>
      </c>
      <c r="M185">
        <v>0</v>
      </c>
      <c r="N185">
        <v>1</v>
      </c>
      <c r="O185">
        <v>0</v>
      </c>
      <c r="P185">
        <v>0</v>
      </c>
      <c r="Q185" t="s">
        <v>584</v>
      </c>
      <c r="AA185" t="s">
        <v>81</v>
      </c>
      <c r="AB185" t="s">
        <v>82</v>
      </c>
      <c r="AC185" t="s">
        <v>81</v>
      </c>
      <c r="AD185" t="s">
        <v>82</v>
      </c>
      <c r="AE185" t="s">
        <v>82</v>
      </c>
      <c r="AF185" t="s">
        <v>81</v>
      </c>
      <c r="AG185" t="s">
        <v>81</v>
      </c>
      <c r="AH185" t="s">
        <v>81</v>
      </c>
      <c r="AI185" t="s">
        <v>88</v>
      </c>
      <c r="AJ185" t="s">
        <v>89</v>
      </c>
      <c r="AK185" t="s">
        <v>100</v>
      </c>
      <c r="AL185" t="s">
        <v>73</v>
      </c>
      <c r="AM185" t="s">
        <v>87</v>
      </c>
      <c r="AN185" t="s">
        <v>87</v>
      </c>
      <c r="AO185" t="s">
        <v>87</v>
      </c>
      <c r="AP185" t="s">
        <v>87</v>
      </c>
      <c r="AQ185" t="s">
        <v>87</v>
      </c>
      <c r="AR185" t="s">
        <v>75</v>
      </c>
      <c r="AS185" t="s">
        <v>76</v>
      </c>
      <c r="AT185" t="s">
        <v>73</v>
      </c>
      <c r="AU185">
        <v>1</v>
      </c>
      <c r="AV185">
        <v>0</v>
      </c>
      <c r="AW185">
        <v>0</v>
      </c>
      <c r="AX185">
        <v>0</v>
      </c>
      <c r="AY185">
        <v>0</v>
      </c>
      <c r="AZ185" t="s">
        <v>579</v>
      </c>
    </row>
    <row r="186" spans="1:52" x14ac:dyDescent="0.2">
      <c r="A186">
        <v>1</v>
      </c>
      <c r="B186">
        <v>0</v>
      </c>
      <c r="C186">
        <v>0</v>
      </c>
      <c r="D186">
        <v>0</v>
      </c>
      <c r="E186">
        <v>0</v>
      </c>
      <c r="F186">
        <v>1</v>
      </c>
      <c r="G186">
        <v>0</v>
      </c>
      <c r="H186">
        <v>0</v>
      </c>
      <c r="I186">
        <v>0</v>
      </c>
      <c r="J186" t="s">
        <v>88</v>
      </c>
      <c r="K186" t="s">
        <v>89</v>
      </c>
      <c r="L186">
        <v>0</v>
      </c>
      <c r="M186">
        <v>1</v>
      </c>
      <c r="N186">
        <v>0</v>
      </c>
      <c r="O186">
        <v>0</v>
      </c>
      <c r="P186">
        <v>0</v>
      </c>
      <c r="Q186" t="s">
        <v>584</v>
      </c>
      <c r="AA186" t="s">
        <v>83</v>
      </c>
      <c r="AB186" t="s">
        <v>82</v>
      </c>
      <c r="AC186" t="s">
        <v>81</v>
      </c>
      <c r="AD186" t="s">
        <v>82</v>
      </c>
      <c r="AE186" t="s">
        <v>82</v>
      </c>
      <c r="AF186" t="s">
        <v>83</v>
      </c>
      <c r="AG186" t="s">
        <v>83</v>
      </c>
      <c r="AH186" t="s">
        <v>83</v>
      </c>
      <c r="AI186" t="s">
        <v>88</v>
      </c>
      <c r="AJ186" t="s">
        <v>89</v>
      </c>
      <c r="AK186" t="s">
        <v>100</v>
      </c>
      <c r="AL186" t="s">
        <v>107</v>
      </c>
      <c r="AM186" t="s">
        <v>74</v>
      </c>
      <c r="AR186" t="s">
        <v>75</v>
      </c>
      <c r="AS186" t="s">
        <v>76</v>
      </c>
      <c r="AT186" t="s">
        <v>107</v>
      </c>
      <c r="AU186">
        <v>0</v>
      </c>
      <c r="AV186">
        <v>0</v>
      </c>
      <c r="AW186">
        <v>0</v>
      </c>
      <c r="AX186">
        <v>1</v>
      </c>
      <c r="AY186">
        <v>0</v>
      </c>
      <c r="AZ186" t="s">
        <v>580</v>
      </c>
    </row>
    <row r="187" spans="1:52" x14ac:dyDescent="0.2">
      <c r="A187">
        <v>1</v>
      </c>
      <c r="B187">
        <v>0</v>
      </c>
      <c r="C187">
        <v>0</v>
      </c>
      <c r="D187">
        <v>0</v>
      </c>
      <c r="E187">
        <v>1</v>
      </c>
      <c r="F187">
        <v>0</v>
      </c>
      <c r="G187">
        <v>0</v>
      </c>
      <c r="H187">
        <v>0</v>
      </c>
      <c r="I187">
        <v>0</v>
      </c>
      <c r="L187">
        <v>1</v>
      </c>
      <c r="M187">
        <v>0</v>
      </c>
      <c r="N187">
        <v>0</v>
      </c>
      <c r="O187">
        <v>0</v>
      </c>
      <c r="P187">
        <v>0</v>
      </c>
      <c r="Q187" t="s">
        <v>584</v>
      </c>
      <c r="R187">
        <v>0</v>
      </c>
      <c r="S187">
        <v>0</v>
      </c>
      <c r="T187">
        <v>0</v>
      </c>
      <c r="U187">
        <v>0</v>
      </c>
      <c r="V187">
        <v>0</v>
      </c>
      <c r="W187">
        <v>0</v>
      </c>
      <c r="X187">
        <v>1</v>
      </c>
      <c r="Y187">
        <v>0</v>
      </c>
      <c r="Z187">
        <v>0</v>
      </c>
      <c r="AL187" t="s">
        <v>73</v>
      </c>
      <c r="AM187" t="s">
        <v>86</v>
      </c>
      <c r="AN187" t="s">
        <v>86</v>
      </c>
      <c r="AO187" t="s">
        <v>86</v>
      </c>
      <c r="AP187" t="s">
        <v>86</v>
      </c>
      <c r="AQ187" t="s">
        <v>86</v>
      </c>
      <c r="AR187" t="s">
        <v>101</v>
      </c>
      <c r="AS187" t="s">
        <v>76</v>
      </c>
      <c r="AT187" t="s">
        <v>73</v>
      </c>
      <c r="AU187">
        <v>0</v>
      </c>
      <c r="AV187">
        <v>0</v>
      </c>
      <c r="AW187">
        <v>0</v>
      </c>
      <c r="AX187">
        <v>1</v>
      </c>
      <c r="AY187">
        <v>0</v>
      </c>
      <c r="AZ187" t="s">
        <v>579</v>
      </c>
    </row>
    <row r="188" spans="1:52" x14ac:dyDescent="0.2">
      <c r="A188">
        <v>0</v>
      </c>
      <c r="B188">
        <v>1</v>
      </c>
      <c r="C188">
        <v>0</v>
      </c>
      <c r="D188">
        <v>0</v>
      </c>
      <c r="E188">
        <v>1</v>
      </c>
      <c r="F188">
        <v>0</v>
      </c>
      <c r="G188">
        <v>0</v>
      </c>
      <c r="H188">
        <v>0</v>
      </c>
      <c r="I188">
        <v>0</v>
      </c>
      <c r="L188">
        <v>1</v>
      </c>
      <c r="M188">
        <v>0</v>
      </c>
      <c r="N188">
        <v>0</v>
      </c>
      <c r="O188">
        <v>0</v>
      </c>
      <c r="P188">
        <v>0</v>
      </c>
      <c r="Q188" t="s">
        <v>584</v>
      </c>
      <c r="R188">
        <v>1</v>
      </c>
      <c r="S188">
        <v>0</v>
      </c>
      <c r="T188">
        <v>0</v>
      </c>
      <c r="U188">
        <v>0</v>
      </c>
      <c r="V188">
        <v>0</v>
      </c>
      <c r="W188">
        <v>0</v>
      </c>
      <c r="X188">
        <v>0</v>
      </c>
      <c r="Y188">
        <v>0</v>
      </c>
      <c r="Z188">
        <v>0</v>
      </c>
      <c r="AL188" t="s">
        <v>107</v>
      </c>
      <c r="AM188" t="s">
        <v>74</v>
      </c>
      <c r="AR188" t="s">
        <v>108</v>
      </c>
      <c r="AS188" t="s">
        <v>76</v>
      </c>
      <c r="AT188" t="s">
        <v>107</v>
      </c>
      <c r="AU188">
        <v>1</v>
      </c>
      <c r="AV188">
        <v>0</v>
      </c>
      <c r="AW188">
        <v>0</v>
      </c>
      <c r="AX188">
        <v>0</v>
      </c>
      <c r="AY188">
        <v>0</v>
      </c>
      <c r="AZ188" t="s">
        <v>580</v>
      </c>
    </row>
    <row r="189" spans="1:52" x14ac:dyDescent="0.2">
      <c r="A189">
        <v>1</v>
      </c>
      <c r="B189">
        <v>0</v>
      </c>
      <c r="C189">
        <v>0</v>
      </c>
      <c r="D189">
        <v>0</v>
      </c>
      <c r="E189">
        <v>1</v>
      </c>
      <c r="F189">
        <v>0</v>
      </c>
      <c r="G189">
        <v>0</v>
      </c>
      <c r="H189">
        <v>0</v>
      </c>
      <c r="I189">
        <v>0</v>
      </c>
      <c r="L189">
        <v>0</v>
      </c>
      <c r="M189">
        <v>0</v>
      </c>
      <c r="N189">
        <v>1</v>
      </c>
      <c r="O189">
        <v>0</v>
      </c>
      <c r="P189">
        <v>0</v>
      </c>
      <c r="Q189" t="s">
        <v>584</v>
      </c>
      <c r="AA189" t="s">
        <v>83</v>
      </c>
      <c r="AB189" t="s">
        <v>83</v>
      </c>
      <c r="AC189" t="s">
        <v>83</v>
      </c>
      <c r="AD189" t="s">
        <v>83</v>
      </c>
      <c r="AE189" t="s">
        <v>82</v>
      </c>
      <c r="AF189" t="s">
        <v>83</v>
      </c>
      <c r="AG189" t="s">
        <v>83</v>
      </c>
      <c r="AH189" t="s">
        <v>83</v>
      </c>
      <c r="AI189" t="s">
        <v>88</v>
      </c>
      <c r="AJ189" t="s">
        <v>80</v>
      </c>
      <c r="AK189" t="s">
        <v>85</v>
      </c>
      <c r="AL189" t="s">
        <v>107</v>
      </c>
      <c r="AM189" t="s">
        <v>87</v>
      </c>
      <c r="AN189" t="s">
        <v>87</v>
      </c>
      <c r="AO189" t="s">
        <v>87</v>
      </c>
      <c r="AP189" t="s">
        <v>87</v>
      </c>
      <c r="AQ189" t="s">
        <v>87</v>
      </c>
      <c r="AR189" t="s">
        <v>75</v>
      </c>
      <c r="AS189" t="s">
        <v>76</v>
      </c>
      <c r="AT189" t="s">
        <v>107</v>
      </c>
      <c r="AU189">
        <v>0</v>
      </c>
      <c r="AV189">
        <v>0</v>
      </c>
      <c r="AW189">
        <v>0</v>
      </c>
      <c r="AX189">
        <v>1</v>
      </c>
      <c r="AY189">
        <v>0</v>
      </c>
      <c r="AZ189" t="s">
        <v>579</v>
      </c>
    </row>
    <row r="190" spans="1:52" x14ac:dyDescent="0.2">
      <c r="A190">
        <v>1</v>
      </c>
      <c r="B190">
        <v>0</v>
      </c>
      <c r="C190">
        <v>0</v>
      </c>
      <c r="D190">
        <v>0</v>
      </c>
      <c r="E190">
        <v>0</v>
      </c>
      <c r="F190">
        <v>1</v>
      </c>
      <c r="G190">
        <v>1</v>
      </c>
      <c r="H190">
        <v>1</v>
      </c>
      <c r="I190">
        <v>0</v>
      </c>
      <c r="J190" t="s">
        <v>88</v>
      </c>
      <c r="K190" t="s">
        <v>89</v>
      </c>
      <c r="L190">
        <v>0</v>
      </c>
      <c r="M190">
        <v>0</v>
      </c>
      <c r="N190">
        <v>1</v>
      </c>
      <c r="O190">
        <v>0</v>
      </c>
      <c r="P190">
        <v>0</v>
      </c>
      <c r="Q190" t="s">
        <v>584</v>
      </c>
      <c r="AA190" t="s">
        <v>83</v>
      </c>
      <c r="AB190" t="s">
        <v>82</v>
      </c>
      <c r="AC190" t="s">
        <v>81</v>
      </c>
      <c r="AD190" t="s">
        <v>82</v>
      </c>
      <c r="AE190" t="s">
        <v>81</v>
      </c>
      <c r="AF190" t="s">
        <v>81</v>
      </c>
      <c r="AG190" t="s">
        <v>83</v>
      </c>
      <c r="AH190" t="s">
        <v>83</v>
      </c>
      <c r="AI190" t="s">
        <v>88</v>
      </c>
      <c r="AJ190" t="s">
        <v>89</v>
      </c>
      <c r="AK190" t="s">
        <v>100</v>
      </c>
      <c r="AL190" t="s">
        <v>107</v>
      </c>
      <c r="AM190" t="s">
        <v>86</v>
      </c>
      <c r="AN190" t="s">
        <v>74</v>
      </c>
      <c r="AO190" t="s">
        <v>74</v>
      </c>
      <c r="AP190" t="s">
        <v>86</v>
      </c>
      <c r="AQ190" t="s">
        <v>86</v>
      </c>
      <c r="AR190" t="s">
        <v>97</v>
      </c>
      <c r="AS190" t="s">
        <v>76</v>
      </c>
      <c r="AT190" t="s">
        <v>107</v>
      </c>
      <c r="AU190">
        <v>0</v>
      </c>
      <c r="AV190">
        <v>0</v>
      </c>
      <c r="AW190">
        <v>0</v>
      </c>
      <c r="AX190">
        <v>1</v>
      </c>
      <c r="AY190">
        <v>0</v>
      </c>
      <c r="AZ190" t="s">
        <v>580</v>
      </c>
    </row>
    <row r="191" spans="1:52" x14ac:dyDescent="0.2">
      <c r="A191">
        <v>1</v>
      </c>
      <c r="B191">
        <v>0</v>
      </c>
      <c r="C191">
        <v>0</v>
      </c>
      <c r="D191">
        <v>0</v>
      </c>
      <c r="E191">
        <v>0</v>
      </c>
      <c r="F191">
        <v>0</v>
      </c>
      <c r="G191">
        <v>1</v>
      </c>
      <c r="H191">
        <v>0</v>
      </c>
      <c r="I191">
        <v>0</v>
      </c>
      <c r="J191" t="s">
        <v>135</v>
      </c>
      <c r="K191" t="s">
        <v>80</v>
      </c>
      <c r="L191">
        <v>0</v>
      </c>
      <c r="M191">
        <v>0</v>
      </c>
      <c r="N191">
        <v>1</v>
      </c>
      <c r="O191">
        <v>0</v>
      </c>
      <c r="P191">
        <v>0</v>
      </c>
      <c r="Q191" t="s">
        <v>584</v>
      </c>
      <c r="AA191" t="s">
        <v>81</v>
      </c>
      <c r="AB191" t="s">
        <v>82</v>
      </c>
      <c r="AC191" t="s">
        <v>83</v>
      </c>
      <c r="AD191" t="s">
        <v>82</v>
      </c>
      <c r="AE191" t="s">
        <v>81</v>
      </c>
      <c r="AF191" t="s">
        <v>81</v>
      </c>
      <c r="AG191" t="s">
        <v>83</v>
      </c>
      <c r="AH191" t="s">
        <v>82</v>
      </c>
      <c r="AI191" t="s">
        <v>88</v>
      </c>
      <c r="AJ191" t="s">
        <v>89</v>
      </c>
      <c r="AK191" t="s">
        <v>85</v>
      </c>
      <c r="AL191" t="s">
        <v>73</v>
      </c>
      <c r="AM191" t="s">
        <v>86</v>
      </c>
      <c r="AN191" t="s">
        <v>87</v>
      </c>
      <c r="AO191" t="s">
        <v>87</v>
      </c>
      <c r="AP191" t="s">
        <v>74</v>
      </c>
      <c r="AQ191" t="s">
        <v>86</v>
      </c>
      <c r="AR191" t="s">
        <v>108</v>
      </c>
      <c r="AS191" t="s">
        <v>76</v>
      </c>
      <c r="AT191" t="s">
        <v>73</v>
      </c>
      <c r="AU191">
        <v>1</v>
      </c>
      <c r="AV191">
        <v>0</v>
      </c>
      <c r="AW191">
        <v>0</v>
      </c>
      <c r="AX191">
        <v>0</v>
      </c>
      <c r="AY191">
        <v>0</v>
      </c>
      <c r="AZ191" t="s">
        <v>580</v>
      </c>
    </row>
    <row r="192" spans="1:52" x14ac:dyDescent="0.2">
      <c r="A192">
        <v>0</v>
      </c>
      <c r="B192">
        <v>1</v>
      </c>
      <c r="C192">
        <v>0</v>
      </c>
      <c r="D192">
        <v>0</v>
      </c>
      <c r="E192">
        <v>1</v>
      </c>
      <c r="F192">
        <v>0</v>
      </c>
      <c r="G192">
        <v>0</v>
      </c>
      <c r="H192">
        <v>0</v>
      </c>
      <c r="I192">
        <v>0</v>
      </c>
      <c r="L192">
        <v>1</v>
      </c>
      <c r="M192">
        <v>0</v>
      </c>
      <c r="N192">
        <v>0</v>
      </c>
      <c r="O192">
        <v>0</v>
      </c>
      <c r="P192">
        <v>0</v>
      </c>
      <c r="Q192" t="s">
        <v>584</v>
      </c>
      <c r="R192">
        <v>0</v>
      </c>
      <c r="S192">
        <v>0</v>
      </c>
      <c r="T192">
        <v>1</v>
      </c>
      <c r="U192">
        <v>0</v>
      </c>
      <c r="V192">
        <v>0</v>
      </c>
      <c r="W192">
        <v>0</v>
      </c>
      <c r="X192">
        <v>0</v>
      </c>
      <c r="Y192">
        <v>0</v>
      </c>
      <c r="Z192">
        <v>0</v>
      </c>
      <c r="AL192" t="s">
        <v>96</v>
      </c>
      <c r="AM192" t="s">
        <v>87</v>
      </c>
      <c r="AN192" t="s">
        <v>87</v>
      </c>
      <c r="AO192" t="s">
        <v>87</v>
      </c>
      <c r="AP192" t="s">
        <v>86</v>
      </c>
      <c r="AQ192" t="s">
        <v>86</v>
      </c>
      <c r="AR192" t="s">
        <v>75</v>
      </c>
      <c r="AS192" t="s">
        <v>76</v>
      </c>
      <c r="AT192" t="s">
        <v>96</v>
      </c>
      <c r="AU192">
        <v>0</v>
      </c>
      <c r="AV192">
        <v>0</v>
      </c>
      <c r="AW192">
        <v>0</v>
      </c>
      <c r="AX192">
        <v>1</v>
      </c>
      <c r="AY192">
        <v>0</v>
      </c>
      <c r="AZ192" t="s">
        <v>580</v>
      </c>
    </row>
    <row r="193" spans="1:52" x14ac:dyDescent="0.2">
      <c r="A193">
        <v>1</v>
      </c>
      <c r="B193">
        <v>0</v>
      </c>
      <c r="C193">
        <v>0</v>
      </c>
      <c r="D193">
        <v>0</v>
      </c>
      <c r="E193">
        <v>1</v>
      </c>
      <c r="F193">
        <v>0</v>
      </c>
      <c r="G193">
        <v>0</v>
      </c>
      <c r="H193">
        <v>0</v>
      </c>
      <c r="I193">
        <v>0</v>
      </c>
      <c r="L193">
        <v>0</v>
      </c>
      <c r="M193">
        <v>0</v>
      </c>
      <c r="N193">
        <v>1</v>
      </c>
      <c r="O193">
        <v>0</v>
      </c>
      <c r="P193">
        <v>0</v>
      </c>
      <c r="Q193" t="s">
        <v>584</v>
      </c>
      <c r="AA193" t="s">
        <v>83</v>
      </c>
      <c r="AB193" t="s">
        <v>82</v>
      </c>
      <c r="AC193" t="s">
        <v>83</v>
      </c>
      <c r="AD193" t="s">
        <v>82</v>
      </c>
      <c r="AE193" t="s">
        <v>81</v>
      </c>
      <c r="AF193" t="s">
        <v>83</v>
      </c>
      <c r="AG193" t="s">
        <v>83</v>
      </c>
      <c r="AH193" t="s">
        <v>83</v>
      </c>
      <c r="AI193" t="s">
        <v>88</v>
      </c>
      <c r="AJ193" t="s">
        <v>89</v>
      </c>
      <c r="AK193" t="s">
        <v>100</v>
      </c>
      <c r="AL193" t="s">
        <v>107</v>
      </c>
      <c r="AM193" t="s">
        <v>86</v>
      </c>
      <c r="AN193" t="s">
        <v>87</v>
      </c>
      <c r="AO193" t="s">
        <v>87</v>
      </c>
      <c r="AP193" t="s">
        <v>74</v>
      </c>
      <c r="AQ193" t="s">
        <v>74</v>
      </c>
      <c r="AR193" t="s">
        <v>97</v>
      </c>
      <c r="AS193" t="s">
        <v>76</v>
      </c>
      <c r="AT193" t="s">
        <v>107</v>
      </c>
      <c r="AU193">
        <v>0</v>
      </c>
      <c r="AV193">
        <v>0</v>
      </c>
      <c r="AW193">
        <v>0</v>
      </c>
      <c r="AX193">
        <v>1</v>
      </c>
      <c r="AY193">
        <v>0</v>
      </c>
      <c r="AZ193" t="s">
        <v>580</v>
      </c>
    </row>
    <row r="194" spans="1:52" x14ac:dyDescent="0.2">
      <c r="A194">
        <v>1</v>
      </c>
      <c r="B194">
        <v>0</v>
      </c>
      <c r="C194">
        <v>0</v>
      </c>
      <c r="D194">
        <v>0</v>
      </c>
      <c r="E194">
        <v>0</v>
      </c>
      <c r="F194">
        <v>0</v>
      </c>
      <c r="G194">
        <v>0</v>
      </c>
      <c r="H194">
        <v>1</v>
      </c>
      <c r="I194">
        <v>1</v>
      </c>
      <c r="J194" t="s">
        <v>88</v>
      </c>
      <c r="K194" t="s">
        <v>89</v>
      </c>
      <c r="L194">
        <v>0</v>
      </c>
      <c r="M194">
        <v>0</v>
      </c>
      <c r="N194">
        <v>1</v>
      </c>
      <c r="O194">
        <v>0</v>
      </c>
      <c r="P194">
        <v>0</v>
      </c>
      <c r="Q194" t="s">
        <v>585</v>
      </c>
      <c r="AA194" t="s">
        <v>81</v>
      </c>
      <c r="AB194" t="s">
        <v>81</v>
      </c>
      <c r="AC194" t="s">
        <v>81</v>
      </c>
      <c r="AD194" t="s">
        <v>82</v>
      </c>
      <c r="AE194" t="s">
        <v>82</v>
      </c>
      <c r="AF194" t="s">
        <v>83</v>
      </c>
      <c r="AG194" t="s">
        <v>81</v>
      </c>
      <c r="AH194" t="s">
        <v>83</v>
      </c>
      <c r="AI194" t="s">
        <v>88</v>
      </c>
      <c r="AJ194" t="s">
        <v>89</v>
      </c>
      <c r="AK194" t="s">
        <v>100</v>
      </c>
      <c r="AL194" t="s">
        <v>107</v>
      </c>
      <c r="AM194" t="s">
        <v>87</v>
      </c>
      <c r="AN194" t="s">
        <v>87</v>
      </c>
      <c r="AO194" t="s">
        <v>74</v>
      </c>
      <c r="AP194" t="s">
        <v>87</v>
      </c>
      <c r="AQ194" t="s">
        <v>86</v>
      </c>
      <c r="AR194" t="s">
        <v>75</v>
      </c>
      <c r="AS194" t="s">
        <v>76</v>
      </c>
      <c r="AT194" t="s">
        <v>107</v>
      </c>
      <c r="AU194">
        <v>0</v>
      </c>
      <c r="AV194">
        <v>0</v>
      </c>
      <c r="AW194">
        <v>0</v>
      </c>
      <c r="AX194">
        <v>1</v>
      </c>
      <c r="AY194">
        <v>0</v>
      </c>
      <c r="AZ194" t="s">
        <v>579</v>
      </c>
    </row>
    <row r="195" spans="1:52" x14ac:dyDescent="0.2">
      <c r="A195">
        <v>1</v>
      </c>
      <c r="B195">
        <v>0</v>
      </c>
      <c r="C195">
        <v>0</v>
      </c>
      <c r="D195">
        <v>0</v>
      </c>
      <c r="E195">
        <v>1</v>
      </c>
      <c r="F195">
        <v>0</v>
      </c>
      <c r="G195">
        <v>0</v>
      </c>
      <c r="H195">
        <v>0</v>
      </c>
      <c r="I195">
        <v>0</v>
      </c>
      <c r="L195">
        <v>0</v>
      </c>
      <c r="M195">
        <v>1</v>
      </c>
      <c r="N195">
        <v>0</v>
      </c>
      <c r="O195">
        <v>0</v>
      </c>
      <c r="P195">
        <v>0</v>
      </c>
      <c r="Q195" t="s">
        <v>584</v>
      </c>
      <c r="AA195" t="s">
        <v>90</v>
      </c>
      <c r="AB195" t="s">
        <v>90</v>
      </c>
      <c r="AC195" t="s">
        <v>82</v>
      </c>
      <c r="AD195" t="s">
        <v>82</v>
      </c>
      <c r="AE195" t="s">
        <v>81</v>
      </c>
      <c r="AF195" t="s">
        <v>90</v>
      </c>
      <c r="AG195" t="s">
        <v>90</v>
      </c>
      <c r="AH195" t="s">
        <v>83</v>
      </c>
      <c r="AI195" t="s">
        <v>84</v>
      </c>
      <c r="AJ195" t="s">
        <v>80</v>
      </c>
      <c r="AK195" t="s">
        <v>100</v>
      </c>
      <c r="AL195" t="s">
        <v>73</v>
      </c>
      <c r="AM195" t="s">
        <v>87</v>
      </c>
      <c r="AN195" t="s">
        <v>87</v>
      </c>
      <c r="AO195" t="s">
        <v>87</v>
      </c>
      <c r="AP195" t="s">
        <v>87</v>
      </c>
      <c r="AQ195" t="s">
        <v>87</v>
      </c>
      <c r="AR195" t="s">
        <v>75</v>
      </c>
      <c r="AS195" t="s">
        <v>76</v>
      </c>
      <c r="AT195" t="s">
        <v>73</v>
      </c>
      <c r="AU195">
        <v>0</v>
      </c>
      <c r="AV195">
        <v>0</v>
      </c>
      <c r="AW195">
        <v>0</v>
      </c>
      <c r="AX195">
        <v>1</v>
      </c>
      <c r="AY195">
        <v>0</v>
      </c>
      <c r="AZ195" t="s">
        <v>579</v>
      </c>
    </row>
    <row r="196" spans="1:52" x14ac:dyDescent="0.2">
      <c r="A196">
        <v>1</v>
      </c>
      <c r="B196">
        <v>0</v>
      </c>
      <c r="C196">
        <v>0</v>
      </c>
      <c r="D196">
        <v>0</v>
      </c>
      <c r="E196">
        <v>0</v>
      </c>
      <c r="F196">
        <v>1</v>
      </c>
      <c r="G196">
        <v>1</v>
      </c>
      <c r="H196">
        <v>1</v>
      </c>
      <c r="I196">
        <v>0</v>
      </c>
      <c r="J196" t="s">
        <v>88</v>
      </c>
      <c r="K196" t="s">
        <v>89</v>
      </c>
      <c r="L196">
        <v>0</v>
      </c>
      <c r="M196">
        <v>1</v>
      </c>
      <c r="N196">
        <v>0</v>
      </c>
      <c r="O196">
        <v>0</v>
      </c>
      <c r="P196">
        <v>0</v>
      </c>
      <c r="Q196" t="s">
        <v>584</v>
      </c>
      <c r="AA196" t="s">
        <v>83</v>
      </c>
      <c r="AB196" t="s">
        <v>82</v>
      </c>
      <c r="AC196" t="s">
        <v>82</v>
      </c>
      <c r="AD196" t="s">
        <v>82</v>
      </c>
      <c r="AE196" t="s">
        <v>81</v>
      </c>
      <c r="AF196" t="s">
        <v>83</v>
      </c>
      <c r="AG196" t="s">
        <v>90</v>
      </c>
      <c r="AH196" t="s">
        <v>83</v>
      </c>
      <c r="AI196" t="s">
        <v>88</v>
      </c>
      <c r="AJ196" t="s">
        <v>89</v>
      </c>
      <c r="AK196" t="s">
        <v>85</v>
      </c>
      <c r="AL196" t="s">
        <v>73</v>
      </c>
      <c r="AM196" t="s">
        <v>86</v>
      </c>
      <c r="AN196" t="s">
        <v>87</v>
      </c>
      <c r="AO196" t="s">
        <v>87</v>
      </c>
      <c r="AP196" t="s">
        <v>87</v>
      </c>
      <c r="AQ196" t="s">
        <v>87</v>
      </c>
      <c r="AR196" t="s">
        <v>75</v>
      </c>
      <c r="AS196" t="s">
        <v>76</v>
      </c>
      <c r="AT196" t="s">
        <v>73</v>
      </c>
      <c r="AU196">
        <v>1</v>
      </c>
      <c r="AV196">
        <v>0</v>
      </c>
      <c r="AW196">
        <v>0</v>
      </c>
      <c r="AX196">
        <v>0</v>
      </c>
      <c r="AY196">
        <v>0</v>
      </c>
      <c r="AZ196" t="s">
        <v>579</v>
      </c>
    </row>
    <row r="197" spans="1:52" x14ac:dyDescent="0.2">
      <c r="A197">
        <v>1</v>
      </c>
      <c r="B197">
        <v>0</v>
      </c>
      <c r="C197">
        <v>0</v>
      </c>
      <c r="D197">
        <v>0</v>
      </c>
      <c r="E197">
        <v>0</v>
      </c>
      <c r="F197">
        <v>1</v>
      </c>
      <c r="G197">
        <v>1</v>
      </c>
      <c r="H197">
        <v>0</v>
      </c>
      <c r="I197">
        <v>1</v>
      </c>
      <c r="J197" t="s">
        <v>88</v>
      </c>
      <c r="K197" t="s">
        <v>89</v>
      </c>
      <c r="L197">
        <v>0</v>
      </c>
      <c r="M197">
        <v>1</v>
      </c>
      <c r="N197">
        <v>0</v>
      </c>
      <c r="O197">
        <v>0</v>
      </c>
      <c r="P197">
        <v>0</v>
      </c>
      <c r="Q197" t="s">
        <v>584</v>
      </c>
      <c r="AA197" t="s">
        <v>90</v>
      </c>
      <c r="AB197" t="s">
        <v>82</v>
      </c>
      <c r="AC197" t="s">
        <v>90</v>
      </c>
      <c r="AD197" t="s">
        <v>82</v>
      </c>
      <c r="AE197" t="s">
        <v>81</v>
      </c>
      <c r="AF197" t="s">
        <v>90</v>
      </c>
      <c r="AG197" t="s">
        <v>90</v>
      </c>
      <c r="AH197" t="s">
        <v>90</v>
      </c>
      <c r="AI197" t="s">
        <v>88</v>
      </c>
      <c r="AJ197" t="s">
        <v>89</v>
      </c>
      <c r="AK197" t="s">
        <v>85</v>
      </c>
      <c r="AL197" t="s">
        <v>73</v>
      </c>
      <c r="AM197" t="s">
        <v>87</v>
      </c>
      <c r="AN197" t="s">
        <v>87</v>
      </c>
      <c r="AO197" t="s">
        <v>87</v>
      </c>
      <c r="AP197" t="s">
        <v>86</v>
      </c>
      <c r="AQ197" t="s">
        <v>86</v>
      </c>
      <c r="AR197" t="s">
        <v>75</v>
      </c>
      <c r="AS197" t="s">
        <v>76</v>
      </c>
      <c r="AT197" t="s">
        <v>73</v>
      </c>
      <c r="AU197">
        <v>0</v>
      </c>
      <c r="AV197">
        <v>0</v>
      </c>
      <c r="AW197">
        <v>0</v>
      </c>
      <c r="AX197">
        <v>1</v>
      </c>
      <c r="AY197">
        <v>0</v>
      </c>
      <c r="AZ197" t="s">
        <v>580</v>
      </c>
    </row>
    <row r="198" spans="1:52" x14ac:dyDescent="0.2">
      <c r="A198">
        <v>1</v>
      </c>
      <c r="B198">
        <v>0</v>
      </c>
      <c r="C198">
        <v>0</v>
      </c>
      <c r="D198">
        <v>0</v>
      </c>
      <c r="E198">
        <v>0</v>
      </c>
      <c r="F198">
        <v>0</v>
      </c>
      <c r="G198">
        <v>1</v>
      </c>
      <c r="H198">
        <v>1</v>
      </c>
      <c r="I198">
        <v>0</v>
      </c>
      <c r="J198" t="s">
        <v>135</v>
      </c>
      <c r="K198" t="s">
        <v>80</v>
      </c>
      <c r="L198">
        <v>0</v>
      </c>
      <c r="M198">
        <v>0</v>
      </c>
      <c r="N198">
        <v>1</v>
      </c>
      <c r="O198">
        <v>0</v>
      </c>
      <c r="P198">
        <v>0</v>
      </c>
      <c r="Q198" t="s">
        <v>584</v>
      </c>
      <c r="AA198" t="s">
        <v>83</v>
      </c>
      <c r="AB198" t="s">
        <v>81</v>
      </c>
      <c r="AC198" t="s">
        <v>82</v>
      </c>
      <c r="AD198" t="s">
        <v>82</v>
      </c>
      <c r="AE198" t="s">
        <v>82</v>
      </c>
      <c r="AF198" t="s">
        <v>81</v>
      </c>
      <c r="AG198" t="s">
        <v>82</v>
      </c>
      <c r="AH198" t="s">
        <v>83</v>
      </c>
      <c r="AI198" t="s">
        <v>84</v>
      </c>
      <c r="AJ198" t="s">
        <v>80</v>
      </c>
      <c r="AK198" t="s">
        <v>85</v>
      </c>
      <c r="AL198" t="s">
        <v>107</v>
      </c>
      <c r="AM198" t="s">
        <v>87</v>
      </c>
      <c r="AN198" t="s">
        <v>87</v>
      </c>
      <c r="AO198" t="s">
        <v>86</v>
      </c>
      <c r="AP198" t="s">
        <v>87</v>
      </c>
      <c r="AQ198" t="s">
        <v>86</v>
      </c>
      <c r="AR198" t="s">
        <v>75</v>
      </c>
      <c r="AS198" t="s">
        <v>76</v>
      </c>
      <c r="AT198" t="s">
        <v>107</v>
      </c>
      <c r="AU198">
        <v>1</v>
      </c>
      <c r="AV198">
        <v>0</v>
      </c>
      <c r="AW198">
        <v>0</v>
      </c>
      <c r="AX198">
        <v>0</v>
      </c>
      <c r="AY198">
        <v>0</v>
      </c>
      <c r="AZ198" t="s">
        <v>579</v>
      </c>
    </row>
    <row r="199" spans="1:52" x14ac:dyDescent="0.2">
      <c r="A199">
        <v>1</v>
      </c>
      <c r="B199">
        <v>0</v>
      </c>
      <c r="C199">
        <v>0</v>
      </c>
      <c r="D199">
        <v>0</v>
      </c>
      <c r="E199">
        <v>0</v>
      </c>
      <c r="F199">
        <v>1</v>
      </c>
      <c r="G199">
        <v>1</v>
      </c>
      <c r="H199">
        <v>1</v>
      </c>
      <c r="I199">
        <v>0</v>
      </c>
      <c r="J199" t="s">
        <v>88</v>
      </c>
      <c r="K199" t="s">
        <v>80</v>
      </c>
      <c r="L199">
        <v>0</v>
      </c>
      <c r="M199">
        <v>0</v>
      </c>
      <c r="N199">
        <v>1</v>
      </c>
      <c r="O199">
        <v>0</v>
      </c>
      <c r="P199">
        <v>0</v>
      </c>
      <c r="Q199" t="s">
        <v>584</v>
      </c>
      <c r="AA199" t="s">
        <v>83</v>
      </c>
      <c r="AB199" t="s">
        <v>82</v>
      </c>
      <c r="AC199" t="s">
        <v>83</v>
      </c>
      <c r="AD199" t="s">
        <v>81</v>
      </c>
      <c r="AE199" t="s">
        <v>82</v>
      </c>
      <c r="AF199" t="s">
        <v>82</v>
      </c>
      <c r="AG199" t="s">
        <v>82</v>
      </c>
      <c r="AH199" t="s">
        <v>83</v>
      </c>
      <c r="AI199" t="s">
        <v>88</v>
      </c>
      <c r="AJ199" t="s">
        <v>89</v>
      </c>
      <c r="AK199" t="s">
        <v>100</v>
      </c>
      <c r="AL199" t="s">
        <v>73</v>
      </c>
      <c r="AM199" t="s">
        <v>86</v>
      </c>
      <c r="AN199" t="s">
        <v>87</v>
      </c>
      <c r="AO199" t="s">
        <v>87</v>
      </c>
      <c r="AP199" t="s">
        <v>87</v>
      </c>
      <c r="AQ199" t="s">
        <v>87</v>
      </c>
      <c r="AR199" t="s">
        <v>75</v>
      </c>
      <c r="AS199" t="s">
        <v>76</v>
      </c>
      <c r="AT199" t="s">
        <v>73</v>
      </c>
      <c r="AU199">
        <v>1</v>
      </c>
      <c r="AV199">
        <v>0</v>
      </c>
      <c r="AW199">
        <v>0</v>
      </c>
      <c r="AX199">
        <v>0</v>
      </c>
      <c r="AY199">
        <v>0</v>
      </c>
      <c r="AZ199" t="s">
        <v>580</v>
      </c>
    </row>
    <row r="200" spans="1:52" x14ac:dyDescent="0.2">
      <c r="A200">
        <v>1</v>
      </c>
      <c r="B200">
        <v>0</v>
      </c>
      <c r="C200">
        <v>0</v>
      </c>
      <c r="D200">
        <v>0</v>
      </c>
      <c r="E200">
        <v>1</v>
      </c>
      <c r="F200">
        <v>0</v>
      </c>
      <c r="G200">
        <v>0</v>
      </c>
      <c r="H200">
        <v>0</v>
      </c>
      <c r="I200">
        <v>0</v>
      </c>
      <c r="L200">
        <v>0</v>
      </c>
      <c r="M200">
        <v>0</v>
      </c>
      <c r="N200">
        <v>1</v>
      </c>
      <c r="O200">
        <v>0</v>
      </c>
      <c r="P200">
        <v>0</v>
      </c>
      <c r="Q200" t="s">
        <v>584</v>
      </c>
      <c r="AA200" t="s">
        <v>83</v>
      </c>
      <c r="AB200" t="s">
        <v>83</v>
      </c>
      <c r="AC200" t="s">
        <v>83</v>
      </c>
      <c r="AD200" t="s">
        <v>83</v>
      </c>
      <c r="AE200" t="s">
        <v>82</v>
      </c>
      <c r="AF200" t="s">
        <v>83</v>
      </c>
      <c r="AG200" t="s">
        <v>83</v>
      </c>
      <c r="AH200" t="s">
        <v>81</v>
      </c>
      <c r="AI200" t="s">
        <v>84</v>
      </c>
      <c r="AJ200" t="s">
        <v>80</v>
      </c>
      <c r="AK200" t="s">
        <v>85</v>
      </c>
      <c r="AL200" t="s">
        <v>107</v>
      </c>
      <c r="AM200" t="s">
        <v>87</v>
      </c>
      <c r="AN200" t="s">
        <v>74</v>
      </c>
      <c r="AO200" t="s">
        <v>86</v>
      </c>
      <c r="AP200" t="s">
        <v>86</v>
      </c>
      <c r="AQ200" t="s">
        <v>86</v>
      </c>
      <c r="AR200" t="s">
        <v>75</v>
      </c>
      <c r="AS200" t="s">
        <v>76</v>
      </c>
      <c r="AT200" t="s">
        <v>107</v>
      </c>
      <c r="AU200">
        <v>1</v>
      </c>
      <c r="AV200">
        <v>0</v>
      </c>
      <c r="AW200">
        <v>1</v>
      </c>
      <c r="AX200">
        <v>0</v>
      </c>
      <c r="AY200">
        <v>0</v>
      </c>
      <c r="AZ200" t="s">
        <v>579</v>
      </c>
    </row>
    <row r="201" spans="1:52" x14ac:dyDescent="0.2">
      <c r="A201">
        <v>0</v>
      </c>
      <c r="B201">
        <v>1</v>
      </c>
      <c r="C201">
        <v>0</v>
      </c>
      <c r="D201">
        <v>0</v>
      </c>
      <c r="E201">
        <v>1</v>
      </c>
      <c r="F201">
        <v>0</v>
      </c>
      <c r="G201">
        <v>0</v>
      </c>
      <c r="H201">
        <v>0</v>
      </c>
      <c r="I201">
        <v>0</v>
      </c>
      <c r="L201">
        <v>1</v>
      </c>
      <c r="M201">
        <v>0</v>
      </c>
      <c r="N201">
        <v>0</v>
      </c>
      <c r="O201">
        <v>0</v>
      </c>
      <c r="P201">
        <v>0</v>
      </c>
      <c r="Q201" t="s">
        <v>584</v>
      </c>
      <c r="R201">
        <v>0</v>
      </c>
      <c r="S201">
        <v>1</v>
      </c>
      <c r="T201">
        <v>0</v>
      </c>
      <c r="U201">
        <v>0</v>
      </c>
      <c r="V201">
        <v>0</v>
      </c>
      <c r="W201">
        <v>0</v>
      </c>
      <c r="X201">
        <v>0</v>
      </c>
      <c r="Y201">
        <v>0</v>
      </c>
      <c r="Z201">
        <v>0</v>
      </c>
      <c r="AL201" t="s">
        <v>96</v>
      </c>
      <c r="AM201" t="s">
        <v>74</v>
      </c>
      <c r="AR201" t="s">
        <v>97</v>
      </c>
      <c r="AS201" t="s">
        <v>92</v>
      </c>
      <c r="AT201" t="s">
        <v>96</v>
      </c>
      <c r="AU201">
        <v>1</v>
      </c>
      <c r="AV201">
        <v>0</v>
      </c>
      <c r="AW201">
        <v>0</v>
      </c>
      <c r="AX201">
        <v>0</v>
      </c>
      <c r="AY201">
        <v>0</v>
      </c>
      <c r="AZ201" t="s">
        <v>580</v>
      </c>
    </row>
    <row r="202" spans="1:52" x14ac:dyDescent="0.2">
      <c r="A202">
        <v>1</v>
      </c>
      <c r="B202">
        <v>0</v>
      </c>
      <c r="C202">
        <v>0</v>
      </c>
      <c r="D202">
        <v>0</v>
      </c>
      <c r="E202">
        <v>1</v>
      </c>
      <c r="F202">
        <v>0</v>
      </c>
      <c r="G202">
        <v>0</v>
      </c>
      <c r="H202">
        <v>0</v>
      </c>
      <c r="I202">
        <v>0</v>
      </c>
      <c r="L202">
        <v>0</v>
      </c>
      <c r="M202">
        <v>1</v>
      </c>
      <c r="N202">
        <v>0</v>
      </c>
      <c r="O202">
        <v>0</v>
      </c>
      <c r="P202">
        <v>0</v>
      </c>
      <c r="Q202" t="s">
        <v>584</v>
      </c>
      <c r="AA202" t="s">
        <v>83</v>
      </c>
      <c r="AB202" t="s">
        <v>82</v>
      </c>
      <c r="AC202" t="s">
        <v>83</v>
      </c>
      <c r="AD202" t="s">
        <v>83</v>
      </c>
      <c r="AE202" t="s">
        <v>83</v>
      </c>
      <c r="AF202" t="s">
        <v>83</v>
      </c>
      <c r="AG202" t="s">
        <v>83</v>
      </c>
      <c r="AH202" t="s">
        <v>83</v>
      </c>
      <c r="AI202" t="s">
        <v>88</v>
      </c>
      <c r="AJ202" t="s">
        <v>89</v>
      </c>
      <c r="AK202" t="s">
        <v>85</v>
      </c>
      <c r="AL202" t="s">
        <v>107</v>
      </c>
      <c r="AM202" t="s">
        <v>86</v>
      </c>
      <c r="AN202" t="s">
        <v>74</v>
      </c>
      <c r="AO202" t="s">
        <v>87</v>
      </c>
      <c r="AP202" t="s">
        <v>87</v>
      </c>
      <c r="AQ202" t="s">
        <v>74</v>
      </c>
      <c r="AR202" t="s">
        <v>97</v>
      </c>
      <c r="AS202" t="s">
        <v>76</v>
      </c>
      <c r="AT202" t="s">
        <v>107</v>
      </c>
      <c r="AU202">
        <v>0</v>
      </c>
      <c r="AV202">
        <v>0</v>
      </c>
      <c r="AW202">
        <v>0</v>
      </c>
      <c r="AX202">
        <v>1</v>
      </c>
      <c r="AY202">
        <v>0</v>
      </c>
      <c r="AZ202" t="s">
        <v>580</v>
      </c>
    </row>
    <row r="203" spans="1:52" x14ac:dyDescent="0.2">
      <c r="A203">
        <v>0</v>
      </c>
      <c r="B203">
        <v>1</v>
      </c>
      <c r="C203">
        <v>0</v>
      </c>
      <c r="D203">
        <v>0</v>
      </c>
      <c r="E203">
        <v>1</v>
      </c>
      <c r="F203">
        <v>0</v>
      </c>
      <c r="G203">
        <v>0</v>
      </c>
      <c r="H203">
        <v>0</v>
      </c>
      <c r="I203">
        <v>0</v>
      </c>
      <c r="L203">
        <v>1</v>
      </c>
      <c r="M203">
        <v>0</v>
      </c>
      <c r="N203">
        <v>0</v>
      </c>
      <c r="O203">
        <v>0</v>
      </c>
      <c r="P203">
        <v>0</v>
      </c>
      <c r="Q203" t="s">
        <v>584</v>
      </c>
      <c r="R203">
        <v>0</v>
      </c>
      <c r="S203">
        <v>0</v>
      </c>
      <c r="T203">
        <v>0</v>
      </c>
      <c r="U203">
        <v>0</v>
      </c>
      <c r="V203">
        <v>0</v>
      </c>
      <c r="W203">
        <v>0</v>
      </c>
      <c r="X203">
        <v>0</v>
      </c>
      <c r="Y203">
        <v>0</v>
      </c>
      <c r="Z203">
        <v>1</v>
      </c>
      <c r="AL203" t="s">
        <v>96</v>
      </c>
      <c r="AM203" t="s">
        <v>86</v>
      </c>
      <c r="AN203" t="s">
        <v>86</v>
      </c>
      <c r="AO203" t="s">
        <v>86</v>
      </c>
      <c r="AP203" t="s">
        <v>86</v>
      </c>
      <c r="AQ203" t="s">
        <v>86</v>
      </c>
      <c r="AR203" t="s">
        <v>75</v>
      </c>
      <c r="AS203" t="s">
        <v>76</v>
      </c>
      <c r="AT203" t="s">
        <v>96</v>
      </c>
      <c r="AU203">
        <v>0</v>
      </c>
      <c r="AV203">
        <v>0</v>
      </c>
      <c r="AW203">
        <v>0</v>
      </c>
      <c r="AX203">
        <v>1</v>
      </c>
      <c r="AY203">
        <v>0</v>
      </c>
      <c r="AZ203" t="s">
        <v>579</v>
      </c>
    </row>
    <row r="204" spans="1:52" x14ac:dyDescent="0.2">
      <c r="A204">
        <v>0</v>
      </c>
      <c r="B204">
        <v>1</v>
      </c>
      <c r="C204">
        <v>0</v>
      </c>
      <c r="D204">
        <v>0</v>
      </c>
      <c r="E204">
        <v>1</v>
      </c>
      <c r="F204">
        <v>0</v>
      </c>
      <c r="G204">
        <v>0</v>
      </c>
      <c r="H204">
        <v>0</v>
      </c>
      <c r="I204">
        <v>0</v>
      </c>
      <c r="L204">
        <v>1</v>
      </c>
      <c r="M204">
        <v>0</v>
      </c>
      <c r="N204">
        <v>0</v>
      </c>
      <c r="O204">
        <v>0</v>
      </c>
      <c r="P204">
        <v>0</v>
      </c>
      <c r="Q204" t="s">
        <v>584</v>
      </c>
      <c r="R204">
        <v>0</v>
      </c>
      <c r="S204">
        <v>1</v>
      </c>
      <c r="T204">
        <v>0</v>
      </c>
      <c r="U204">
        <v>0</v>
      </c>
      <c r="V204">
        <v>0</v>
      </c>
      <c r="W204">
        <v>0</v>
      </c>
      <c r="X204">
        <v>0</v>
      </c>
      <c r="Y204">
        <v>0</v>
      </c>
      <c r="Z204">
        <v>0</v>
      </c>
      <c r="AL204" t="s">
        <v>96</v>
      </c>
      <c r="AM204" t="s">
        <v>74</v>
      </c>
      <c r="AR204" t="s">
        <v>159</v>
      </c>
      <c r="AS204" t="s">
        <v>76</v>
      </c>
      <c r="AT204" t="s">
        <v>96</v>
      </c>
      <c r="AU204">
        <v>0</v>
      </c>
      <c r="AV204">
        <v>0</v>
      </c>
      <c r="AW204">
        <v>0</v>
      </c>
      <c r="AX204">
        <v>1</v>
      </c>
      <c r="AY204">
        <v>0</v>
      </c>
      <c r="AZ204" t="s">
        <v>580</v>
      </c>
    </row>
    <row r="205" spans="1:52" x14ac:dyDescent="0.2">
      <c r="A205">
        <v>1</v>
      </c>
      <c r="B205">
        <v>0</v>
      </c>
      <c r="C205">
        <v>0</v>
      </c>
      <c r="D205">
        <v>0</v>
      </c>
      <c r="E205">
        <v>0</v>
      </c>
      <c r="F205">
        <v>1</v>
      </c>
      <c r="G205">
        <v>0</v>
      </c>
      <c r="H205">
        <v>0</v>
      </c>
      <c r="I205">
        <v>0</v>
      </c>
      <c r="J205" t="s">
        <v>79</v>
      </c>
      <c r="K205" t="s">
        <v>80</v>
      </c>
      <c r="L205">
        <v>0</v>
      </c>
      <c r="M205">
        <v>0</v>
      </c>
      <c r="N205">
        <v>1</v>
      </c>
      <c r="O205">
        <v>0</v>
      </c>
      <c r="P205">
        <v>0</v>
      </c>
      <c r="Q205" t="s">
        <v>584</v>
      </c>
      <c r="AA205" t="s">
        <v>81</v>
      </c>
      <c r="AB205" t="s">
        <v>81</v>
      </c>
      <c r="AC205" t="s">
        <v>83</v>
      </c>
      <c r="AD205" t="s">
        <v>81</v>
      </c>
      <c r="AE205" t="s">
        <v>82</v>
      </c>
      <c r="AF205" t="s">
        <v>81</v>
      </c>
      <c r="AG205" t="s">
        <v>81</v>
      </c>
      <c r="AH205" t="s">
        <v>83</v>
      </c>
      <c r="AI205" t="s">
        <v>84</v>
      </c>
      <c r="AJ205" t="s">
        <v>80</v>
      </c>
      <c r="AK205" t="s">
        <v>85</v>
      </c>
      <c r="AL205" t="s">
        <v>107</v>
      </c>
      <c r="AM205" t="s">
        <v>86</v>
      </c>
      <c r="AN205" t="s">
        <v>86</v>
      </c>
      <c r="AO205" t="s">
        <v>86</v>
      </c>
      <c r="AP205" t="s">
        <v>86</v>
      </c>
      <c r="AQ205" t="s">
        <v>86</v>
      </c>
      <c r="AR205" t="s">
        <v>97</v>
      </c>
      <c r="AS205" t="s">
        <v>76</v>
      </c>
      <c r="AT205" t="s">
        <v>107</v>
      </c>
      <c r="AU205">
        <v>0</v>
      </c>
      <c r="AV205">
        <v>0</v>
      </c>
      <c r="AW205">
        <v>0</v>
      </c>
      <c r="AX205">
        <v>1</v>
      </c>
      <c r="AY205">
        <v>0</v>
      </c>
      <c r="AZ205" t="s">
        <v>580</v>
      </c>
    </row>
    <row r="206" spans="1:52" x14ac:dyDescent="0.2">
      <c r="A206">
        <v>0</v>
      </c>
      <c r="B206">
        <v>1</v>
      </c>
      <c r="C206">
        <v>0</v>
      </c>
      <c r="D206">
        <v>0</v>
      </c>
      <c r="E206">
        <v>0</v>
      </c>
      <c r="F206">
        <v>1</v>
      </c>
      <c r="G206">
        <v>0</v>
      </c>
      <c r="H206">
        <v>1</v>
      </c>
      <c r="I206">
        <v>0</v>
      </c>
      <c r="J206" t="s">
        <v>135</v>
      </c>
      <c r="K206" t="s">
        <v>80</v>
      </c>
      <c r="L206">
        <v>0</v>
      </c>
      <c r="M206">
        <v>1</v>
      </c>
      <c r="N206">
        <v>0</v>
      </c>
      <c r="O206">
        <v>0</v>
      </c>
      <c r="P206">
        <v>0</v>
      </c>
      <c r="Q206" t="s">
        <v>584</v>
      </c>
      <c r="AA206" t="s">
        <v>90</v>
      </c>
      <c r="AB206" t="s">
        <v>82</v>
      </c>
      <c r="AC206" t="s">
        <v>81</v>
      </c>
      <c r="AD206" t="s">
        <v>81</v>
      </c>
      <c r="AE206" t="s">
        <v>81</v>
      </c>
      <c r="AF206" t="s">
        <v>90</v>
      </c>
      <c r="AG206" t="s">
        <v>90</v>
      </c>
      <c r="AH206" t="s">
        <v>81</v>
      </c>
      <c r="AI206" t="s">
        <v>135</v>
      </c>
      <c r="AJ206" t="s">
        <v>80</v>
      </c>
      <c r="AK206" t="s">
        <v>100</v>
      </c>
      <c r="AL206" t="s">
        <v>107</v>
      </c>
      <c r="AM206" t="s">
        <v>74</v>
      </c>
      <c r="AR206" t="s">
        <v>101</v>
      </c>
      <c r="AS206" t="s">
        <v>76</v>
      </c>
      <c r="AT206" t="s">
        <v>107</v>
      </c>
      <c r="AU206">
        <v>0</v>
      </c>
      <c r="AV206">
        <v>0</v>
      </c>
      <c r="AW206">
        <v>0</v>
      </c>
      <c r="AX206">
        <v>1</v>
      </c>
      <c r="AY206">
        <v>0</v>
      </c>
      <c r="AZ206" t="s">
        <v>579</v>
      </c>
    </row>
    <row r="207" spans="1:52" x14ac:dyDescent="0.2">
      <c r="A207">
        <v>0</v>
      </c>
      <c r="B207">
        <v>1</v>
      </c>
      <c r="C207">
        <v>0</v>
      </c>
      <c r="D207">
        <v>0</v>
      </c>
      <c r="E207">
        <v>0</v>
      </c>
      <c r="F207">
        <v>1</v>
      </c>
      <c r="G207">
        <v>0</v>
      </c>
      <c r="H207">
        <v>0</v>
      </c>
      <c r="I207">
        <v>0</v>
      </c>
      <c r="J207" t="s">
        <v>79</v>
      </c>
      <c r="K207" t="s">
        <v>80</v>
      </c>
      <c r="L207">
        <v>1</v>
      </c>
      <c r="M207">
        <v>0</v>
      </c>
      <c r="N207">
        <v>0</v>
      </c>
      <c r="O207">
        <v>0</v>
      </c>
      <c r="P207">
        <v>0</v>
      </c>
      <c r="Q207" t="s">
        <v>584</v>
      </c>
      <c r="R207">
        <v>1</v>
      </c>
      <c r="S207">
        <v>0</v>
      </c>
      <c r="T207">
        <v>0</v>
      </c>
      <c r="U207">
        <v>0</v>
      </c>
      <c r="V207">
        <v>0</v>
      </c>
      <c r="W207">
        <v>0</v>
      </c>
      <c r="X207">
        <v>0</v>
      </c>
      <c r="Y207">
        <v>0</v>
      </c>
      <c r="Z207">
        <v>0</v>
      </c>
      <c r="AL207" t="s">
        <v>107</v>
      </c>
      <c r="AM207" t="s">
        <v>87</v>
      </c>
      <c r="AN207" t="s">
        <v>87</v>
      </c>
      <c r="AO207" t="s">
        <v>87</v>
      </c>
      <c r="AP207" t="s">
        <v>87</v>
      </c>
      <c r="AQ207" t="s">
        <v>87</v>
      </c>
      <c r="AR207" t="s">
        <v>101</v>
      </c>
      <c r="AS207" t="s">
        <v>76</v>
      </c>
      <c r="AT207" t="s">
        <v>107</v>
      </c>
      <c r="AU207">
        <v>1</v>
      </c>
      <c r="AV207">
        <v>0</v>
      </c>
      <c r="AW207">
        <v>0</v>
      </c>
      <c r="AX207">
        <v>0</v>
      </c>
      <c r="AY207">
        <v>0</v>
      </c>
      <c r="AZ207" t="s">
        <v>579</v>
      </c>
    </row>
    <row r="208" spans="1:52" x14ac:dyDescent="0.2">
      <c r="A208">
        <v>0</v>
      </c>
      <c r="B208">
        <v>1</v>
      </c>
      <c r="C208">
        <v>0</v>
      </c>
      <c r="D208">
        <v>0</v>
      </c>
      <c r="E208">
        <v>0</v>
      </c>
      <c r="F208">
        <v>1</v>
      </c>
      <c r="G208">
        <v>0</v>
      </c>
      <c r="H208">
        <v>0</v>
      </c>
      <c r="I208">
        <v>0</v>
      </c>
      <c r="J208" t="s">
        <v>79</v>
      </c>
      <c r="K208" t="s">
        <v>142</v>
      </c>
      <c r="L208">
        <v>0</v>
      </c>
      <c r="M208">
        <v>1</v>
      </c>
      <c r="N208">
        <v>0</v>
      </c>
      <c r="O208">
        <v>0</v>
      </c>
      <c r="P208">
        <v>0</v>
      </c>
      <c r="Q208" t="s">
        <v>584</v>
      </c>
      <c r="AA208" t="s">
        <v>82</v>
      </c>
      <c r="AB208" t="s">
        <v>82</v>
      </c>
      <c r="AC208" t="s">
        <v>90</v>
      </c>
      <c r="AD208" t="s">
        <v>90</v>
      </c>
      <c r="AE208" t="s">
        <v>82</v>
      </c>
      <c r="AF208" t="s">
        <v>81</v>
      </c>
      <c r="AG208" t="s">
        <v>81</v>
      </c>
      <c r="AH208" t="s">
        <v>83</v>
      </c>
      <c r="AI208" t="s">
        <v>88</v>
      </c>
      <c r="AJ208" t="s">
        <v>142</v>
      </c>
      <c r="AK208" t="s">
        <v>85</v>
      </c>
      <c r="AL208" t="s">
        <v>73</v>
      </c>
      <c r="AM208" t="s">
        <v>87</v>
      </c>
      <c r="AN208" t="s">
        <v>87</v>
      </c>
      <c r="AO208" t="s">
        <v>87</v>
      </c>
      <c r="AP208" t="s">
        <v>87</v>
      </c>
      <c r="AQ208" t="s">
        <v>87</v>
      </c>
      <c r="AR208" t="s">
        <v>97</v>
      </c>
      <c r="AS208" t="s">
        <v>76</v>
      </c>
      <c r="AT208" t="s">
        <v>73</v>
      </c>
      <c r="AU208">
        <v>1</v>
      </c>
      <c r="AV208">
        <v>0</v>
      </c>
      <c r="AW208">
        <v>0</v>
      </c>
      <c r="AX208">
        <v>0</v>
      </c>
      <c r="AY208">
        <v>0</v>
      </c>
      <c r="AZ208" t="s">
        <v>580</v>
      </c>
    </row>
    <row r="209" spans="1:52" x14ac:dyDescent="0.2">
      <c r="A209">
        <v>0</v>
      </c>
      <c r="B209">
        <v>1</v>
      </c>
      <c r="C209">
        <v>0</v>
      </c>
      <c r="D209">
        <v>0</v>
      </c>
      <c r="E209">
        <v>0</v>
      </c>
      <c r="F209">
        <v>1</v>
      </c>
      <c r="G209">
        <v>0</v>
      </c>
      <c r="H209">
        <v>0</v>
      </c>
      <c r="I209">
        <v>0</v>
      </c>
      <c r="J209" t="s">
        <v>88</v>
      </c>
      <c r="K209" t="s">
        <v>142</v>
      </c>
      <c r="L209">
        <v>0</v>
      </c>
      <c r="M209">
        <v>0</v>
      </c>
      <c r="N209">
        <v>0</v>
      </c>
      <c r="O209">
        <v>0</v>
      </c>
      <c r="P209">
        <v>1</v>
      </c>
      <c r="Q209" t="s">
        <v>584</v>
      </c>
      <c r="AA209" t="s">
        <v>83</v>
      </c>
      <c r="AB209" t="s">
        <v>82</v>
      </c>
      <c r="AC209" t="s">
        <v>83</v>
      </c>
      <c r="AD209" t="s">
        <v>81</v>
      </c>
      <c r="AE209" t="s">
        <v>82</v>
      </c>
      <c r="AF209" t="s">
        <v>81</v>
      </c>
      <c r="AG209" t="s">
        <v>83</v>
      </c>
      <c r="AH209" t="s">
        <v>83</v>
      </c>
      <c r="AI209" t="s">
        <v>135</v>
      </c>
      <c r="AJ209" t="s">
        <v>142</v>
      </c>
      <c r="AK209" t="s">
        <v>85</v>
      </c>
      <c r="AL209" t="s">
        <v>96</v>
      </c>
      <c r="AM209" t="s">
        <v>87</v>
      </c>
      <c r="AN209" t="s">
        <v>87</v>
      </c>
      <c r="AO209" t="s">
        <v>87</v>
      </c>
      <c r="AP209" t="s">
        <v>87</v>
      </c>
      <c r="AQ209" t="s">
        <v>87</v>
      </c>
      <c r="AR209" t="s">
        <v>75</v>
      </c>
      <c r="AS209" t="s">
        <v>76</v>
      </c>
      <c r="AT209" t="s">
        <v>96</v>
      </c>
      <c r="AU209">
        <v>1</v>
      </c>
      <c r="AV209">
        <v>0</v>
      </c>
      <c r="AW209">
        <v>0</v>
      </c>
      <c r="AX209">
        <v>0</v>
      </c>
      <c r="AY209">
        <v>0</v>
      </c>
      <c r="AZ209" t="s">
        <v>579</v>
      </c>
    </row>
    <row r="210" spans="1:52" x14ac:dyDescent="0.2">
      <c r="A210">
        <v>1</v>
      </c>
      <c r="B210">
        <v>0</v>
      </c>
      <c r="C210">
        <v>0</v>
      </c>
      <c r="D210">
        <v>0</v>
      </c>
      <c r="E210">
        <v>0</v>
      </c>
      <c r="F210">
        <v>1</v>
      </c>
      <c r="G210">
        <v>0</v>
      </c>
      <c r="H210">
        <v>0</v>
      </c>
      <c r="I210">
        <v>0</v>
      </c>
      <c r="J210" t="s">
        <v>88</v>
      </c>
      <c r="K210" t="s">
        <v>89</v>
      </c>
      <c r="L210">
        <v>0</v>
      </c>
      <c r="M210">
        <v>1</v>
      </c>
      <c r="N210">
        <v>0</v>
      </c>
      <c r="O210">
        <v>0</v>
      </c>
      <c r="P210">
        <v>0</v>
      </c>
      <c r="Q210" t="s">
        <v>584</v>
      </c>
      <c r="AA210" t="s">
        <v>81</v>
      </c>
      <c r="AB210" t="s">
        <v>81</v>
      </c>
      <c r="AC210" t="s">
        <v>81</v>
      </c>
      <c r="AD210" t="s">
        <v>90</v>
      </c>
      <c r="AE210" t="s">
        <v>82</v>
      </c>
      <c r="AF210" t="s">
        <v>82</v>
      </c>
      <c r="AG210" t="s">
        <v>81</v>
      </c>
      <c r="AH210" t="s">
        <v>90</v>
      </c>
      <c r="AI210" t="s">
        <v>88</v>
      </c>
      <c r="AJ210" t="s">
        <v>89</v>
      </c>
      <c r="AK210" t="s">
        <v>100</v>
      </c>
      <c r="AL210" t="s">
        <v>107</v>
      </c>
      <c r="AM210" t="s">
        <v>86</v>
      </c>
      <c r="AN210" t="s">
        <v>74</v>
      </c>
      <c r="AO210" t="s">
        <v>86</v>
      </c>
      <c r="AP210" t="s">
        <v>86</v>
      </c>
      <c r="AQ210" t="s">
        <v>86</v>
      </c>
      <c r="AR210" t="s">
        <v>75</v>
      </c>
      <c r="AS210" t="s">
        <v>76</v>
      </c>
      <c r="AT210" t="s">
        <v>107</v>
      </c>
      <c r="AU210">
        <v>0</v>
      </c>
      <c r="AV210">
        <v>0</v>
      </c>
      <c r="AW210">
        <v>0</v>
      </c>
      <c r="AX210">
        <v>1</v>
      </c>
      <c r="AY210">
        <v>0</v>
      </c>
      <c r="AZ210" t="s">
        <v>580</v>
      </c>
    </row>
    <row r="211" spans="1:52" x14ac:dyDescent="0.2">
      <c r="A211">
        <v>1</v>
      </c>
      <c r="B211">
        <v>0</v>
      </c>
      <c r="C211">
        <v>0</v>
      </c>
      <c r="D211">
        <v>0</v>
      </c>
      <c r="E211">
        <v>0</v>
      </c>
      <c r="F211">
        <v>0</v>
      </c>
      <c r="G211">
        <v>0</v>
      </c>
      <c r="H211">
        <v>0</v>
      </c>
      <c r="I211">
        <v>1</v>
      </c>
      <c r="J211" t="s">
        <v>88</v>
      </c>
      <c r="K211" t="s">
        <v>89</v>
      </c>
      <c r="L211">
        <v>0</v>
      </c>
      <c r="M211">
        <v>0</v>
      </c>
      <c r="N211">
        <v>1</v>
      </c>
      <c r="O211">
        <v>0</v>
      </c>
      <c r="P211">
        <v>0</v>
      </c>
      <c r="Q211" t="s">
        <v>584</v>
      </c>
      <c r="AA211" t="s">
        <v>83</v>
      </c>
      <c r="AB211" t="s">
        <v>83</v>
      </c>
      <c r="AC211" t="s">
        <v>83</v>
      </c>
      <c r="AD211" t="s">
        <v>83</v>
      </c>
      <c r="AE211" t="s">
        <v>83</v>
      </c>
      <c r="AF211" t="s">
        <v>83</v>
      </c>
      <c r="AG211" t="s">
        <v>83</v>
      </c>
      <c r="AH211" t="s">
        <v>82</v>
      </c>
      <c r="AI211" t="s">
        <v>88</v>
      </c>
      <c r="AJ211" t="s">
        <v>89</v>
      </c>
      <c r="AK211" t="s">
        <v>85</v>
      </c>
      <c r="AL211" t="s">
        <v>96</v>
      </c>
      <c r="AM211" t="s">
        <v>86</v>
      </c>
      <c r="AN211" t="s">
        <v>74</v>
      </c>
      <c r="AO211" t="s">
        <v>86</v>
      </c>
      <c r="AP211" t="s">
        <v>74</v>
      </c>
      <c r="AQ211" t="s">
        <v>86</v>
      </c>
      <c r="AR211" t="s">
        <v>75</v>
      </c>
      <c r="AS211" t="s">
        <v>76</v>
      </c>
      <c r="AT211" t="s">
        <v>96</v>
      </c>
      <c r="AU211">
        <v>1</v>
      </c>
      <c r="AV211">
        <v>0</v>
      </c>
      <c r="AW211">
        <v>0</v>
      </c>
      <c r="AX211">
        <v>0</v>
      </c>
      <c r="AY211">
        <v>0</v>
      </c>
      <c r="AZ211" t="s">
        <v>580</v>
      </c>
    </row>
    <row r="212" spans="1:52" x14ac:dyDescent="0.2">
      <c r="A212">
        <v>1</v>
      </c>
      <c r="B212">
        <v>0</v>
      </c>
      <c r="C212">
        <v>0</v>
      </c>
      <c r="D212">
        <v>0</v>
      </c>
      <c r="E212">
        <v>1</v>
      </c>
      <c r="F212">
        <v>0</v>
      </c>
      <c r="G212">
        <v>0</v>
      </c>
      <c r="H212">
        <v>0</v>
      </c>
      <c r="I212">
        <v>0</v>
      </c>
      <c r="L212">
        <v>0</v>
      </c>
      <c r="M212">
        <v>0</v>
      </c>
      <c r="N212">
        <v>1</v>
      </c>
      <c r="O212">
        <v>0</v>
      </c>
      <c r="P212">
        <v>0</v>
      </c>
      <c r="Q212" t="s">
        <v>584</v>
      </c>
      <c r="AA212" t="s">
        <v>81</v>
      </c>
      <c r="AB212" t="s">
        <v>82</v>
      </c>
      <c r="AC212" t="s">
        <v>83</v>
      </c>
      <c r="AD212" t="s">
        <v>82</v>
      </c>
      <c r="AE212" t="s">
        <v>83</v>
      </c>
      <c r="AF212" t="s">
        <v>83</v>
      </c>
      <c r="AG212" t="s">
        <v>83</v>
      </c>
      <c r="AH212" t="s">
        <v>83</v>
      </c>
      <c r="AI212" t="s">
        <v>88</v>
      </c>
      <c r="AJ212" t="s">
        <v>89</v>
      </c>
      <c r="AK212" t="s">
        <v>85</v>
      </c>
      <c r="AL212" t="s">
        <v>73</v>
      </c>
      <c r="AM212" t="s">
        <v>86</v>
      </c>
      <c r="AN212" t="s">
        <v>87</v>
      </c>
      <c r="AO212" t="s">
        <v>86</v>
      </c>
      <c r="AP212" t="s">
        <v>86</v>
      </c>
      <c r="AQ212" t="s">
        <v>86</v>
      </c>
      <c r="AR212" t="s">
        <v>97</v>
      </c>
      <c r="AS212" t="s">
        <v>76</v>
      </c>
      <c r="AT212" t="s">
        <v>73</v>
      </c>
      <c r="AU212">
        <v>1</v>
      </c>
      <c r="AV212">
        <v>0</v>
      </c>
      <c r="AW212">
        <v>0</v>
      </c>
      <c r="AX212">
        <v>0</v>
      </c>
      <c r="AY212">
        <v>0</v>
      </c>
      <c r="AZ212" t="s">
        <v>580</v>
      </c>
    </row>
    <row r="213" spans="1:52" x14ac:dyDescent="0.2">
      <c r="A213">
        <v>1</v>
      </c>
      <c r="B213">
        <v>0</v>
      </c>
      <c r="C213">
        <v>0</v>
      </c>
      <c r="D213">
        <v>0</v>
      </c>
      <c r="E213">
        <v>0</v>
      </c>
      <c r="F213">
        <v>1</v>
      </c>
      <c r="G213">
        <v>1</v>
      </c>
      <c r="H213">
        <v>1</v>
      </c>
      <c r="I213">
        <v>0</v>
      </c>
      <c r="J213" t="s">
        <v>88</v>
      </c>
      <c r="K213" t="s">
        <v>80</v>
      </c>
      <c r="L213">
        <v>0</v>
      </c>
      <c r="M213">
        <v>0</v>
      </c>
      <c r="N213">
        <v>1</v>
      </c>
      <c r="O213">
        <v>0</v>
      </c>
      <c r="P213">
        <v>0</v>
      </c>
      <c r="Q213" t="s">
        <v>584</v>
      </c>
      <c r="AA213" t="s">
        <v>82</v>
      </c>
      <c r="AB213" t="s">
        <v>82</v>
      </c>
      <c r="AC213" t="s">
        <v>82</v>
      </c>
      <c r="AD213" t="s">
        <v>82</v>
      </c>
      <c r="AE213" t="s">
        <v>82</v>
      </c>
      <c r="AF213" t="s">
        <v>82</v>
      </c>
      <c r="AG213" t="s">
        <v>82</v>
      </c>
      <c r="AH213" t="s">
        <v>82</v>
      </c>
      <c r="AI213" t="s">
        <v>84</v>
      </c>
      <c r="AJ213" t="s">
        <v>89</v>
      </c>
      <c r="AK213" t="s">
        <v>100</v>
      </c>
      <c r="AL213" t="s">
        <v>96</v>
      </c>
      <c r="AM213" t="s">
        <v>87</v>
      </c>
      <c r="AN213" t="s">
        <v>87</v>
      </c>
      <c r="AO213" t="s">
        <v>87</v>
      </c>
      <c r="AP213" t="s">
        <v>87</v>
      </c>
      <c r="AQ213" t="s">
        <v>87</v>
      </c>
      <c r="AR213" t="s">
        <v>101</v>
      </c>
      <c r="AS213" t="s">
        <v>76</v>
      </c>
      <c r="AT213" t="s">
        <v>96</v>
      </c>
      <c r="AU213">
        <v>1</v>
      </c>
      <c r="AV213">
        <v>0</v>
      </c>
      <c r="AW213">
        <v>0</v>
      </c>
      <c r="AX213">
        <v>0</v>
      </c>
      <c r="AY213">
        <v>0</v>
      </c>
      <c r="AZ213" t="s">
        <v>580</v>
      </c>
    </row>
    <row r="214" spans="1:52" x14ac:dyDescent="0.2">
      <c r="A214">
        <v>1</v>
      </c>
      <c r="B214">
        <v>0</v>
      </c>
      <c r="C214">
        <v>0</v>
      </c>
      <c r="D214">
        <v>0</v>
      </c>
      <c r="E214">
        <v>0</v>
      </c>
      <c r="F214">
        <v>1</v>
      </c>
      <c r="G214">
        <v>0</v>
      </c>
      <c r="H214">
        <v>0</v>
      </c>
      <c r="I214">
        <v>0</v>
      </c>
      <c r="J214" t="s">
        <v>88</v>
      </c>
      <c r="K214" t="s">
        <v>89</v>
      </c>
      <c r="L214">
        <v>0</v>
      </c>
      <c r="M214">
        <v>1</v>
      </c>
      <c r="N214">
        <v>0</v>
      </c>
      <c r="O214">
        <v>0</v>
      </c>
      <c r="P214">
        <v>0</v>
      </c>
      <c r="Q214" t="s">
        <v>584</v>
      </c>
      <c r="AA214" t="s">
        <v>83</v>
      </c>
      <c r="AB214" t="s">
        <v>82</v>
      </c>
      <c r="AC214" t="s">
        <v>81</v>
      </c>
      <c r="AD214" t="s">
        <v>81</v>
      </c>
      <c r="AE214" t="s">
        <v>83</v>
      </c>
      <c r="AF214" t="s">
        <v>90</v>
      </c>
      <c r="AG214" t="s">
        <v>83</v>
      </c>
      <c r="AH214" t="s">
        <v>83</v>
      </c>
      <c r="AI214" t="s">
        <v>88</v>
      </c>
      <c r="AJ214" t="s">
        <v>89</v>
      </c>
      <c r="AK214" t="s">
        <v>85</v>
      </c>
      <c r="AL214" t="s">
        <v>73</v>
      </c>
      <c r="AM214" t="s">
        <v>87</v>
      </c>
      <c r="AN214" t="s">
        <v>87</v>
      </c>
      <c r="AO214" t="s">
        <v>87</v>
      </c>
      <c r="AP214" t="s">
        <v>87</v>
      </c>
      <c r="AQ214" t="s">
        <v>87</v>
      </c>
      <c r="AR214" t="s">
        <v>97</v>
      </c>
      <c r="AS214" t="s">
        <v>76</v>
      </c>
      <c r="AT214" t="s">
        <v>73</v>
      </c>
      <c r="AU214">
        <v>1</v>
      </c>
      <c r="AV214">
        <v>0</v>
      </c>
      <c r="AW214">
        <v>0</v>
      </c>
      <c r="AX214">
        <v>0</v>
      </c>
      <c r="AY214">
        <v>0</v>
      </c>
      <c r="AZ214" t="s">
        <v>580</v>
      </c>
    </row>
    <row r="215" spans="1:52" x14ac:dyDescent="0.2">
      <c r="A215">
        <v>1</v>
      </c>
      <c r="B215">
        <v>0</v>
      </c>
      <c r="C215">
        <v>0</v>
      </c>
      <c r="D215">
        <v>0</v>
      </c>
      <c r="E215">
        <v>1</v>
      </c>
      <c r="F215">
        <v>0</v>
      </c>
      <c r="G215">
        <v>0</v>
      </c>
      <c r="H215">
        <v>0</v>
      </c>
      <c r="I215">
        <v>0</v>
      </c>
      <c r="L215">
        <v>1</v>
      </c>
      <c r="M215">
        <v>0</v>
      </c>
      <c r="N215">
        <v>0</v>
      </c>
      <c r="O215">
        <v>0</v>
      </c>
      <c r="P215">
        <v>0</v>
      </c>
      <c r="Q215" t="s">
        <v>584</v>
      </c>
      <c r="R215">
        <v>0</v>
      </c>
      <c r="S215">
        <v>1</v>
      </c>
      <c r="T215">
        <v>0</v>
      </c>
      <c r="U215">
        <v>0</v>
      </c>
      <c r="V215">
        <v>0</v>
      </c>
      <c r="W215">
        <v>0</v>
      </c>
      <c r="X215">
        <v>0</v>
      </c>
      <c r="Y215">
        <v>0</v>
      </c>
      <c r="Z215">
        <v>0</v>
      </c>
      <c r="AL215" t="s">
        <v>107</v>
      </c>
      <c r="AM215" t="s">
        <v>86</v>
      </c>
      <c r="AN215" t="s">
        <v>74</v>
      </c>
      <c r="AO215" t="s">
        <v>86</v>
      </c>
      <c r="AP215" t="s">
        <v>74</v>
      </c>
      <c r="AQ215" t="s">
        <v>74</v>
      </c>
      <c r="AR215" t="s">
        <v>97</v>
      </c>
      <c r="AS215" t="s">
        <v>76</v>
      </c>
      <c r="AT215" t="s">
        <v>107</v>
      </c>
      <c r="AU215">
        <v>1</v>
      </c>
      <c r="AV215">
        <v>0</v>
      </c>
      <c r="AW215">
        <v>0</v>
      </c>
      <c r="AX215">
        <v>0</v>
      </c>
      <c r="AY215">
        <v>0</v>
      </c>
      <c r="AZ215" t="s">
        <v>581</v>
      </c>
    </row>
    <row r="216" spans="1:52" x14ac:dyDescent="0.2">
      <c r="A216">
        <v>0</v>
      </c>
      <c r="B216">
        <v>1</v>
      </c>
      <c r="C216">
        <v>0</v>
      </c>
      <c r="D216">
        <v>0</v>
      </c>
      <c r="E216">
        <v>0</v>
      </c>
      <c r="F216">
        <v>1</v>
      </c>
      <c r="G216">
        <v>0</v>
      </c>
      <c r="H216">
        <v>0</v>
      </c>
      <c r="I216">
        <v>0</v>
      </c>
      <c r="J216" t="s">
        <v>88</v>
      </c>
      <c r="K216" t="s">
        <v>89</v>
      </c>
      <c r="L216">
        <v>0</v>
      </c>
      <c r="M216">
        <v>1</v>
      </c>
      <c r="N216">
        <v>0</v>
      </c>
      <c r="O216">
        <v>0</v>
      </c>
      <c r="P216">
        <v>0</v>
      </c>
      <c r="Q216" t="s">
        <v>584</v>
      </c>
      <c r="AA216" t="s">
        <v>90</v>
      </c>
      <c r="AB216" t="s">
        <v>82</v>
      </c>
      <c r="AC216" t="s">
        <v>81</v>
      </c>
      <c r="AD216" t="s">
        <v>90</v>
      </c>
      <c r="AE216" t="s">
        <v>83</v>
      </c>
      <c r="AF216" t="s">
        <v>81</v>
      </c>
      <c r="AG216" t="s">
        <v>90</v>
      </c>
      <c r="AH216" t="s">
        <v>83</v>
      </c>
      <c r="AI216" t="s">
        <v>88</v>
      </c>
      <c r="AJ216" t="s">
        <v>89</v>
      </c>
      <c r="AK216" t="s">
        <v>100</v>
      </c>
      <c r="AL216" t="s">
        <v>73</v>
      </c>
      <c r="AM216" t="s">
        <v>87</v>
      </c>
      <c r="AN216" t="s">
        <v>74</v>
      </c>
      <c r="AO216" t="s">
        <v>87</v>
      </c>
      <c r="AP216" t="s">
        <v>87</v>
      </c>
      <c r="AQ216" t="s">
        <v>74</v>
      </c>
      <c r="AR216" t="s">
        <v>97</v>
      </c>
      <c r="AS216" t="s">
        <v>76</v>
      </c>
      <c r="AT216" t="s">
        <v>73</v>
      </c>
      <c r="AU216">
        <v>1</v>
      </c>
      <c r="AV216">
        <v>0</v>
      </c>
      <c r="AW216">
        <v>0</v>
      </c>
      <c r="AX216">
        <v>0</v>
      </c>
      <c r="AY216">
        <v>0</v>
      </c>
      <c r="AZ216" t="s">
        <v>580</v>
      </c>
    </row>
    <row r="217" spans="1:52" x14ac:dyDescent="0.2">
      <c r="A217">
        <v>1</v>
      </c>
      <c r="B217">
        <v>0</v>
      </c>
      <c r="C217">
        <v>0</v>
      </c>
      <c r="D217">
        <v>0</v>
      </c>
      <c r="E217">
        <v>0</v>
      </c>
      <c r="F217">
        <v>0</v>
      </c>
      <c r="G217">
        <v>0</v>
      </c>
      <c r="H217">
        <v>1</v>
      </c>
      <c r="I217">
        <v>0</v>
      </c>
      <c r="J217" t="s">
        <v>88</v>
      </c>
      <c r="K217" t="s">
        <v>89</v>
      </c>
      <c r="L217">
        <v>1</v>
      </c>
      <c r="M217">
        <v>0</v>
      </c>
      <c r="N217">
        <v>0</v>
      </c>
      <c r="O217">
        <v>0</v>
      </c>
      <c r="P217">
        <v>0</v>
      </c>
      <c r="Q217" t="s">
        <v>584</v>
      </c>
      <c r="R217">
        <v>0</v>
      </c>
      <c r="S217">
        <v>0</v>
      </c>
      <c r="T217">
        <v>1</v>
      </c>
      <c r="U217">
        <v>0</v>
      </c>
      <c r="V217">
        <v>0</v>
      </c>
      <c r="W217">
        <v>1</v>
      </c>
      <c r="X217">
        <v>1</v>
      </c>
      <c r="Y217">
        <v>0</v>
      </c>
      <c r="Z217">
        <v>0</v>
      </c>
      <c r="AL217" t="s">
        <v>107</v>
      </c>
      <c r="AM217" t="s">
        <v>87</v>
      </c>
      <c r="AN217" t="s">
        <v>87</v>
      </c>
      <c r="AO217" t="s">
        <v>74</v>
      </c>
      <c r="AP217" t="s">
        <v>87</v>
      </c>
      <c r="AQ217" t="s">
        <v>86</v>
      </c>
      <c r="AR217" t="s">
        <v>75</v>
      </c>
      <c r="AS217" t="s">
        <v>76</v>
      </c>
      <c r="AT217" t="s">
        <v>107</v>
      </c>
      <c r="AU217">
        <v>1</v>
      </c>
      <c r="AV217">
        <v>0</v>
      </c>
      <c r="AW217">
        <v>0</v>
      </c>
      <c r="AX217">
        <v>0</v>
      </c>
      <c r="AY217">
        <v>0</v>
      </c>
      <c r="AZ217" t="s">
        <v>579</v>
      </c>
    </row>
    <row r="218" spans="1:52" x14ac:dyDescent="0.2">
      <c r="A218">
        <v>0</v>
      </c>
      <c r="B218">
        <v>1</v>
      </c>
      <c r="C218">
        <v>0</v>
      </c>
      <c r="D218">
        <v>0</v>
      </c>
      <c r="E218">
        <v>1</v>
      </c>
      <c r="F218">
        <v>0</v>
      </c>
      <c r="G218">
        <v>0</v>
      </c>
      <c r="H218">
        <v>0</v>
      </c>
      <c r="I218">
        <v>0</v>
      </c>
      <c r="L218">
        <v>1</v>
      </c>
      <c r="M218">
        <v>0</v>
      </c>
      <c r="N218">
        <v>0</v>
      </c>
      <c r="O218">
        <v>0</v>
      </c>
      <c r="P218">
        <v>0</v>
      </c>
      <c r="Q218" t="s">
        <v>584</v>
      </c>
      <c r="R218">
        <v>0</v>
      </c>
      <c r="S218">
        <v>1</v>
      </c>
      <c r="T218">
        <v>0</v>
      </c>
      <c r="U218">
        <v>0</v>
      </c>
      <c r="V218">
        <v>0</v>
      </c>
      <c r="W218">
        <v>0</v>
      </c>
      <c r="X218">
        <v>0</v>
      </c>
      <c r="Y218">
        <v>0</v>
      </c>
      <c r="Z218">
        <v>0</v>
      </c>
      <c r="AL218" t="s">
        <v>73</v>
      </c>
      <c r="AM218" t="s">
        <v>86</v>
      </c>
      <c r="AN218" t="s">
        <v>86</v>
      </c>
      <c r="AO218" t="s">
        <v>86</v>
      </c>
      <c r="AP218" t="s">
        <v>86</v>
      </c>
      <c r="AQ218" t="s">
        <v>86</v>
      </c>
      <c r="AR218" t="s">
        <v>108</v>
      </c>
      <c r="AS218" t="s">
        <v>76</v>
      </c>
      <c r="AT218" t="s">
        <v>73</v>
      </c>
      <c r="AU218">
        <v>1</v>
      </c>
      <c r="AV218">
        <v>0</v>
      </c>
      <c r="AW218">
        <v>0</v>
      </c>
      <c r="AX218">
        <v>0</v>
      </c>
      <c r="AY218">
        <v>0</v>
      </c>
      <c r="AZ218" t="s">
        <v>580</v>
      </c>
    </row>
    <row r="219" spans="1:52" x14ac:dyDescent="0.2">
      <c r="A219">
        <v>0</v>
      </c>
      <c r="B219">
        <v>1</v>
      </c>
      <c r="C219">
        <v>0</v>
      </c>
      <c r="D219">
        <v>0</v>
      </c>
      <c r="E219">
        <v>1</v>
      </c>
      <c r="F219">
        <v>0</v>
      </c>
      <c r="G219">
        <v>0</v>
      </c>
      <c r="H219">
        <v>0</v>
      </c>
      <c r="I219">
        <v>0</v>
      </c>
      <c r="L219">
        <v>1</v>
      </c>
      <c r="M219">
        <v>0</v>
      </c>
      <c r="N219">
        <v>0</v>
      </c>
      <c r="O219">
        <v>0</v>
      </c>
      <c r="P219">
        <v>0</v>
      </c>
      <c r="Q219" t="s">
        <v>584</v>
      </c>
      <c r="R219">
        <v>0</v>
      </c>
      <c r="S219">
        <v>0</v>
      </c>
      <c r="T219">
        <v>1</v>
      </c>
      <c r="U219">
        <v>0</v>
      </c>
      <c r="V219">
        <v>0</v>
      </c>
      <c r="W219">
        <v>1</v>
      </c>
      <c r="X219">
        <v>0</v>
      </c>
      <c r="Y219">
        <v>0</v>
      </c>
      <c r="Z219">
        <v>0</v>
      </c>
      <c r="AL219" t="s">
        <v>96</v>
      </c>
      <c r="AM219" t="s">
        <v>87</v>
      </c>
      <c r="AN219" t="s">
        <v>86</v>
      </c>
      <c r="AO219" t="s">
        <v>87</v>
      </c>
      <c r="AP219" t="s">
        <v>86</v>
      </c>
      <c r="AQ219" t="s">
        <v>86</v>
      </c>
      <c r="AR219" t="s">
        <v>97</v>
      </c>
      <c r="AS219" t="s">
        <v>76</v>
      </c>
      <c r="AT219" t="s">
        <v>96</v>
      </c>
      <c r="AU219">
        <v>1</v>
      </c>
      <c r="AV219">
        <v>0</v>
      </c>
      <c r="AW219">
        <v>0</v>
      </c>
      <c r="AX219">
        <v>0</v>
      </c>
      <c r="AY219">
        <v>0</v>
      </c>
      <c r="AZ219" t="s">
        <v>581</v>
      </c>
    </row>
    <row r="220" spans="1:52" x14ac:dyDescent="0.2">
      <c r="A220">
        <v>1</v>
      </c>
      <c r="B220">
        <v>0</v>
      </c>
      <c r="C220">
        <v>0</v>
      </c>
      <c r="D220">
        <v>0</v>
      </c>
      <c r="E220">
        <v>0</v>
      </c>
      <c r="F220">
        <v>0</v>
      </c>
      <c r="G220">
        <v>0</v>
      </c>
      <c r="H220">
        <v>0</v>
      </c>
      <c r="I220">
        <v>1</v>
      </c>
      <c r="J220" t="s">
        <v>88</v>
      </c>
      <c r="K220" t="s">
        <v>89</v>
      </c>
      <c r="L220">
        <v>0</v>
      </c>
      <c r="M220">
        <v>1</v>
      </c>
      <c r="N220">
        <v>0</v>
      </c>
      <c r="O220">
        <v>0</v>
      </c>
      <c r="P220">
        <v>0</v>
      </c>
      <c r="Q220" t="s">
        <v>584</v>
      </c>
      <c r="AA220" t="s">
        <v>81</v>
      </c>
      <c r="AB220" t="s">
        <v>83</v>
      </c>
      <c r="AC220" t="s">
        <v>81</v>
      </c>
      <c r="AD220" t="s">
        <v>83</v>
      </c>
      <c r="AE220" t="s">
        <v>82</v>
      </c>
      <c r="AF220" t="s">
        <v>90</v>
      </c>
      <c r="AG220" t="s">
        <v>81</v>
      </c>
      <c r="AH220" t="s">
        <v>83</v>
      </c>
      <c r="AI220" t="s">
        <v>88</v>
      </c>
      <c r="AJ220" t="s">
        <v>89</v>
      </c>
      <c r="AK220" t="s">
        <v>100</v>
      </c>
      <c r="AL220" t="s">
        <v>107</v>
      </c>
      <c r="AM220" t="s">
        <v>74</v>
      </c>
      <c r="AR220" t="s">
        <v>97</v>
      </c>
      <c r="AS220" t="s">
        <v>76</v>
      </c>
      <c r="AT220" t="s">
        <v>107</v>
      </c>
      <c r="AU220">
        <v>1</v>
      </c>
      <c r="AV220">
        <v>0</v>
      </c>
      <c r="AW220">
        <v>0</v>
      </c>
      <c r="AX220">
        <v>0</v>
      </c>
      <c r="AY220">
        <v>0</v>
      </c>
      <c r="AZ220" t="s">
        <v>580</v>
      </c>
    </row>
    <row r="221" spans="1:52" x14ac:dyDescent="0.2">
      <c r="A221">
        <v>0</v>
      </c>
      <c r="B221">
        <v>1</v>
      </c>
      <c r="C221">
        <v>0</v>
      </c>
      <c r="D221">
        <v>0</v>
      </c>
      <c r="E221">
        <v>0</v>
      </c>
      <c r="F221">
        <v>1</v>
      </c>
      <c r="G221">
        <v>0</v>
      </c>
      <c r="H221">
        <v>1</v>
      </c>
      <c r="I221">
        <v>0</v>
      </c>
      <c r="J221" t="s">
        <v>88</v>
      </c>
      <c r="K221" t="s">
        <v>89</v>
      </c>
      <c r="L221">
        <v>0</v>
      </c>
      <c r="M221">
        <v>1</v>
      </c>
      <c r="N221">
        <v>0</v>
      </c>
      <c r="O221">
        <v>0</v>
      </c>
      <c r="P221">
        <v>0</v>
      </c>
      <c r="Q221" t="s">
        <v>584</v>
      </c>
      <c r="AA221" t="s">
        <v>83</v>
      </c>
      <c r="AB221" t="s">
        <v>82</v>
      </c>
      <c r="AC221" t="s">
        <v>81</v>
      </c>
      <c r="AD221" t="s">
        <v>83</v>
      </c>
      <c r="AE221" t="s">
        <v>82</v>
      </c>
      <c r="AF221" t="s">
        <v>82</v>
      </c>
      <c r="AG221" t="s">
        <v>83</v>
      </c>
      <c r="AH221" t="s">
        <v>83</v>
      </c>
      <c r="AI221" t="s">
        <v>88</v>
      </c>
      <c r="AJ221" t="s">
        <v>89</v>
      </c>
      <c r="AK221" t="s">
        <v>100</v>
      </c>
      <c r="AL221" t="s">
        <v>73</v>
      </c>
      <c r="AM221" t="s">
        <v>87</v>
      </c>
      <c r="AN221" t="s">
        <v>74</v>
      </c>
      <c r="AO221" t="s">
        <v>87</v>
      </c>
      <c r="AP221" t="s">
        <v>87</v>
      </c>
      <c r="AQ221" t="s">
        <v>87</v>
      </c>
      <c r="AR221" t="s">
        <v>75</v>
      </c>
      <c r="AS221" t="s">
        <v>76</v>
      </c>
      <c r="AT221" t="s">
        <v>73</v>
      </c>
      <c r="AU221">
        <v>1</v>
      </c>
      <c r="AV221">
        <v>0</v>
      </c>
      <c r="AW221">
        <v>0</v>
      </c>
      <c r="AX221">
        <v>0</v>
      </c>
      <c r="AY221">
        <v>0</v>
      </c>
      <c r="AZ221" t="s">
        <v>579</v>
      </c>
    </row>
    <row r="222" spans="1:52" x14ac:dyDescent="0.2">
      <c r="A222">
        <v>1</v>
      </c>
      <c r="B222">
        <v>0</v>
      </c>
      <c r="C222">
        <v>0</v>
      </c>
      <c r="D222">
        <v>0</v>
      </c>
      <c r="E222">
        <v>1</v>
      </c>
      <c r="F222">
        <v>0</v>
      </c>
      <c r="G222">
        <v>0</v>
      </c>
      <c r="H222">
        <v>0</v>
      </c>
      <c r="I222">
        <v>0</v>
      </c>
      <c r="L222">
        <v>0</v>
      </c>
      <c r="M222">
        <v>1</v>
      </c>
      <c r="N222">
        <v>0</v>
      </c>
      <c r="O222">
        <v>0</v>
      </c>
      <c r="P222">
        <v>0</v>
      </c>
      <c r="Q222" t="s">
        <v>584</v>
      </c>
      <c r="AA222" t="s">
        <v>83</v>
      </c>
      <c r="AB222" t="s">
        <v>82</v>
      </c>
      <c r="AC222" t="s">
        <v>90</v>
      </c>
      <c r="AD222" t="s">
        <v>90</v>
      </c>
      <c r="AE222" t="s">
        <v>83</v>
      </c>
      <c r="AF222" t="s">
        <v>83</v>
      </c>
      <c r="AG222" t="s">
        <v>81</v>
      </c>
      <c r="AH222" t="s">
        <v>90</v>
      </c>
      <c r="AI222" t="s">
        <v>84</v>
      </c>
      <c r="AJ222" t="s">
        <v>89</v>
      </c>
      <c r="AK222" t="s">
        <v>85</v>
      </c>
      <c r="AL222" t="s">
        <v>107</v>
      </c>
      <c r="AM222" t="s">
        <v>87</v>
      </c>
      <c r="AN222" t="s">
        <v>87</v>
      </c>
      <c r="AO222" t="s">
        <v>87</v>
      </c>
      <c r="AP222" t="s">
        <v>87</v>
      </c>
      <c r="AQ222" t="s">
        <v>87</v>
      </c>
      <c r="AR222" t="s">
        <v>97</v>
      </c>
      <c r="AS222" t="s">
        <v>76</v>
      </c>
      <c r="AT222" t="s">
        <v>107</v>
      </c>
      <c r="AU222">
        <v>1</v>
      </c>
      <c r="AV222">
        <v>0</v>
      </c>
      <c r="AW222">
        <v>0</v>
      </c>
      <c r="AX222">
        <v>0</v>
      </c>
      <c r="AY222">
        <v>0</v>
      </c>
      <c r="AZ222" t="s">
        <v>580</v>
      </c>
    </row>
    <row r="223" spans="1:52" x14ac:dyDescent="0.2">
      <c r="A223">
        <v>1</v>
      </c>
      <c r="B223">
        <v>0</v>
      </c>
      <c r="C223">
        <v>0</v>
      </c>
      <c r="D223">
        <v>0</v>
      </c>
      <c r="E223">
        <v>0</v>
      </c>
      <c r="F223">
        <v>0</v>
      </c>
      <c r="G223">
        <v>1</v>
      </c>
      <c r="H223">
        <v>0</v>
      </c>
      <c r="I223">
        <v>1</v>
      </c>
      <c r="J223" t="s">
        <v>135</v>
      </c>
      <c r="K223" t="s">
        <v>80</v>
      </c>
      <c r="L223">
        <v>0</v>
      </c>
      <c r="M223">
        <v>0</v>
      </c>
      <c r="N223">
        <v>1</v>
      </c>
      <c r="O223">
        <v>0</v>
      </c>
      <c r="P223">
        <v>0</v>
      </c>
      <c r="Q223" t="s">
        <v>584</v>
      </c>
      <c r="AA223" t="s">
        <v>83</v>
      </c>
      <c r="AB223" t="s">
        <v>81</v>
      </c>
      <c r="AC223" t="s">
        <v>83</v>
      </c>
      <c r="AD223" t="s">
        <v>83</v>
      </c>
      <c r="AE223" t="s">
        <v>82</v>
      </c>
      <c r="AF223" t="s">
        <v>81</v>
      </c>
      <c r="AG223" t="s">
        <v>83</v>
      </c>
      <c r="AH223" t="s">
        <v>81</v>
      </c>
      <c r="AI223" t="s">
        <v>135</v>
      </c>
      <c r="AJ223" t="s">
        <v>80</v>
      </c>
      <c r="AK223" t="s">
        <v>117</v>
      </c>
      <c r="AL223" t="s">
        <v>73</v>
      </c>
      <c r="AM223" t="s">
        <v>86</v>
      </c>
      <c r="AN223" t="s">
        <v>86</v>
      </c>
      <c r="AO223" t="s">
        <v>86</v>
      </c>
      <c r="AP223" t="s">
        <v>86</v>
      </c>
      <c r="AQ223" t="s">
        <v>86</v>
      </c>
      <c r="AR223" t="s">
        <v>75</v>
      </c>
      <c r="AS223" t="s">
        <v>76</v>
      </c>
      <c r="AT223" t="s">
        <v>73</v>
      </c>
      <c r="AU223">
        <v>1</v>
      </c>
      <c r="AV223">
        <v>0</v>
      </c>
      <c r="AW223">
        <v>0</v>
      </c>
      <c r="AX223">
        <v>0</v>
      </c>
      <c r="AY223">
        <v>0</v>
      </c>
      <c r="AZ223" t="s">
        <v>578</v>
      </c>
    </row>
    <row r="224" spans="1:52" x14ac:dyDescent="0.2">
      <c r="A224">
        <v>1</v>
      </c>
      <c r="B224">
        <v>0</v>
      </c>
      <c r="C224">
        <v>0</v>
      </c>
      <c r="D224">
        <v>0</v>
      </c>
      <c r="E224">
        <v>0</v>
      </c>
      <c r="F224">
        <v>0</v>
      </c>
      <c r="G224">
        <v>0</v>
      </c>
      <c r="H224">
        <v>0</v>
      </c>
      <c r="I224">
        <v>1</v>
      </c>
      <c r="J224" t="s">
        <v>88</v>
      </c>
      <c r="K224" t="s">
        <v>89</v>
      </c>
      <c r="L224">
        <v>0</v>
      </c>
      <c r="M224">
        <v>0</v>
      </c>
      <c r="N224">
        <v>1</v>
      </c>
      <c r="O224">
        <v>0</v>
      </c>
      <c r="P224">
        <v>0</v>
      </c>
      <c r="Q224" t="s">
        <v>584</v>
      </c>
      <c r="AA224" t="s">
        <v>82</v>
      </c>
      <c r="AB224" t="s">
        <v>82</v>
      </c>
      <c r="AC224" t="s">
        <v>83</v>
      </c>
      <c r="AD224" t="s">
        <v>81</v>
      </c>
      <c r="AE224" t="s">
        <v>81</v>
      </c>
      <c r="AF224" t="s">
        <v>83</v>
      </c>
      <c r="AG224" t="s">
        <v>83</v>
      </c>
      <c r="AH224" t="s">
        <v>83</v>
      </c>
      <c r="AI224" t="s">
        <v>88</v>
      </c>
      <c r="AJ224" t="s">
        <v>89</v>
      </c>
      <c r="AK224" t="s">
        <v>85</v>
      </c>
      <c r="AL224" t="s">
        <v>73</v>
      </c>
      <c r="AM224" t="s">
        <v>86</v>
      </c>
      <c r="AN224" t="s">
        <v>74</v>
      </c>
      <c r="AO224" t="s">
        <v>74</v>
      </c>
      <c r="AP224" t="s">
        <v>74</v>
      </c>
      <c r="AQ224" t="s">
        <v>74</v>
      </c>
      <c r="AR224" t="s">
        <v>97</v>
      </c>
      <c r="AS224" t="s">
        <v>76</v>
      </c>
      <c r="AT224" t="s">
        <v>73</v>
      </c>
      <c r="AU224">
        <v>1</v>
      </c>
      <c r="AV224">
        <v>0</v>
      </c>
      <c r="AW224">
        <v>0</v>
      </c>
      <c r="AX224">
        <v>0</v>
      </c>
      <c r="AY224">
        <v>0</v>
      </c>
      <c r="AZ224" t="s">
        <v>580</v>
      </c>
    </row>
    <row r="225" spans="1:52" x14ac:dyDescent="0.2">
      <c r="A225">
        <v>1</v>
      </c>
      <c r="B225">
        <v>0</v>
      </c>
      <c r="C225">
        <v>0</v>
      </c>
      <c r="D225">
        <v>0</v>
      </c>
      <c r="E225">
        <v>1</v>
      </c>
      <c r="F225">
        <v>0</v>
      </c>
      <c r="G225">
        <v>0</v>
      </c>
      <c r="H225">
        <v>0</v>
      </c>
      <c r="I225">
        <v>0</v>
      </c>
      <c r="L225">
        <v>0</v>
      </c>
      <c r="M225">
        <v>0</v>
      </c>
      <c r="N225">
        <v>1</v>
      </c>
      <c r="O225">
        <v>0</v>
      </c>
      <c r="P225">
        <v>0</v>
      </c>
      <c r="Q225" t="s">
        <v>584</v>
      </c>
      <c r="AA225" t="s">
        <v>82</v>
      </c>
      <c r="AB225" t="s">
        <v>83</v>
      </c>
      <c r="AC225" t="s">
        <v>83</v>
      </c>
      <c r="AD225" t="s">
        <v>83</v>
      </c>
      <c r="AE225" t="s">
        <v>82</v>
      </c>
      <c r="AF225" t="s">
        <v>83</v>
      </c>
      <c r="AG225" t="s">
        <v>82</v>
      </c>
      <c r="AH225" t="s">
        <v>82</v>
      </c>
      <c r="AI225" t="s">
        <v>88</v>
      </c>
      <c r="AJ225" t="s">
        <v>89</v>
      </c>
      <c r="AK225" t="s">
        <v>169</v>
      </c>
      <c r="AL225" t="s">
        <v>96</v>
      </c>
      <c r="AM225" t="s">
        <v>86</v>
      </c>
      <c r="AN225" t="s">
        <v>87</v>
      </c>
      <c r="AO225" t="s">
        <v>86</v>
      </c>
      <c r="AP225" t="s">
        <v>86</v>
      </c>
      <c r="AQ225" t="s">
        <v>86</v>
      </c>
      <c r="AR225" t="s">
        <v>75</v>
      </c>
      <c r="AS225" t="s">
        <v>76</v>
      </c>
      <c r="AT225" t="s">
        <v>96</v>
      </c>
      <c r="AU225">
        <v>1</v>
      </c>
      <c r="AV225">
        <v>0</v>
      </c>
      <c r="AW225">
        <v>0</v>
      </c>
      <c r="AX225">
        <v>0</v>
      </c>
      <c r="AY225">
        <v>0</v>
      </c>
      <c r="AZ225" t="s">
        <v>580</v>
      </c>
    </row>
    <row r="226" spans="1:52" x14ac:dyDescent="0.2">
      <c r="A226">
        <v>1</v>
      </c>
      <c r="B226">
        <v>0</v>
      </c>
      <c r="C226">
        <v>0</v>
      </c>
      <c r="D226">
        <v>0</v>
      </c>
      <c r="E226">
        <v>1</v>
      </c>
      <c r="F226">
        <v>0</v>
      </c>
      <c r="G226">
        <v>0</v>
      </c>
      <c r="H226">
        <v>0</v>
      </c>
      <c r="I226">
        <v>0</v>
      </c>
      <c r="L226">
        <v>1</v>
      </c>
      <c r="M226">
        <v>0</v>
      </c>
      <c r="N226">
        <v>0</v>
      </c>
      <c r="O226">
        <v>0</v>
      </c>
      <c r="P226">
        <v>0</v>
      </c>
      <c r="Q226" t="s">
        <v>584</v>
      </c>
      <c r="R226">
        <v>0</v>
      </c>
      <c r="S226">
        <v>0</v>
      </c>
      <c r="T226">
        <v>1</v>
      </c>
      <c r="U226">
        <v>0</v>
      </c>
      <c r="V226">
        <v>0</v>
      </c>
      <c r="W226">
        <v>0</v>
      </c>
      <c r="X226">
        <v>0</v>
      </c>
      <c r="Y226">
        <v>0</v>
      </c>
      <c r="Z226">
        <v>0</v>
      </c>
      <c r="AL226" t="s">
        <v>96</v>
      </c>
      <c r="AM226" t="s">
        <v>87</v>
      </c>
      <c r="AN226" t="s">
        <v>87</v>
      </c>
      <c r="AO226" t="s">
        <v>87</v>
      </c>
      <c r="AP226" t="s">
        <v>87</v>
      </c>
      <c r="AQ226" t="s">
        <v>87</v>
      </c>
      <c r="AR226" t="s">
        <v>75</v>
      </c>
      <c r="AS226" t="s">
        <v>76</v>
      </c>
      <c r="AT226" t="s">
        <v>96</v>
      </c>
      <c r="AU226">
        <v>1</v>
      </c>
      <c r="AV226">
        <v>0</v>
      </c>
      <c r="AW226">
        <v>0</v>
      </c>
      <c r="AX226">
        <v>0</v>
      </c>
      <c r="AY226">
        <v>0</v>
      </c>
      <c r="AZ226" t="s">
        <v>580</v>
      </c>
    </row>
    <row r="227" spans="1:52" x14ac:dyDescent="0.2">
      <c r="A227">
        <v>1</v>
      </c>
      <c r="B227">
        <v>0</v>
      </c>
      <c r="C227">
        <v>0</v>
      </c>
      <c r="D227">
        <v>0</v>
      </c>
      <c r="E227">
        <v>0</v>
      </c>
      <c r="F227">
        <v>1</v>
      </c>
      <c r="G227">
        <v>0</v>
      </c>
      <c r="H227">
        <v>1</v>
      </c>
      <c r="I227">
        <v>0</v>
      </c>
      <c r="J227" t="s">
        <v>88</v>
      </c>
      <c r="K227" t="s">
        <v>89</v>
      </c>
      <c r="L227">
        <v>0</v>
      </c>
      <c r="M227">
        <v>1</v>
      </c>
      <c r="N227">
        <v>0</v>
      </c>
      <c r="O227">
        <v>0</v>
      </c>
      <c r="P227">
        <v>0</v>
      </c>
      <c r="Q227" t="s">
        <v>584</v>
      </c>
      <c r="AA227" t="s">
        <v>81</v>
      </c>
      <c r="AB227" t="s">
        <v>82</v>
      </c>
      <c r="AC227" t="s">
        <v>82</v>
      </c>
      <c r="AD227" t="s">
        <v>83</v>
      </c>
      <c r="AE227" t="s">
        <v>82</v>
      </c>
      <c r="AF227" t="s">
        <v>83</v>
      </c>
      <c r="AG227" t="s">
        <v>81</v>
      </c>
      <c r="AH227" t="s">
        <v>83</v>
      </c>
      <c r="AI227" t="s">
        <v>88</v>
      </c>
      <c r="AJ227" t="s">
        <v>89</v>
      </c>
      <c r="AK227" t="s">
        <v>100</v>
      </c>
      <c r="AL227" t="s">
        <v>107</v>
      </c>
      <c r="AM227" t="s">
        <v>86</v>
      </c>
      <c r="AN227" t="s">
        <v>74</v>
      </c>
      <c r="AO227" t="s">
        <v>87</v>
      </c>
      <c r="AP227" t="s">
        <v>87</v>
      </c>
      <c r="AQ227" t="s">
        <v>74</v>
      </c>
      <c r="AR227" t="s">
        <v>97</v>
      </c>
      <c r="AS227" t="s">
        <v>76</v>
      </c>
      <c r="AT227" t="s">
        <v>107</v>
      </c>
      <c r="AU227">
        <v>1</v>
      </c>
      <c r="AV227">
        <v>0</v>
      </c>
      <c r="AW227">
        <v>0</v>
      </c>
      <c r="AX227">
        <v>0</v>
      </c>
      <c r="AY227">
        <v>0</v>
      </c>
      <c r="AZ227" t="s">
        <v>581</v>
      </c>
    </row>
    <row r="228" spans="1:52" x14ac:dyDescent="0.2">
      <c r="A228">
        <v>1</v>
      </c>
      <c r="B228">
        <v>0</v>
      </c>
      <c r="C228">
        <v>0</v>
      </c>
      <c r="D228">
        <v>0</v>
      </c>
      <c r="E228">
        <v>0</v>
      </c>
      <c r="F228">
        <v>1</v>
      </c>
      <c r="G228">
        <v>0</v>
      </c>
      <c r="H228">
        <v>0</v>
      </c>
      <c r="I228">
        <v>0</v>
      </c>
      <c r="J228" t="s">
        <v>88</v>
      </c>
      <c r="K228" t="s">
        <v>89</v>
      </c>
      <c r="L228">
        <v>1</v>
      </c>
      <c r="M228">
        <v>0</v>
      </c>
      <c r="N228">
        <v>0</v>
      </c>
      <c r="O228">
        <v>0</v>
      </c>
      <c r="P228">
        <v>0</v>
      </c>
      <c r="Q228" t="s">
        <v>584</v>
      </c>
      <c r="R228">
        <v>0</v>
      </c>
      <c r="S228">
        <v>0</v>
      </c>
      <c r="T228">
        <v>1</v>
      </c>
      <c r="U228">
        <v>0</v>
      </c>
      <c r="V228">
        <v>0</v>
      </c>
      <c r="W228">
        <v>0</v>
      </c>
      <c r="X228">
        <v>0</v>
      </c>
      <c r="Y228">
        <v>0</v>
      </c>
      <c r="Z228">
        <v>0</v>
      </c>
      <c r="AL228" t="s">
        <v>107</v>
      </c>
      <c r="AM228" t="s">
        <v>87</v>
      </c>
      <c r="AN228" t="s">
        <v>87</v>
      </c>
      <c r="AO228" t="s">
        <v>87</v>
      </c>
      <c r="AP228" t="s">
        <v>87</v>
      </c>
      <c r="AQ228" t="s">
        <v>87</v>
      </c>
      <c r="AR228" t="s">
        <v>75</v>
      </c>
      <c r="AS228" t="s">
        <v>76</v>
      </c>
      <c r="AT228" t="s">
        <v>107</v>
      </c>
      <c r="AU228">
        <v>1</v>
      </c>
      <c r="AV228">
        <v>0</v>
      </c>
      <c r="AW228">
        <v>0</v>
      </c>
      <c r="AX228">
        <v>0</v>
      </c>
      <c r="AY228">
        <v>0</v>
      </c>
      <c r="AZ228" t="s">
        <v>580</v>
      </c>
    </row>
    <row r="229" spans="1:52" x14ac:dyDescent="0.2">
      <c r="A229">
        <v>1</v>
      </c>
      <c r="B229">
        <v>0</v>
      </c>
      <c r="C229">
        <v>0</v>
      </c>
      <c r="D229">
        <v>0</v>
      </c>
      <c r="E229">
        <v>0</v>
      </c>
      <c r="F229">
        <v>1</v>
      </c>
      <c r="G229">
        <v>1</v>
      </c>
      <c r="H229">
        <v>1</v>
      </c>
      <c r="I229">
        <v>0</v>
      </c>
      <c r="J229" t="s">
        <v>88</v>
      </c>
      <c r="K229" t="s">
        <v>89</v>
      </c>
      <c r="L229">
        <v>0</v>
      </c>
      <c r="M229">
        <v>1</v>
      </c>
      <c r="N229">
        <v>0</v>
      </c>
      <c r="O229">
        <v>0</v>
      </c>
      <c r="P229">
        <v>0</v>
      </c>
      <c r="Q229" t="s">
        <v>584</v>
      </c>
      <c r="AA229" t="s">
        <v>90</v>
      </c>
      <c r="AB229" t="s">
        <v>82</v>
      </c>
      <c r="AC229" t="s">
        <v>81</v>
      </c>
      <c r="AD229" t="s">
        <v>82</v>
      </c>
      <c r="AE229" t="s">
        <v>83</v>
      </c>
      <c r="AF229" t="s">
        <v>83</v>
      </c>
      <c r="AG229" t="s">
        <v>90</v>
      </c>
      <c r="AH229" t="s">
        <v>83</v>
      </c>
      <c r="AI229" t="s">
        <v>88</v>
      </c>
      <c r="AJ229" t="s">
        <v>80</v>
      </c>
      <c r="AK229" t="s">
        <v>117</v>
      </c>
      <c r="AL229" t="s">
        <v>107</v>
      </c>
      <c r="AM229" t="s">
        <v>87</v>
      </c>
      <c r="AN229" t="s">
        <v>87</v>
      </c>
      <c r="AO229" t="s">
        <v>87</v>
      </c>
      <c r="AP229" t="s">
        <v>87</v>
      </c>
      <c r="AQ229" t="s">
        <v>87</v>
      </c>
      <c r="AR229" t="s">
        <v>75</v>
      </c>
      <c r="AS229" t="s">
        <v>76</v>
      </c>
      <c r="AT229" t="s">
        <v>107</v>
      </c>
      <c r="AU229">
        <v>1</v>
      </c>
      <c r="AV229">
        <v>0</v>
      </c>
      <c r="AW229">
        <v>0</v>
      </c>
      <c r="AX229">
        <v>0</v>
      </c>
      <c r="AY229">
        <v>0</v>
      </c>
      <c r="AZ229" t="s">
        <v>579</v>
      </c>
    </row>
    <row r="230" spans="1:52" x14ac:dyDescent="0.2">
      <c r="A230">
        <v>1</v>
      </c>
      <c r="B230">
        <v>1</v>
      </c>
      <c r="C230">
        <v>0</v>
      </c>
      <c r="D230">
        <v>0</v>
      </c>
      <c r="E230">
        <v>0</v>
      </c>
      <c r="F230">
        <v>1</v>
      </c>
      <c r="G230">
        <v>1</v>
      </c>
      <c r="H230">
        <v>1</v>
      </c>
      <c r="I230">
        <v>0</v>
      </c>
      <c r="J230" t="s">
        <v>88</v>
      </c>
      <c r="K230" t="s">
        <v>89</v>
      </c>
      <c r="L230">
        <v>0</v>
      </c>
      <c r="M230">
        <v>1</v>
      </c>
      <c r="N230">
        <v>0</v>
      </c>
      <c r="O230">
        <v>0</v>
      </c>
      <c r="P230">
        <v>0</v>
      </c>
      <c r="Q230" t="s">
        <v>584</v>
      </c>
      <c r="AA230" t="s">
        <v>83</v>
      </c>
      <c r="AB230" t="s">
        <v>82</v>
      </c>
      <c r="AC230" t="s">
        <v>82</v>
      </c>
      <c r="AD230" t="s">
        <v>82</v>
      </c>
      <c r="AE230" t="s">
        <v>82</v>
      </c>
      <c r="AF230" t="s">
        <v>83</v>
      </c>
      <c r="AG230" t="s">
        <v>83</v>
      </c>
      <c r="AH230" t="s">
        <v>83</v>
      </c>
      <c r="AI230" t="s">
        <v>88</v>
      </c>
      <c r="AJ230" t="s">
        <v>89</v>
      </c>
      <c r="AK230" t="s">
        <v>100</v>
      </c>
      <c r="AL230" t="s">
        <v>96</v>
      </c>
      <c r="AM230" t="s">
        <v>87</v>
      </c>
      <c r="AN230" t="s">
        <v>87</v>
      </c>
      <c r="AO230" t="s">
        <v>74</v>
      </c>
      <c r="AP230" t="s">
        <v>87</v>
      </c>
      <c r="AQ230" t="s">
        <v>87</v>
      </c>
      <c r="AR230" t="s">
        <v>113</v>
      </c>
      <c r="AS230" t="s">
        <v>76</v>
      </c>
      <c r="AT230" t="s">
        <v>96</v>
      </c>
      <c r="AU230">
        <v>1</v>
      </c>
      <c r="AV230">
        <v>0</v>
      </c>
      <c r="AW230">
        <v>0</v>
      </c>
      <c r="AX230">
        <v>0</v>
      </c>
      <c r="AY230">
        <v>0</v>
      </c>
      <c r="AZ230" t="s">
        <v>581</v>
      </c>
    </row>
    <row r="231" spans="1:52" x14ac:dyDescent="0.2">
      <c r="A231">
        <v>0</v>
      </c>
      <c r="B231">
        <v>1</v>
      </c>
      <c r="C231">
        <v>0</v>
      </c>
      <c r="D231">
        <v>0</v>
      </c>
      <c r="E231">
        <v>1</v>
      </c>
      <c r="F231">
        <v>0</v>
      </c>
      <c r="G231">
        <v>0</v>
      </c>
      <c r="H231">
        <v>0</v>
      </c>
      <c r="I231">
        <v>0</v>
      </c>
      <c r="L231">
        <v>0</v>
      </c>
      <c r="M231">
        <v>1</v>
      </c>
      <c r="N231">
        <v>0</v>
      </c>
      <c r="O231">
        <v>0</v>
      </c>
      <c r="P231">
        <v>0</v>
      </c>
      <c r="Q231" t="s">
        <v>584</v>
      </c>
      <c r="AA231" t="s">
        <v>83</v>
      </c>
      <c r="AB231" t="s">
        <v>82</v>
      </c>
      <c r="AC231" t="s">
        <v>83</v>
      </c>
      <c r="AD231" t="s">
        <v>83</v>
      </c>
      <c r="AE231" t="s">
        <v>83</v>
      </c>
      <c r="AF231" t="s">
        <v>83</v>
      </c>
      <c r="AG231" t="s">
        <v>83</v>
      </c>
      <c r="AH231" t="s">
        <v>83</v>
      </c>
      <c r="AI231" t="s">
        <v>88</v>
      </c>
      <c r="AJ231" t="s">
        <v>89</v>
      </c>
      <c r="AK231" t="s">
        <v>85</v>
      </c>
      <c r="AL231" t="s">
        <v>107</v>
      </c>
      <c r="AM231" t="s">
        <v>87</v>
      </c>
      <c r="AN231" t="s">
        <v>87</v>
      </c>
      <c r="AO231" t="s">
        <v>87</v>
      </c>
      <c r="AP231" t="s">
        <v>87</v>
      </c>
      <c r="AQ231" t="s">
        <v>87</v>
      </c>
      <c r="AR231" t="s">
        <v>108</v>
      </c>
      <c r="AS231" t="s">
        <v>76</v>
      </c>
      <c r="AT231" t="s">
        <v>107</v>
      </c>
      <c r="AU231">
        <v>1</v>
      </c>
      <c r="AV231">
        <v>0</v>
      </c>
      <c r="AW231">
        <v>0</v>
      </c>
      <c r="AX231">
        <v>0</v>
      </c>
      <c r="AY231">
        <v>0</v>
      </c>
      <c r="AZ231" t="s">
        <v>579</v>
      </c>
    </row>
    <row r="232" spans="1:52" x14ac:dyDescent="0.2">
      <c r="A232">
        <v>0</v>
      </c>
      <c r="B232">
        <v>1</v>
      </c>
      <c r="C232">
        <v>0</v>
      </c>
      <c r="D232">
        <v>0</v>
      </c>
      <c r="E232">
        <v>0</v>
      </c>
      <c r="F232">
        <v>1</v>
      </c>
      <c r="G232">
        <v>1</v>
      </c>
      <c r="H232">
        <v>1</v>
      </c>
      <c r="I232">
        <v>0</v>
      </c>
      <c r="J232" t="s">
        <v>88</v>
      </c>
      <c r="K232" t="s">
        <v>89</v>
      </c>
      <c r="L232">
        <v>0</v>
      </c>
      <c r="M232">
        <v>0</v>
      </c>
      <c r="N232">
        <v>0</v>
      </c>
      <c r="O232">
        <v>0</v>
      </c>
      <c r="P232">
        <v>0</v>
      </c>
      <c r="Q232" t="s">
        <v>585</v>
      </c>
      <c r="AA232" t="s">
        <v>83</v>
      </c>
      <c r="AB232" t="s">
        <v>82</v>
      </c>
      <c r="AC232" t="s">
        <v>81</v>
      </c>
      <c r="AD232" t="s">
        <v>81</v>
      </c>
      <c r="AE232" t="s">
        <v>83</v>
      </c>
      <c r="AF232" t="s">
        <v>83</v>
      </c>
      <c r="AG232" t="s">
        <v>83</v>
      </c>
      <c r="AH232" t="s">
        <v>83</v>
      </c>
      <c r="AI232" t="s">
        <v>88</v>
      </c>
      <c r="AJ232" t="s">
        <v>89</v>
      </c>
      <c r="AK232" t="s">
        <v>100</v>
      </c>
      <c r="AL232" t="s">
        <v>107</v>
      </c>
      <c r="AM232" t="s">
        <v>87</v>
      </c>
      <c r="AN232" t="s">
        <v>87</v>
      </c>
      <c r="AO232" t="s">
        <v>87</v>
      </c>
      <c r="AP232" t="s">
        <v>87</v>
      </c>
      <c r="AQ232" t="s">
        <v>87</v>
      </c>
      <c r="AR232" t="s">
        <v>75</v>
      </c>
      <c r="AS232" t="s">
        <v>76</v>
      </c>
      <c r="AT232" t="s">
        <v>107</v>
      </c>
      <c r="AU232">
        <v>1</v>
      </c>
      <c r="AV232">
        <v>0</v>
      </c>
      <c r="AW232">
        <v>0</v>
      </c>
      <c r="AX232">
        <v>0</v>
      </c>
      <c r="AY232">
        <v>0</v>
      </c>
      <c r="AZ232" t="s">
        <v>580</v>
      </c>
    </row>
    <row r="233" spans="1:52" x14ac:dyDescent="0.2">
      <c r="A233">
        <v>0</v>
      </c>
      <c r="B233">
        <v>1</v>
      </c>
      <c r="C233">
        <v>0</v>
      </c>
      <c r="D233">
        <v>0</v>
      </c>
      <c r="E233">
        <v>0</v>
      </c>
      <c r="F233">
        <v>1</v>
      </c>
      <c r="G233">
        <v>1</v>
      </c>
      <c r="H233">
        <v>0</v>
      </c>
      <c r="I233">
        <v>0</v>
      </c>
      <c r="J233" t="s">
        <v>88</v>
      </c>
      <c r="K233" t="s">
        <v>80</v>
      </c>
      <c r="L233">
        <v>0</v>
      </c>
      <c r="M233">
        <v>0</v>
      </c>
      <c r="N233">
        <v>0</v>
      </c>
      <c r="O233">
        <v>0</v>
      </c>
      <c r="P233">
        <v>1</v>
      </c>
      <c r="Q233" t="s">
        <v>584</v>
      </c>
      <c r="AA233" t="s">
        <v>81</v>
      </c>
      <c r="AB233" t="s">
        <v>81</v>
      </c>
      <c r="AC233" t="s">
        <v>81</v>
      </c>
      <c r="AD233" t="s">
        <v>81</v>
      </c>
      <c r="AE233" t="s">
        <v>82</v>
      </c>
      <c r="AF233" t="s">
        <v>83</v>
      </c>
      <c r="AG233" t="s">
        <v>81</v>
      </c>
      <c r="AH233" t="s">
        <v>81</v>
      </c>
      <c r="AI233" t="s">
        <v>88</v>
      </c>
      <c r="AJ233" t="s">
        <v>80</v>
      </c>
      <c r="AK233" t="s">
        <v>85</v>
      </c>
      <c r="AL233" t="s">
        <v>96</v>
      </c>
      <c r="AM233" t="s">
        <v>87</v>
      </c>
      <c r="AN233" t="s">
        <v>87</v>
      </c>
      <c r="AO233" t="s">
        <v>87</v>
      </c>
      <c r="AP233" t="s">
        <v>74</v>
      </c>
      <c r="AQ233" t="s">
        <v>87</v>
      </c>
      <c r="AR233" t="s">
        <v>75</v>
      </c>
      <c r="AS233" t="s">
        <v>76</v>
      </c>
      <c r="AT233" t="s">
        <v>96</v>
      </c>
      <c r="AU233">
        <v>1</v>
      </c>
      <c r="AV233">
        <v>0</v>
      </c>
      <c r="AW233">
        <v>0</v>
      </c>
      <c r="AX233">
        <v>0</v>
      </c>
      <c r="AY233">
        <v>0</v>
      </c>
      <c r="AZ233" t="s">
        <v>578</v>
      </c>
    </row>
    <row r="234" spans="1:52" x14ac:dyDescent="0.2">
      <c r="A234">
        <v>1</v>
      </c>
      <c r="B234">
        <v>0</v>
      </c>
      <c r="C234">
        <v>0</v>
      </c>
      <c r="D234">
        <v>0</v>
      </c>
      <c r="E234">
        <v>0</v>
      </c>
      <c r="F234">
        <v>0</v>
      </c>
      <c r="G234">
        <v>1</v>
      </c>
      <c r="H234">
        <v>0</v>
      </c>
      <c r="I234">
        <v>0</v>
      </c>
      <c r="J234" t="s">
        <v>88</v>
      </c>
      <c r="K234" t="s">
        <v>89</v>
      </c>
      <c r="L234">
        <v>0</v>
      </c>
      <c r="M234">
        <v>0</v>
      </c>
      <c r="N234">
        <v>0</v>
      </c>
      <c r="O234">
        <v>1</v>
      </c>
      <c r="P234">
        <v>0</v>
      </c>
      <c r="Q234" t="s">
        <v>584</v>
      </c>
      <c r="AA234" t="s">
        <v>83</v>
      </c>
      <c r="AB234" t="s">
        <v>82</v>
      </c>
      <c r="AC234" t="s">
        <v>83</v>
      </c>
      <c r="AD234" t="s">
        <v>82</v>
      </c>
      <c r="AE234" t="s">
        <v>83</v>
      </c>
      <c r="AF234" t="s">
        <v>83</v>
      </c>
      <c r="AG234" t="s">
        <v>81</v>
      </c>
      <c r="AH234" t="s">
        <v>83</v>
      </c>
      <c r="AI234" t="s">
        <v>88</v>
      </c>
      <c r="AJ234" t="s">
        <v>89</v>
      </c>
      <c r="AK234" t="s">
        <v>100</v>
      </c>
      <c r="AL234" t="s">
        <v>73</v>
      </c>
      <c r="AM234" t="s">
        <v>87</v>
      </c>
      <c r="AN234" t="s">
        <v>87</v>
      </c>
      <c r="AO234" t="s">
        <v>87</v>
      </c>
      <c r="AP234" t="s">
        <v>87</v>
      </c>
      <c r="AQ234" t="s">
        <v>87</v>
      </c>
      <c r="AR234" t="s">
        <v>75</v>
      </c>
      <c r="AS234" t="s">
        <v>76</v>
      </c>
      <c r="AT234" t="s">
        <v>73</v>
      </c>
      <c r="AU234">
        <v>1</v>
      </c>
      <c r="AV234">
        <v>0</v>
      </c>
      <c r="AW234">
        <v>0</v>
      </c>
      <c r="AX234">
        <v>0</v>
      </c>
      <c r="AY234">
        <v>0</v>
      </c>
      <c r="AZ234" t="s">
        <v>578</v>
      </c>
    </row>
    <row r="235" spans="1:52" x14ac:dyDescent="0.2">
      <c r="A235">
        <v>0</v>
      </c>
      <c r="B235">
        <v>1</v>
      </c>
      <c r="C235">
        <v>0</v>
      </c>
      <c r="D235">
        <v>0</v>
      </c>
      <c r="E235">
        <v>1</v>
      </c>
      <c r="F235">
        <v>0</v>
      </c>
      <c r="G235">
        <v>0</v>
      </c>
      <c r="H235">
        <v>0</v>
      </c>
      <c r="I235">
        <v>0</v>
      </c>
      <c r="L235">
        <v>1</v>
      </c>
      <c r="M235">
        <v>0</v>
      </c>
      <c r="N235">
        <v>0</v>
      </c>
      <c r="O235">
        <v>0</v>
      </c>
      <c r="P235">
        <v>0</v>
      </c>
      <c r="Q235" t="s">
        <v>584</v>
      </c>
      <c r="R235">
        <v>0</v>
      </c>
      <c r="S235">
        <v>0</v>
      </c>
      <c r="T235">
        <v>1</v>
      </c>
      <c r="U235">
        <v>0</v>
      </c>
      <c r="V235">
        <v>0</v>
      </c>
      <c r="W235">
        <v>0</v>
      </c>
      <c r="X235">
        <v>0</v>
      </c>
      <c r="Y235">
        <v>0</v>
      </c>
      <c r="Z235">
        <v>0</v>
      </c>
      <c r="AL235" t="s">
        <v>73</v>
      </c>
      <c r="AM235" t="s">
        <v>87</v>
      </c>
      <c r="AN235" t="s">
        <v>87</v>
      </c>
      <c r="AO235" t="s">
        <v>87</v>
      </c>
      <c r="AP235" t="s">
        <v>87</v>
      </c>
      <c r="AQ235" t="s">
        <v>87</v>
      </c>
      <c r="AR235" t="s">
        <v>113</v>
      </c>
      <c r="AS235" t="s">
        <v>76</v>
      </c>
      <c r="AT235" t="s">
        <v>73</v>
      </c>
      <c r="AU235">
        <v>1</v>
      </c>
      <c r="AV235">
        <v>0</v>
      </c>
      <c r="AW235">
        <v>0</v>
      </c>
      <c r="AX235">
        <v>0</v>
      </c>
      <c r="AY235">
        <v>0</v>
      </c>
      <c r="AZ235" t="s">
        <v>580</v>
      </c>
    </row>
    <row r="236" spans="1:52" x14ac:dyDescent="0.2">
      <c r="A236">
        <v>1</v>
      </c>
      <c r="B236">
        <v>0</v>
      </c>
      <c r="C236">
        <v>0</v>
      </c>
      <c r="D236">
        <v>0</v>
      </c>
      <c r="E236">
        <v>0</v>
      </c>
      <c r="F236">
        <v>1</v>
      </c>
      <c r="G236">
        <v>1</v>
      </c>
      <c r="H236">
        <v>0</v>
      </c>
      <c r="I236">
        <v>0</v>
      </c>
      <c r="J236" t="s">
        <v>88</v>
      </c>
      <c r="K236" t="s">
        <v>89</v>
      </c>
      <c r="L236">
        <v>0</v>
      </c>
      <c r="M236">
        <v>0</v>
      </c>
      <c r="N236">
        <v>1</v>
      </c>
      <c r="O236">
        <v>0</v>
      </c>
      <c r="P236">
        <v>0</v>
      </c>
      <c r="Q236" t="s">
        <v>584</v>
      </c>
      <c r="AA236" t="s">
        <v>83</v>
      </c>
      <c r="AB236" t="s">
        <v>83</v>
      </c>
      <c r="AC236" t="s">
        <v>81</v>
      </c>
      <c r="AD236" t="s">
        <v>81</v>
      </c>
      <c r="AE236" t="s">
        <v>82</v>
      </c>
      <c r="AF236" t="s">
        <v>83</v>
      </c>
      <c r="AG236" t="s">
        <v>81</v>
      </c>
      <c r="AH236" t="s">
        <v>83</v>
      </c>
      <c r="AI236" t="s">
        <v>88</v>
      </c>
      <c r="AJ236" t="s">
        <v>89</v>
      </c>
      <c r="AK236" t="s">
        <v>100</v>
      </c>
      <c r="AL236" t="s">
        <v>107</v>
      </c>
      <c r="AM236" t="s">
        <v>86</v>
      </c>
      <c r="AN236" t="s">
        <v>87</v>
      </c>
      <c r="AO236" t="s">
        <v>86</v>
      </c>
      <c r="AP236" t="s">
        <v>86</v>
      </c>
      <c r="AQ236" t="s">
        <v>74</v>
      </c>
      <c r="AR236" t="s">
        <v>97</v>
      </c>
      <c r="AS236" t="s">
        <v>76</v>
      </c>
      <c r="AT236" t="s">
        <v>107</v>
      </c>
      <c r="AU236">
        <v>1</v>
      </c>
      <c r="AV236">
        <v>0</v>
      </c>
      <c r="AW236">
        <v>0</v>
      </c>
      <c r="AX236">
        <v>0</v>
      </c>
      <c r="AY236">
        <v>0</v>
      </c>
      <c r="AZ236" t="s">
        <v>580</v>
      </c>
    </row>
    <row r="237" spans="1:52" x14ac:dyDescent="0.2">
      <c r="A237">
        <v>1</v>
      </c>
      <c r="B237">
        <v>0</v>
      </c>
      <c r="C237">
        <v>0</v>
      </c>
      <c r="D237">
        <v>0</v>
      </c>
      <c r="E237">
        <v>1</v>
      </c>
      <c r="F237">
        <v>0</v>
      </c>
      <c r="G237">
        <v>0</v>
      </c>
      <c r="H237">
        <v>0</v>
      </c>
      <c r="I237">
        <v>0</v>
      </c>
      <c r="L237">
        <v>0</v>
      </c>
      <c r="M237">
        <v>0</v>
      </c>
      <c r="N237">
        <v>1</v>
      </c>
      <c r="O237">
        <v>0</v>
      </c>
      <c r="P237">
        <v>0</v>
      </c>
      <c r="Q237" t="s">
        <v>584</v>
      </c>
      <c r="AA237" t="s">
        <v>83</v>
      </c>
      <c r="AB237" t="s">
        <v>83</v>
      </c>
      <c r="AC237" t="s">
        <v>83</v>
      </c>
      <c r="AD237" t="s">
        <v>83</v>
      </c>
      <c r="AE237" t="s">
        <v>82</v>
      </c>
      <c r="AF237" t="s">
        <v>83</v>
      </c>
      <c r="AG237" t="s">
        <v>83</v>
      </c>
      <c r="AH237" t="s">
        <v>81</v>
      </c>
      <c r="AI237" t="s">
        <v>84</v>
      </c>
      <c r="AJ237" t="s">
        <v>89</v>
      </c>
      <c r="AK237" t="s">
        <v>85</v>
      </c>
      <c r="AL237" t="s">
        <v>107</v>
      </c>
      <c r="AM237" t="s">
        <v>87</v>
      </c>
      <c r="AN237" t="s">
        <v>87</v>
      </c>
      <c r="AO237" t="s">
        <v>87</v>
      </c>
      <c r="AP237" t="s">
        <v>87</v>
      </c>
      <c r="AQ237" t="s">
        <v>87</v>
      </c>
      <c r="AR237" t="s">
        <v>75</v>
      </c>
      <c r="AS237" t="s">
        <v>76</v>
      </c>
      <c r="AT237" t="s">
        <v>107</v>
      </c>
      <c r="AU237">
        <v>1</v>
      </c>
      <c r="AV237">
        <v>0</v>
      </c>
      <c r="AW237">
        <v>0</v>
      </c>
      <c r="AX237">
        <v>0</v>
      </c>
      <c r="AY237">
        <v>0</v>
      </c>
      <c r="AZ237" t="s">
        <v>579</v>
      </c>
    </row>
    <row r="238" spans="1:52" x14ac:dyDescent="0.2">
      <c r="A238">
        <v>0</v>
      </c>
      <c r="B238">
        <v>1</v>
      </c>
      <c r="C238">
        <v>0</v>
      </c>
      <c r="D238">
        <v>0</v>
      </c>
      <c r="E238">
        <v>1</v>
      </c>
      <c r="F238">
        <v>0</v>
      </c>
      <c r="G238">
        <v>0</v>
      </c>
      <c r="H238">
        <v>0</v>
      </c>
      <c r="I238">
        <v>0</v>
      </c>
      <c r="L238">
        <v>0</v>
      </c>
      <c r="M238">
        <v>1</v>
      </c>
      <c r="N238">
        <v>0</v>
      </c>
      <c r="O238">
        <v>0</v>
      </c>
      <c r="P238">
        <v>0</v>
      </c>
      <c r="Q238" t="s">
        <v>584</v>
      </c>
      <c r="AA238" t="s">
        <v>83</v>
      </c>
      <c r="AB238" t="s">
        <v>82</v>
      </c>
      <c r="AC238" t="s">
        <v>83</v>
      </c>
      <c r="AD238" t="s">
        <v>83</v>
      </c>
      <c r="AE238" t="s">
        <v>81</v>
      </c>
      <c r="AF238" t="s">
        <v>83</v>
      </c>
      <c r="AG238" t="s">
        <v>83</v>
      </c>
      <c r="AH238" t="s">
        <v>83</v>
      </c>
      <c r="AI238" t="s">
        <v>88</v>
      </c>
      <c r="AJ238" t="s">
        <v>89</v>
      </c>
      <c r="AK238" t="s">
        <v>85</v>
      </c>
      <c r="AL238" t="s">
        <v>107</v>
      </c>
      <c r="AM238" t="s">
        <v>74</v>
      </c>
      <c r="AR238" t="s">
        <v>97</v>
      </c>
      <c r="AS238" t="s">
        <v>76</v>
      </c>
      <c r="AT238" t="s">
        <v>107</v>
      </c>
      <c r="AU238">
        <v>0</v>
      </c>
      <c r="AV238">
        <v>0</v>
      </c>
      <c r="AW238">
        <v>0</v>
      </c>
      <c r="AX238">
        <v>0</v>
      </c>
      <c r="AY238">
        <v>1</v>
      </c>
      <c r="AZ238" t="s">
        <v>580</v>
      </c>
    </row>
    <row r="239" spans="1:52" x14ac:dyDescent="0.2">
      <c r="A239">
        <v>0</v>
      </c>
      <c r="B239">
        <v>1</v>
      </c>
      <c r="C239">
        <v>0</v>
      </c>
      <c r="D239">
        <v>0</v>
      </c>
      <c r="E239">
        <v>1</v>
      </c>
      <c r="F239">
        <v>0</v>
      </c>
      <c r="G239">
        <v>0</v>
      </c>
      <c r="H239">
        <v>0</v>
      </c>
      <c r="I239">
        <v>0</v>
      </c>
      <c r="L239">
        <v>1</v>
      </c>
      <c r="M239">
        <v>0</v>
      </c>
      <c r="N239">
        <v>0</v>
      </c>
      <c r="O239">
        <v>0</v>
      </c>
      <c r="P239">
        <v>0</v>
      </c>
      <c r="Q239" t="s">
        <v>584</v>
      </c>
      <c r="R239">
        <v>0</v>
      </c>
      <c r="S239">
        <v>0</v>
      </c>
      <c r="T239">
        <v>1</v>
      </c>
      <c r="U239">
        <v>0</v>
      </c>
      <c r="V239">
        <v>0</v>
      </c>
      <c r="W239">
        <v>0</v>
      </c>
      <c r="X239">
        <v>0</v>
      </c>
      <c r="Y239">
        <v>0</v>
      </c>
      <c r="Z239">
        <v>0</v>
      </c>
      <c r="AL239" t="s">
        <v>73</v>
      </c>
      <c r="AM239" t="s">
        <v>87</v>
      </c>
      <c r="AN239" t="s">
        <v>74</v>
      </c>
      <c r="AO239" t="s">
        <v>74</v>
      </c>
      <c r="AP239" t="s">
        <v>87</v>
      </c>
      <c r="AQ239" t="s">
        <v>74</v>
      </c>
      <c r="AR239" t="s">
        <v>97</v>
      </c>
      <c r="AS239" t="s">
        <v>76</v>
      </c>
      <c r="AT239" t="s">
        <v>73</v>
      </c>
      <c r="AU239">
        <v>1</v>
      </c>
      <c r="AV239">
        <v>0</v>
      </c>
      <c r="AW239">
        <v>0</v>
      </c>
      <c r="AX239">
        <v>0</v>
      </c>
      <c r="AY239">
        <v>0</v>
      </c>
      <c r="AZ239" t="s">
        <v>580</v>
      </c>
    </row>
    <row r="240" spans="1:52" x14ac:dyDescent="0.2">
      <c r="A240">
        <v>0</v>
      </c>
      <c r="B240">
        <v>0</v>
      </c>
      <c r="C240">
        <v>0</v>
      </c>
      <c r="D240">
        <v>1</v>
      </c>
      <c r="L240">
        <v>1</v>
      </c>
      <c r="M240">
        <v>0</v>
      </c>
      <c r="N240">
        <v>0</v>
      </c>
      <c r="O240">
        <v>0</v>
      </c>
      <c r="P240">
        <v>0</v>
      </c>
      <c r="Q240" t="s">
        <v>584</v>
      </c>
      <c r="R240">
        <v>0</v>
      </c>
      <c r="S240">
        <v>0</v>
      </c>
      <c r="T240">
        <v>1</v>
      </c>
      <c r="U240">
        <v>0</v>
      </c>
      <c r="V240">
        <v>0</v>
      </c>
      <c r="W240">
        <v>1</v>
      </c>
      <c r="X240">
        <v>0</v>
      </c>
      <c r="Y240">
        <v>1</v>
      </c>
      <c r="Z240">
        <v>1</v>
      </c>
      <c r="AL240" t="s">
        <v>73</v>
      </c>
      <c r="AR240" t="s">
        <v>97</v>
      </c>
      <c r="AS240" t="s">
        <v>76</v>
      </c>
      <c r="AT240" t="s">
        <v>73</v>
      </c>
      <c r="AU240">
        <v>1</v>
      </c>
      <c r="AV240">
        <v>0</v>
      </c>
      <c r="AW240">
        <v>0</v>
      </c>
      <c r="AX240">
        <v>0</v>
      </c>
      <c r="AY240">
        <v>0</v>
      </c>
      <c r="AZ240" t="s">
        <v>580</v>
      </c>
    </row>
    <row r="241" spans="1:52" x14ac:dyDescent="0.2">
      <c r="A241">
        <v>0</v>
      </c>
      <c r="B241">
        <v>1</v>
      </c>
      <c r="C241">
        <v>0</v>
      </c>
      <c r="D241">
        <v>0</v>
      </c>
      <c r="E241">
        <v>0</v>
      </c>
      <c r="F241">
        <v>1</v>
      </c>
      <c r="G241">
        <v>0</v>
      </c>
      <c r="H241">
        <v>1</v>
      </c>
      <c r="I241">
        <v>0</v>
      </c>
      <c r="J241" t="s">
        <v>88</v>
      </c>
      <c r="K241" t="s">
        <v>89</v>
      </c>
      <c r="L241">
        <v>0</v>
      </c>
      <c r="M241">
        <v>1</v>
      </c>
      <c r="N241">
        <v>0</v>
      </c>
      <c r="O241">
        <v>0</v>
      </c>
      <c r="P241">
        <v>0</v>
      </c>
      <c r="Q241" t="s">
        <v>584</v>
      </c>
      <c r="AA241" t="s">
        <v>83</v>
      </c>
      <c r="AB241" t="s">
        <v>82</v>
      </c>
      <c r="AC241" t="s">
        <v>82</v>
      </c>
      <c r="AD241" t="s">
        <v>90</v>
      </c>
      <c r="AE241" t="s">
        <v>83</v>
      </c>
      <c r="AF241" t="s">
        <v>83</v>
      </c>
      <c r="AG241" t="s">
        <v>81</v>
      </c>
      <c r="AH241" t="s">
        <v>83</v>
      </c>
      <c r="AI241" t="s">
        <v>88</v>
      </c>
      <c r="AJ241" t="s">
        <v>89</v>
      </c>
      <c r="AK241" t="s">
        <v>100</v>
      </c>
      <c r="AL241" t="s">
        <v>96</v>
      </c>
      <c r="AM241" t="s">
        <v>86</v>
      </c>
      <c r="AN241" t="s">
        <v>87</v>
      </c>
      <c r="AO241" t="s">
        <v>87</v>
      </c>
      <c r="AP241" t="s">
        <v>87</v>
      </c>
      <c r="AQ241" t="s">
        <v>86</v>
      </c>
      <c r="AR241" t="s">
        <v>101</v>
      </c>
      <c r="AS241" t="s">
        <v>76</v>
      </c>
      <c r="AT241" t="s">
        <v>96</v>
      </c>
      <c r="AU241">
        <v>1</v>
      </c>
      <c r="AV241">
        <v>0</v>
      </c>
      <c r="AW241">
        <v>0</v>
      </c>
      <c r="AX241">
        <v>0</v>
      </c>
      <c r="AY241">
        <v>0</v>
      </c>
      <c r="AZ241" t="s">
        <v>580</v>
      </c>
    </row>
    <row r="242" spans="1:52" x14ac:dyDescent="0.2">
      <c r="A242">
        <v>1</v>
      </c>
      <c r="B242">
        <v>0</v>
      </c>
      <c r="C242">
        <v>0</v>
      </c>
      <c r="D242">
        <v>0</v>
      </c>
      <c r="E242">
        <v>0</v>
      </c>
      <c r="F242">
        <v>0</v>
      </c>
      <c r="G242">
        <v>0</v>
      </c>
      <c r="H242">
        <v>1</v>
      </c>
      <c r="I242">
        <v>0</v>
      </c>
      <c r="J242" t="s">
        <v>79</v>
      </c>
      <c r="K242" t="s">
        <v>142</v>
      </c>
      <c r="L242">
        <v>1</v>
      </c>
      <c r="M242">
        <v>0</v>
      </c>
      <c r="N242">
        <v>0</v>
      </c>
      <c r="O242">
        <v>0</v>
      </c>
      <c r="P242">
        <v>0</v>
      </c>
      <c r="Q242" t="s">
        <v>584</v>
      </c>
      <c r="R242">
        <v>0</v>
      </c>
      <c r="S242">
        <v>0</v>
      </c>
      <c r="T242">
        <v>1</v>
      </c>
      <c r="U242">
        <v>0</v>
      </c>
      <c r="V242">
        <v>0</v>
      </c>
      <c r="W242">
        <v>0</v>
      </c>
      <c r="X242">
        <v>0</v>
      </c>
      <c r="Y242">
        <v>0</v>
      </c>
      <c r="Z242">
        <v>0</v>
      </c>
      <c r="AL242" t="s">
        <v>96</v>
      </c>
      <c r="AM242" t="s">
        <v>87</v>
      </c>
      <c r="AN242" t="s">
        <v>87</v>
      </c>
      <c r="AO242" t="s">
        <v>87</v>
      </c>
      <c r="AP242" t="s">
        <v>87</v>
      </c>
      <c r="AQ242" t="s">
        <v>87</v>
      </c>
      <c r="AR242" t="s">
        <v>101</v>
      </c>
      <c r="AS242" t="s">
        <v>76</v>
      </c>
      <c r="AT242" t="s">
        <v>96</v>
      </c>
      <c r="AU242">
        <v>1</v>
      </c>
      <c r="AV242">
        <v>0</v>
      </c>
      <c r="AW242">
        <v>0</v>
      </c>
      <c r="AX242">
        <v>0</v>
      </c>
      <c r="AY242">
        <v>0</v>
      </c>
      <c r="AZ242" t="s">
        <v>580</v>
      </c>
    </row>
    <row r="243" spans="1:52" x14ac:dyDescent="0.2">
      <c r="A243">
        <v>0</v>
      </c>
      <c r="B243">
        <v>1</v>
      </c>
      <c r="C243">
        <v>0</v>
      </c>
      <c r="D243">
        <v>0</v>
      </c>
      <c r="E243">
        <v>0</v>
      </c>
      <c r="F243">
        <v>0</v>
      </c>
      <c r="G243">
        <v>0</v>
      </c>
      <c r="H243">
        <v>1</v>
      </c>
      <c r="I243">
        <v>0</v>
      </c>
      <c r="J243" t="s">
        <v>88</v>
      </c>
      <c r="K243" t="s">
        <v>89</v>
      </c>
      <c r="L243">
        <v>0</v>
      </c>
      <c r="M243">
        <v>1</v>
      </c>
      <c r="N243">
        <v>0</v>
      </c>
      <c r="O243">
        <v>0</v>
      </c>
      <c r="P243">
        <v>0</v>
      </c>
      <c r="Q243" t="s">
        <v>584</v>
      </c>
      <c r="AA243" t="s">
        <v>83</v>
      </c>
      <c r="AB243" t="s">
        <v>83</v>
      </c>
      <c r="AC243" t="s">
        <v>82</v>
      </c>
      <c r="AD243" t="s">
        <v>81</v>
      </c>
      <c r="AE243" t="s">
        <v>83</v>
      </c>
      <c r="AF243" t="s">
        <v>90</v>
      </c>
      <c r="AG243" t="s">
        <v>83</v>
      </c>
      <c r="AH243" t="s">
        <v>83</v>
      </c>
      <c r="AI243" t="s">
        <v>88</v>
      </c>
      <c r="AJ243" t="s">
        <v>89</v>
      </c>
      <c r="AK243" t="s">
        <v>100</v>
      </c>
      <c r="AL243" t="s">
        <v>107</v>
      </c>
      <c r="AM243" t="s">
        <v>87</v>
      </c>
      <c r="AN243" t="s">
        <v>87</v>
      </c>
      <c r="AO243" t="s">
        <v>87</v>
      </c>
      <c r="AP243" t="s">
        <v>87</v>
      </c>
      <c r="AQ243" t="s">
        <v>87</v>
      </c>
      <c r="AR243" t="s">
        <v>97</v>
      </c>
      <c r="AS243" t="s">
        <v>76</v>
      </c>
      <c r="AT243" t="s">
        <v>107</v>
      </c>
      <c r="AU243">
        <v>1</v>
      </c>
      <c r="AV243">
        <v>0</v>
      </c>
      <c r="AW243">
        <v>0</v>
      </c>
      <c r="AX243">
        <v>0</v>
      </c>
      <c r="AY243">
        <v>0</v>
      </c>
      <c r="AZ243" t="s">
        <v>580</v>
      </c>
    </row>
    <row r="244" spans="1:52" x14ac:dyDescent="0.2">
      <c r="A244">
        <v>0</v>
      </c>
      <c r="B244">
        <v>1</v>
      </c>
      <c r="C244">
        <v>0</v>
      </c>
      <c r="D244">
        <v>0</v>
      </c>
      <c r="E244">
        <v>1</v>
      </c>
      <c r="F244">
        <v>0</v>
      </c>
      <c r="G244">
        <v>0</v>
      </c>
      <c r="H244">
        <v>0</v>
      </c>
      <c r="I244">
        <v>0</v>
      </c>
      <c r="L244">
        <v>1</v>
      </c>
      <c r="M244">
        <v>0</v>
      </c>
      <c r="N244">
        <v>0</v>
      </c>
      <c r="O244">
        <v>0</v>
      </c>
      <c r="P244">
        <v>0</v>
      </c>
      <c r="Q244" t="s">
        <v>584</v>
      </c>
      <c r="R244">
        <v>1</v>
      </c>
      <c r="S244">
        <v>0</v>
      </c>
      <c r="T244">
        <v>0</v>
      </c>
      <c r="U244">
        <v>0</v>
      </c>
      <c r="V244">
        <v>0</v>
      </c>
      <c r="W244">
        <v>0</v>
      </c>
      <c r="X244">
        <v>0</v>
      </c>
      <c r="Y244">
        <v>0</v>
      </c>
      <c r="Z244">
        <v>0</v>
      </c>
      <c r="AL244" t="s">
        <v>107</v>
      </c>
      <c r="AM244" t="s">
        <v>87</v>
      </c>
      <c r="AN244" t="s">
        <v>87</v>
      </c>
      <c r="AO244" t="s">
        <v>87</v>
      </c>
      <c r="AP244" t="s">
        <v>87</v>
      </c>
      <c r="AQ244" t="s">
        <v>87</v>
      </c>
      <c r="AR244" t="s">
        <v>101</v>
      </c>
      <c r="AS244" t="s">
        <v>76</v>
      </c>
      <c r="AT244" t="s">
        <v>107</v>
      </c>
      <c r="AU244">
        <v>0</v>
      </c>
      <c r="AV244">
        <v>0</v>
      </c>
      <c r="AW244">
        <v>0</v>
      </c>
      <c r="AX244">
        <v>1</v>
      </c>
      <c r="AY244">
        <v>0</v>
      </c>
      <c r="AZ244" t="s">
        <v>580</v>
      </c>
    </row>
    <row r="245" spans="1:52" x14ac:dyDescent="0.2">
      <c r="A245">
        <v>1</v>
      </c>
      <c r="B245">
        <v>0</v>
      </c>
      <c r="C245">
        <v>0</v>
      </c>
      <c r="D245">
        <v>0</v>
      </c>
      <c r="E245">
        <v>0</v>
      </c>
      <c r="F245">
        <v>1</v>
      </c>
      <c r="G245">
        <v>1</v>
      </c>
      <c r="H245">
        <v>0</v>
      </c>
      <c r="I245">
        <v>0</v>
      </c>
      <c r="J245" t="s">
        <v>88</v>
      </c>
      <c r="K245" t="s">
        <v>89</v>
      </c>
      <c r="L245">
        <v>0</v>
      </c>
      <c r="M245">
        <v>0</v>
      </c>
      <c r="N245">
        <v>1</v>
      </c>
      <c r="O245">
        <v>0</v>
      </c>
      <c r="P245">
        <v>0</v>
      </c>
      <c r="Q245" t="s">
        <v>584</v>
      </c>
      <c r="AA245" t="s">
        <v>90</v>
      </c>
      <c r="AB245" t="s">
        <v>82</v>
      </c>
      <c r="AC245" t="s">
        <v>90</v>
      </c>
      <c r="AD245" t="s">
        <v>81</v>
      </c>
      <c r="AE245" t="s">
        <v>90</v>
      </c>
      <c r="AF245" t="s">
        <v>90</v>
      </c>
      <c r="AG245" t="s">
        <v>90</v>
      </c>
      <c r="AH245" t="s">
        <v>90</v>
      </c>
      <c r="AI245" t="s">
        <v>88</v>
      </c>
      <c r="AJ245" t="s">
        <v>89</v>
      </c>
      <c r="AK245" t="s">
        <v>85</v>
      </c>
      <c r="AL245" t="s">
        <v>107</v>
      </c>
      <c r="AM245" t="s">
        <v>87</v>
      </c>
      <c r="AN245" t="s">
        <v>87</v>
      </c>
      <c r="AO245" t="s">
        <v>87</v>
      </c>
      <c r="AP245" t="s">
        <v>74</v>
      </c>
      <c r="AQ245" t="s">
        <v>87</v>
      </c>
      <c r="AR245" t="s">
        <v>97</v>
      </c>
      <c r="AS245" t="s">
        <v>76</v>
      </c>
      <c r="AT245" t="s">
        <v>107</v>
      </c>
      <c r="AU245">
        <v>1</v>
      </c>
      <c r="AV245">
        <v>0</v>
      </c>
      <c r="AW245">
        <v>0</v>
      </c>
      <c r="AX245">
        <v>0</v>
      </c>
      <c r="AY245">
        <v>0</v>
      </c>
      <c r="AZ245" t="s">
        <v>580</v>
      </c>
    </row>
    <row r="246" spans="1:52" x14ac:dyDescent="0.2">
      <c r="A246">
        <v>1</v>
      </c>
      <c r="B246">
        <v>0</v>
      </c>
      <c r="C246">
        <v>0</v>
      </c>
      <c r="D246">
        <v>0</v>
      </c>
      <c r="E246">
        <v>0</v>
      </c>
      <c r="F246">
        <v>1</v>
      </c>
      <c r="G246">
        <v>0</v>
      </c>
      <c r="H246">
        <v>1</v>
      </c>
      <c r="I246">
        <v>0</v>
      </c>
      <c r="J246" t="s">
        <v>88</v>
      </c>
      <c r="K246" t="s">
        <v>80</v>
      </c>
      <c r="L246">
        <v>0</v>
      </c>
      <c r="M246">
        <v>0</v>
      </c>
      <c r="N246">
        <v>1</v>
      </c>
      <c r="O246">
        <v>0</v>
      </c>
      <c r="P246">
        <v>0</v>
      </c>
      <c r="Q246" t="s">
        <v>584</v>
      </c>
      <c r="AA246" t="s">
        <v>83</v>
      </c>
      <c r="AB246" t="s">
        <v>81</v>
      </c>
      <c r="AC246" t="s">
        <v>81</v>
      </c>
      <c r="AD246" t="s">
        <v>83</v>
      </c>
      <c r="AE246" t="s">
        <v>82</v>
      </c>
      <c r="AF246" t="s">
        <v>83</v>
      </c>
      <c r="AG246" t="s">
        <v>82</v>
      </c>
      <c r="AH246" t="s">
        <v>83</v>
      </c>
      <c r="AI246" t="s">
        <v>88</v>
      </c>
      <c r="AJ246" t="s">
        <v>89</v>
      </c>
      <c r="AK246" t="s">
        <v>85</v>
      </c>
      <c r="AL246" t="s">
        <v>107</v>
      </c>
      <c r="AM246" t="s">
        <v>86</v>
      </c>
      <c r="AN246" t="s">
        <v>74</v>
      </c>
      <c r="AO246" t="s">
        <v>87</v>
      </c>
      <c r="AP246" t="s">
        <v>87</v>
      </c>
      <c r="AQ246" t="s">
        <v>86</v>
      </c>
      <c r="AR246" t="s">
        <v>97</v>
      </c>
      <c r="AS246" t="s">
        <v>76</v>
      </c>
      <c r="AT246" t="s">
        <v>107</v>
      </c>
      <c r="AU246">
        <v>1</v>
      </c>
      <c r="AV246">
        <v>0</v>
      </c>
      <c r="AW246">
        <v>0</v>
      </c>
      <c r="AX246">
        <v>0</v>
      </c>
      <c r="AY246">
        <v>0</v>
      </c>
      <c r="AZ246" t="s">
        <v>580</v>
      </c>
    </row>
    <row r="247" spans="1:52" x14ac:dyDescent="0.2">
      <c r="A247">
        <v>1</v>
      </c>
      <c r="B247">
        <v>0</v>
      </c>
      <c r="C247">
        <v>0</v>
      </c>
      <c r="D247">
        <v>0</v>
      </c>
      <c r="E247">
        <v>1</v>
      </c>
      <c r="F247">
        <v>0</v>
      </c>
      <c r="G247">
        <v>0</v>
      </c>
      <c r="H247">
        <v>0</v>
      </c>
      <c r="I247">
        <v>0</v>
      </c>
      <c r="L247">
        <v>1</v>
      </c>
      <c r="M247">
        <v>0</v>
      </c>
      <c r="N247">
        <v>0</v>
      </c>
      <c r="O247">
        <v>0</v>
      </c>
      <c r="P247">
        <v>0</v>
      </c>
      <c r="Q247" t="s">
        <v>584</v>
      </c>
      <c r="R247">
        <v>1</v>
      </c>
      <c r="S247">
        <v>0</v>
      </c>
      <c r="T247">
        <v>0</v>
      </c>
      <c r="U247">
        <v>0</v>
      </c>
      <c r="V247">
        <v>0</v>
      </c>
      <c r="W247">
        <v>0</v>
      </c>
      <c r="X247">
        <v>0</v>
      </c>
      <c r="Y247">
        <v>0</v>
      </c>
      <c r="Z247">
        <v>0</v>
      </c>
      <c r="AL247" t="s">
        <v>107</v>
      </c>
      <c r="AM247" t="s">
        <v>87</v>
      </c>
      <c r="AN247" t="s">
        <v>87</v>
      </c>
      <c r="AO247" t="s">
        <v>87</v>
      </c>
      <c r="AP247" t="s">
        <v>87</v>
      </c>
      <c r="AQ247" t="s">
        <v>86</v>
      </c>
      <c r="AR247" t="s">
        <v>159</v>
      </c>
      <c r="AS247" t="s">
        <v>76</v>
      </c>
      <c r="AT247" t="s">
        <v>107</v>
      </c>
      <c r="AU247">
        <v>0</v>
      </c>
      <c r="AV247">
        <v>0</v>
      </c>
      <c r="AW247">
        <v>0</v>
      </c>
      <c r="AX247">
        <v>1</v>
      </c>
      <c r="AY247">
        <v>0</v>
      </c>
      <c r="AZ247" t="s">
        <v>579</v>
      </c>
    </row>
    <row r="248" spans="1:52" x14ac:dyDescent="0.2">
      <c r="A248">
        <v>1</v>
      </c>
      <c r="B248">
        <v>0</v>
      </c>
      <c r="C248">
        <v>0</v>
      </c>
      <c r="D248">
        <v>0</v>
      </c>
      <c r="E248">
        <v>1</v>
      </c>
      <c r="F248">
        <v>0</v>
      </c>
      <c r="G248">
        <v>0</v>
      </c>
      <c r="H248">
        <v>0</v>
      </c>
      <c r="I248">
        <v>0</v>
      </c>
      <c r="L248">
        <v>0</v>
      </c>
      <c r="M248">
        <v>0</v>
      </c>
      <c r="N248">
        <v>1</v>
      </c>
      <c r="O248">
        <v>0</v>
      </c>
      <c r="P248">
        <v>0</v>
      </c>
      <c r="Q248" t="s">
        <v>584</v>
      </c>
      <c r="AA248" t="s">
        <v>83</v>
      </c>
      <c r="AB248" t="s">
        <v>83</v>
      </c>
      <c r="AC248" t="s">
        <v>90</v>
      </c>
      <c r="AD248" t="s">
        <v>83</v>
      </c>
      <c r="AE248" t="s">
        <v>81</v>
      </c>
      <c r="AF248" t="s">
        <v>83</v>
      </c>
      <c r="AG248" t="s">
        <v>83</v>
      </c>
      <c r="AH248" t="s">
        <v>82</v>
      </c>
      <c r="AI248" t="s">
        <v>88</v>
      </c>
      <c r="AJ248" t="s">
        <v>80</v>
      </c>
      <c r="AK248" t="s">
        <v>85</v>
      </c>
      <c r="AL248" t="s">
        <v>107</v>
      </c>
      <c r="AM248" t="s">
        <v>86</v>
      </c>
      <c r="AN248" t="s">
        <v>86</v>
      </c>
      <c r="AO248" t="s">
        <v>86</v>
      </c>
      <c r="AP248" t="s">
        <v>86</v>
      </c>
      <c r="AQ248" t="s">
        <v>86</v>
      </c>
      <c r="AR248" t="s">
        <v>75</v>
      </c>
      <c r="AS248" t="s">
        <v>76</v>
      </c>
      <c r="AT248" t="s">
        <v>107</v>
      </c>
      <c r="AU248">
        <v>1</v>
      </c>
      <c r="AV248">
        <v>0</v>
      </c>
      <c r="AW248">
        <v>0</v>
      </c>
      <c r="AX248">
        <v>0</v>
      </c>
      <c r="AY248">
        <v>0</v>
      </c>
      <c r="AZ248" t="s">
        <v>579</v>
      </c>
    </row>
    <row r="249" spans="1:52" x14ac:dyDescent="0.2">
      <c r="A249">
        <v>1</v>
      </c>
      <c r="B249">
        <v>0</v>
      </c>
      <c r="C249">
        <v>0</v>
      </c>
      <c r="D249">
        <v>0</v>
      </c>
      <c r="E249">
        <v>1</v>
      </c>
      <c r="F249">
        <v>0</v>
      </c>
      <c r="G249">
        <v>0</v>
      </c>
      <c r="H249">
        <v>0</v>
      </c>
      <c r="I249">
        <v>0</v>
      </c>
      <c r="L249">
        <v>1</v>
      </c>
      <c r="M249">
        <v>0</v>
      </c>
      <c r="N249">
        <v>0</v>
      </c>
      <c r="O249">
        <v>0</v>
      </c>
      <c r="P249">
        <v>0</v>
      </c>
      <c r="Q249" t="s">
        <v>584</v>
      </c>
      <c r="R249">
        <v>0</v>
      </c>
      <c r="S249">
        <v>0</v>
      </c>
      <c r="T249">
        <v>1</v>
      </c>
      <c r="U249">
        <v>0</v>
      </c>
      <c r="V249">
        <v>0</v>
      </c>
      <c r="W249">
        <v>0</v>
      </c>
      <c r="X249">
        <v>1</v>
      </c>
      <c r="Y249">
        <v>0</v>
      </c>
      <c r="Z249">
        <v>0</v>
      </c>
      <c r="AL249" t="s">
        <v>73</v>
      </c>
      <c r="AM249" t="s">
        <v>86</v>
      </c>
      <c r="AN249" t="s">
        <v>86</v>
      </c>
      <c r="AO249" t="s">
        <v>86</v>
      </c>
      <c r="AP249" t="s">
        <v>86</v>
      </c>
      <c r="AQ249" t="s">
        <v>86</v>
      </c>
      <c r="AR249" t="s">
        <v>75</v>
      </c>
      <c r="AS249" t="s">
        <v>76</v>
      </c>
      <c r="AT249" t="s">
        <v>73</v>
      </c>
      <c r="AU249">
        <v>1</v>
      </c>
      <c r="AV249">
        <v>0</v>
      </c>
      <c r="AW249">
        <v>0</v>
      </c>
      <c r="AX249">
        <v>0</v>
      </c>
      <c r="AY249">
        <v>0</v>
      </c>
      <c r="AZ249" t="s">
        <v>580</v>
      </c>
    </row>
    <row r="250" spans="1:52" x14ac:dyDescent="0.2">
      <c r="A250">
        <v>0</v>
      </c>
      <c r="B250">
        <v>1</v>
      </c>
      <c r="C250">
        <v>0</v>
      </c>
      <c r="D250">
        <v>0</v>
      </c>
      <c r="E250">
        <v>0</v>
      </c>
      <c r="F250">
        <v>1</v>
      </c>
      <c r="G250">
        <v>0</v>
      </c>
      <c r="H250">
        <v>0</v>
      </c>
      <c r="I250">
        <v>0</v>
      </c>
      <c r="J250" t="s">
        <v>88</v>
      </c>
      <c r="K250" t="s">
        <v>223</v>
      </c>
      <c r="L250">
        <v>0</v>
      </c>
      <c r="M250">
        <v>1</v>
      </c>
      <c r="N250">
        <v>0</v>
      </c>
      <c r="O250">
        <v>0</v>
      </c>
      <c r="P250">
        <v>0</v>
      </c>
      <c r="Q250" t="s">
        <v>584</v>
      </c>
      <c r="AA250" t="s">
        <v>83</v>
      </c>
      <c r="AB250" t="s">
        <v>82</v>
      </c>
      <c r="AC250" t="s">
        <v>83</v>
      </c>
      <c r="AD250" t="s">
        <v>83</v>
      </c>
      <c r="AE250" t="s">
        <v>83</v>
      </c>
      <c r="AF250" t="s">
        <v>81</v>
      </c>
      <c r="AG250" t="s">
        <v>83</v>
      </c>
      <c r="AH250" t="s">
        <v>83</v>
      </c>
      <c r="AI250" t="s">
        <v>88</v>
      </c>
      <c r="AJ250" t="s">
        <v>223</v>
      </c>
      <c r="AK250" t="s">
        <v>85</v>
      </c>
      <c r="AL250" t="s">
        <v>73</v>
      </c>
      <c r="AM250" t="s">
        <v>87</v>
      </c>
      <c r="AN250" t="s">
        <v>87</v>
      </c>
      <c r="AO250" t="s">
        <v>87</v>
      </c>
      <c r="AP250" t="s">
        <v>74</v>
      </c>
      <c r="AQ250" t="s">
        <v>74</v>
      </c>
      <c r="AR250" t="s">
        <v>97</v>
      </c>
      <c r="AS250" t="s">
        <v>76</v>
      </c>
      <c r="AT250" t="s">
        <v>73</v>
      </c>
      <c r="AU250">
        <v>1</v>
      </c>
      <c r="AV250">
        <v>0</v>
      </c>
      <c r="AW250">
        <v>0</v>
      </c>
      <c r="AX250">
        <v>0</v>
      </c>
      <c r="AY250">
        <v>0</v>
      </c>
      <c r="AZ250" t="s">
        <v>580</v>
      </c>
    </row>
    <row r="251" spans="1:52" x14ac:dyDescent="0.2">
      <c r="A251">
        <v>0</v>
      </c>
      <c r="B251">
        <v>1</v>
      </c>
      <c r="C251">
        <v>0</v>
      </c>
      <c r="D251">
        <v>0</v>
      </c>
      <c r="E251">
        <v>1</v>
      </c>
      <c r="F251">
        <v>0</v>
      </c>
      <c r="G251">
        <v>0</v>
      </c>
      <c r="H251">
        <v>0</v>
      </c>
      <c r="I251">
        <v>0</v>
      </c>
      <c r="L251">
        <v>1</v>
      </c>
      <c r="M251">
        <v>0</v>
      </c>
      <c r="N251">
        <v>0</v>
      </c>
      <c r="O251">
        <v>0</v>
      </c>
      <c r="P251">
        <v>0</v>
      </c>
      <c r="Q251" t="s">
        <v>584</v>
      </c>
      <c r="R251">
        <v>0</v>
      </c>
      <c r="S251">
        <v>0</v>
      </c>
      <c r="T251">
        <v>1</v>
      </c>
      <c r="U251">
        <v>0</v>
      </c>
      <c r="V251">
        <v>0</v>
      </c>
      <c r="W251">
        <v>0</v>
      </c>
      <c r="X251">
        <v>0</v>
      </c>
      <c r="Y251">
        <v>0</v>
      </c>
      <c r="Z251">
        <v>0</v>
      </c>
      <c r="AL251" t="s">
        <v>107</v>
      </c>
      <c r="AM251" t="s">
        <v>86</v>
      </c>
      <c r="AN251" t="s">
        <v>87</v>
      </c>
      <c r="AO251" t="s">
        <v>74</v>
      </c>
      <c r="AP251" t="s">
        <v>87</v>
      </c>
      <c r="AQ251" t="s">
        <v>74</v>
      </c>
      <c r="AR251" t="s">
        <v>108</v>
      </c>
      <c r="AS251" t="s">
        <v>76</v>
      </c>
      <c r="AT251" t="s">
        <v>107</v>
      </c>
      <c r="AU251">
        <v>1</v>
      </c>
      <c r="AV251">
        <v>0</v>
      </c>
      <c r="AW251">
        <v>0</v>
      </c>
      <c r="AX251">
        <v>0</v>
      </c>
      <c r="AY251">
        <v>0</v>
      </c>
      <c r="AZ251" t="s">
        <v>580</v>
      </c>
    </row>
    <row r="252" spans="1:52" x14ac:dyDescent="0.2">
      <c r="A252">
        <v>1</v>
      </c>
      <c r="B252">
        <v>0</v>
      </c>
      <c r="C252">
        <v>0</v>
      </c>
      <c r="D252">
        <v>0</v>
      </c>
      <c r="E252">
        <v>0</v>
      </c>
      <c r="F252">
        <v>0</v>
      </c>
      <c r="G252">
        <v>1</v>
      </c>
      <c r="H252">
        <v>0</v>
      </c>
      <c r="I252">
        <v>0</v>
      </c>
      <c r="J252" t="s">
        <v>88</v>
      </c>
      <c r="K252" t="s">
        <v>89</v>
      </c>
      <c r="L252">
        <v>0</v>
      </c>
      <c r="M252">
        <v>1</v>
      </c>
      <c r="N252">
        <v>1</v>
      </c>
      <c r="O252">
        <v>0</v>
      </c>
      <c r="P252">
        <v>0</v>
      </c>
      <c r="Q252" t="s">
        <v>584</v>
      </c>
      <c r="AA252" t="s">
        <v>82</v>
      </c>
      <c r="AB252" t="s">
        <v>81</v>
      </c>
      <c r="AC252" t="s">
        <v>83</v>
      </c>
      <c r="AD252" t="s">
        <v>81</v>
      </c>
      <c r="AE252" t="s">
        <v>82</v>
      </c>
      <c r="AF252" t="s">
        <v>83</v>
      </c>
      <c r="AG252" t="s">
        <v>83</v>
      </c>
      <c r="AH252" t="s">
        <v>82</v>
      </c>
      <c r="AI252" t="s">
        <v>88</v>
      </c>
      <c r="AJ252" t="s">
        <v>89</v>
      </c>
      <c r="AK252" t="s">
        <v>85</v>
      </c>
      <c r="AL252" t="s">
        <v>73</v>
      </c>
      <c r="AM252" t="s">
        <v>87</v>
      </c>
      <c r="AN252" t="s">
        <v>87</v>
      </c>
      <c r="AO252" t="s">
        <v>86</v>
      </c>
      <c r="AP252" t="s">
        <v>86</v>
      </c>
      <c r="AQ252" t="s">
        <v>87</v>
      </c>
      <c r="AR252" t="s">
        <v>75</v>
      </c>
      <c r="AS252" t="s">
        <v>76</v>
      </c>
      <c r="AT252" t="s">
        <v>73</v>
      </c>
      <c r="AU252">
        <v>1</v>
      </c>
      <c r="AV252">
        <v>0</v>
      </c>
      <c r="AW252">
        <v>0</v>
      </c>
      <c r="AX252">
        <v>0</v>
      </c>
      <c r="AY252">
        <v>0</v>
      </c>
      <c r="AZ252" t="s">
        <v>578</v>
      </c>
    </row>
    <row r="253" spans="1:52" x14ac:dyDescent="0.2">
      <c r="A253">
        <v>0</v>
      </c>
      <c r="B253">
        <v>1</v>
      </c>
      <c r="C253">
        <v>0</v>
      </c>
      <c r="D253">
        <v>0</v>
      </c>
      <c r="E253">
        <v>1</v>
      </c>
      <c r="F253">
        <v>0</v>
      </c>
      <c r="G253">
        <v>0</v>
      </c>
      <c r="H253">
        <v>0</v>
      </c>
      <c r="I253">
        <v>0</v>
      </c>
      <c r="L253">
        <v>1</v>
      </c>
      <c r="M253">
        <v>0</v>
      </c>
      <c r="N253">
        <v>0</v>
      </c>
      <c r="O253">
        <v>0</v>
      </c>
      <c r="P253">
        <v>0</v>
      </c>
      <c r="Q253" t="s">
        <v>584</v>
      </c>
      <c r="R253">
        <v>0</v>
      </c>
      <c r="S253">
        <v>1</v>
      </c>
      <c r="T253">
        <v>0</v>
      </c>
      <c r="U253">
        <v>0</v>
      </c>
      <c r="V253">
        <v>0</v>
      </c>
      <c r="W253">
        <v>0</v>
      </c>
      <c r="X253">
        <v>0</v>
      </c>
      <c r="Y253">
        <v>0</v>
      </c>
      <c r="Z253">
        <v>0</v>
      </c>
      <c r="AL253" t="s">
        <v>107</v>
      </c>
      <c r="AM253" t="s">
        <v>87</v>
      </c>
      <c r="AN253" t="s">
        <v>87</v>
      </c>
      <c r="AO253" t="s">
        <v>87</v>
      </c>
      <c r="AP253" t="s">
        <v>87</v>
      </c>
      <c r="AQ253" t="s">
        <v>87</v>
      </c>
      <c r="AR253" t="s">
        <v>108</v>
      </c>
      <c r="AS253" t="s">
        <v>76</v>
      </c>
      <c r="AT253" t="s">
        <v>107</v>
      </c>
      <c r="AU253">
        <v>1</v>
      </c>
      <c r="AV253">
        <v>0</v>
      </c>
      <c r="AW253">
        <v>0</v>
      </c>
      <c r="AX253">
        <v>0</v>
      </c>
      <c r="AY253">
        <v>0</v>
      </c>
      <c r="AZ253" t="s">
        <v>579</v>
      </c>
    </row>
    <row r="254" spans="1:52" x14ac:dyDescent="0.2">
      <c r="A254">
        <v>1</v>
      </c>
      <c r="B254">
        <v>0</v>
      </c>
      <c r="C254">
        <v>0</v>
      </c>
      <c r="D254">
        <v>0</v>
      </c>
      <c r="E254">
        <v>1</v>
      </c>
      <c r="F254">
        <v>0</v>
      </c>
      <c r="G254">
        <v>0</v>
      </c>
      <c r="H254">
        <v>0</v>
      </c>
      <c r="I254">
        <v>0</v>
      </c>
      <c r="L254">
        <v>0</v>
      </c>
      <c r="M254">
        <v>1</v>
      </c>
      <c r="N254">
        <v>0</v>
      </c>
      <c r="O254">
        <v>0</v>
      </c>
      <c r="P254">
        <v>0</v>
      </c>
      <c r="Q254" t="s">
        <v>584</v>
      </c>
      <c r="AA254" t="s">
        <v>90</v>
      </c>
      <c r="AB254" t="s">
        <v>82</v>
      </c>
      <c r="AC254" t="s">
        <v>90</v>
      </c>
      <c r="AD254" t="s">
        <v>90</v>
      </c>
      <c r="AE254" t="s">
        <v>90</v>
      </c>
      <c r="AF254" t="s">
        <v>90</v>
      </c>
      <c r="AG254" t="s">
        <v>90</v>
      </c>
      <c r="AH254" t="s">
        <v>90</v>
      </c>
      <c r="AI254" t="s">
        <v>135</v>
      </c>
      <c r="AJ254" t="s">
        <v>80</v>
      </c>
      <c r="AK254" t="s">
        <v>85</v>
      </c>
      <c r="AL254" t="s">
        <v>107</v>
      </c>
      <c r="AM254" t="s">
        <v>87</v>
      </c>
      <c r="AN254" t="s">
        <v>87</v>
      </c>
      <c r="AO254" t="s">
        <v>87</v>
      </c>
      <c r="AP254" t="s">
        <v>87</v>
      </c>
      <c r="AQ254" t="s">
        <v>87</v>
      </c>
      <c r="AR254" t="s">
        <v>97</v>
      </c>
      <c r="AS254" t="s">
        <v>76</v>
      </c>
      <c r="AT254" t="s">
        <v>107</v>
      </c>
      <c r="AU254">
        <v>1</v>
      </c>
      <c r="AV254">
        <v>0</v>
      </c>
      <c r="AW254">
        <v>0</v>
      </c>
      <c r="AX254">
        <v>0</v>
      </c>
      <c r="AY254">
        <v>0</v>
      </c>
      <c r="AZ254" t="s">
        <v>580</v>
      </c>
    </row>
    <row r="255" spans="1:52" x14ac:dyDescent="0.2">
      <c r="A255">
        <v>1</v>
      </c>
      <c r="B255">
        <v>0</v>
      </c>
      <c r="C255">
        <v>0</v>
      </c>
      <c r="D255">
        <v>0</v>
      </c>
      <c r="E255">
        <v>1</v>
      </c>
      <c r="F255">
        <v>0</v>
      </c>
      <c r="G255">
        <v>0</v>
      </c>
      <c r="H255">
        <v>0</v>
      </c>
      <c r="I255">
        <v>0</v>
      </c>
      <c r="L255">
        <v>1</v>
      </c>
      <c r="M255">
        <v>0</v>
      </c>
      <c r="N255">
        <v>0</v>
      </c>
      <c r="O255">
        <v>0</v>
      </c>
      <c r="P255">
        <v>0</v>
      </c>
      <c r="Q255" t="s">
        <v>584</v>
      </c>
      <c r="R255">
        <v>1</v>
      </c>
      <c r="S255">
        <v>0</v>
      </c>
      <c r="T255">
        <v>0</v>
      </c>
      <c r="U255">
        <v>0</v>
      </c>
      <c r="V255">
        <v>0</v>
      </c>
      <c r="W255">
        <v>0</v>
      </c>
      <c r="X255">
        <v>0</v>
      </c>
      <c r="Y255">
        <v>0</v>
      </c>
      <c r="Z255">
        <v>0</v>
      </c>
      <c r="AL255" t="s">
        <v>73</v>
      </c>
      <c r="AM255" t="s">
        <v>86</v>
      </c>
      <c r="AN255" t="s">
        <v>87</v>
      </c>
      <c r="AO255" t="s">
        <v>87</v>
      </c>
      <c r="AP255" t="s">
        <v>87</v>
      </c>
      <c r="AQ255" t="s">
        <v>87</v>
      </c>
      <c r="AR255" t="s">
        <v>97</v>
      </c>
      <c r="AS255" t="s">
        <v>76</v>
      </c>
      <c r="AT255" t="s">
        <v>73</v>
      </c>
      <c r="AU255">
        <v>1</v>
      </c>
      <c r="AV255">
        <v>0</v>
      </c>
      <c r="AW255">
        <v>0</v>
      </c>
      <c r="AX255">
        <v>1</v>
      </c>
      <c r="AY255">
        <v>0</v>
      </c>
      <c r="AZ255" t="s">
        <v>581</v>
      </c>
    </row>
    <row r="256" spans="1:52" x14ac:dyDescent="0.2">
      <c r="A256">
        <v>1</v>
      </c>
      <c r="B256">
        <v>0</v>
      </c>
      <c r="C256">
        <v>0</v>
      </c>
      <c r="D256">
        <v>0</v>
      </c>
      <c r="E256">
        <v>0</v>
      </c>
      <c r="F256">
        <v>1</v>
      </c>
      <c r="G256">
        <v>0</v>
      </c>
      <c r="H256">
        <v>0</v>
      </c>
      <c r="I256">
        <v>0</v>
      </c>
      <c r="J256" t="s">
        <v>79</v>
      </c>
      <c r="K256" t="s">
        <v>80</v>
      </c>
      <c r="L256">
        <v>0</v>
      </c>
      <c r="M256">
        <v>0</v>
      </c>
      <c r="N256">
        <v>1</v>
      </c>
      <c r="O256">
        <v>0</v>
      </c>
      <c r="P256">
        <v>0</v>
      </c>
      <c r="Q256" t="s">
        <v>584</v>
      </c>
      <c r="AA256" t="s">
        <v>83</v>
      </c>
      <c r="AB256" t="s">
        <v>81</v>
      </c>
      <c r="AC256" t="s">
        <v>83</v>
      </c>
      <c r="AD256" t="s">
        <v>83</v>
      </c>
      <c r="AE256" t="s">
        <v>82</v>
      </c>
      <c r="AF256" t="s">
        <v>81</v>
      </c>
      <c r="AG256" t="s">
        <v>82</v>
      </c>
      <c r="AH256" t="s">
        <v>83</v>
      </c>
      <c r="AI256" t="s">
        <v>88</v>
      </c>
      <c r="AJ256" t="s">
        <v>89</v>
      </c>
      <c r="AK256" t="s">
        <v>85</v>
      </c>
      <c r="AL256" t="s">
        <v>73</v>
      </c>
      <c r="AM256" t="s">
        <v>86</v>
      </c>
      <c r="AN256" t="s">
        <v>87</v>
      </c>
      <c r="AO256" t="s">
        <v>87</v>
      </c>
      <c r="AP256" t="s">
        <v>74</v>
      </c>
      <c r="AQ256" t="s">
        <v>86</v>
      </c>
      <c r="AR256" t="s">
        <v>75</v>
      </c>
      <c r="AS256" t="s">
        <v>225</v>
      </c>
      <c r="AT256" t="s">
        <v>73</v>
      </c>
      <c r="AU256">
        <v>0</v>
      </c>
      <c r="AV256">
        <v>0</v>
      </c>
      <c r="AW256">
        <v>0</v>
      </c>
      <c r="AX256">
        <v>0</v>
      </c>
      <c r="AY256">
        <v>1</v>
      </c>
      <c r="AZ256" t="s">
        <v>578</v>
      </c>
    </row>
    <row r="257" spans="1:52" x14ac:dyDescent="0.2">
      <c r="A257">
        <v>0</v>
      </c>
      <c r="B257">
        <v>1</v>
      </c>
      <c r="C257">
        <v>0</v>
      </c>
      <c r="D257">
        <v>0</v>
      </c>
      <c r="E257">
        <v>1</v>
      </c>
      <c r="F257">
        <v>0</v>
      </c>
      <c r="G257">
        <v>0</v>
      </c>
      <c r="H257">
        <v>0</v>
      </c>
      <c r="I257">
        <v>0</v>
      </c>
      <c r="L257">
        <v>1</v>
      </c>
      <c r="M257">
        <v>0</v>
      </c>
      <c r="N257">
        <v>0</v>
      </c>
      <c r="O257">
        <v>0</v>
      </c>
      <c r="P257">
        <v>0</v>
      </c>
      <c r="Q257" t="s">
        <v>584</v>
      </c>
      <c r="R257">
        <v>0</v>
      </c>
      <c r="S257">
        <v>0</v>
      </c>
      <c r="T257">
        <v>0</v>
      </c>
      <c r="U257">
        <v>0</v>
      </c>
      <c r="V257">
        <v>0</v>
      </c>
      <c r="W257">
        <v>1</v>
      </c>
      <c r="X257">
        <v>0</v>
      </c>
      <c r="Y257">
        <v>0</v>
      </c>
      <c r="Z257">
        <v>0</v>
      </c>
      <c r="AL257" t="s">
        <v>96</v>
      </c>
      <c r="AM257" t="s">
        <v>87</v>
      </c>
      <c r="AN257" t="s">
        <v>87</v>
      </c>
      <c r="AO257" t="s">
        <v>87</v>
      </c>
      <c r="AP257" t="s">
        <v>87</v>
      </c>
      <c r="AQ257" t="s">
        <v>87</v>
      </c>
      <c r="AR257" t="s">
        <v>75</v>
      </c>
      <c r="AS257" t="s">
        <v>76</v>
      </c>
      <c r="AT257" t="s">
        <v>96</v>
      </c>
      <c r="AU257">
        <v>1</v>
      </c>
      <c r="AV257">
        <v>0</v>
      </c>
      <c r="AW257">
        <v>0</v>
      </c>
      <c r="AX257">
        <v>0</v>
      </c>
      <c r="AY257">
        <v>0</v>
      </c>
      <c r="AZ257" t="s">
        <v>580</v>
      </c>
    </row>
    <row r="258" spans="1:52" x14ac:dyDescent="0.2">
      <c r="A258">
        <v>1</v>
      </c>
      <c r="B258">
        <v>1</v>
      </c>
      <c r="C258">
        <v>0</v>
      </c>
      <c r="D258">
        <v>0</v>
      </c>
      <c r="E258">
        <v>1</v>
      </c>
      <c r="F258">
        <v>0</v>
      </c>
      <c r="G258">
        <v>0</v>
      </c>
      <c r="H258">
        <v>0</v>
      </c>
      <c r="I258">
        <v>0</v>
      </c>
      <c r="L258">
        <v>1</v>
      </c>
      <c r="M258">
        <v>0</v>
      </c>
      <c r="N258">
        <v>0</v>
      </c>
      <c r="O258">
        <v>0</v>
      </c>
      <c r="P258">
        <v>0</v>
      </c>
      <c r="Q258" t="s">
        <v>584</v>
      </c>
      <c r="R258">
        <v>0</v>
      </c>
      <c r="S258">
        <v>0</v>
      </c>
      <c r="T258">
        <v>0</v>
      </c>
      <c r="U258">
        <v>0</v>
      </c>
      <c r="V258">
        <v>0</v>
      </c>
      <c r="W258">
        <v>0</v>
      </c>
      <c r="X258">
        <v>0</v>
      </c>
      <c r="Y258">
        <v>0</v>
      </c>
      <c r="Z258">
        <v>1</v>
      </c>
      <c r="AL258" t="s">
        <v>73</v>
      </c>
      <c r="AM258" t="s">
        <v>87</v>
      </c>
      <c r="AN258" t="s">
        <v>87</v>
      </c>
      <c r="AO258" t="s">
        <v>87</v>
      </c>
      <c r="AP258" t="s">
        <v>87</v>
      </c>
      <c r="AQ258" t="s">
        <v>87</v>
      </c>
      <c r="AR258" t="s">
        <v>75</v>
      </c>
      <c r="AS258" t="s">
        <v>76</v>
      </c>
      <c r="AT258" t="s">
        <v>73</v>
      </c>
      <c r="AU258">
        <v>1</v>
      </c>
      <c r="AV258">
        <v>0</v>
      </c>
      <c r="AW258">
        <v>0</v>
      </c>
      <c r="AX258">
        <v>0</v>
      </c>
      <c r="AY258">
        <v>0</v>
      </c>
      <c r="AZ258" t="s">
        <v>580</v>
      </c>
    </row>
    <row r="259" spans="1:52" x14ac:dyDescent="0.2">
      <c r="A259">
        <v>0</v>
      </c>
      <c r="B259">
        <v>1</v>
      </c>
      <c r="C259">
        <v>0</v>
      </c>
      <c r="D259">
        <v>0</v>
      </c>
      <c r="E259">
        <v>1</v>
      </c>
      <c r="F259">
        <v>0</v>
      </c>
      <c r="G259">
        <v>0</v>
      </c>
      <c r="H259">
        <v>0</v>
      </c>
      <c r="I259">
        <v>0</v>
      </c>
      <c r="L259">
        <v>1</v>
      </c>
      <c r="M259">
        <v>0</v>
      </c>
      <c r="N259">
        <v>0</v>
      </c>
      <c r="O259">
        <v>0</v>
      </c>
      <c r="P259">
        <v>0</v>
      </c>
      <c r="Q259" t="s">
        <v>584</v>
      </c>
      <c r="R259">
        <v>0</v>
      </c>
      <c r="S259">
        <v>0</v>
      </c>
      <c r="T259">
        <v>0</v>
      </c>
      <c r="U259">
        <v>0</v>
      </c>
      <c r="V259">
        <v>0</v>
      </c>
      <c r="W259">
        <v>1</v>
      </c>
      <c r="X259">
        <v>1</v>
      </c>
      <c r="Y259">
        <v>0</v>
      </c>
      <c r="Z259">
        <v>0</v>
      </c>
      <c r="AL259" t="s">
        <v>73</v>
      </c>
      <c r="AM259" t="s">
        <v>74</v>
      </c>
      <c r="AR259" t="s">
        <v>75</v>
      </c>
      <c r="AS259" t="s">
        <v>76</v>
      </c>
      <c r="AT259" t="s">
        <v>73</v>
      </c>
      <c r="AU259">
        <v>1</v>
      </c>
      <c r="AV259">
        <v>0</v>
      </c>
      <c r="AW259">
        <v>0</v>
      </c>
      <c r="AX259">
        <v>0</v>
      </c>
      <c r="AY259">
        <v>0</v>
      </c>
      <c r="AZ259" t="s">
        <v>580</v>
      </c>
    </row>
    <row r="260" spans="1:52" x14ac:dyDescent="0.2">
      <c r="A260">
        <v>0</v>
      </c>
      <c r="B260">
        <v>1</v>
      </c>
      <c r="C260">
        <v>0</v>
      </c>
      <c r="D260">
        <v>0</v>
      </c>
      <c r="E260">
        <v>0</v>
      </c>
      <c r="F260">
        <v>1</v>
      </c>
      <c r="G260">
        <v>0</v>
      </c>
      <c r="H260">
        <v>0</v>
      </c>
      <c r="I260">
        <v>0</v>
      </c>
      <c r="J260" t="s">
        <v>88</v>
      </c>
      <c r="K260" t="s">
        <v>89</v>
      </c>
      <c r="L260">
        <v>0</v>
      </c>
      <c r="M260">
        <v>1</v>
      </c>
      <c r="N260">
        <v>0</v>
      </c>
      <c r="O260">
        <v>0</v>
      </c>
      <c r="P260">
        <v>0</v>
      </c>
      <c r="Q260" t="s">
        <v>584</v>
      </c>
      <c r="AA260" t="s">
        <v>83</v>
      </c>
      <c r="AB260" t="s">
        <v>82</v>
      </c>
      <c r="AC260" t="s">
        <v>81</v>
      </c>
      <c r="AD260" t="s">
        <v>82</v>
      </c>
      <c r="AE260" t="s">
        <v>83</v>
      </c>
      <c r="AF260" t="s">
        <v>83</v>
      </c>
      <c r="AG260" t="s">
        <v>83</v>
      </c>
      <c r="AH260" t="s">
        <v>83</v>
      </c>
      <c r="AI260" t="s">
        <v>88</v>
      </c>
      <c r="AJ260" t="s">
        <v>89</v>
      </c>
      <c r="AK260" t="s">
        <v>100</v>
      </c>
      <c r="AL260" t="s">
        <v>107</v>
      </c>
      <c r="AM260" t="s">
        <v>87</v>
      </c>
      <c r="AN260" t="s">
        <v>87</v>
      </c>
      <c r="AO260" t="s">
        <v>87</v>
      </c>
      <c r="AP260" t="s">
        <v>74</v>
      </c>
      <c r="AQ260" t="s">
        <v>74</v>
      </c>
      <c r="AR260" t="s">
        <v>108</v>
      </c>
      <c r="AS260" t="s">
        <v>76</v>
      </c>
      <c r="AT260" t="s">
        <v>107</v>
      </c>
      <c r="AU260">
        <v>0</v>
      </c>
      <c r="AV260">
        <v>0</v>
      </c>
      <c r="AW260">
        <v>0</v>
      </c>
      <c r="AX260">
        <v>0</v>
      </c>
      <c r="AY260">
        <v>1</v>
      </c>
      <c r="AZ260" t="s">
        <v>580</v>
      </c>
    </row>
    <row r="261" spans="1:52" x14ac:dyDescent="0.2">
      <c r="A261">
        <v>1</v>
      </c>
      <c r="B261">
        <v>0</v>
      </c>
      <c r="C261">
        <v>0</v>
      </c>
      <c r="D261">
        <v>0</v>
      </c>
      <c r="E261">
        <v>0</v>
      </c>
      <c r="F261">
        <v>0</v>
      </c>
      <c r="G261">
        <v>0</v>
      </c>
      <c r="H261">
        <v>0</v>
      </c>
      <c r="I261">
        <v>1</v>
      </c>
      <c r="J261" t="s">
        <v>88</v>
      </c>
      <c r="K261" t="s">
        <v>89</v>
      </c>
      <c r="L261">
        <v>0</v>
      </c>
      <c r="M261">
        <v>1</v>
      </c>
      <c r="N261">
        <v>0</v>
      </c>
      <c r="O261">
        <v>0</v>
      </c>
      <c r="P261">
        <v>0</v>
      </c>
      <c r="Q261" t="s">
        <v>584</v>
      </c>
      <c r="AA261" t="s">
        <v>83</v>
      </c>
      <c r="AB261" t="s">
        <v>82</v>
      </c>
      <c r="AC261" t="s">
        <v>81</v>
      </c>
      <c r="AD261" t="s">
        <v>81</v>
      </c>
      <c r="AE261" t="s">
        <v>83</v>
      </c>
      <c r="AF261" t="s">
        <v>83</v>
      </c>
      <c r="AG261" t="s">
        <v>83</v>
      </c>
      <c r="AH261" t="s">
        <v>83</v>
      </c>
      <c r="AI261" t="s">
        <v>88</v>
      </c>
      <c r="AJ261" t="s">
        <v>89</v>
      </c>
      <c r="AK261" t="s">
        <v>100</v>
      </c>
      <c r="AL261" t="s">
        <v>73</v>
      </c>
      <c r="AM261" t="s">
        <v>86</v>
      </c>
      <c r="AN261" t="s">
        <v>86</v>
      </c>
      <c r="AO261" t="s">
        <v>86</v>
      </c>
      <c r="AP261" t="s">
        <v>86</v>
      </c>
      <c r="AQ261" t="s">
        <v>87</v>
      </c>
      <c r="AR261" t="s">
        <v>75</v>
      </c>
      <c r="AS261" t="s">
        <v>76</v>
      </c>
      <c r="AT261" t="s">
        <v>73</v>
      </c>
      <c r="AU261">
        <v>0</v>
      </c>
      <c r="AV261">
        <v>0</v>
      </c>
      <c r="AW261">
        <v>0</v>
      </c>
      <c r="AX261">
        <v>0</v>
      </c>
      <c r="AY261">
        <v>1</v>
      </c>
      <c r="AZ261" t="s">
        <v>579</v>
      </c>
    </row>
    <row r="262" spans="1:52" x14ac:dyDescent="0.2">
      <c r="A262">
        <v>1</v>
      </c>
      <c r="B262">
        <v>0</v>
      </c>
      <c r="C262">
        <v>0</v>
      </c>
      <c r="D262">
        <v>0</v>
      </c>
      <c r="E262">
        <v>0</v>
      </c>
      <c r="F262">
        <v>1</v>
      </c>
      <c r="G262">
        <v>0</v>
      </c>
      <c r="H262">
        <v>0</v>
      </c>
      <c r="I262">
        <v>0</v>
      </c>
      <c r="J262" t="s">
        <v>88</v>
      </c>
      <c r="K262" t="s">
        <v>80</v>
      </c>
      <c r="L262">
        <v>0</v>
      </c>
      <c r="M262">
        <v>0</v>
      </c>
      <c r="N262">
        <v>1</v>
      </c>
      <c r="O262">
        <v>0</v>
      </c>
      <c r="P262">
        <v>0</v>
      </c>
      <c r="Q262" t="s">
        <v>584</v>
      </c>
      <c r="AA262" t="s">
        <v>83</v>
      </c>
      <c r="AB262" t="s">
        <v>81</v>
      </c>
      <c r="AC262" t="s">
        <v>83</v>
      </c>
      <c r="AD262" t="s">
        <v>83</v>
      </c>
      <c r="AE262" t="s">
        <v>82</v>
      </c>
      <c r="AF262" t="s">
        <v>83</v>
      </c>
      <c r="AG262" t="s">
        <v>81</v>
      </c>
      <c r="AH262" t="s">
        <v>83</v>
      </c>
      <c r="AI262" t="s">
        <v>88</v>
      </c>
      <c r="AJ262" t="s">
        <v>89</v>
      </c>
      <c r="AK262" t="s">
        <v>85</v>
      </c>
      <c r="AL262" t="s">
        <v>73</v>
      </c>
      <c r="AM262" t="s">
        <v>86</v>
      </c>
      <c r="AN262" t="s">
        <v>74</v>
      </c>
      <c r="AO262" t="s">
        <v>87</v>
      </c>
      <c r="AP262" t="s">
        <v>74</v>
      </c>
      <c r="AQ262" t="s">
        <v>87</v>
      </c>
      <c r="AR262" t="s">
        <v>75</v>
      </c>
      <c r="AS262" t="s">
        <v>76</v>
      </c>
      <c r="AT262" t="s">
        <v>73</v>
      </c>
      <c r="AU262">
        <v>1</v>
      </c>
      <c r="AV262">
        <v>0</v>
      </c>
      <c r="AW262">
        <v>0</v>
      </c>
      <c r="AX262">
        <v>0</v>
      </c>
      <c r="AY262">
        <v>0</v>
      </c>
      <c r="AZ262" t="s">
        <v>579</v>
      </c>
    </row>
    <row r="263" spans="1:52" x14ac:dyDescent="0.2">
      <c r="A263">
        <v>0</v>
      </c>
      <c r="B263">
        <v>1</v>
      </c>
      <c r="C263">
        <v>0</v>
      </c>
      <c r="D263">
        <v>0</v>
      </c>
      <c r="E263">
        <v>1</v>
      </c>
      <c r="F263">
        <v>0</v>
      </c>
      <c r="G263">
        <v>0</v>
      </c>
      <c r="H263">
        <v>0</v>
      </c>
      <c r="I263">
        <v>0</v>
      </c>
      <c r="L263">
        <v>1</v>
      </c>
      <c r="M263">
        <v>0</v>
      </c>
      <c r="N263">
        <v>0</v>
      </c>
      <c r="O263">
        <v>0</v>
      </c>
      <c r="P263">
        <v>0</v>
      </c>
      <c r="Q263" t="s">
        <v>584</v>
      </c>
      <c r="R263">
        <v>0</v>
      </c>
      <c r="S263">
        <v>1</v>
      </c>
      <c r="T263">
        <v>0</v>
      </c>
      <c r="U263">
        <v>0</v>
      </c>
      <c r="V263">
        <v>0</v>
      </c>
      <c r="W263">
        <v>0</v>
      </c>
      <c r="X263">
        <v>0</v>
      </c>
      <c r="Y263">
        <v>0</v>
      </c>
      <c r="Z263">
        <v>0</v>
      </c>
      <c r="AL263" t="s">
        <v>73</v>
      </c>
      <c r="AM263" t="s">
        <v>86</v>
      </c>
      <c r="AN263" t="s">
        <v>86</v>
      </c>
      <c r="AO263" t="s">
        <v>87</v>
      </c>
      <c r="AP263" t="s">
        <v>86</v>
      </c>
      <c r="AQ263" t="s">
        <v>87</v>
      </c>
      <c r="AR263" t="s">
        <v>75</v>
      </c>
      <c r="AS263" t="s">
        <v>76</v>
      </c>
      <c r="AT263" t="s">
        <v>73</v>
      </c>
      <c r="AU263">
        <v>1</v>
      </c>
      <c r="AV263">
        <v>0</v>
      </c>
      <c r="AW263">
        <v>0</v>
      </c>
      <c r="AX263">
        <v>0</v>
      </c>
      <c r="AY263">
        <v>0</v>
      </c>
      <c r="AZ263" t="s">
        <v>580</v>
      </c>
    </row>
    <row r="264" spans="1:52" x14ac:dyDescent="0.2">
      <c r="A264">
        <v>1</v>
      </c>
      <c r="B264">
        <v>0</v>
      </c>
      <c r="C264">
        <v>0</v>
      </c>
      <c r="D264">
        <v>0</v>
      </c>
      <c r="E264">
        <v>0</v>
      </c>
      <c r="F264">
        <v>1</v>
      </c>
      <c r="G264">
        <v>1</v>
      </c>
      <c r="H264">
        <v>1</v>
      </c>
      <c r="I264">
        <v>0</v>
      </c>
      <c r="J264" t="s">
        <v>135</v>
      </c>
      <c r="K264" t="s">
        <v>80</v>
      </c>
      <c r="L264">
        <v>1</v>
      </c>
      <c r="M264">
        <v>0</v>
      </c>
      <c r="N264">
        <v>0</v>
      </c>
      <c r="O264">
        <v>0</v>
      </c>
      <c r="P264">
        <v>0</v>
      </c>
      <c r="Q264" t="s">
        <v>584</v>
      </c>
      <c r="R264">
        <v>1</v>
      </c>
      <c r="S264">
        <v>0</v>
      </c>
      <c r="T264">
        <v>0</v>
      </c>
      <c r="U264">
        <v>0</v>
      </c>
      <c r="V264">
        <v>0</v>
      </c>
      <c r="W264">
        <v>0</v>
      </c>
      <c r="X264">
        <v>0</v>
      </c>
      <c r="Y264">
        <v>0</v>
      </c>
      <c r="Z264">
        <v>0</v>
      </c>
      <c r="AL264" t="s">
        <v>73</v>
      </c>
      <c r="AM264" t="s">
        <v>86</v>
      </c>
      <c r="AN264" t="s">
        <v>87</v>
      </c>
      <c r="AO264" t="s">
        <v>87</v>
      </c>
      <c r="AP264" t="s">
        <v>86</v>
      </c>
      <c r="AQ264" t="s">
        <v>86</v>
      </c>
      <c r="AR264" t="s">
        <v>75</v>
      </c>
      <c r="AS264" t="s">
        <v>76</v>
      </c>
      <c r="AT264" t="s">
        <v>73</v>
      </c>
      <c r="AU264">
        <v>1</v>
      </c>
      <c r="AV264">
        <v>0</v>
      </c>
      <c r="AW264">
        <v>0</v>
      </c>
      <c r="AX264">
        <v>0</v>
      </c>
      <c r="AY264">
        <v>0</v>
      </c>
      <c r="AZ264" t="s">
        <v>579</v>
      </c>
    </row>
    <row r="265" spans="1:52" x14ac:dyDescent="0.2">
      <c r="A265">
        <v>1</v>
      </c>
      <c r="B265">
        <v>0</v>
      </c>
      <c r="C265">
        <v>0</v>
      </c>
      <c r="D265">
        <v>0</v>
      </c>
      <c r="E265">
        <v>1</v>
      </c>
      <c r="F265">
        <v>0</v>
      </c>
      <c r="G265">
        <v>0</v>
      </c>
      <c r="H265">
        <v>0</v>
      </c>
      <c r="I265">
        <v>0</v>
      </c>
      <c r="L265">
        <v>1</v>
      </c>
      <c r="M265">
        <v>0</v>
      </c>
      <c r="N265">
        <v>0</v>
      </c>
      <c r="O265">
        <v>0</v>
      </c>
      <c r="P265">
        <v>0</v>
      </c>
      <c r="Q265" t="s">
        <v>584</v>
      </c>
      <c r="R265">
        <v>0</v>
      </c>
      <c r="S265">
        <v>0</v>
      </c>
      <c r="T265">
        <v>1</v>
      </c>
      <c r="U265">
        <v>0</v>
      </c>
      <c r="V265">
        <v>0</v>
      </c>
      <c r="W265">
        <v>1</v>
      </c>
      <c r="X265">
        <v>0</v>
      </c>
      <c r="Y265">
        <v>0</v>
      </c>
      <c r="Z265">
        <v>0</v>
      </c>
      <c r="AL265" t="s">
        <v>96</v>
      </c>
      <c r="AM265" t="s">
        <v>86</v>
      </c>
      <c r="AN265" t="s">
        <v>74</v>
      </c>
      <c r="AO265" t="s">
        <v>87</v>
      </c>
      <c r="AP265" t="s">
        <v>87</v>
      </c>
      <c r="AQ265" t="s">
        <v>87</v>
      </c>
      <c r="AR265" t="s">
        <v>75</v>
      </c>
      <c r="AS265" t="s">
        <v>76</v>
      </c>
      <c r="AT265" t="s">
        <v>96</v>
      </c>
      <c r="AU265">
        <v>1</v>
      </c>
      <c r="AV265">
        <v>0</v>
      </c>
      <c r="AW265">
        <v>0</v>
      </c>
      <c r="AX265">
        <v>0</v>
      </c>
      <c r="AY265">
        <v>1</v>
      </c>
      <c r="AZ265" t="s">
        <v>580</v>
      </c>
    </row>
    <row r="266" spans="1:52" x14ac:dyDescent="0.2">
      <c r="A266">
        <v>1</v>
      </c>
      <c r="B266">
        <v>0</v>
      </c>
      <c r="C266">
        <v>0</v>
      </c>
      <c r="D266">
        <v>0</v>
      </c>
      <c r="E266">
        <v>0</v>
      </c>
      <c r="F266">
        <v>1</v>
      </c>
      <c r="G266">
        <v>0</v>
      </c>
      <c r="H266">
        <v>0</v>
      </c>
      <c r="I266">
        <v>0</v>
      </c>
      <c r="J266" t="s">
        <v>79</v>
      </c>
      <c r="K266" t="s">
        <v>80</v>
      </c>
      <c r="L266">
        <v>0</v>
      </c>
      <c r="M266">
        <v>0</v>
      </c>
      <c r="N266">
        <v>1</v>
      </c>
      <c r="O266">
        <v>0</v>
      </c>
      <c r="P266">
        <v>0</v>
      </c>
      <c r="Q266" t="s">
        <v>584</v>
      </c>
      <c r="AA266" t="s">
        <v>81</v>
      </c>
      <c r="AB266" t="s">
        <v>81</v>
      </c>
      <c r="AC266" t="s">
        <v>83</v>
      </c>
      <c r="AD266" t="s">
        <v>83</v>
      </c>
      <c r="AE266" t="s">
        <v>81</v>
      </c>
      <c r="AF266" t="s">
        <v>83</v>
      </c>
      <c r="AG266" t="s">
        <v>81</v>
      </c>
      <c r="AH266" t="s">
        <v>81</v>
      </c>
      <c r="AI266" t="s">
        <v>84</v>
      </c>
      <c r="AJ266" t="s">
        <v>80</v>
      </c>
      <c r="AK266" t="s">
        <v>85</v>
      </c>
      <c r="AL266" t="s">
        <v>107</v>
      </c>
      <c r="AM266" t="s">
        <v>74</v>
      </c>
      <c r="AR266" t="s">
        <v>97</v>
      </c>
      <c r="AS266" t="s">
        <v>76</v>
      </c>
      <c r="AT266" t="s">
        <v>107</v>
      </c>
      <c r="AU266">
        <v>1</v>
      </c>
      <c r="AV266">
        <v>0</v>
      </c>
      <c r="AW266">
        <v>0</v>
      </c>
      <c r="AX266">
        <v>0</v>
      </c>
      <c r="AY266">
        <v>0</v>
      </c>
      <c r="AZ266" t="s">
        <v>580</v>
      </c>
    </row>
    <row r="267" spans="1:52" x14ac:dyDescent="0.2">
      <c r="A267">
        <v>1</v>
      </c>
      <c r="B267">
        <v>0</v>
      </c>
      <c r="C267">
        <v>0</v>
      </c>
      <c r="D267">
        <v>0</v>
      </c>
      <c r="E267">
        <v>0</v>
      </c>
      <c r="F267">
        <v>1</v>
      </c>
      <c r="G267">
        <v>1</v>
      </c>
      <c r="H267">
        <v>1</v>
      </c>
      <c r="I267">
        <v>0</v>
      </c>
      <c r="J267" t="s">
        <v>88</v>
      </c>
      <c r="K267" t="s">
        <v>89</v>
      </c>
      <c r="L267">
        <v>0</v>
      </c>
      <c r="M267">
        <v>0</v>
      </c>
      <c r="N267">
        <v>1</v>
      </c>
      <c r="O267">
        <v>0</v>
      </c>
      <c r="P267">
        <v>0</v>
      </c>
      <c r="Q267" t="s">
        <v>584</v>
      </c>
      <c r="AA267" t="s">
        <v>82</v>
      </c>
      <c r="AB267" t="s">
        <v>82</v>
      </c>
      <c r="AC267" t="s">
        <v>82</v>
      </c>
      <c r="AD267" t="s">
        <v>82</v>
      </c>
      <c r="AE267" t="s">
        <v>82</v>
      </c>
      <c r="AF267" t="s">
        <v>82</v>
      </c>
      <c r="AG267" t="s">
        <v>82</v>
      </c>
      <c r="AH267" t="s">
        <v>82</v>
      </c>
      <c r="AI267" t="s">
        <v>88</v>
      </c>
      <c r="AJ267" t="s">
        <v>89</v>
      </c>
      <c r="AK267" t="s">
        <v>100</v>
      </c>
      <c r="AL267" t="s">
        <v>107</v>
      </c>
      <c r="AM267" t="s">
        <v>87</v>
      </c>
      <c r="AN267" t="s">
        <v>87</v>
      </c>
      <c r="AO267" t="s">
        <v>87</v>
      </c>
      <c r="AP267" t="s">
        <v>87</v>
      </c>
      <c r="AQ267" t="s">
        <v>87</v>
      </c>
      <c r="AR267" t="s">
        <v>75</v>
      </c>
      <c r="AS267" t="s">
        <v>92</v>
      </c>
      <c r="AT267" t="s">
        <v>107</v>
      </c>
      <c r="AU267">
        <v>1</v>
      </c>
      <c r="AV267">
        <v>0</v>
      </c>
      <c r="AW267">
        <v>0</v>
      </c>
      <c r="AX267">
        <v>0</v>
      </c>
      <c r="AY267">
        <v>0</v>
      </c>
      <c r="AZ267" t="s">
        <v>579</v>
      </c>
    </row>
    <row r="268" spans="1:52" x14ac:dyDescent="0.2">
      <c r="A268">
        <v>1</v>
      </c>
      <c r="B268">
        <v>0</v>
      </c>
      <c r="C268">
        <v>0</v>
      </c>
      <c r="D268">
        <v>0</v>
      </c>
      <c r="E268">
        <v>0</v>
      </c>
      <c r="F268">
        <v>1</v>
      </c>
      <c r="G268">
        <v>0</v>
      </c>
      <c r="H268">
        <v>0</v>
      </c>
      <c r="I268">
        <v>0</v>
      </c>
      <c r="J268" t="s">
        <v>79</v>
      </c>
      <c r="K268" t="s">
        <v>80</v>
      </c>
      <c r="L268">
        <v>1</v>
      </c>
      <c r="M268">
        <v>0</v>
      </c>
      <c r="N268">
        <v>0</v>
      </c>
      <c r="O268">
        <v>0</v>
      </c>
      <c r="P268">
        <v>0</v>
      </c>
      <c r="Q268" t="s">
        <v>584</v>
      </c>
      <c r="R268">
        <v>1</v>
      </c>
      <c r="S268">
        <v>0</v>
      </c>
      <c r="T268">
        <v>0</v>
      </c>
      <c r="U268">
        <v>0</v>
      </c>
      <c r="V268">
        <v>0</v>
      </c>
      <c r="W268">
        <v>0</v>
      </c>
      <c r="X268">
        <v>0</v>
      </c>
      <c r="Y268">
        <v>0</v>
      </c>
      <c r="Z268">
        <v>0</v>
      </c>
      <c r="AL268" t="s">
        <v>96</v>
      </c>
      <c r="AM268" t="s">
        <v>86</v>
      </c>
      <c r="AN268" t="s">
        <v>86</v>
      </c>
      <c r="AO268" t="s">
        <v>87</v>
      </c>
      <c r="AP268" t="s">
        <v>86</v>
      </c>
      <c r="AQ268" t="s">
        <v>87</v>
      </c>
      <c r="AR268" t="s">
        <v>75</v>
      </c>
      <c r="AS268" t="s">
        <v>76</v>
      </c>
      <c r="AT268" t="s">
        <v>96</v>
      </c>
      <c r="AU268">
        <v>1</v>
      </c>
      <c r="AV268">
        <v>0</v>
      </c>
      <c r="AW268">
        <v>0</v>
      </c>
      <c r="AX268">
        <v>0</v>
      </c>
      <c r="AY268">
        <v>0</v>
      </c>
      <c r="AZ268" t="s">
        <v>580</v>
      </c>
    </row>
    <row r="269" spans="1:52" x14ac:dyDescent="0.2">
      <c r="A269">
        <v>1</v>
      </c>
      <c r="B269">
        <v>0</v>
      </c>
      <c r="C269">
        <v>0</v>
      </c>
      <c r="D269">
        <v>0</v>
      </c>
      <c r="E269">
        <v>0</v>
      </c>
      <c r="F269">
        <v>1</v>
      </c>
      <c r="G269">
        <v>0</v>
      </c>
      <c r="H269">
        <v>0</v>
      </c>
      <c r="I269">
        <v>0</v>
      </c>
      <c r="J269" t="s">
        <v>79</v>
      </c>
      <c r="K269" t="s">
        <v>89</v>
      </c>
      <c r="L269">
        <v>0</v>
      </c>
      <c r="M269">
        <v>1</v>
      </c>
      <c r="N269">
        <v>0</v>
      </c>
      <c r="O269">
        <v>0</v>
      </c>
      <c r="P269">
        <v>0</v>
      </c>
      <c r="Q269" t="s">
        <v>584</v>
      </c>
      <c r="AA269" t="s">
        <v>83</v>
      </c>
      <c r="AB269" t="s">
        <v>82</v>
      </c>
      <c r="AC269" t="s">
        <v>81</v>
      </c>
      <c r="AD269" t="s">
        <v>83</v>
      </c>
      <c r="AE269" t="s">
        <v>83</v>
      </c>
      <c r="AF269" t="s">
        <v>83</v>
      </c>
      <c r="AG269" t="s">
        <v>83</v>
      </c>
      <c r="AH269" t="s">
        <v>83</v>
      </c>
      <c r="AI269" t="s">
        <v>84</v>
      </c>
      <c r="AJ269" t="s">
        <v>80</v>
      </c>
      <c r="AK269" t="s">
        <v>85</v>
      </c>
      <c r="AL269" t="s">
        <v>73</v>
      </c>
      <c r="AM269" t="s">
        <v>87</v>
      </c>
      <c r="AN269" t="s">
        <v>87</v>
      </c>
      <c r="AO269" t="s">
        <v>87</v>
      </c>
      <c r="AP269" t="s">
        <v>87</v>
      </c>
      <c r="AQ269" t="s">
        <v>87</v>
      </c>
      <c r="AR269" t="s">
        <v>75</v>
      </c>
      <c r="AS269" t="s">
        <v>76</v>
      </c>
      <c r="AT269" t="s">
        <v>73</v>
      </c>
      <c r="AU269">
        <v>1</v>
      </c>
      <c r="AV269">
        <v>0</v>
      </c>
      <c r="AW269">
        <v>0</v>
      </c>
      <c r="AX269">
        <v>0</v>
      </c>
      <c r="AY269">
        <v>0</v>
      </c>
      <c r="AZ269" t="s">
        <v>579</v>
      </c>
    </row>
    <row r="270" spans="1:52" x14ac:dyDescent="0.2">
      <c r="A270">
        <v>1</v>
      </c>
      <c r="B270">
        <v>0</v>
      </c>
      <c r="C270">
        <v>0</v>
      </c>
      <c r="D270">
        <v>0</v>
      </c>
      <c r="E270">
        <v>0</v>
      </c>
      <c r="F270">
        <v>1</v>
      </c>
      <c r="G270">
        <v>0</v>
      </c>
      <c r="H270">
        <v>1</v>
      </c>
      <c r="I270">
        <v>0</v>
      </c>
      <c r="J270" t="s">
        <v>88</v>
      </c>
      <c r="K270" t="s">
        <v>89</v>
      </c>
      <c r="L270">
        <v>0</v>
      </c>
      <c r="M270">
        <v>1</v>
      </c>
      <c r="N270">
        <v>0</v>
      </c>
      <c r="O270">
        <v>0</v>
      </c>
      <c r="P270">
        <v>0</v>
      </c>
      <c r="Q270" t="s">
        <v>584</v>
      </c>
      <c r="AA270" t="s">
        <v>83</v>
      </c>
      <c r="AB270" t="s">
        <v>82</v>
      </c>
      <c r="AC270" t="s">
        <v>81</v>
      </c>
      <c r="AD270" t="s">
        <v>90</v>
      </c>
      <c r="AE270" t="s">
        <v>81</v>
      </c>
      <c r="AF270" t="s">
        <v>83</v>
      </c>
      <c r="AG270" t="s">
        <v>83</v>
      </c>
      <c r="AH270" t="s">
        <v>82</v>
      </c>
      <c r="AI270" t="s">
        <v>88</v>
      </c>
      <c r="AJ270" t="s">
        <v>89</v>
      </c>
      <c r="AK270" t="s">
        <v>100</v>
      </c>
      <c r="AL270" t="s">
        <v>107</v>
      </c>
      <c r="AM270" t="s">
        <v>86</v>
      </c>
      <c r="AN270" t="s">
        <v>87</v>
      </c>
      <c r="AO270" t="s">
        <v>87</v>
      </c>
      <c r="AP270" t="s">
        <v>87</v>
      </c>
      <c r="AQ270" t="s">
        <v>86</v>
      </c>
      <c r="AR270" t="s">
        <v>97</v>
      </c>
      <c r="AS270" t="s">
        <v>76</v>
      </c>
      <c r="AT270" t="s">
        <v>107</v>
      </c>
      <c r="AU270">
        <v>1</v>
      </c>
      <c r="AV270">
        <v>0</v>
      </c>
      <c r="AW270">
        <v>0</v>
      </c>
      <c r="AX270">
        <v>0</v>
      </c>
      <c r="AY270">
        <v>0</v>
      </c>
      <c r="AZ270" t="s">
        <v>580</v>
      </c>
    </row>
    <row r="271" spans="1:52" x14ac:dyDescent="0.2">
      <c r="A271">
        <v>1</v>
      </c>
      <c r="B271">
        <v>0</v>
      </c>
      <c r="C271">
        <v>0</v>
      </c>
      <c r="D271">
        <v>0</v>
      </c>
      <c r="E271">
        <v>0</v>
      </c>
      <c r="F271">
        <v>0</v>
      </c>
      <c r="G271">
        <v>1</v>
      </c>
      <c r="H271">
        <v>0</v>
      </c>
      <c r="I271">
        <v>0</v>
      </c>
      <c r="J271" t="s">
        <v>79</v>
      </c>
      <c r="K271" t="s">
        <v>80</v>
      </c>
      <c r="L271">
        <v>0</v>
      </c>
      <c r="M271">
        <v>0</v>
      </c>
      <c r="N271">
        <v>1</v>
      </c>
      <c r="O271">
        <v>0</v>
      </c>
      <c r="P271">
        <v>0</v>
      </c>
      <c r="Q271" t="s">
        <v>584</v>
      </c>
      <c r="AA271" t="s">
        <v>81</v>
      </c>
      <c r="AB271" t="s">
        <v>81</v>
      </c>
      <c r="AC271" t="s">
        <v>83</v>
      </c>
      <c r="AD271" t="s">
        <v>81</v>
      </c>
      <c r="AE271" t="s">
        <v>82</v>
      </c>
      <c r="AF271" t="s">
        <v>83</v>
      </c>
      <c r="AG271" t="s">
        <v>81</v>
      </c>
      <c r="AH271" t="s">
        <v>83</v>
      </c>
      <c r="AI271" t="s">
        <v>88</v>
      </c>
      <c r="AJ271" t="s">
        <v>89</v>
      </c>
      <c r="AK271" t="s">
        <v>100</v>
      </c>
      <c r="AL271" t="s">
        <v>73</v>
      </c>
      <c r="AM271" t="s">
        <v>87</v>
      </c>
      <c r="AN271" t="s">
        <v>87</v>
      </c>
      <c r="AO271" t="s">
        <v>86</v>
      </c>
      <c r="AP271" t="s">
        <v>86</v>
      </c>
      <c r="AQ271" t="s">
        <v>86</v>
      </c>
      <c r="AR271" t="s">
        <v>108</v>
      </c>
      <c r="AS271" t="s">
        <v>76</v>
      </c>
      <c r="AT271" t="s">
        <v>73</v>
      </c>
      <c r="AU271">
        <v>0</v>
      </c>
      <c r="AV271">
        <v>0</v>
      </c>
      <c r="AW271">
        <v>0</v>
      </c>
      <c r="AX271">
        <v>1</v>
      </c>
      <c r="AY271">
        <v>0</v>
      </c>
      <c r="AZ271" t="s">
        <v>580</v>
      </c>
    </row>
    <row r="272" spans="1:52" x14ac:dyDescent="0.2">
      <c r="A272">
        <v>0</v>
      </c>
      <c r="B272">
        <v>1</v>
      </c>
      <c r="C272">
        <v>0</v>
      </c>
      <c r="D272">
        <v>0</v>
      </c>
      <c r="E272">
        <v>1</v>
      </c>
      <c r="F272">
        <v>0</v>
      </c>
      <c r="G272">
        <v>0</v>
      </c>
      <c r="H272">
        <v>0</v>
      </c>
      <c r="I272">
        <v>0</v>
      </c>
      <c r="L272">
        <v>0</v>
      </c>
      <c r="M272">
        <v>1</v>
      </c>
      <c r="N272">
        <v>0</v>
      </c>
      <c r="O272">
        <v>0</v>
      </c>
      <c r="P272">
        <v>0</v>
      </c>
      <c r="Q272" t="s">
        <v>584</v>
      </c>
      <c r="AA272" t="s">
        <v>90</v>
      </c>
      <c r="AB272" t="s">
        <v>82</v>
      </c>
      <c r="AC272" t="s">
        <v>83</v>
      </c>
      <c r="AD272" t="s">
        <v>81</v>
      </c>
      <c r="AE272" t="s">
        <v>90</v>
      </c>
      <c r="AF272" t="s">
        <v>90</v>
      </c>
      <c r="AG272" t="s">
        <v>90</v>
      </c>
      <c r="AH272" t="s">
        <v>83</v>
      </c>
      <c r="AI272" t="s">
        <v>84</v>
      </c>
      <c r="AJ272" t="s">
        <v>80</v>
      </c>
      <c r="AK272" t="s">
        <v>85</v>
      </c>
      <c r="AL272" t="s">
        <v>107</v>
      </c>
      <c r="AM272" t="s">
        <v>86</v>
      </c>
      <c r="AN272" t="s">
        <v>74</v>
      </c>
      <c r="AO272" t="s">
        <v>86</v>
      </c>
      <c r="AP272" t="s">
        <v>74</v>
      </c>
      <c r="AQ272" t="s">
        <v>74</v>
      </c>
      <c r="AR272" t="s">
        <v>159</v>
      </c>
      <c r="AS272" t="s">
        <v>76</v>
      </c>
      <c r="AT272" t="s">
        <v>107</v>
      </c>
      <c r="AU272">
        <v>0</v>
      </c>
      <c r="AV272">
        <v>0</v>
      </c>
      <c r="AW272">
        <v>0</v>
      </c>
      <c r="AX272">
        <v>1</v>
      </c>
      <c r="AY272">
        <v>0</v>
      </c>
      <c r="AZ272" t="s">
        <v>580</v>
      </c>
    </row>
    <row r="273" spans="1:52" x14ac:dyDescent="0.2">
      <c r="A273">
        <v>1</v>
      </c>
      <c r="B273">
        <v>0</v>
      </c>
      <c r="C273">
        <v>0</v>
      </c>
      <c r="D273">
        <v>0</v>
      </c>
      <c r="E273">
        <v>1</v>
      </c>
      <c r="F273">
        <v>0</v>
      </c>
      <c r="G273">
        <v>0</v>
      </c>
      <c r="H273">
        <v>0</v>
      </c>
      <c r="I273">
        <v>0</v>
      </c>
      <c r="L273">
        <v>1</v>
      </c>
      <c r="M273">
        <v>0</v>
      </c>
      <c r="N273">
        <v>0</v>
      </c>
      <c r="O273">
        <v>0</v>
      </c>
      <c r="P273">
        <v>0</v>
      </c>
      <c r="Q273" t="s">
        <v>584</v>
      </c>
      <c r="R273">
        <v>0</v>
      </c>
      <c r="S273">
        <v>1</v>
      </c>
      <c r="T273">
        <v>0</v>
      </c>
      <c r="U273">
        <v>0</v>
      </c>
      <c r="V273">
        <v>0</v>
      </c>
      <c r="W273">
        <v>0</v>
      </c>
      <c r="X273">
        <v>0</v>
      </c>
      <c r="Y273">
        <v>0</v>
      </c>
      <c r="Z273">
        <v>0</v>
      </c>
      <c r="AL273" t="s">
        <v>107</v>
      </c>
      <c r="AM273" t="s">
        <v>86</v>
      </c>
      <c r="AN273" t="s">
        <v>74</v>
      </c>
      <c r="AO273" t="s">
        <v>86</v>
      </c>
      <c r="AP273" t="s">
        <v>74</v>
      </c>
      <c r="AQ273" t="s">
        <v>87</v>
      </c>
      <c r="AR273" t="s">
        <v>97</v>
      </c>
      <c r="AS273" t="s">
        <v>76</v>
      </c>
      <c r="AT273" t="s">
        <v>107</v>
      </c>
      <c r="AU273">
        <v>1</v>
      </c>
      <c r="AV273">
        <v>0</v>
      </c>
      <c r="AW273">
        <v>0</v>
      </c>
      <c r="AX273">
        <v>0</v>
      </c>
      <c r="AY273">
        <v>0</v>
      </c>
      <c r="AZ273" t="s">
        <v>580</v>
      </c>
    </row>
    <row r="274" spans="1:52" x14ac:dyDescent="0.2">
      <c r="A274">
        <v>0</v>
      </c>
      <c r="B274">
        <v>1</v>
      </c>
      <c r="C274">
        <v>0</v>
      </c>
      <c r="D274">
        <v>0</v>
      </c>
      <c r="E274">
        <v>1</v>
      </c>
      <c r="F274">
        <v>0</v>
      </c>
      <c r="G274">
        <v>0</v>
      </c>
      <c r="H274">
        <v>0</v>
      </c>
      <c r="I274">
        <v>0</v>
      </c>
      <c r="L274">
        <v>1</v>
      </c>
      <c r="M274">
        <v>0</v>
      </c>
      <c r="N274">
        <v>0</v>
      </c>
      <c r="O274">
        <v>0</v>
      </c>
      <c r="P274">
        <v>0</v>
      </c>
      <c r="Q274" t="s">
        <v>584</v>
      </c>
      <c r="R274">
        <v>0</v>
      </c>
      <c r="S274">
        <v>0</v>
      </c>
      <c r="T274">
        <v>1</v>
      </c>
      <c r="U274">
        <v>0</v>
      </c>
      <c r="V274">
        <v>1</v>
      </c>
      <c r="W274">
        <v>1</v>
      </c>
      <c r="X274">
        <v>0</v>
      </c>
      <c r="Y274">
        <v>0</v>
      </c>
      <c r="Z274">
        <v>0</v>
      </c>
      <c r="AL274" t="s">
        <v>96</v>
      </c>
      <c r="AM274" t="s">
        <v>74</v>
      </c>
      <c r="AR274" t="s">
        <v>75</v>
      </c>
      <c r="AS274" t="s">
        <v>76</v>
      </c>
      <c r="AT274" t="s">
        <v>96</v>
      </c>
      <c r="AU274">
        <v>1</v>
      </c>
      <c r="AV274">
        <v>0</v>
      </c>
      <c r="AW274">
        <v>0</v>
      </c>
      <c r="AX274">
        <v>0</v>
      </c>
      <c r="AY274">
        <v>0</v>
      </c>
      <c r="AZ274" t="s">
        <v>579</v>
      </c>
    </row>
    <row r="275" spans="1:52" x14ac:dyDescent="0.2">
      <c r="A275">
        <v>0</v>
      </c>
      <c r="B275">
        <v>1</v>
      </c>
      <c r="C275">
        <v>0</v>
      </c>
      <c r="D275">
        <v>0</v>
      </c>
      <c r="E275">
        <v>1</v>
      </c>
      <c r="F275">
        <v>0</v>
      </c>
      <c r="G275">
        <v>0</v>
      </c>
      <c r="H275">
        <v>0</v>
      </c>
      <c r="I275">
        <v>0</v>
      </c>
      <c r="L275">
        <v>0</v>
      </c>
      <c r="M275">
        <v>1</v>
      </c>
      <c r="N275">
        <v>0</v>
      </c>
      <c r="O275">
        <v>0</v>
      </c>
      <c r="P275">
        <v>0</v>
      </c>
      <c r="Q275" t="s">
        <v>584</v>
      </c>
      <c r="AA275" t="s">
        <v>83</v>
      </c>
      <c r="AB275" t="s">
        <v>82</v>
      </c>
      <c r="AC275" t="s">
        <v>90</v>
      </c>
      <c r="AD275" t="s">
        <v>81</v>
      </c>
      <c r="AE275" t="s">
        <v>90</v>
      </c>
      <c r="AF275" t="s">
        <v>90</v>
      </c>
      <c r="AG275" t="s">
        <v>83</v>
      </c>
      <c r="AH275" t="s">
        <v>83</v>
      </c>
      <c r="AI275" t="s">
        <v>135</v>
      </c>
      <c r="AJ275" t="s">
        <v>127</v>
      </c>
      <c r="AK275" t="s">
        <v>85</v>
      </c>
      <c r="AL275" t="s">
        <v>73</v>
      </c>
      <c r="AM275" t="s">
        <v>86</v>
      </c>
      <c r="AN275" t="s">
        <v>86</v>
      </c>
      <c r="AO275" t="s">
        <v>86</v>
      </c>
      <c r="AP275" t="s">
        <v>74</v>
      </c>
      <c r="AQ275" t="s">
        <v>86</v>
      </c>
      <c r="AR275" t="s">
        <v>97</v>
      </c>
      <c r="AS275" t="s">
        <v>76</v>
      </c>
      <c r="AT275" t="s">
        <v>73</v>
      </c>
      <c r="AU275">
        <v>0</v>
      </c>
      <c r="AV275">
        <v>0</v>
      </c>
      <c r="AW275">
        <v>0</v>
      </c>
      <c r="AX275">
        <v>0</v>
      </c>
      <c r="AY275">
        <v>1</v>
      </c>
      <c r="AZ275" t="s">
        <v>580</v>
      </c>
    </row>
    <row r="276" spans="1:52" x14ac:dyDescent="0.2">
      <c r="A276">
        <v>0</v>
      </c>
      <c r="B276">
        <v>1</v>
      </c>
      <c r="C276">
        <v>0</v>
      </c>
      <c r="D276">
        <v>0</v>
      </c>
      <c r="E276">
        <v>1</v>
      </c>
      <c r="F276">
        <v>0</v>
      </c>
      <c r="G276">
        <v>0</v>
      </c>
      <c r="H276">
        <v>0</v>
      </c>
      <c r="I276">
        <v>0</v>
      </c>
      <c r="L276">
        <v>0</v>
      </c>
      <c r="M276">
        <v>0</v>
      </c>
      <c r="N276">
        <v>0</v>
      </c>
      <c r="O276">
        <v>0</v>
      </c>
      <c r="P276">
        <v>1</v>
      </c>
      <c r="Q276" t="s">
        <v>584</v>
      </c>
      <c r="AA276" t="s">
        <v>90</v>
      </c>
      <c r="AB276" t="s">
        <v>90</v>
      </c>
      <c r="AC276" t="s">
        <v>90</v>
      </c>
      <c r="AD276" t="s">
        <v>90</v>
      </c>
      <c r="AE276" t="s">
        <v>82</v>
      </c>
      <c r="AF276" t="s">
        <v>90</v>
      </c>
      <c r="AG276" t="s">
        <v>90</v>
      </c>
      <c r="AH276" t="s">
        <v>90</v>
      </c>
      <c r="AI276" t="s">
        <v>88</v>
      </c>
      <c r="AJ276" t="s">
        <v>89</v>
      </c>
      <c r="AK276" t="s">
        <v>117</v>
      </c>
      <c r="AL276" t="s">
        <v>96</v>
      </c>
      <c r="AM276" t="s">
        <v>86</v>
      </c>
      <c r="AN276" t="s">
        <v>87</v>
      </c>
      <c r="AO276" t="s">
        <v>74</v>
      </c>
      <c r="AP276" t="s">
        <v>87</v>
      </c>
      <c r="AQ276" t="s">
        <v>74</v>
      </c>
      <c r="AR276" t="s">
        <v>75</v>
      </c>
      <c r="AS276" t="s">
        <v>76</v>
      </c>
      <c r="AT276" t="s">
        <v>96</v>
      </c>
      <c r="AU276">
        <v>1</v>
      </c>
      <c r="AV276">
        <v>0</v>
      </c>
      <c r="AW276">
        <v>0</v>
      </c>
      <c r="AX276">
        <v>0</v>
      </c>
      <c r="AY276">
        <v>0</v>
      </c>
      <c r="AZ276" t="s">
        <v>580</v>
      </c>
    </row>
    <row r="277" spans="1:52" x14ac:dyDescent="0.2">
      <c r="A277">
        <v>1</v>
      </c>
      <c r="B277">
        <v>0</v>
      </c>
      <c r="C277">
        <v>0</v>
      </c>
      <c r="D277">
        <v>0</v>
      </c>
      <c r="E277">
        <v>0</v>
      </c>
      <c r="F277">
        <v>1</v>
      </c>
      <c r="G277">
        <v>0</v>
      </c>
      <c r="H277">
        <v>0</v>
      </c>
      <c r="I277">
        <v>0</v>
      </c>
      <c r="J277" t="s">
        <v>135</v>
      </c>
      <c r="K277" t="s">
        <v>80</v>
      </c>
      <c r="L277">
        <v>0</v>
      </c>
      <c r="M277">
        <v>0</v>
      </c>
      <c r="N277">
        <v>1</v>
      </c>
      <c r="O277">
        <v>0</v>
      </c>
      <c r="P277">
        <v>0</v>
      </c>
      <c r="Q277" t="s">
        <v>584</v>
      </c>
      <c r="AA277" t="s">
        <v>81</v>
      </c>
      <c r="AB277" t="s">
        <v>82</v>
      </c>
      <c r="AC277" t="s">
        <v>83</v>
      </c>
      <c r="AD277" t="s">
        <v>83</v>
      </c>
      <c r="AE277" t="s">
        <v>82</v>
      </c>
      <c r="AF277" t="s">
        <v>81</v>
      </c>
      <c r="AG277" t="s">
        <v>81</v>
      </c>
      <c r="AH277" t="s">
        <v>81</v>
      </c>
      <c r="AI277" t="s">
        <v>88</v>
      </c>
      <c r="AJ277" t="s">
        <v>89</v>
      </c>
      <c r="AK277" t="s">
        <v>85</v>
      </c>
      <c r="AL277" t="s">
        <v>73</v>
      </c>
      <c r="AM277" t="s">
        <v>87</v>
      </c>
      <c r="AN277" t="s">
        <v>74</v>
      </c>
      <c r="AO277" t="s">
        <v>87</v>
      </c>
      <c r="AP277" t="s">
        <v>74</v>
      </c>
      <c r="AQ277" t="s">
        <v>74</v>
      </c>
      <c r="AR277" t="s">
        <v>75</v>
      </c>
      <c r="AS277" t="s">
        <v>76</v>
      </c>
      <c r="AT277" t="s">
        <v>73</v>
      </c>
      <c r="AU277">
        <v>1</v>
      </c>
      <c r="AV277">
        <v>0</v>
      </c>
      <c r="AW277">
        <v>0</v>
      </c>
      <c r="AX277">
        <v>0</v>
      </c>
      <c r="AY277">
        <v>0</v>
      </c>
      <c r="AZ277" t="s">
        <v>580</v>
      </c>
    </row>
    <row r="278" spans="1:52" x14ac:dyDescent="0.2">
      <c r="A278">
        <v>0</v>
      </c>
      <c r="B278">
        <v>1</v>
      </c>
      <c r="C278">
        <v>0</v>
      </c>
      <c r="D278">
        <v>0</v>
      </c>
      <c r="E278">
        <v>1</v>
      </c>
      <c r="F278">
        <v>0</v>
      </c>
      <c r="G278">
        <v>0</v>
      </c>
      <c r="H278">
        <v>0</v>
      </c>
      <c r="I278">
        <v>0</v>
      </c>
      <c r="L278">
        <v>1</v>
      </c>
      <c r="M278">
        <v>0</v>
      </c>
      <c r="N278">
        <v>0</v>
      </c>
      <c r="O278">
        <v>0</v>
      </c>
      <c r="P278">
        <v>0</v>
      </c>
      <c r="Q278" t="s">
        <v>584</v>
      </c>
      <c r="R278">
        <v>0</v>
      </c>
      <c r="S278">
        <v>0</v>
      </c>
      <c r="T278">
        <v>1</v>
      </c>
      <c r="U278">
        <v>0</v>
      </c>
      <c r="V278">
        <v>0</v>
      </c>
      <c r="W278">
        <v>0</v>
      </c>
      <c r="X278">
        <v>1</v>
      </c>
      <c r="Y278">
        <v>0</v>
      </c>
      <c r="Z278">
        <v>0</v>
      </c>
      <c r="AL278" t="s">
        <v>73</v>
      </c>
      <c r="AM278" t="s">
        <v>74</v>
      </c>
      <c r="AR278" t="s">
        <v>75</v>
      </c>
      <c r="AS278" t="s">
        <v>76</v>
      </c>
      <c r="AT278" t="s">
        <v>73</v>
      </c>
      <c r="AU278">
        <v>1</v>
      </c>
      <c r="AV278">
        <v>0</v>
      </c>
      <c r="AW278">
        <v>0</v>
      </c>
      <c r="AX278">
        <v>0</v>
      </c>
      <c r="AY278">
        <v>0</v>
      </c>
      <c r="AZ278" t="s">
        <v>579</v>
      </c>
    </row>
    <row r="279" spans="1:52" x14ac:dyDescent="0.2">
      <c r="A279">
        <v>1</v>
      </c>
      <c r="B279">
        <v>0</v>
      </c>
      <c r="C279">
        <v>0</v>
      </c>
      <c r="D279">
        <v>0</v>
      </c>
      <c r="E279">
        <v>0</v>
      </c>
      <c r="F279">
        <v>1</v>
      </c>
      <c r="G279">
        <v>1</v>
      </c>
      <c r="H279">
        <v>1</v>
      </c>
      <c r="I279">
        <v>1</v>
      </c>
      <c r="J279" t="s">
        <v>88</v>
      </c>
      <c r="K279" t="s">
        <v>80</v>
      </c>
      <c r="L279">
        <v>0</v>
      </c>
      <c r="M279">
        <v>1</v>
      </c>
      <c r="N279">
        <v>0</v>
      </c>
      <c r="O279">
        <v>0</v>
      </c>
      <c r="P279">
        <v>0</v>
      </c>
      <c r="Q279" t="s">
        <v>584</v>
      </c>
      <c r="AA279" t="s">
        <v>83</v>
      </c>
      <c r="AB279" t="s">
        <v>82</v>
      </c>
      <c r="AC279" t="s">
        <v>81</v>
      </c>
      <c r="AD279" t="s">
        <v>81</v>
      </c>
      <c r="AE279" t="s">
        <v>83</v>
      </c>
      <c r="AF279" t="s">
        <v>83</v>
      </c>
      <c r="AG279" t="s">
        <v>83</v>
      </c>
      <c r="AH279" t="s">
        <v>83</v>
      </c>
      <c r="AI279" t="s">
        <v>88</v>
      </c>
      <c r="AJ279" t="s">
        <v>89</v>
      </c>
      <c r="AK279" t="s">
        <v>100</v>
      </c>
      <c r="AL279" t="s">
        <v>107</v>
      </c>
      <c r="AM279" t="s">
        <v>74</v>
      </c>
      <c r="AR279" t="s">
        <v>75</v>
      </c>
      <c r="AS279" t="s">
        <v>76</v>
      </c>
      <c r="AT279" t="s">
        <v>107</v>
      </c>
      <c r="AU279">
        <v>1</v>
      </c>
      <c r="AV279">
        <v>0</v>
      </c>
      <c r="AW279">
        <v>0</v>
      </c>
      <c r="AX279">
        <v>0</v>
      </c>
      <c r="AY279">
        <v>0</v>
      </c>
      <c r="AZ279" t="s">
        <v>579</v>
      </c>
    </row>
    <row r="280" spans="1:52" x14ac:dyDescent="0.2">
      <c r="A280">
        <v>1</v>
      </c>
      <c r="B280">
        <v>0</v>
      </c>
      <c r="C280">
        <v>0</v>
      </c>
      <c r="D280">
        <v>0</v>
      </c>
      <c r="E280">
        <v>0</v>
      </c>
      <c r="F280">
        <v>1</v>
      </c>
      <c r="G280">
        <v>0</v>
      </c>
      <c r="H280">
        <v>0</v>
      </c>
      <c r="I280">
        <v>1</v>
      </c>
      <c r="J280" t="s">
        <v>79</v>
      </c>
      <c r="K280" t="s">
        <v>80</v>
      </c>
      <c r="L280">
        <v>1</v>
      </c>
      <c r="M280">
        <v>0</v>
      </c>
      <c r="N280">
        <v>0</v>
      </c>
      <c r="O280">
        <v>0</v>
      </c>
      <c r="P280">
        <v>0</v>
      </c>
      <c r="Q280" t="s">
        <v>584</v>
      </c>
      <c r="R280">
        <v>0</v>
      </c>
      <c r="S280">
        <v>0</v>
      </c>
      <c r="T280">
        <v>1</v>
      </c>
      <c r="U280">
        <v>0</v>
      </c>
      <c r="V280">
        <v>0</v>
      </c>
      <c r="W280">
        <v>0</v>
      </c>
      <c r="X280">
        <v>0</v>
      </c>
      <c r="Y280">
        <v>0</v>
      </c>
      <c r="Z280">
        <v>0</v>
      </c>
      <c r="AL280" t="s">
        <v>96</v>
      </c>
      <c r="AM280" t="s">
        <v>87</v>
      </c>
      <c r="AN280" t="s">
        <v>86</v>
      </c>
      <c r="AO280" t="s">
        <v>87</v>
      </c>
      <c r="AP280" t="s">
        <v>87</v>
      </c>
      <c r="AQ280" t="s">
        <v>87</v>
      </c>
      <c r="AR280" t="s">
        <v>75</v>
      </c>
      <c r="AS280" t="s">
        <v>76</v>
      </c>
      <c r="AT280" t="s">
        <v>96</v>
      </c>
      <c r="AU280">
        <v>1</v>
      </c>
      <c r="AV280">
        <v>0</v>
      </c>
      <c r="AW280">
        <v>0</v>
      </c>
      <c r="AX280">
        <v>0</v>
      </c>
      <c r="AY280">
        <v>0</v>
      </c>
      <c r="AZ280" t="s">
        <v>579</v>
      </c>
    </row>
    <row r="281" spans="1:52" x14ac:dyDescent="0.2">
      <c r="A281">
        <v>1</v>
      </c>
      <c r="B281">
        <v>0</v>
      </c>
      <c r="C281">
        <v>0</v>
      </c>
      <c r="D281">
        <v>0</v>
      </c>
      <c r="E281">
        <v>0</v>
      </c>
      <c r="F281">
        <v>1</v>
      </c>
      <c r="G281">
        <v>1</v>
      </c>
      <c r="H281">
        <v>1</v>
      </c>
      <c r="I281">
        <v>1</v>
      </c>
      <c r="J281" t="s">
        <v>88</v>
      </c>
      <c r="K281" t="s">
        <v>89</v>
      </c>
      <c r="L281">
        <v>0</v>
      </c>
      <c r="M281">
        <v>0</v>
      </c>
      <c r="N281">
        <v>1</v>
      </c>
      <c r="O281">
        <v>0</v>
      </c>
      <c r="P281">
        <v>0</v>
      </c>
      <c r="Q281" t="s">
        <v>584</v>
      </c>
      <c r="AA281" t="s">
        <v>90</v>
      </c>
      <c r="AB281" t="s">
        <v>82</v>
      </c>
      <c r="AC281" t="s">
        <v>81</v>
      </c>
      <c r="AD281" t="s">
        <v>82</v>
      </c>
      <c r="AE281" t="s">
        <v>82</v>
      </c>
      <c r="AF281" t="s">
        <v>90</v>
      </c>
      <c r="AG281" t="s">
        <v>82</v>
      </c>
      <c r="AH281" t="s">
        <v>90</v>
      </c>
      <c r="AI281" t="s">
        <v>88</v>
      </c>
      <c r="AJ281" t="s">
        <v>89</v>
      </c>
      <c r="AK281" t="s">
        <v>85</v>
      </c>
      <c r="AL281" t="s">
        <v>73</v>
      </c>
      <c r="AM281" t="s">
        <v>87</v>
      </c>
      <c r="AN281" t="s">
        <v>87</v>
      </c>
      <c r="AO281" t="s">
        <v>87</v>
      </c>
      <c r="AP281" t="s">
        <v>87</v>
      </c>
      <c r="AQ281" t="s">
        <v>87</v>
      </c>
      <c r="AR281" t="s">
        <v>97</v>
      </c>
      <c r="AS281" t="s">
        <v>76</v>
      </c>
      <c r="AT281" t="s">
        <v>73</v>
      </c>
      <c r="AU281">
        <v>1</v>
      </c>
      <c r="AV281">
        <v>0</v>
      </c>
      <c r="AW281">
        <v>0</v>
      </c>
      <c r="AX281">
        <v>0</v>
      </c>
      <c r="AY281">
        <v>0</v>
      </c>
      <c r="AZ281" t="s">
        <v>580</v>
      </c>
    </row>
    <row r="282" spans="1:52" x14ac:dyDescent="0.2">
      <c r="A282">
        <v>0</v>
      </c>
      <c r="B282">
        <v>0</v>
      </c>
      <c r="C282">
        <v>0</v>
      </c>
      <c r="D282">
        <v>1</v>
      </c>
      <c r="L282">
        <v>1</v>
      </c>
      <c r="M282">
        <v>0</v>
      </c>
      <c r="N282">
        <v>0</v>
      </c>
      <c r="O282">
        <v>0</v>
      </c>
      <c r="P282">
        <v>0</v>
      </c>
      <c r="Q282" t="s">
        <v>584</v>
      </c>
      <c r="R282">
        <v>0</v>
      </c>
      <c r="S282">
        <v>0</v>
      </c>
      <c r="T282">
        <v>1</v>
      </c>
      <c r="U282">
        <v>0</v>
      </c>
      <c r="V282">
        <v>0</v>
      </c>
      <c r="W282">
        <v>0</v>
      </c>
      <c r="X282">
        <v>0</v>
      </c>
      <c r="Y282">
        <v>0</v>
      </c>
      <c r="Z282">
        <v>0</v>
      </c>
      <c r="AL282" t="s">
        <v>96</v>
      </c>
      <c r="AR282" t="s">
        <v>101</v>
      </c>
      <c r="AS282" t="s">
        <v>76</v>
      </c>
      <c r="AT282" t="s">
        <v>96</v>
      </c>
      <c r="AU282">
        <v>1</v>
      </c>
      <c r="AV282">
        <v>0</v>
      </c>
      <c r="AW282">
        <v>0</v>
      </c>
      <c r="AX282">
        <v>0</v>
      </c>
      <c r="AY282">
        <v>0</v>
      </c>
      <c r="AZ282" t="s">
        <v>580</v>
      </c>
    </row>
    <row r="283" spans="1:52" x14ac:dyDescent="0.2">
      <c r="A283">
        <v>1</v>
      </c>
      <c r="B283">
        <v>0</v>
      </c>
      <c r="C283">
        <v>0</v>
      </c>
      <c r="D283">
        <v>0</v>
      </c>
      <c r="E283">
        <v>0</v>
      </c>
      <c r="F283">
        <v>1</v>
      </c>
      <c r="G283">
        <v>0</v>
      </c>
      <c r="H283">
        <v>1</v>
      </c>
      <c r="I283">
        <v>0</v>
      </c>
      <c r="J283" t="s">
        <v>135</v>
      </c>
      <c r="K283" t="s">
        <v>80</v>
      </c>
      <c r="L283">
        <v>1</v>
      </c>
      <c r="M283">
        <v>0</v>
      </c>
      <c r="N283">
        <v>0</v>
      </c>
      <c r="O283">
        <v>0</v>
      </c>
      <c r="P283">
        <v>0</v>
      </c>
      <c r="Q283" t="s">
        <v>584</v>
      </c>
      <c r="R283">
        <v>0</v>
      </c>
      <c r="S283">
        <v>0</v>
      </c>
      <c r="T283">
        <v>1</v>
      </c>
      <c r="U283">
        <v>0</v>
      </c>
      <c r="V283">
        <v>0</v>
      </c>
      <c r="W283">
        <v>0</v>
      </c>
      <c r="X283">
        <v>0</v>
      </c>
      <c r="Y283">
        <v>0</v>
      </c>
      <c r="Z283">
        <v>0</v>
      </c>
      <c r="AL283" t="s">
        <v>107</v>
      </c>
      <c r="AM283" t="s">
        <v>74</v>
      </c>
      <c r="AR283" t="s">
        <v>75</v>
      </c>
      <c r="AS283" t="s">
        <v>92</v>
      </c>
      <c r="AT283" t="s">
        <v>107</v>
      </c>
      <c r="AU283">
        <v>0</v>
      </c>
      <c r="AV283">
        <v>1</v>
      </c>
      <c r="AW283">
        <v>0</v>
      </c>
      <c r="AX283">
        <v>1</v>
      </c>
      <c r="AY283">
        <v>0</v>
      </c>
      <c r="AZ283" t="s">
        <v>579</v>
      </c>
    </row>
    <row r="284" spans="1:52" x14ac:dyDescent="0.2">
      <c r="A284">
        <v>0</v>
      </c>
      <c r="B284">
        <v>1</v>
      </c>
      <c r="C284">
        <v>0</v>
      </c>
      <c r="D284">
        <v>0</v>
      </c>
      <c r="E284">
        <v>1</v>
      </c>
      <c r="F284">
        <v>0</v>
      </c>
      <c r="G284">
        <v>0</v>
      </c>
      <c r="H284">
        <v>0</v>
      </c>
      <c r="I284">
        <v>0</v>
      </c>
      <c r="L284">
        <v>1</v>
      </c>
      <c r="M284">
        <v>0</v>
      </c>
      <c r="N284">
        <v>0</v>
      </c>
      <c r="O284">
        <v>0</v>
      </c>
      <c r="P284">
        <v>0</v>
      </c>
      <c r="Q284" t="s">
        <v>584</v>
      </c>
      <c r="R284">
        <v>1</v>
      </c>
      <c r="S284">
        <v>0</v>
      </c>
      <c r="T284">
        <v>0</v>
      </c>
      <c r="U284">
        <v>0</v>
      </c>
      <c r="V284">
        <v>0</v>
      </c>
      <c r="W284">
        <v>0</v>
      </c>
      <c r="X284">
        <v>0</v>
      </c>
      <c r="Y284">
        <v>0</v>
      </c>
      <c r="Z284">
        <v>0</v>
      </c>
      <c r="AL284" t="s">
        <v>96</v>
      </c>
      <c r="AM284" t="s">
        <v>87</v>
      </c>
      <c r="AN284" t="s">
        <v>87</v>
      </c>
      <c r="AO284" t="s">
        <v>87</v>
      </c>
      <c r="AP284" t="s">
        <v>86</v>
      </c>
      <c r="AQ284" t="s">
        <v>87</v>
      </c>
      <c r="AR284" t="s">
        <v>101</v>
      </c>
      <c r="AS284" t="s">
        <v>92</v>
      </c>
      <c r="AT284" t="s">
        <v>96</v>
      </c>
      <c r="AU284">
        <v>1</v>
      </c>
      <c r="AV284">
        <v>0</v>
      </c>
      <c r="AW284">
        <v>0</v>
      </c>
      <c r="AX284">
        <v>0</v>
      </c>
      <c r="AY284">
        <v>0</v>
      </c>
      <c r="AZ284" t="s">
        <v>580</v>
      </c>
    </row>
    <row r="285" spans="1:52" x14ac:dyDescent="0.2">
      <c r="A285">
        <v>1</v>
      </c>
      <c r="B285">
        <v>1</v>
      </c>
      <c r="C285">
        <v>0</v>
      </c>
      <c r="D285">
        <v>0</v>
      </c>
      <c r="E285">
        <v>1</v>
      </c>
      <c r="F285">
        <v>0</v>
      </c>
      <c r="G285">
        <v>0</v>
      </c>
      <c r="H285">
        <v>0</v>
      </c>
      <c r="I285">
        <v>0</v>
      </c>
      <c r="L285">
        <v>1</v>
      </c>
      <c r="M285">
        <v>0</v>
      </c>
      <c r="N285">
        <v>0</v>
      </c>
      <c r="O285">
        <v>0</v>
      </c>
      <c r="P285">
        <v>0</v>
      </c>
      <c r="Q285" t="s">
        <v>584</v>
      </c>
      <c r="R285">
        <v>0</v>
      </c>
      <c r="S285">
        <v>0</v>
      </c>
      <c r="T285">
        <v>1</v>
      </c>
      <c r="U285">
        <v>0</v>
      </c>
      <c r="V285">
        <v>0</v>
      </c>
      <c r="W285">
        <v>0</v>
      </c>
      <c r="X285">
        <v>0</v>
      </c>
      <c r="Y285">
        <v>0</v>
      </c>
      <c r="Z285">
        <v>0</v>
      </c>
      <c r="AL285" t="s">
        <v>107</v>
      </c>
      <c r="AM285" t="s">
        <v>87</v>
      </c>
      <c r="AN285" t="s">
        <v>87</v>
      </c>
      <c r="AO285" t="s">
        <v>87</v>
      </c>
      <c r="AP285" t="s">
        <v>87</v>
      </c>
      <c r="AQ285" t="s">
        <v>87</v>
      </c>
      <c r="AR285" t="s">
        <v>97</v>
      </c>
      <c r="AS285" t="s">
        <v>92</v>
      </c>
      <c r="AT285" t="s">
        <v>107</v>
      </c>
      <c r="AU285">
        <v>1</v>
      </c>
      <c r="AV285">
        <v>0</v>
      </c>
      <c r="AW285">
        <v>0</v>
      </c>
      <c r="AX285">
        <v>0</v>
      </c>
      <c r="AY285">
        <v>0</v>
      </c>
      <c r="AZ285" t="s">
        <v>580</v>
      </c>
    </row>
    <row r="286" spans="1:52" x14ac:dyDescent="0.2">
      <c r="A286">
        <v>0</v>
      </c>
      <c r="B286">
        <v>0</v>
      </c>
      <c r="C286">
        <v>0</v>
      </c>
      <c r="D286">
        <v>1</v>
      </c>
      <c r="L286">
        <v>1</v>
      </c>
      <c r="M286">
        <v>0</v>
      </c>
      <c r="N286">
        <v>0</v>
      </c>
      <c r="O286">
        <v>0</v>
      </c>
      <c r="P286">
        <v>0</v>
      </c>
      <c r="Q286" t="s">
        <v>584</v>
      </c>
      <c r="R286">
        <v>0</v>
      </c>
      <c r="S286">
        <v>0</v>
      </c>
      <c r="T286">
        <v>1</v>
      </c>
      <c r="U286">
        <v>0</v>
      </c>
      <c r="V286">
        <v>0</v>
      </c>
      <c r="W286">
        <v>1</v>
      </c>
      <c r="X286">
        <v>1</v>
      </c>
      <c r="Y286">
        <v>0</v>
      </c>
      <c r="Z286">
        <v>0</v>
      </c>
      <c r="AL286" t="s">
        <v>96</v>
      </c>
      <c r="AR286" t="s">
        <v>97</v>
      </c>
      <c r="AS286" t="s">
        <v>76</v>
      </c>
      <c r="AT286" t="s">
        <v>96</v>
      </c>
      <c r="AU286">
        <v>1</v>
      </c>
      <c r="AV286">
        <v>0</v>
      </c>
      <c r="AW286">
        <v>0</v>
      </c>
      <c r="AX286">
        <v>0</v>
      </c>
      <c r="AY286">
        <v>0</v>
      </c>
      <c r="AZ286" t="s">
        <v>581</v>
      </c>
    </row>
    <row r="287" spans="1:52" x14ac:dyDescent="0.2">
      <c r="A287">
        <v>0</v>
      </c>
      <c r="B287">
        <v>1</v>
      </c>
      <c r="C287">
        <v>0</v>
      </c>
      <c r="D287">
        <v>0</v>
      </c>
      <c r="E287">
        <v>0</v>
      </c>
      <c r="F287">
        <v>1</v>
      </c>
      <c r="G287">
        <v>0</v>
      </c>
      <c r="H287">
        <v>0</v>
      </c>
      <c r="I287">
        <v>1</v>
      </c>
      <c r="J287" t="s">
        <v>88</v>
      </c>
      <c r="K287" t="s">
        <v>127</v>
      </c>
      <c r="L287">
        <v>0</v>
      </c>
      <c r="M287">
        <v>1</v>
      </c>
      <c r="N287">
        <v>0</v>
      </c>
      <c r="O287">
        <v>0</v>
      </c>
      <c r="P287">
        <v>0</v>
      </c>
      <c r="Q287" t="s">
        <v>584</v>
      </c>
      <c r="AA287" t="s">
        <v>81</v>
      </c>
      <c r="AB287" t="s">
        <v>82</v>
      </c>
      <c r="AC287" t="s">
        <v>82</v>
      </c>
      <c r="AD287" t="s">
        <v>81</v>
      </c>
      <c r="AE287" t="s">
        <v>81</v>
      </c>
      <c r="AF287" t="s">
        <v>90</v>
      </c>
      <c r="AG287" t="s">
        <v>83</v>
      </c>
      <c r="AH287" t="s">
        <v>82</v>
      </c>
      <c r="AI287" t="s">
        <v>88</v>
      </c>
      <c r="AJ287" t="s">
        <v>89</v>
      </c>
      <c r="AK287" t="s">
        <v>100</v>
      </c>
      <c r="AL287" t="s">
        <v>107</v>
      </c>
      <c r="AM287" t="s">
        <v>87</v>
      </c>
      <c r="AN287" t="s">
        <v>87</v>
      </c>
      <c r="AO287" t="s">
        <v>87</v>
      </c>
      <c r="AP287" t="s">
        <v>87</v>
      </c>
      <c r="AQ287" t="s">
        <v>86</v>
      </c>
      <c r="AR287" t="s">
        <v>97</v>
      </c>
      <c r="AS287" t="s">
        <v>92</v>
      </c>
      <c r="AT287" t="s">
        <v>107</v>
      </c>
      <c r="AU287">
        <v>1</v>
      </c>
      <c r="AV287">
        <v>0</v>
      </c>
      <c r="AW287">
        <v>0</v>
      </c>
      <c r="AX287">
        <v>0</v>
      </c>
      <c r="AY287">
        <v>0</v>
      </c>
      <c r="AZ287" t="s">
        <v>580</v>
      </c>
    </row>
    <row r="288" spans="1:52" x14ac:dyDescent="0.2">
      <c r="A288">
        <v>0</v>
      </c>
      <c r="B288">
        <v>1</v>
      </c>
      <c r="C288">
        <v>0</v>
      </c>
      <c r="D288">
        <v>0</v>
      </c>
      <c r="E288">
        <v>0</v>
      </c>
      <c r="F288">
        <v>1</v>
      </c>
      <c r="G288">
        <v>0</v>
      </c>
      <c r="H288">
        <v>0</v>
      </c>
      <c r="I288">
        <v>0</v>
      </c>
      <c r="J288" t="s">
        <v>135</v>
      </c>
      <c r="K288" t="s">
        <v>80</v>
      </c>
      <c r="L288">
        <v>0</v>
      </c>
      <c r="M288">
        <v>0</v>
      </c>
      <c r="N288">
        <v>0</v>
      </c>
      <c r="O288">
        <v>0</v>
      </c>
      <c r="P288">
        <v>1</v>
      </c>
      <c r="Q288" t="s">
        <v>584</v>
      </c>
      <c r="AA288" t="s">
        <v>83</v>
      </c>
      <c r="AB288" t="s">
        <v>83</v>
      </c>
      <c r="AC288" t="s">
        <v>83</v>
      </c>
      <c r="AD288" t="s">
        <v>83</v>
      </c>
      <c r="AE288" t="s">
        <v>81</v>
      </c>
      <c r="AF288" t="s">
        <v>83</v>
      </c>
      <c r="AG288" t="s">
        <v>81</v>
      </c>
      <c r="AH288" t="s">
        <v>82</v>
      </c>
      <c r="AI288" t="s">
        <v>84</v>
      </c>
      <c r="AJ288" t="s">
        <v>80</v>
      </c>
      <c r="AK288" t="s">
        <v>117</v>
      </c>
      <c r="AL288" t="s">
        <v>107</v>
      </c>
      <c r="AM288" t="s">
        <v>74</v>
      </c>
      <c r="AR288" t="s">
        <v>108</v>
      </c>
      <c r="AS288" t="s">
        <v>92</v>
      </c>
      <c r="AT288" t="s">
        <v>107</v>
      </c>
      <c r="AU288">
        <v>1</v>
      </c>
      <c r="AV288">
        <v>0</v>
      </c>
      <c r="AW288">
        <v>0</v>
      </c>
      <c r="AX288">
        <v>0</v>
      </c>
      <c r="AY288">
        <v>0</v>
      </c>
      <c r="AZ288" t="s">
        <v>580</v>
      </c>
    </row>
    <row r="289" spans="1:52" x14ac:dyDescent="0.2">
      <c r="A289">
        <v>1</v>
      </c>
      <c r="B289">
        <v>0</v>
      </c>
      <c r="C289">
        <v>0</v>
      </c>
      <c r="D289">
        <v>0</v>
      </c>
      <c r="E289">
        <v>1</v>
      </c>
      <c r="F289">
        <v>0</v>
      </c>
      <c r="G289">
        <v>0</v>
      </c>
      <c r="H289">
        <v>0</v>
      </c>
      <c r="I289">
        <v>0</v>
      </c>
      <c r="L289">
        <v>1</v>
      </c>
      <c r="M289">
        <v>0</v>
      </c>
      <c r="N289">
        <v>0</v>
      </c>
      <c r="O289">
        <v>0</v>
      </c>
      <c r="P289">
        <v>0</v>
      </c>
      <c r="Q289" t="s">
        <v>584</v>
      </c>
      <c r="R289">
        <v>1</v>
      </c>
      <c r="S289">
        <v>0</v>
      </c>
      <c r="T289">
        <v>0</v>
      </c>
      <c r="U289">
        <v>0</v>
      </c>
      <c r="V289">
        <v>0</v>
      </c>
      <c r="W289">
        <v>0</v>
      </c>
      <c r="X289">
        <v>0</v>
      </c>
      <c r="Y289">
        <v>0</v>
      </c>
      <c r="Z289">
        <v>0</v>
      </c>
      <c r="AL289" t="s">
        <v>107</v>
      </c>
      <c r="AM289" t="s">
        <v>86</v>
      </c>
      <c r="AN289" t="s">
        <v>74</v>
      </c>
      <c r="AO289" t="s">
        <v>87</v>
      </c>
      <c r="AP289" t="s">
        <v>74</v>
      </c>
      <c r="AQ289" t="s">
        <v>86</v>
      </c>
      <c r="AR289" t="s">
        <v>108</v>
      </c>
      <c r="AS289" t="s">
        <v>92</v>
      </c>
      <c r="AT289" t="s">
        <v>107</v>
      </c>
      <c r="AU289">
        <v>1</v>
      </c>
      <c r="AV289">
        <v>0</v>
      </c>
      <c r="AW289">
        <v>0</v>
      </c>
      <c r="AX289">
        <v>0</v>
      </c>
      <c r="AY289">
        <v>0</v>
      </c>
      <c r="AZ289" t="s">
        <v>580</v>
      </c>
    </row>
    <row r="290" spans="1:52" x14ac:dyDescent="0.2">
      <c r="A290">
        <v>1</v>
      </c>
      <c r="B290">
        <v>0</v>
      </c>
      <c r="C290">
        <v>0</v>
      </c>
      <c r="D290">
        <v>0</v>
      </c>
      <c r="E290">
        <v>0</v>
      </c>
      <c r="F290">
        <v>0</v>
      </c>
      <c r="G290">
        <v>0</v>
      </c>
      <c r="H290">
        <v>0</v>
      </c>
      <c r="I290">
        <v>1</v>
      </c>
      <c r="J290" t="s">
        <v>88</v>
      </c>
      <c r="K290" t="s">
        <v>89</v>
      </c>
      <c r="L290">
        <v>0</v>
      </c>
      <c r="M290">
        <v>1</v>
      </c>
      <c r="N290">
        <v>0</v>
      </c>
      <c r="O290">
        <v>0</v>
      </c>
      <c r="P290">
        <v>0</v>
      </c>
      <c r="Q290" t="s">
        <v>584</v>
      </c>
      <c r="AA290" t="s">
        <v>83</v>
      </c>
      <c r="AB290" t="s">
        <v>82</v>
      </c>
      <c r="AC290" t="s">
        <v>83</v>
      </c>
      <c r="AD290" t="s">
        <v>83</v>
      </c>
      <c r="AE290" t="s">
        <v>83</v>
      </c>
      <c r="AF290" t="s">
        <v>83</v>
      </c>
      <c r="AG290" t="s">
        <v>83</v>
      </c>
      <c r="AH290" t="s">
        <v>83</v>
      </c>
      <c r="AI290" t="s">
        <v>127</v>
      </c>
      <c r="AJ290" t="s">
        <v>127</v>
      </c>
      <c r="AL290" t="s">
        <v>73</v>
      </c>
      <c r="AM290" t="s">
        <v>86</v>
      </c>
      <c r="AN290" t="s">
        <v>74</v>
      </c>
      <c r="AO290" t="s">
        <v>86</v>
      </c>
      <c r="AP290" t="s">
        <v>74</v>
      </c>
      <c r="AQ290" t="s">
        <v>74</v>
      </c>
      <c r="AR290" t="s">
        <v>97</v>
      </c>
      <c r="AS290" t="s">
        <v>76</v>
      </c>
      <c r="AT290" t="s">
        <v>73</v>
      </c>
      <c r="AU290">
        <v>1</v>
      </c>
      <c r="AV290">
        <v>0</v>
      </c>
      <c r="AW290">
        <v>0</v>
      </c>
      <c r="AX290">
        <v>0</v>
      </c>
      <c r="AY290">
        <v>0</v>
      </c>
      <c r="AZ290" t="s">
        <v>581</v>
      </c>
    </row>
    <row r="291" spans="1:52" x14ac:dyDescent="0.2">
      <c r="A291">
        <v>1</v>
      </c>
      <c r="B291">
        <v>0</v>
      </c>
      <c r="C291">
        <v>0</v>
      </c>
      <c r="D291">
        <v>0</v>
      </c>
      <c r="E291">
        <v>0</v>
      </c>
      <c r="F291">
        <v>1</v>
      </c>
      <c r="G291">
        <v>0</v>
      </c>
      <c r="H291">
        <v>1</v>
      </c>
      <c r="I291">
        <v>1</v>
      </c>
      <c r="J291" t="s">
        <v>88</v>
      </c>
      <c r="K291" t="s">
        <v>89</v>
      </c>
      <c r="L291">
        <v>0</v>
      </c>
      <c r="M291">
        <v>0</v>
      </c>
      <c r="N291">
        <v>1</v>
      </c>
      <c r="O291">
        <v>0</v>
      </c>
      <c r="P291">
        <v>0</v>
      </c>
      <c r="Q291" t="s">
        <v>584</v>
      </c>
      <c r="AA291" t="s">
        <v>83</v>
      </c>
      <c r="AB291" t="s">
        <v>81</v>
      </c>
      <c r="AC291" t="s">
        <v>83</v>
      </c>
      <c r="AD291" t="s">
        <v>83</v>
      </c>
      <c r="AE291" t="s">
        <v>82</v>
      </c>
      <c r="AF291" t="s">
        <v>83</v>
      </c>
      <c r="AG291" t="s">
        <v>83</v>
      </c>
      <c r="AH291" t="s">
        <v>83</v>
      </c>
      <c r="AI291" t="s">
        <v>88</v>
      </c>
      <c r="AJ291" t="s">
        <v>89</v>
      </c>
      <c r="AK291" t="s">
        <v>85</v>
      </c>
      <c r="AL291" t="s">
        <v>96</v>
      </c>
      <c r="AM291" t="s">
        <v>87</v>
      </c>
      <c r="AN291" t="s">
        <v>87</v>
      </c>
      <c r="AO291" t="s">
        <v>87</v>
      </c>
      <c r="AP291" t="s">
        <v>87</v>
      </c>
      <c r="AQ291" t="s">
        <v>87</v>
      </c>
      <c r="AR291" t="s">
        <v>75</v>
      </c>
      <c r="AS291" t="s">
        <v>92</v>
      </c>
      <c r="AT291" t="s">
        <v>96</v>
      </c>
      <c r="AU291">
        <v>1</v>
      </c>
      <c r="AV291">
        <v>0</v>
      </c>
      <c r="AW291">
        <v>0</v>
      </c>
      <c r="AX291">
        <v>0</v>
      </c>
      <c r="AY291">
        <v>0</v>
      </c>
      <c r="AZ291" t="s">
        <v>580</v>
      </c>
    </row>
    <row r="292" spans="1:52" x14ac:dyDescent="0.2">
      <c r="A292">
        <v>1</v>
      </c>
      <c r="B292">
        <v>0</v>
      </c>
      <c r="C292">
        <v>0</v>
      </c>
      <c r="D292">
        <v>0</v>
      </c>
      <c r="E292">
        <v>1</v>
      </c>
      <c r="F292">
        <v>0</v>
      </c>
      <c r="G292">
        <v>0</v>
      </c>
      <c r="H292">
        <v>0</v>
      </c>
      <c r="I292">
        <v>0</v>
      </c>
      <c r="L292">
        <v>1</v>
      </c>
      <c r="M292">
        <v>0</v>
      </c>
      <c r="N292">
        <v>0</v>
      </c>
      <c r="O292">
        <v>0</v>
      </c>
      <c r="P292">
        <v>0</v>
      </c>
      <c r="Q292" t="s">
        <v>584</v>
      </c>
      <c r="R292">
        <v>0</v>
      </c>
      <c r="S292">
        <v>1</v>
      </c>
      <c r="T292">
        <v>0</v>
      </c>
      <c r="U292">
        <v>0</v>
      </c>
      <c r="V292">
        <v>0</v>
      </c>
      <c r="W292">
        <v>0</v>
      </c>
      <c r="X292">
        <v>0</v>
      </c>
      <c r="Y292">
        <v>0</v>
      </c>
      <c r="Z292">
        <v>0</v>
      </c>
      <c r="AL292" t="s">
        <v>107</v>
      </c>
      <c r="AM292" t="s">
        <v>87</v>
      </c>
      <c r="AN292" t="s">
        <v>87</v>
      </c>
      <c r="AO292" t="s">
        <v>87</v>
      </c>
      <c r="AP292" t="s">
        <v>87</v>
      </c>
      <c r="AQ292" t="s">
        <v>87</v>
      </c>
      <c r="AR292" t="s">
        <v>97</v>
      </c>
      <c r="AS292" t="s">
        <v>92</v>
      </c>
      <c r="AT292" t="s">
        <v>107</v>
      </c>
      <c r="AU292">
        <v>1</v>
      </c>
      <c r="AV292">
        <v>0</v>
      </c>
      <c r="AW292">
        <v>0</v>
      </c>
      <c r="AX292">
        <v>0</v>
      </c>
      <c r="AY292">
        <v>0</v>
      </c>
      <c r="AZ292" t="s">
        <v>581</v>
      </c>
    </row>
    <row r="293" spans="1:52" x14ac:dyDescent="0.2">
      <c r="A293">
        <v>1</v>
      </c>
      <c r="B293">
        <v>0</v>
      </c>
      <c r="C293">
        <v>0</v>
      </c>
      <c r="D293">
        <v>0</v>
      </c>
      <c r="E293">
        <v>0</v>
      </c>
      <c r="F293">
        <v>0</v>
      </c>
      <c r="G293">
        <v>0</v>
      </c>
      <c r="H293">
        <v>1</v>
      </c>
      <c r="I293">
        <v>0</v>
      </c>
      <c r="J293" t="s">
        <v>135</v>
      </c>
      <c r="K293" t="s">
        <v>127</v>
      </c>
      <c r="L293">
        <v>1</v>
      </c>
      <c r="M293">
        <v>0</v>
      </c>
      <c r="N293">
        <v>0</v>
      </c>
      <c r="O293">
        <v>0</v>
      </c>
      <c r="P293">
        <v>0</v>
      </c>
      <c r="Q293" t="s">
        <v>584</v>
      </c>
      <c r="R293">
        <v>0</v>
      </c>
      <c r="S293">
        <v>1</v>
      </c>
      <c r="T293">
        <v>0</v>
      </c>
      <c r="U293">
        <v>0</v>
      </c>
      <c r="V293">
        <v>0</v>
      </c>
      <c r="W293">
        <v>0</v>
      </c>
      <c r="X293">
        <v>0</v>
      </c>
      <c r="Y293">
        <v>0</v>
      </c>
      <c r="Z293">
        <v>0</v>
      </c>
      <c r="AL293" t="s">
        <v>73</v>
      </c>
      <c r="AM293" t="s">
        <v>74</v>
      </c>
      <c r="AR293" t="s">
        <v>97</v>
      </c>
      <c r="AS293" t="s">
        <v>92</v>
      </c>
      <c r="AT293" t="s">
        <v>73</v>
      </c>
      <c r="AU293">
        <v>1</v>
      </c>
      <c r="AV293">
        <v>0</v>
      </c>
      <c r="AW293">
        <v>0</v>
      </c>
      <c r="AX293">
        <v>0</v>
      </c>
      <c r="AY293">
        <v>0</v>
      </c>
      <c r="AZ293" t="s">
        <v>581</v>
      </c>
    </row>
    <row r="294" spans="1:52" x14ac:dyDescent="0.2">
      <c r="A294">
        <v>1</v>
      </c>
      <c r="B294">
        <v>0</v>
      </c>
      <c r="C294">
        <v>0</v>
      </c>
      <c r="D294">
        <v>0</v>
      </c>
      <c r="E294">
        <v>0</v>
      </c>
      <c r="F294">
        <v>1</v>
      </c>
      <c r="G294">
        <v>1</v>
      </c>
      <c r="H294">
        <v>1</v>
      </c>
      <c r="I294">
        <v>0</v>
      </c>
      <c r="J294" t="s">
        <v>88</v>
      </c>
      <c r="K294" t="s">
        <v>89</v>
      </c>
      <c r="L294">
        <v>0</v>
      </c>
      <c r="M294">
        <v>1</v>
      </c>
      <c r="N294">
        <v>1</v>
      </c>
      <c r="O294">
        <v>0</v>
      </c>
      <c r="P294">
        <v>0</v>
      </c>
      <c r="Q294" t="s">
        <v>584</v>
      </c>
      <c r="AA294" t="s">
        <v>81</v>
      </c>
      <c r="AB294" t="s">
        <v>81</v>
      </c>
      <c r="AC294" t="s">
        <v>81</v>
      </c>
      <c r="AD294" t="s">
        <v>81</v>
      </c>
      <c r="AE294" t="s">
        <v>82</v>
      </c>
      <c r="AF294" t="s">
        <v>81</v>
      </c>
      <c r="AG294" t="s">
        <v>81</v>
      </c>
      <c r="AH294" t="s">
        <v>83</v>
      </c>
      <c r="AI294" t="s">
        <v>88</v>
      </c>
      <c r="AJ294" t="s">
        <v>89</v>
      </c>
      <c r="AK294" t="s">
        <v>100</v>
      </c>
      <c r="AL294" t="s">
        <v>73</v>
      </c>
      <c r="AM294" t="s">
        <v>87</v>
      </c>
      <c r="AN294" t="s">
        <v>87</v>
      </c>
      <c r="AO294" t="s">
        <v>87</v>
      </c>
      <c r="AP294" t="s">
        <v>87</v>
      </c>
      <c r="AQ294" t="s">
        <v>87</v>
      </c>
      <c r="AR294" t="s">
        <v>97</v>
      </c>
      <c r="AS294" t="s">
        <v>92</v>
      </c>
      <c r="AT294" t="s">
        <v>73</v>
      </c>
      <c r="AU294">
        <v>1</v>
      </c>
      <c r="AV294">
        <v>0</v>
      </c>
      <c r="AW294">
        <v>0</v>
      </c>
      <c r="AX294">
        <v>0</v>
      </c>
      <c r="AY294">
        <v>0</v>
      </c>
      <c r="AZ294" t="s">
        <v>580</v>
      </c>
    </row>
    <row r="295" spans="1:52" x14ac:dyDescent="0.2">
      <c r="A295">
        <v>1</v>
      </c>
      <c r="B295">
        <v>0</v>
      </c>
      <c r="C295">
        <v>0</v>
      </c>
      <c r="D295">
        <v>0</v>
      </c>
      <c r="E295">
        <v>0</v>
      </c>
      <c r="F295">
        <v>1</v>
      </c>
      <c r="G295">
        <v>0</v>
      </c>
      <c r="H295">
        <v>0</v>
      </c>
      <c r="I295">
        <v>0</v>
      </c>
      <c r="J295" t="s">
        <v>88</v>
      </c>
      <c r="K295" t="s">
        <v>80</v>
      </c>
      <c r="L295">
        <v>0</v>
      </c>
      <c r="M295">
        <v>1</v>
      </c>
      <c r="N295">
        <v>0</v>
      </c>
      <c r="O295">
        <v>0</v>
      </c>
      <c r="P295">
        <v>0</v>
      </c>
      <c r="Q295" t="s">
        <v>584</v>
      </c>
      <c r="AA295" t="s">
        <v>83</v>
      </c>
      <c r="AB295" t="s">
        <v>82</v>
      </c>
      <c r="AC295" t="s">
        <v>81</v>
      </c>
      <c r="AD295" t="s">
        <v>82</v>
      </c>
      <c r="AE295" t="s">
        <v>81</v>
      </c>
      <c r="AF295" t="s">
        <v>83</v>
      </c>
      <c r="AG295" t="s">
        <v>83</v>
      </c>
      <c r="AH295" t="s">
        <v>81</v>
      </c>
      <c r="AI295" t="s">
        <v>88</v>
      </c>
      <c r="AJ295" t="s">
        <v>89</v>
      </c>
      <c r="AK295" t="s">
        <v>117</v>
      </c>
      <c r="AL295" t="s">
        <v>107</v>
      </c>
      <c r="AM295" t="s">
        <v>86</v>
      </c>
      <c r="AN295" t="s">
        <v>87</v>
      </c>
      <c r="AO295" t="s">
        <v>86</v>
      </c>
      <c r="AP295" t="s">
        <v>86</v>
      </c>
      <c r="AQ295" t="s">
        <v>87</v>
      </c>
      <c r="AR295" t="s">
        <v>108</v>
      </c>
      <c r="AS295" t="s">
        <v>92</v>
      </c>
      <c r="AT295" t="s">
        <v>107</v>
      </c>
      <c r="AU295">
        <v>1</v>
      </c>
      <c r="AV295">
        <v>0</v>
      </c>
      <c r="AW295">
        <v>0</v>
      </c>
      <c r="AX295">
        <v>0</v>
      </c>
      <c r="AY295">
        <v>0</v>
      </c>
      <c r="AZ295" t="s">
        <v>580</v>
      </c>
    </row>
    <row r="296" spans="1:52" x14ac:dyDescent="0.2">
      <c r="A296">
        <v>1</v>
      </c>
      <c r="B296">
        <v>0</v>
      </c>
      <c r="C296">
        <v>0</v>
      </c>
      <c r="D296">
        <v>0</v>
      </c>
      <c r="E296">
        <v>1</v>
      </c>
      <c r="F296">
        <v>0</v>
      </c>
      <c r="G296">
        <v>0</v>
      </c>
      <c r="H296">
        <v>0</v>
      </c>
      <c r="I296">
        <v>0</v>
      </c>
      <c r="L296">
        <v>1</v>
      </c>
      <c r="M296">
        <v>0</v>
      </c>
      <c r="N296">
        <v>0</v>
      </c>
      <c r="O296">
        <v>0</v>
      </c>
      <c r="P296">
        <v>0</v>
      </c>
      <c r="Q296" t="s">
        <v>584</v>
      </c>
      <c r="R296">
        <v>0</v>
      </c>
      <c r="S296">
        <v>0</v>
      </c>
      <c r="T296">
        <v>0</v>
      </c>
      <c r="U296">
        <v>0</v>
      </c>
      <c r="V296">
        <v>0</v>
      </c>
      <c r="W296">
        <v>0</v>
      </c>
      <c r="X296">
        <v>0</v>
      </c>
      <c r="Y296">
        <v>0</v>
      </c>
      <c r="Z296">
        <v>1</v>
      </c>
      <c r="AL296" t="s">
        <v>73</v>
      </c>
      <c r="AM296" t="s">
        <v>87</v>
      </c>
      <c r="AN296" t="s">
        <v>74</v>
      </c>
      <c r="AO296" t="s">
        <v>74</v>
      </c>
      <c r="AP296" t="s">
        <v>87</v>
      </c>
      <c r="AQ296" t="s">
        <v>87</v>
      </c>
      <c r="AR296" t="s">
        <v>97</v>
      </c>
      <c r="AS296" t="s">
        <v>92</v>
      </c>
      <c r="AT296" t="s">
        <v>73</v>
      </c>
      <c r="AU296">
        <v>1</v>
      </c>
      <c r="AV296">
        <v>0</v>
      </c>
      <c r="AW296">
        <v>0</v>
      </c>
      <c r="AX296">
        <v>0</v>
      </c>
      <c r="AY296">
        <v>0</v>
      </c>
      <c r="AZ296" t="s">
        <v>581</v>
      </c>
    </row>
    <row r="297" spans="1:52" x14ac:dyDescent="0.2">
      <c r="A297">
        <v>1</v>
      </c>
      <c r="B297">
        <v>0</v>
      </c>
      <c r="C297">
        <v>0</v>
      </c>
      <c r="D297">
        <v>0</v>
      </c>
      <c r="E297">
        <v>1</v>
      </c>
      <c r="F297">
        <v>0</v>
      </c>
      <c r="G297">
        <v>0</v>
      </c>
      <c r="H297">
        <v>0</v>
      </c>
      <c r="I297">
        <v>0</v>
      </c>
      <c r="L297">
        <v>1</v>
      </c>
      <c r="M297">
        <v>0</v>
      </c>
      <c r="N297">
        <v>0</v>
      </c>
      <c r="O297">
        <v>0</v>
      </c>
      <c r="P297">
        <v>0</v>
      </c>
      <c r="Q297" t="s">
        <v>584</v>
      </c>
      <c r="R297">
        <v>0</v>
      </c>
      <c r="S297">
        <v>1</v>
      </c>
      <c r="T297">
        <v>0</v>
      </c>
      <c r="U297">
        <v>0</v>
      </c>
      <c r="V297">
        <v>0</v>
      </c>
      <c r="W297">
        <v>0</v>
      </c>
      <c r="X297">
        <v>0</v>
      </c>
      <c r="Y297">
        <v>0</v>
      </c>
      <c r="Z297">
        <v>0</v>
      </c>
      <c r="AL297" t="s">
        <v>73</v>
      </c>
      <c r="AM297" t="s">
        <v>74</v>
      </c>
      <c r="AR297" t="s">
        <v>97</v>
      </c>
      <c r="AS297" t="s">
        <v>92</v>
      </c>
      <c r="AT297" t="s">
        <v>73</v>
      </c>
      <c r="AU297">
        <v>1</v>
      </c>
      <c r="AV297">
        <v>0</v>
      </c>
      <c r="AW297">
        <v>0</v>
      </c>
      <c r="AX297">
        <v>0</v>
      </c>
      <c r="AY297">
        <v>0</v>
      </c>
      <c r="AZ297" t="s">
        <v>581</v>
      </c>
    </row>
    <row r="298" spans="1:52" x14ac:dyDescent="0.2">
      <c r="A298">
        <v>1</v>
      </c>
      <c r="B298">
        <v>0</v>
      </c>
      <c r="C298">
        <v>0</v>
      </c>
      <c r="D298">
        <v>0</v>
      </c>
      <c r="E298">
        <v>0</v>
      </c>
      <c r="F298">
        <v>1</v>
      </c>
      <c r="G298">
        <v>1</v>
      </c>
      <c r="H298">
        <v>0</v>
      </c>
      <c r="I298">
        <v>0</v>
      </c>
      <c r="J298" t="s">
        <v>88</v>
      </c>
      <c r="K298" t="s">
        <v>80</v>
      </c>
      <c r="L298">
        <v>0</v>
      </c>
      <c r="M298">
        <v>0</v>
      </c>
      <c r="N298">
        <v>1</v>
      </c>
      <c r="O298">
        <v>0</v>
      </c>
      <c r="P298">
        <v>0</v>
      </c>
      <c r="Q298" t="s">
        <v>584</v>
      </c>
      <c r="AA298" t="s">
        <v>81</v>
      </c>
      <c r="AB298" t="s">
        <v>81</v>
      </c>
      <c r="AC298" t="s">
        <v>83</v>
      </c>
      <c r="AD298" t="s">
        <v>81</v>
      </c>
      <c r="AE298" t="s">
        <v>82</v>
      </c>
      <c r="AF298" t="s">
        <v>83</v>
      </c>
      <c r="AG298" t="s">
        <v>83</v>
      </c>
      <c r="AH298" t="s">
        <v>83</v>
      </c>
      <c r="AI298" t="s">
        <v>88</v>
      </c>
      <c r="AJ298" t="s">
        <v>80</v>
      </c>
      <c r="AK298" t="s">
        <v>85</v>
      </c>
      <c r="AL298" t="s">
        <v>96</v>
      </c>
      <c r="AM298" t="s">
        <v>87</v>
      </c>
      <c r="AN298" t="s">
        <v>87</v>
      </c>
      <c r="AO298" t="s">
        <v>87</v>
      </c>
      <c r="AP298" t="s">
        <v>74</v>
      </c>
      <c r="AQ298" t="s">
        <v>87</v>
      </c>
      <c r="AR298" t="s">
        <v>159</v>
      </c>
      <c r="AS298" t="s">
        <v>92</v>
      </c>
      <c r="AT298" t="s">
        <v>96</v>
      </c>
      <c r="AU298">
        <v>1</v>
      </c>
      <c r="AV298">
        <v>0</v>
      </c>
      <c r="AW298">
        <v>0</v>
      </c>
      <c r="AX298">
        <v>0</v>
      </c>
      <c r="AY298">
        <v>0</v>
      </c>
      <c r="AZ298" t="s">
        <v>580</v>
      </c>
    </row>
    <row r="299" spans="1:52" x14ac:dyDescent="0.2">
      <c r="A299">
        <v>1</v>
      </c>
      <c r="B299">
        <v>0</v>
      </c>
      <c r="C299">
        <v>0</v>
      </c>
      <c r="D299">
        <v>0</v>
      </c>
      <c r="E299">
        <v>1</v>
      </c>
      <c r="F299">
        <v>0</v>
      </c>
      <c r="G299">
        <v>0</v>
      </c>
      <c r="H299">
        <v>0</v>
      </c>
      <c r="I299">
        <v>0</v>
      </c>
      <c r="L299">
        <v>1</v>
      </c>
      <c r="M299">
        <v>0</v>
      </c>
      <c r="N299">
        <v>0</v>
      </c>
      <c r="O299">
        <v>0</v>
      </c>
      <c r="P299">
        <v>0</v>
      </c>
      <c r="Q299" t="s">
        <v>584</v>
      </c>
      <c r="R299">
        <v>0</v>
      </c>
      <c r="S299">
        <v>0</v>
      </c>
      <c r="T299">
        <v>1</v>
      </c>
      <c r="U299">
        <v>0</v>
      </c>
      <c r="V299">
        <v>0</v>
      </c>
      <c r="W299">
        <v>0</v>
      </c>
      <c r="X299">
        <v>0</v>
      </c>
      <c r="Y299">
        <v>0</v>
      </c>
      <c r="Z299">
        <v>0</v>
      </c>
      <c r="AL299" t="s">
        <v>73</v>
      </c>
      <c r="AM299" t="s">
        <v>87</v>
      </c>
      <c r="AN299" t="s">
        <v>86</v>
      </c>
      <c r="AO299" t="s">
        <v>74</v>
      </c>
      <c r="AP299" t="s">
        <v>74</v>
      </c>
      <c r="AQ299" t="s">
        <v>86</v>
      </c>
      <c r="AR299" t="s">
        <v>75</v>
      </c>
      <c r="AS299" t="s">
        <v>92</v>
      </c>
      <c r="AT299" t="s">
        <v>73</v>
      </c>
      <c r="AU299">
        <v>1</v>
      </c>
      <c r="AV299">
        <v>0</v>
      </c>
      <c r="AW299">
        <v>0</v>
      </c>
      <c r="AX299">
        <v>0</v>
      </c>
      <c r="AY299">
        <v>0</v>
      </c>
      <c r="AZ299" t="s">
        <v>580</v>
      </c>
    </row>
    <row r="300" spans="1:52" x14ac:dyDescent="0.2">
      <c r="A300">
        <v>1</v>
      </c>
      <c r="B300">
        <v>0</v>
      </c>
      <c r="C300">
        <v>0</v>
      </c>
      <c r="D300">
        <v>0</v>
      </c>
      <c r="E300">
        <v>0</v>
      </c>
      <c r="F300">
        <v>1</v>
      </c>
      <c r="G300">
        <v>1</v>
      </c>
      <c r="H300">
        <v>0</v>
      </c>
      <c r="I300">
        <v>0</v>
      </c>
      <c r="J300" t="s">
        <v>88</v>
      </c>
      <c r="K300" t="s">
        <v>89</v>
      </c>
      <c r="L300">
        <v>1</v>
      </c>
      <c r="M300">
        <v>0</v>
      </c>
      <c r="N300">
        <v>0</v>
      </c>
      <c r="O300">
        <v>0</v>
      </c>
      <c r="P300">
        <v>0</v>
      </c>
      <c r="Q300" t="s">
        <v>584</v>
      </c>
      <c r="R300">
        <v>0</v>
      </c>
      <c r="S300">
        <v>0</v>
      </c>
      <c r="T300">
        <v>0</v>
      </c>
      <c r="U300">
        <v>0</v>
      </c>
      <c r="V300">
        <v>0</v>
      </c>
      <c r="W300">
        <v>0</v>
      </c>
      <c r="X300">
        <v>0</v>
      </c>
      <c r="Y300">
        <v>0</v>
      </c>
      <c r="Z300">
        <v>1</v>
      </c>
      <c r="AL300" t="s">
        <v>73</v>
      </c>
      <c r="AM300" t="s">
        <v>87</v>
      </c>
      <c r="AN300" t="s">
        <v>87</v>
      </c>
      <c r="AO300" t="s">
        <v>87</v>
      </c>
      <c r="AP300" t="s">
        <v>86</v>
      </c>
      <c r="AQ300" t="s">
        <v>86</v>
      </c>
      <c r="AR300" t="s">
        <v>97</v>
      </c>
      <c r="AS300" t="s">
        <v>92</v>
      </c>
      <c r="AT300" t="s">
        <v>73</v>
      </c>
      <c r="AU300">
        <v>1</v>
      </c>
      <c r="AV300">
        <v>0</v>
      </c>
      <c r="AW300">
        <v>0</v>
      </c>
      <c r="AX300">
        <v>0</v>
      </c>
      <c r="AY300">
        <v>0</v>
      </c>
      <c r="AZ300" t="s">
        <v>580</v>
      </c>
    </row>
    <row r="301" spans="1:52" x14ac:dyDescent="0.2">
      <c r="A301">
        <v>1</v>
      </c>
      <c r="B301">
        <v>0</v>
      </c>
      <c r="C301">
        <v>0</v>
      </c>
      <c r="D301">
        <v>0</v>
      </c>
      <c r="E301">
        <v>0</v>
      </c>
      <c r="F301">
        <v>0</v>
      </c>
      <c r="G301">
        <v>1</v>
      </c>
      <c r="H301">
        <v>1</v>
      </c>
      <c r="I301">
        <v>0</v>
      </c>
      <c r="J301" t="s">
        <v>88</v>
      </c>
      <c r="K301" t="s">
        <v>89</v>
      </c>
      <c r="L301">
        <v>0</v>
      </c>
      <c r="M301">
        <v>0</v>
      </c>
      <c r="N301">
        <v>1</v>
      </c>
      <c r="O301">
        <v>0</v>
      </c>
      <c r="P301">
        <v>0</v>
      </c>
      <c r="Q301" t="s">
        <v>584</v>
      </c>
      <c r="AA301" t="s">
        <v>83</v>
      </c>
      <c r="AB301" t="s">
        <v>81</v>
      </c>
      <c r="AC301" t="s">
        <v>82</v>
      </c>
      <c r="AD301" t="s">
        <v>82</v>
      </c>
      <c r="AE301" t="s">
        <v>83</v>
      </c>
      <c r="AF301" t="s">
        <v>83</v>
      </c>
      <c r="AG301" t="s">
        <v>83</v>
      </c>
      <c r="AH301" t="s">
        <v>83</v>
      </c>
      <c r="AI301" t="s">
        <v>88</v>
      </c>
      <c r="AJ301" t="s">
        <v>89</v>
      </c>
      <c r="AK301" t="s">
        <v>100</v>
      </c>
      <c r="AL301" t="s">
        <v>107</v>
      </c>
      <c r="AM301" t="s">
        <v>87</v>
      </c>
      <c r="AN301" t="s">
        <v>74</v>
      </c>
      <c r="AO301" t="s">
        <v>74</v>
      </c>
      <c r="AP301" t="s">
        <v>87</v>
      </c>
      <c r="AQ301" t="s">
        <v>74</v>
      </c>
      <c r="AR301" t="s">
        <v>97</v>
      </c>
      <c r="AS301" t="s">
        <v>92</v>
      </c>
      <c r="AT301" t="s">
        <v>107</v>
      </c>
      <c r="AU301">
        <v>1</v>
      </c>
      <c r="AV301">
        <v>0</v>
      </c>
      <c r="AW301">
        <v>0</v>
      </c>
      <c r="AX301">
        <v>0</v>
      </c>
      <c r="AY301">
        <v>0</v>
      </c>
      <c r="AZ301" t="s">
        <v>581</v>
      </c>
    </row>
    <row r="302" spans="1:52" x14ac:dyDescent="0.2">
      <c r="A302">
        <v>1</v>
      </c>
      <c r="B302">
        <v>0</v>
      </c>
      <c r="C302">
        <v>0</v>
      </c>
      <c r="D302">
        <v>0</v>
      </c>
      <c r="E302">
        <v>1</v>
      </c>
      <c r="F302">
        <v>0</v>
      </c>
      <c r="G302">
        <v>0</v>
      </c>
      <c r="H302">
        <v>0</v>
      </c>
      <c r="I302">
        <v>0</v>
      </c>
      <c r="L302">
        <v>0</v>
      </c>
      <c r="M302">
        <v>0</v>
      </c>
      <c r="N302">
        <v>1</v>
      </c>
      <c r="O302">
        <v>0</v>
      </c>
      <c r="P302">
        <v>0</v>
      </c>
      <c r="Q302" t="s">
        <v>584</v>
      </c>
      <c r="AA302" t="s">
        <v>90</v>
      </c>
      <c r="AB302" t="s">
        <v>82</v>
      </c>
      <c r="AC302" t="s">
        <v>90</v>
      </c>
      <c r="AD302" t="s">
        <v>90</v>
      </c>
      <c r="AE302" t="s">
        <v>90</v>
      </c>
      <c r="AF302" t="s">
        <v>90</v>
      </c>
      <c r="AG302" t="s">
        <v>90</v>
      </c>
      <c r="AH302" t="s">
        <v>90</v>
      </c>
      <c r="AI302" t="s">
        <v>88</v>
      </c>
      <c r="AJ302" t="s">
        <v>142</v>
      </c>
      <c r="AK302" t="s">
        <v>153</v>
      </c>
      <c r="AL302" t="s">
        <v>73</v>
      </c>
      <c r="AM302" t="s">
        <v>87</v>
      </c>
      <c r="AN302" t="s">
        <v>74</v>
      </c>
      <c r="AO302" t="s">
        <v>87</v>
      </c>
      <c r="AP302" t="s">
        <v>74</v>
      </c>
      <c r="AQ302" t="s">
        <v>74</v>
      </c>
      <c r="AR302" t="s">
        <v>75</v>
      </c>
      <c r="AS302" t="s">
        <v>92</v>
      </c>
      <c r="AT302" t="s">
        <v>73</v>
      </c>
      <c r="AU302">
        <v>1</v>
      </c>
      <c r="AV302">
        <v>0</v>
      </c>
      <c r="AW302">
        <v>0</v>
      </c>
      <c r="AX302">
        <v>0</v>
      </c>
      <c r="AY302">
        <v>0</v>
      </c>
      <c r="AZ302" t="s">
        <v>580</v>
      </c>
    </row>
    <row r="303" spans="1:52" x14ac:dyDescent="0.2">
      <c r="A303">
        <v>1</v>
      </c>
      <c r="B303">
        <v>0</v>
      </c>
      <c r="C303">
        <v>0</v>
      </c>
      <c r="D303">
        <v>0</v>
      </c>
      <c r="E303">
        <v>1</v>
      </c>
      <c r="F303">
        <v>0</v>
      </c>
      <c r="G303">
        <v>0</v>
      </c>
      <c r="H303">
        <v>0</v>
      </c>
      <c r="I303">
        <v>0</v>
      </c>
      <c r="L303">
        <v>0</v>
      </c>
      <c r="M303">
        <v>1</v>
      </c>
      <c r="N303">
        <v>0</v>
      </c>
      <c r="O303">
        <v>0</v>
      </c>
      <c r="P303">
        <v>0</v>
      </c>
      <c r="Q303" t="s">
        <v>584</v>
      </c>
      <c r="AA303" t="s">
        <v>81</v>
      </c>
      <c r="AB303" t="s">
        <v>83</v>
      </c>
      <c r="AC303" t="s">
        <v>83</v>
      </c>
      <c r="AD303" t="s">
        <v>90</v>
      </c>
      <c r="AE303" t="s">
        <v>81</v>
      </c>
      <c r="AF303" t="s">
        <v>81</v>
      </c>
      <c r="AG303" t="s">
        <v>81</v>
      </c>
      <c r="AH303" t="s">
        <v>83</v>
      </c>
      <c r="AI303" t="s">
        <v>135</v>
      </c>
      <c r="AJ303" t="s">
        <v>142</v>
      </c>
      <c r="AK303" t="s">
        <v>85</v>
      </c>
      <c r="AL303" t="s">
        <v>96</v>
      </c>
      <c r="AM303" t="s">
        <v>74</v>
      </c>
      <c r="AR303" t="s">
        <v>97</v>
      </c>
      <c r="AS303" t="s">
        <v>92</v>
      </c>
      <c r="AT303" t="s">
        <v>96</v>
      </c>
      <c r="AU303">
        <v>1</v>
      </c>
      <c r="AV303">
        <v>0</v>
      </c>
      <c r="AW303">
        <v>0</v>
      </c>
      <c r="AX303">
        <v>0</v>
      </c>
      <c r="AY303">
        <v>0</v>
      </c>
      <c r="AZ303" t="s">
        <v>580</v>
      </c>
    </row>
    <row r="304" spans="1:52" x14ac:dyDescent="0.2">
      <c r="A304">
        <v>0</v>
      </c>
      <c r="B304">
        <v>1</v>
      </c>
      <c r="C304">
        <v>0</v>
      </c>
      <c r="D304">
        <v>0</v>
      </c>
      <c r="E304">
        <v>1</v>
      </c>
      <c r="F304">
        <v>0</v>
      </c>
      <c r="G304">
        <v>0</v>
      </c>
      <c r="H304">
        <v>0</v>
      </c>
      <c r="I304">
        <v>0</v>
      </c>
      <c r="L304">
        <v>0</v>
      </c>
      <c r="M304">
        <v>0</v>
      </c>
      <c r="N304">
        <v>0</v>
      </c>
      <c r="O304">
        <v>0</v>
      </c>
      <c r="P304">
        <v>1</v>
      </c>
      <c r="Q304" t="s">
        <v>584</v>
      </c>
      <c r="AA304" t="s">
        <v>90</v>
      </c>
      <c r="AB304" t="s">
        <v>90</v>
      </c>
      <c r="AC304" t="s">
        <v>90</v>
      </c>
      <c r="AD304" t="s">
        <v>90</v>
      </c>
      <c r="AE304" t="s">
        <v>82</v>
      </c>
      <c r="AF304" t="s">
        <v>90</v>
      </c>
      <c r="AG304" t="s">
        <v>90</v>
      </c>
      <c r="AH304" t="s">
        <v>90</v>
      </c>
      <c r="AI304" t="s">
        <v>127</v>
      </c>
      <c r="AJ304" t="s">
        <v>127</v>
      </c>
      <c r="AL304" t="s">
        <v>120</v>
      </c>
      <c r="AM304" t="s">
        <v>74</v>
      </c>
      <c r="AR304" t="s">
        <v>75</v>
      </c>
      <c r="AS304" t="s">
        <v>92</v>
      </c>
      <c r="AT304" t="s">
        <v>120</v>
      </c>
      <c r="AU304">
        <v>1</v>
      </c>
      <c r="AV304">
        <v>0</v>
      </c>
      <c r="AW304">
        <v>0</v>
      </c>
      <c r="AX304">
        <v>0</v>
      </c>
      <c r="AY304">
        <v>0</v>
      </c>
      <c r="AZ304" t="s">
        <v>580</v>
      </c>
    </row>
    <row r="305" spans="1:52" x14ac:dyDescent="0.2">
      <c r="A305">
        <v>1</v>
      </c>
      <c r="B305">
        <v>0</v>
      </c>
      <c r="C305">
        <v>0</v>
      </c>
      <c r="D305">
        <v>0</v>
      </c>
      <c r="E305">
        <v>1</v>
      </c>
      <c r="F305">
        <v>0</v>
      </c>
      <c r="G305">
        <v>0</v>
      </c>
      <c r="H305">
        <v>0</v>
      </c>
      <c r="I305">
        <v>0</v>
      </c>
      <c r="L305">
        <v>1</v>
      </c>
      <c r="M305">
        <v>0</v>
      </c>
      <c r="N305">
        <v>0</v>
      </c>
      <c r="O305">
        <v>0</v>
      </c>
      <c r="P305">
        <v>0</v>
      </c>
      <c r="Q305" t="s">
        <v>584</v>
      </c>
      <c r="R305">
        <v>0</v>
      </c>
      <c r="S305">
        <v>1</v>
      </c>
      <c r="T305">
        <v>0</v>
      </c>
      <c r="U305">
        <v>0</v>
      </c>
      <c r="V305">
        <v>0</v>
      </c>
      <c r="W305">
        <v>0</v>
      </c>
      <c r="X305">
        <v>0</v>
      </c>
      <c r="Y305">
        <v>0</v>
      </c>
      <c r="Z305">
        <v>0</v>
      </c>
      <c r="AL305" t="s">
        <v>120</v>
      </c>
      <c r="AM305" t="s">
        <v>74</v>
      </c>
      <c r="AR305" t="s">
        <v>97</v>
      </c>
      <c r="AS305" t="s">
        <v>92</v>
      </c>
      <c r="AT305" t="s">
        <v>120</v>
      </c>
      <c r="AU305">
        <v>1</v>
      </c>
      <c r="AV305">
        <v>0</v>
      </c>
      <c r="AW305">
        <v>0</v>
      </c>
      <c r="AX305">
        <v>0</v>
      </c>
      <c r="AY305">
        <v>0</v>
      </c>
      <c r="AZ305" t="s">
        <v>580</v>
      </c>
    </row>
    <row r="306" spans="1:52" x14ac:dyDescent="0.2">
      <c r="A306">
        <v>1</v>
      </c>
      <c r="B306">
        <v>0</v>
      </c>
      <c r="C306">
        <v>0</v>
      </c>
      <c r="D306">
        <v>0</v>
      </c>
      <c r="E306">
        <v>0</v>
      </c>
      <c r="F306">
        <v>1</v>
      </c>
      <c r="G306">
        <v>0</v>
      </c>
      <c r="H306">
        <v>1</v>
      </c>
      <c r="I306">
        <v>0</v>
      </c>
      <c r="J306" t="s">
        <v>88</v>
      </c>
      <c r="K306" t="s">
        <v>127</v>
      </c>
      <c r="L306">
        <v>0</v>
      </c>
      <c r="M306">
        <v>0</v>
      </c>
      <c r="N306">
        <v>1</v>
      </c>
      <c r="O306">
        <v>0</v>
      </c>
      <c r="P306">
        <v>0</v>
      </c>
      <c r="Q306" t="s">
        <v>584</v>
      </c>
      <c r="AA306" t="s">
        <v>83</v>
      </c>
      <c r="AB306" t="s">
        <v>82</v>
      </c>
      <c r="AC306" t="s">
        <v>83</v>
      </c>
      <c r="AD306" t="s">
        <v>83</v>
      </c>
      <c r="AE306" t="s">
        <v>81</v>
      </c>
      <c r="AF306" t="s">
        <v>81</v>
      </c>
      <c r="AG306" t="s">
        <v>81</v>
      </c>
      <c r="AH306" t="s">
        <v>83</v>
      </c>
      <c r="AI306" t="s">
        <v>88</v>
      </c>
      <c r="AJ306" t="s">
        <v>127</v>
      </c>
      <c r="AK306" t="s">
        <v>100</v>
      </c>
      <c r="AL306" t="s">
        <v>73</v>
      </c>
      <c r="AM306" t="s">
        <v>87</v>
      </c>
      <c r="AN306" t="s">
        <v>74</v>
      </c>
      <c r="AO306" t="s">
        <v>87</v>
      </c>
      <c r="AP306" t="s">
        <v>86</v>
      </c>
      <c r="AQ306" t="s">
        <v>87</v>
      </c>
      <c r="AR306" t="s">
        <v>108</v>
      </c>
      <c r="AS306" t="s">
        <v>76</v>
      </c>
      <c r="AT306" t="s">
        <v>73</v>
      </c>
      <c r="AU306">
        <v>1</v>
      </c>
      <c r="AV306">
        <v>0</v>
      </c>
      <c r="AW306">
        <v>0</v>
      </c>
      <c r="AX306">
        <v>0</v>
      </c>
      <c r="AY306">
        <v>0</v>
      </c>
      <c r="AZ306" t="s">
        <v>580</v>
      </c>
    </row>
    <row r="307" spans="1:52" x14ac:dyDescent="0.2">
      <c r="A307">
        <v>0</v>
      </c>
      <c r="B307">
        <v>1</v>
      </c>
      <c r="C307">
        <v>0</v>
      </c>
      <c r="D307">
        <v>0</v>
      </c>
      <c r="E307">
        <v>1</v>
      </c>
      <c r="F307">
        <v>0</v>
      </c>
      <c r="G307">
        <v>0</v>
      </c>
      <c r="H307">
        <v>0</v>
      </c>
      <c r="I307">
        <v>0</v>
      </c>
      <c r="L307">
        <v>1</v>
      </c>
      <c r="M307">
        <v>0</v>
      </c>
      <c r="N307">
        <v>0</v>
      </c>
      <c r="O307">
        <v>0</v>
      </c>
      <c r="P307">
        <v>0</v>
      </c>
      <c r="Q307" t="s">
        <v>584</v>
      </c>
      <c r="R307">
        <v>0</v>
      </c>
      <c r="S307">
        <v>0</v>
      </c>
      <c r="T307">
        <v>1</v>
      </c>
      <c r="U307">
        <v>0</v>
      </c>
      <c r="V307">
        <v>0</v>
      </c>
      <c r="W307">
        <v>0</v>
      </c>
      <c r="X307">
        <v>0</v>
      </c>
      <c r="Y307">
        <v>0</v>
      </c>
      <c r="Z307">
        <v>0</v>
      </c>
      <c r="AL307" t="s">
        <v>120</v>
      </c>
      <c r="AM307" t="s">
        <v>87</v>
      </c>
      <c r="AN307" t="s">
        <v>87</v>
      </c>
      <c r="AO307" t="s">
        <v>87</v>
      </c>
      <c r="AP307" t="s">
        <v>87</v>
      </c>
      <c r="AQ307" t="s">
        <v>87</v>
      </c>
      <c r="AR307" t="s">
        <v>101</v>
      </c>
      <c r="AS307" t="s">
        <v>92</v>
      </c>
      <c r="AT307" t="s">
        <v>120</v>
      </c>
      <c r="AU307">
        <v>1</v>
      </c>
      <c r="AV307">
        <v>0</v>
      </c>
      <c r="AW307">
        <v>0</v>
      </c>
      <c r="AX307">
        <v>0</v>
      </c>
      <c r="AY307">
        <v>0</v>
      </c>
      <c r="AZ307" t="s">
        <v>580</v>
      </c>
    </row>
    <row r="308" spans="1:52" x14ac:dyDescent="0.2">
      <c r="A308">
        <v>1</v>
      </c>
      <c r="B308">
        <v>0</v>
      </c>
      <c r="C308">
        <v>0</v>
      </c>
      <c r="D308">
        <v>0</v>
      </c>
      <c r="E308">
        <v>1</v>
      </c>
      <c r="F308">
        <v>0</v>
      </c>
      <c r="G308">
        <v>0</v>
      </c>
      <c r="H308">
        <v>0</v>
      </c>
      <c r="I308">
        <v>0</v>
      </c>
      <c r="L308">
        <v>0</v>
      </c>
      <c r="M308">
        <v>1</v>
      </c>
      <c r="N308">
        <v>0</v>
      </c>
      <c r="O308">
        <v>0</v>
      </c>
      <c r="P308">
        <v>0</v>
      </c>
      <c r="Q308" t="s">
        <v>584</v>
      </c>
      <c r="AA308" t="s">
        <v>83</v>
      </c>
      <c r="AB308" t="s">
        <v>81</v>
      </c>
      <c r="AC308" t="s">
        <v>83</v>
      </c>
      <c r="AD308" t="s">
        <v>83</v>
      </c>
      <c r="AE308" t="s">
        <v>83</v>
      </c>
      <c r="AF308" t="s">
        <v>83</v>
      </c>
      <c r="AG308" t="s">
        <v>83</v>
      </c>
      <c r="AH308" t="s">
        <v>83</v>
      </c>
      <c r="AI308" t="s">
        <v>135</v>
      </c>
      <c r="AJ308" t="s">
        <v>80</v>
      </c>
      <c r="AK308" t="s">
        <v>117</v>
      </c>
      <c r="AL308" t="s">
        <v>96</v>
      </c>
      <c r="AM308" t="s">
        <v>87</v>
      </c>
      <c r="AN308" t="s">
        <v>87</v>
      </c>
      <c r="AO308" t="s">
        <v>87</v>
      </c>
      <c r="AP308" t="s">
        <v>87</v>
      </c>
      <c r="AQ308" t="s">
        <v>87</v>
      </c>
      <c r="AR308" t="s">
        <v>97</v>
      </c>
      <c r="AS308" t="s">
        <v>76</v>
      </c>
      <c r="AT308" t="s">
        <v>96</v>
      </c>
      <c r="AU308">
        <v>0</v>
      </c>
      <c r="AV308">
        <v>0</v>
      </c>
      <c r="AW308">
        <v>0</v>
      </c>
      <c r="AX308">
        <v>1</v>
      </c>
      <c r="AY308">
        <v>0</v>
      </c>
      <c r="AZ308" t="s">
        <v>580</v>
      </c>
    </row>
    <row r="309" spans="1:52" x14ac:dyDescent="0.2">
      <c r="A309">
        <v>0</v>
      </c>
      <c r="B309">
        <v>1</v>
      </c>
      <c r="C309">
        <v>0</v>
      </c>
      <c r="D309">
        <v>0</v>
      </c>
      <c r="E309">
        <v>0</v>
      </c>
      <c r="F309">
        <v>1</v>
      </c>
      <c r="G309">
        <v>0</v>
      </c>
      <c r="H309">
        <v>1</v>
      </c>
      <c r="I309">
        <v>0</v>
      </c>
      <c r="J309" t="s">
        <v>88</v>
      </c>
      <c r="K309" t="s">
        <v>89</v>
      </c>
      <c r="L309">
        <v>0</v>
      </c>
      <c r="M309">
        <v>0</v>
      </c>
      <c r="N309">
        <v>0</v>
      </c>
      <c r="O309">
        <v>0</v>
      </c>
      <c r="P309">
        <v>1</v>
      </c>
      <c r="Q309" t="s">
        <v>584</v>
      </c>
      <c r="AA309" t="s">
        <v>83</v>
      </c>
      <c r="AB309" t="s">
        <v>82</v>
      </c>
      <c r="AC309" t="s">
        <v>81</v>
      </c>
      <c r="AD309" t="s">
        <v>81</v>
      </c>
      <c r="AE309" t="s">
        <v>81</v>
      </c>
      <c r="AF309" t="s">
        <v>81</v>
      </c>
      <c r="AG309" t="s">
        <v>83</v>
      </c>
      <c r="AH309" t="s">
        <v>82</v>
      </c>
      <c r="AI309" t="s">
        <v>88</v>
      </c>
      <c r="AJ309" t="s">
        <v>89</v>
      </c>
      <c r="AK309" t="s">
        <v>85</v>
      </c>
      <c r="AL309" t="s">
        <v>73</v>
      </c>
      <c r="AM309" t="s">
        <v>87</v>
      </c>
      <c r="AN309" t="s">
        <v>87</v>
      </c>
      <c r="AO309" t="s">
        <v>87</v>
      </c>
      <c r="AP309" t="s">
        <v>86</v>
      </c>
      <c r="AQ309" t="s">
        <v>86</v>
      </c>
      <c r="AR309" t="s">
        <v>75</v>
      </c>
      <c r="AS309" t="s">
        <v>76</v>
      </c>
      <c r="AT309" t="s">
        <v>73</v>
      </c>
      <c r="AU309">
        <v>1</v>
      </c>
      <c r="AV309">
        <v>0</v>
      </c>
      <c r="AW309">
        <v>0</v>
      </c>
      <c r="AX309">
        <v>0</v>
      </c>
      <c r="AY309">
        <v>0</v>
      </c>
      <c r="AZ309" t="s">
        <v>580</v>
      </c>
    </row>
    <row r="310" spans="1:52" x14ac:dyDescent="0.2">
      <c r="A310">
        <v>1</v>
      </c>
      <c r="B310">
        <v>0</v>
      </c>
      <c r="C310">
        <v>0</v>
      </c>
      <c r="D310">
        <v>0</v>
      </c>
      <c r="E310">
        <v>0</v>
      </c>
      <c r="F310">
        <v>1</v>
      </c>
      <c r="G310">
        <v>1</v>
      </c>
      <c r="H310">
        <v>1</v>
      </c>
      <c r="I310">
        <v>0</v>
      </c>
      <c r="J310" t="s">
        <v>88</v>
      </c>
      <c r="K310" t="s">
        <v>142</v>
      </c>
      <c r="L310">
        <v>0</v>
      </c>
      <c r="M310">
        <v>0</v>
      </c>
      <c r="N310">
        <v>1</v>
      </c>
      <c r="O310">
        <v>0</v>
      </c>
      <c r="P310">
        <v>0</v>
      </c>
      <c r="Q310" t="s">
        <v>584</v>
      </c>
      <c r="AA310" t="s">
        <v>83</v>
      </c>
      <c r="AB310" t="s">
        <v>82</v>
      </c>
      <c r="AC310" t="s">
        <v>82</v>
      </c>
      <c r="AD310" t="s">
        <v>82</v>
      </c>
      <c r="AE310" t="s">
        <v>81</v>
      </c>
      <c r="AF310" t="s">
        <v>83</v>
      </c>
      <c r="AG310" t="s">
        <v>83</v>
      </c>
      <c r="AH310" t="s">
        <v>83</v>
      </c>
      <c r="AI310" t="s">
        <v>88</v>
      </c>
      <c r="AJ310" t="s">
        <v>89</v>
      </c>
      <c r="AK310" t="s">
        <v>100</v>
      </c>
      <c r="AL310" t="s">
        <v>120</v>
      </c>
      <c r="AM310" t="s">
        <v>87</v>
      </c>
      <c r="AN310" t="s">
        <v>87</v>
      </c>
      <c r="AO310" t="s">
        <v>87</v>
      </c>
      <c r="AP310" t="s">
        <v>87</v>
      </c>
      <c r="AQ310" t="s">
        <v>87</v>
      </c>
      <c r="AR310" t="s">
        <v>75</v>
      </c>
      <c r="AS310" t="s">
        <v>92</v>
      </c>
      <c r="AT310" t="s">
        <v>120</v>
      </c>
      <c r="AU310">
        <v>1</v>
      </c>
      <c r="AV310">
        <v>0</v>
      </c>
      <c r="AW310">
        <v>0</v>
      </c>
      <c r="AX310">
        <v>0</v>
      </c>
      <c r="AY310">
        <v>0</v>
      </c>
      <c r="AZ310" t="s">
        <v>579</v>
      </c>
    </row>
    <row r="311" spans="1:52" x14ac:dyDescent="0.2">
      <c r="A311">
        <v>0</v>
      </c>
      <c r="B311">
        <v>1</v>
      </c>
      <c r="C311">
        <v>0</v>
      </c>
      <c r="D311">
        <v>0</v>
      </c>
      <c r="E311">
        <v>1</v>
      </c>
      <c r="F311">
        <v>0</v>
      </c>
      <c r="G311">
        <v>0</v>
      </c>
      <c r="H311">
        <v>0</v>
      </c>
      <c r="I311">
        <v>0</v>
      </c>
      <c r="L311">
        <v>1</v>
      </c>
      <c r="M311">
        <v>0</v>
      </c>
      <c r="N311">
        <v>0</v>
      </c>
      <c r="O311">
        <v>0</v>
      </c>
      <c r="P311">
        <v>0</v>
      </c>
      <c r="Q311" t="s">
        <v>584</v>
      </c>
      <c r="R311">
        <v>0</v>
      </c>
      <c r="S311">
        <v>1</v>
      </c>
      <c r="T311">
        <v>0</v>
      </c>
      <c r="U311">
        <v>0</v>
      </c>
      <c r="V311">
        <v>0</v>
      </c>
      <c r="W311">
        <v>0</v>
      </c>
      <c r="X311">
        <v>0</v>
      </c>
      <c r="Y311">
        <v>0</v>
      </c>
      <c r="Z311">
        <v>0</v>
      </c>
      <c r="AL311" t="s">
        <v>107</v>
      </c>
      <c r="AM311" t="s">
        <v>74</v>
      </c>
      <c r="AR311" t="s">
        <v>97</v>
      </c>
      <c r="AS311" t="s">
        <v>92</v>
      </c>
      <c r="AT311" t="s">
        <v>107</v>
      </c>
      <c r="AU311">
        <v>1</v>
      </c>
      <c r="AV311">
        <v>0</v>
      </c>
      <c r="AW311">
        <v>0</v>
      </c>
      <c r="AX311">
        <v>0</v>
      </c>
      <c r="AY311">
        <v>0</v>
      </c>
      <c r="AZ311" t="s">
        <v>581</v>
      </c>
    </row>
    <row r="312" spans="1:52" x14ac:dyDescent="0.2">
      <c r="A312">
        <v>1</v>
      </c>
      <c r="B312">
        <v>0</v>
      </c>
      <c r="C312">
        <v>0</v>
      </c>
      <c r="D312">
        <v>0</v>
      </c>
      <c r="E312">
        <v>1</v>
      </c>
      <c r="F312">
        <v>0</v>
      </c>
      <c r="G312">
        <v>0</v>
      </c>
      <c r="H312">
        <v>0</v>
      </c>
      <c r="I312">
        <v>0</v>
      </c>
      <c r="L312">
        <v>0</v>
      </c>
      <c r="M312">
        <v>0</v>
      </c>
      <c r="N312">
        <v>0</v>
      </c>
      <c r="O312">
        <v>0</v>
      </c>
      <c r="P312">
        <v>0</v>
      </c>
      <c r="Q312" t="s">
        <v>585</v>
      </c>
      <c r="AA312" t="s">
        <v>90</v>
      </c>
      <c r="AB312" t="s">
        <v>90</v>
      </c>
      <c r="AC312" t="s">
        <v>81</v>
      </c>
      <c r="AD312" t="s">
        <v>83</v>
      </c>
      <c r="AE312" t="s">
        <v>90</v>
      </c>
      <c r="AF312" t="s">
        <v>90</v>
      </c>
      <c r="AG312" t="s">
        <v>90</v>
      </c>
      <c r="AH312" t="s">
        <v>83</v>
      </c>
      <c r="AI312" t="s">
        <v>88</v>
      </c>
      <c r="AJ312" t="s">
        <v>89</v>
      </c>
      <c r="AK312" t="s">
        <v>100</v>
      </c>
      <c r="AL312" t="s">
        <v>73</v>
      </c>
      <c r="AM312" t="s">
        <v>86</v>
      </c>
      <c r="AN312" t="s">
        <v>86</v>
      </c>
      <c r="AO312" t="s">
        <v>87</v>
      </c>
      <c r="AP312" t="s">
        <v>86</v>
      </c>
      <c r="AQ312" t="s">
        <v>86</v>
      </c>
      <c r="AR312" t="s">
        <v>97</v>
      </c>
      <c r="AS312" t="s">
        <v>76</v>
      </c>
      <c r="AT312" t="s">
        <v>73</v>
      </c>
      <c r="AU312">
        <v>1</v>
      </c>
      <c r="AV312">
        <v>0</v>
      </c>
      <c r="AW312">
        <v>0</v>
      </c>
      <c r="AX312">
        <v>0</v>
      </c>
      <c r="AY312">
        <v>0</v>
      </c>
      <c r="AZ312" t="s">
        <v>580</v>
      </c>
    </row>
    <row r="313" spans="1:52" x14ac:dyDescent="0.2">
      <c r="A313">
        <v>1</v>
      </c>
      <c r="B313">
        <v>0</v>
      </c>
      <c r="C313">
        <v>0</v>
      </c>
      <c r="D313">
        <v>0</v>
      </c>
      <c r="E313">
        <v>1</v>
      </c>
      <c r="F313">
        <v>0</v>
      </c>
      <c r="G313">
        <v>0</v>
      </c>
      <c r="H313">
        <v>0</v>
      </c>
      <c r="I313">
        <v>0</v>
      </c>
      <c r="L313">
        <v>0</v>
      </c>
      <c r="M313">
        <v>0</v>
      </c>
      <c r="N313">
        <v>0</v>
      </c>
      <c r="O313">
        <v>0</v>
      </c>
      <c r="P313">
        <v>0</v>
      </c>
      <c r="Q313" t="s">
        <v>585</v>
      </c>
      <c r="AA313" t="s">
        <v>83</v>
      </c>
      <c r="AB313" t="s">
        <v>83</v>
      </c>
      <c r="AC313" t="s">
        <v>83</v>
      </c>
      <c r="AD313" t="s">
        <v>83</v>
      </c>
      <c r="AE313" t="s">
        <v>82</v>
      </c>
      <c r="AF313" t="s">
        <v>83</v>
      </c>
      <c r="AG313" t="s">
        <v>81</v>
      </c>
      <c r="AH313" t="s">
        <v>83</v>
      </c>
      <c r="AI313" t="s">
        <v>127</v>
      </c>
      <c r="AJ313" t="s">
        <v>127</v>
      </c>
      <c r="AL313" t="s">
        <v>120</v>
      </c>
      <c r="AM313" t="s">
        <v>86</v>
      </c>
      <c r="AN313" t="s">
        <v>74</v>
      </c>
      <c r="AO313" t="s">
        <v>87</v>
      </c>
      <c r="AP313" t="s">
        <v>74</v>
      </c>
      <c r="AQ313" t="s">
        <v>74</v>
      </c>
      <c r="AR313" t="s">
        <v>75</v>
      </c>
      <c r="AS313" t="s">
        <v>92</v>
      </c>
      <c r="AT313" t="s">
        <v>120</v>
      </c>
      <c r="AU313">
        <v>0</v>
      </c>
      <c r="AV313">
        <v>0</v>
      </c>
      <c r="AW313">
        <v>1</v>
      </c>
      <c r="AX313">
        <v>0</v>
      </c>
      <c r="AY313">
        <v>0</v>
      </c>
      <c r="AZ313" t="s">
        <v>579</v>
      </c>
    </row>
    <row r="314" spans="1:52" x14ac:dyDescent="0.2">
      <c r="A314">
        <v>1</v>
      </c>
      <c r="B314">
        <v>0</v>
      </c>
      <c r="C314">
        <v>0</v>
      </c>
      <c r="D314">
        <v>0</v>
      </c>
      <c r="E314">
        <v>0</v>
      </c>
      <c r="F314">
        <v>1</v>
      </c>
      <c r="G314">
        <v>0</v>
      </c>
      <c r="H314">
        <v>0</v>
      </c>
      <c r="I314">
        <v>0</v>
      </c>
      <c r="J314" t="s">
        <v>79</v>
      </c>
      <c r="K314" t="s">
        <v>80</v>
      </c>
      <c r="L314">
        <v>0</v>
      </c>
      <c r="M314">
        <v>0</v>
      </c>
      <c r="N314">
        <v>1</v>
      </c>
      <c r="O314">
        <v>0</v>
      </c>
      <c r="P314">
        <v>0</v>
      </c>
      <c r="Q314" t="s">
        <v>584</v>
      </c>
      <c r="AA314" t="s">
        <v>83</v>
      </c>
      <c r="AB314" t="s">
        <v>82</v>
      </c>
      <c r="AC314" t="s">
        <v>83</v>
      </c>
      <c r="AD314" t="s">
        <v>83</v>
      </c>
      <c r="AE314" t="s">
        <v>82</v>
      </c>
      <c r="AF314" t="s">
        <v>81</v>
      </c>
      <c r="AG314" t="s">
        <v>81</v>
      </c>
      <c r="AH314" t="s">
        <v>83</v>
      </c>
      <c r="AI314" t="s">
        <v>88</v>
      </c>
      <c r="AJ314" t="s">
        <v>89</v>
      </c>
      <c r="AK314" t="s">
        <v>85</v>
      </c>
      <c r="AL314" t="s">
        <v>107</v>
      </c>
      <c r="AM314" t="s">
        <v>86</v>
      </c>
      <c r="AN314" t="s">
        <v>87</v>
      </c>
      <c r="AO314" t="s">
        <v>87</v>
      </c>
      <c r="AP314" t="s">
        <v>87</v>
      </c>
      <c r="AQ314" t="s">
        <v>86</v>
      </c>
      <c r="AR314" t="s">
        <v>75</v>
      </c>
      <c r="AS314" t="s">
        <v>76</v>
      </c>
      <c r="AT314" t="s">
        <v>107</v>
      </c>
      <c r="AU314">
        <v>0</v>
      </c>
      <c r="AV314">
        <v>0</v>
      </c>
      <c r="AW314">
        <v>0</v>
      </c>
      <c r="AX314">
        <v>1</v>
      </c>
      <c r="AY314">
        <v>0</v>
      </c>
      <c r="AZ314" t="s">
        <v>580</v>
      </c>
    </row>
    <row r="315" spans="1:52" x14ac:dyDescent="0.2">
      <c r="A315">
        <v>0</v>
      </c>
      <c r="B315">
        <v>1</v>
      </c>
      <c r="C315">
        <v>0</v>
      </c>
      <c r="D315">
        <v>0</v>
      </c>
      <c r="E315">
        <v>1</v>
      </c>
      <c r="F315">
        <v>0</v>
      </c>
      <c r="G315">
        <v>0</v>
      </c>
      <c r="H315">
        <v>0</v>
      </c>
      <c r="I315">
        <v>0</v>
      </c>
      <c r="L315">
        <v>0</v>
      </c>
      <c r="M315">
        <v>1</v>
      </c>
      <c r="N315">
        <v>0</v>
      </c>
      <c r="O315">
        <v>0</v>
      </c>
      <c r="P315">
        <v>1</v>
      </c>
      <c r="Q315" t="s">
        <v>584</v>
      </c>
      <c r="AA315" t="s">
        <v>83</v>
      </c>
      <c r="AB315" t="s">
        <v>83</v>
      </c>
      <c r="AC315" t="s">
        <v>81</v>
      </c>
      <c r="AD315" t="s">
        <v>81</v>
      </c>
      <c r="AE315" t="s">
        <v>81</v>
      </c>
      <c r="AF315" t="s">
        <v>83</v>
      </c>
      <c r="AG315" t="s">
        <v>81</v>
      </c>
      <c r="AH315" t="s">
        <v>82</v>
      </c>
      <c r="AI315" t="s">
        <v>127</v>
      </c>
      <c r="AJ315" t="s">
        <v>127</v>
      </c>
      <c r="AL315" t="s">
        <v>107</v>
      </c>
      <c r="AM315" t="s">
        <v>86</v>
      </c>
      <c r="AN315" t="s">
        <v>74</v>
      </c>
      <c r="AO315" t="s">
        <v>87</v>
      </c>
      <c r="AP315" t="s">
        <v>87</v>
      </c>
      <c r="AQ315" t="s">
        <v>74</v>
      </c>
      <c r="AR315" t="s">
        <v>97</v>
      </c>
      <c r="AS315" t="s">
        <v>76</v>
      </c>
      <c r="AT315" t="s">
        <v>107</v>
      </c>
      <c r="AU315">
        <v>1</v>
      </c>
      <c r="AV315">
        <v>0</v>
      </c>
      <c r="AW315">
        <v>0</v>
      </c>
      <c r="AX315">
        <v>0</v>
      </c>
      <c r="AY315">
        <v>0</v>
      </c>
      <c r="AZ315" t="s">
        <v>580</v>
      </c>
    </row>
    <row r="316" spans="1:52" x14ac:dyDescent="0.2">
      <c r="A316">
        <v>1</v>
      </c>
      <c r="B316">
        <v>0</v>
      </c>
      <c r="C316">
        <v>0</v>
      </c>
      <c r="D316">
        <v>0</v>
      </c>
      <c r="E316">
        <v>1</v>
      </c>
      <c r="F316">
        <v>0</v>
      </c>
      <c r="G316">
        <v>0</v>
      </c>
      <c r="H316">
        <v>0</v>
      </c>
      <c r="I316">
        <v>0</v>
      </c>
      <c r="L316">
        <v>1</v>
      </c>
      <c r="M316">
        <v>0</v>
      </c>
      <c r="N316">
        <v>0</v>
      </c>
      <c r="O316">
        <v>0</v>
      </c>
      <c r="P316">
        <v>0</v>
      </c>
      <c r="Q316" t="s">
        <v>584</v>
      </c>
      <c r="R316">
        <v>0</v>
      </c>
      <c r="S316">
        <v>0</v>
      </c>
      <c r="T316">
        <v>1</v>
      </c>
      <c r="U316">
        <v>0</v>
      </c>
      <c r="V316">
        <v>1</v>
      </c>
      <c r="W316">
        <v>0</v>
      </c>
      <c r="X316">
        <v>1</v>
      </c>
      <c r="Y316">
        <v>0</v>
      </c>
      <c r="Z316">
        <v>0</v>
      </c>
      <c r="AL316" t="s">
        <v>107</v>
      </c>
      <c r="AM316" t="s">
        <v>74</v>
      </c>
      <c r="AR316" t="s">
        <v>75</v>
      </c>
      <c r="AS316" t="s">
        <v>92</v>
      </c>
      <c r="AT316" t="s">
        <v>107</v>
      </c>
      <c r="AU316">
        <v>1</v>
      </c>
      <c r="AV316">
        <v>0</v>
      </c>
      <c r="AW316">
        <v>0</v>
      </c>
      <c r="AX316">
        <v>0</v>
      </c>
      <c r="AY316">
        <v>0</v>
      </c>
      <c r="AZ316" t="s">
        <v>580</v>
      </c>
    </row>
    <row r="317" spans="1:52" x14ac:dyDescent="0.2">
      <c r="A317">
        <v>1</v>
      </c>
      <c r="B317">
        <v>0</v>
      </c>
      <c r="C317">
        <v>0</v>
      </c>
      <c r="D317">
        <v>0</v>
      </c>
      <c r="E317">
        <v>0</v>
      </c>
      <c r="F317">
        <v>1</v>
      </c>
      <c r="G317">
        <v>0</v>
      </c>
      <c r="H317">
        <v>1</v>
      </c>
      <c r="I317">
        <v>0</v>
      </c>
      <c r="J317" t="s">
        <v>88</v>
      </c>
      <c r="K317" t="s">
        <v>80</v>
      </c>
      <c r="L317">
        <v>0</v>
      </c>
      <c r="M317">
        <v>0</v>
      </c>
      <c r="N317">
        <v>1</v>
      </c>
      <c r="O317">
        <v>0</v>
      </c>
      <c r="P317">
        <v>0</v>
      </c>
      <c r="Q317" t="s">
        <v>584</v>
      </c>
      <c r="AA317" t="s">
        <v>82</v>
      </c>
      <c r="AB317" t="s">
        <v>83</v>
      </c>
      <c r="AC317" t="s">
        <v>83</v>
      </c>
      <c r="AD317" t="s">
        <v>82</v>
      </c>
      <c r="AE317" t="s">
        <v>82</v>
      </c>
      <c r="AF317" t="s">
        <v>81</v>
      </c>
      <c r="AG317" t="s">
        <v>83</v>
      </c>
      <c r="AH317" t="s">
        <v>82</v>
      </c>
      <c r="AI317" t="s">
        <v>135</v>
      </c>
      <c r="AJ317" t="s">
        <v>80</v>
      </c>
      <c r="AK317" t="s">
        <v>85</v>
      </c>
      <c r="AL317" t="s">
        <v>107</v>
      </c>
      <c r="AM317" t="s">
        <v>87</v>
      </c>
      <c r="AN317" t="s">
        <v>87</v>
      </c>
      <c r="AO317" t="s">
        <v>87</v>
      </c>
      <c r="AP317" t="s">
        <v>87</v>
      </c>
      <c r="AQ317" t="s">
        <v>87</v>
      </c>
      <c r="AR317" t="s">
        <v>75</v>
      </c>
      <c r="AS317" t="s">
        <v>92</v>
      </c>
      <c r="AT317" t="s">
        <v>107</v>
      </c>
      <c r="AU317">
        <v>1</v>
      </c>
      <c r="AV317">
        <v>0</v>
      </c>
      <c r="AW317">
        <v>0</v>
      </c>
      <c r="AX317">
        <v>0</v>
      </c>
      <c r="AY317">
        <v>0</v>
      </c>
      <c r="AZ317" t="s">
        <v>580</v>
      </c>
    </row>
    <row r="318" spans="1:52" x14ac:dyDescent="0.2">
      <c r="A318">
        <v>1</v>
      </c>
      <c r="B318">
        <v>0</v>
      </c>
      <c r="C318">
        <v>0</v>
      </c>
      <c r="D318">
        <v>0</v>
      </c>
      <c r="E318">
        <v>1</v>
      </c>
      <c r="F318">
        <v>0</v>
      </c>
      <c r="G318">
        <v>0</v>
      </c>
      <c r="H318">
        <v>0</v>
      </c>
      <c r="I318">
        <v>0</v>
      </c>
      <c r="L318">
        <v>1</v>
      </c>
      <c r="M318">
        <v>0</v>
      </c>
      <c r="N318">
        <v>0</v>
      </c>
      <c r="O318">
        <v>0</v>
      </c>
      <c r="P318">
        <v>0</v>
      </c>
      <c r="Q318" t="s">
        <v>584</v>
      </c>
      <c r="R318">
        <v>0</v>
      </c>
      <c r="S318">
        <v>1</v>
      </c>
      <c r="T318">
        <v>0</v>
      </c>
      <c r="U318">
        <v>0</v>
      </c>
      <c r="V318">
        <v>0</v>
      </c>
      <c r="W318">
        <v>0</v>
      </c>
      <c r="X318">
        <v>0</v>
      </c>
      <c r="Y318">
        <v>0</v>
      </c>
      <c r="Z318">
        <v>0</v>
      </c>
      <c r="AL318" t="s">
        <v>107</v>
      </c>
      <c r="AM318" t="s">
        <v>87</v>
      </c>
      <c r="AN318" t="s">
        <v>87</v>
      </c>
      <c r="AO318" t="s">
        <v>87</v>
      </c>
      <c r="AP318" t="s">
        <v>87</v>
      </c>
      <c r="AQ318" t="s">
        <v>87</v>
      </c>
      <c r="AR318" t="s">
        <v>101</v>
      </c>
      <c r="AS318" t="s">
        <v>92</v>
      </c>
      <c r="AT318" t="s">
        <v>107</v>
      </c>
      <c r="AU318">
        <v>1</v>
      </c>
      <c r="AV318">
        <v>0</v>
      </c>
      <c r="AW318">
        <v>0</v>
      </c>
      <c r="AX318">
        <v>0</v>
      </c>
      <c r="AY318">
        <v>0</v>
      </c>
      <c r="AZ318" t="s">
        <v>580</v>
      </c>
    </row>
    <row r="319" spans="1:52" x14ac:dyDescent="0.2">
      <c r="A319">
        <v>0</v>
      </c>
      <c r="B319">
        <v>1</v>
      </c>
      <c r="C319">
        <v>0</v>
      </c>
      <c r="D319">
        <v>0</v>
      </c>
      <c r="E319">
        <v>0</v>
      </c>
      <c r="F319">
        <v>0</v>
      </c>
      <c r="G319">
        <v>1</v>
      </c>
      <c r="H319">
        <v>0</v>
      </c>
      <c r="I319">
        <v>1</v>
      </c>
      <c r="J319" t="s">
        <v>79</v>
      </c>
      <c r="K319" t="s">
        <v>127</v>
      </c>
      <c r="L319">
        <v>0</v>
      </c>
      <c r="M319">
        <v>1</v>
      </c>
      <c r="N319">
        <v>0</v>
      </c>
      <c r="O319">
        <v>0</v>
      </c>
      <c r="P319">
        <v>0</v>
      </c>
      <c r="Q319" t="s">
        <v>584</v>
      </c>
      <c r="AA319" t="s">
        <v>83</v>
      </c>
      <c r="AB319" t="s">
        <v>83</v>
      </c>
      <c r="AC319" t="s">
        <v>83</v>
      </c>
      <c r="AD319" t="s">
        <v>81</v>
      </c>
      <c r="AE319" t="s">
        <v>83</v>
      </c>
      <c r="AF319" t="s">
        <v>83</v>
      </c>
      <c r="AG319" t="s">
        <v>83</v>
      </c>
      <c r="AH319" t="s">
        <v>83</v>
      </c>
      <c r="AI319" t="s">
        <v>135</v>
      </c>
      <c r="AJ319" t="s">
        <v>127</v>
      </c>
      <c r="AK319" t="s">
        <v>85</v>
      </c>
      <c r="AL319" t="s">
        <v>107</v>
      </c>
      <c r="AM319" t="s">
        <v>87</v>
      </c>
      <c r="AN319" t="s">
        <v>86</v>
      </c>
      <c r="AO319" t="s">
        <v>87</v>
      </c>
      <c r="AP319" t="s">
        <v>74</v>
      </c>
      <c r="AQ319" t="s">
        <v>74</v>
      </c>
      <c r="AR319" t="s">
        <v>75</v>
      </c>
      <c r="AS319" t="s">
        <v>76</v>
      </c>
      <c r="AT319" t="s">
        <v>107</v>
      </c>
      <c r="AU319">
        <v>1</v>
      </c>
      <c r="AV319">
        <v>0</v>
      </c>
      <c r="AW319">
        <v>0</v>
      </c>
      <c r="AX319">
        <v>0</v>
      </c>
      <c r="AY319">
        <v>0</v>
      </c>
      <c r="AZ319" t="s">
        <v>580</v>
      </c>
    </row>
    <row r="320" spans="1:52" x14ac:dyDescent="0.2">
      <c r="A320">
        <v>0</v>
      </c>
      <c r="B320">
        <v>1</v>
      </c>
      <c r="C320">
        <v>0</v>
      </c>
      <c r="D320">
        <v>0</v>
      </c>
      <c r="E320">
        <v>1</v>
      </c>
      <c r="F320">
        <v>0</v>
      </c>
      <c r="G320">
        <v>0</v>
      </c>
      <c r="H320">
        <v>0</v>
      </c>
      <c r="I320">
        <v>0</v>
      </c>
      <c r="L320">
        <v>0</v>
      </c>
      <c r="M320">
        <v>1</v>
      </c>
      <c r="N320">
        <v>0</v>
      </c>
      <c r="O320">
        <v>0</v>
      </c>
      <c r="P320">
        <v>0</v>
      </c>
      <c r="Q320" t="s">
        <v>584</v>
      </c>
      <c r="AA320" t="s">
        <v>83</v>
      </c>
      <c r="AB320" t="s">
        <v>82</v>
      </c>
      <c r="AC320" t="s">
        <v>82</v>
      </c>
      <c r="AD320" t="s">
        <v>82</v>
      </c>
      <c r="AE320" t="s">
        <v>82</v>
      </c>
      <c r="AF320" t="s">
        <v>82</v>
      </c>
      <c r="AG320" t="s">
        <v>82</v>
      </c>
      <c r="AH320" t="s">
        <v>83</v>
      </c>
      <c r="AI320" t="s">
        <v>135</v>
      </c>
      <c r="AJ320" t="s">
        <v>142</v>
      </c>
      <c r="AK320" t="s">
        <v>85</v>
      </c>
      <c r="AL320" t="s">
        <v>96</v>
      </c>
      <c r="AM320" t="s">
        <v>86</v>
      </c>
      <c r="AN320" t="s">
        <v>87</v>
      </c>
      <c r="AO320" t="s">
        <v>87</v>
      </c>
      <c r="AP320" t="s">
        <v>87</v>
      </c>
      <c r="AQ320" t="s">
        <v>87</v>
      </c>
      <c r="AR320" t="s">
        <v>97</v>
      </c>
      <c r="AS320" t="s">
        <v>92</v>
      </c>
      <c r="AT320" t="s">
        <v>96</v>
      </c>
      <c r="AU320">
        <v>1</v>
      </c>
      <c r="AV320">
        <v>0</v>
      </c>
      <c r="AW320">
        <v>0</v>
      </c>
      <c r="AX320">
        <v>0</v>
      </c>
      <c r="AY320">
        <v>0</v>
      </c>
      <c r="AZ320" t="s">
        <v>580</v>
      </c>
    </row>
    <row r="321" spans="1:52" x14ac:dyDescent="0.2">
      <c r="A321">
        <v>0</v>
      </c>
      <c r="B321">
        <v>1</v>
      </c>
      <c r="C321">
        <v>0</v>
      </c>
      <c r="D321">
        <v>0</v>
      </c>
      <c r="E321">
        <v>1</v>
      </c>
      <c r="F321">
        <v>0</v>
      </c>
      <c r="G321">
        <v>0</v>
      </c>
      <c r="H321">
        <v>0</v>
      </c>
      <c r="I321">
        <v>0</v>
      </c>
      <c r="L321">
        <v>1</v>
      </c>
      <c r="M321">
        <v>0</v>
      </c>
      <c r="N321">
        <v>0</v>
      </c>
      <c r="O321">
        <v>0</v>
      </c>
      <c r="P321">
        <v>0</v>
      </c>
      <c r="Q321" t="s">
        <v>584</v>
      </c>
      <c r="R321">
        <v>0</v>
      </c>
      <c r="S321">
        <v>1</v>
      </c>
      <c r="T321">
        <v>0</v>
      </c>
      <c r="U321">
        <v>0</v>
      </c>
      <c r="V321">
        <v>0</v>
      </c>
      <c r="W321">
        <v>0</v>
      </c>
      <c r="X321">
        <v>0</v>
      </c>
      <c r="Y321">
        <v>0</v>
      </c>
      <c r="Z321">
        <v>0</v>
      </c>
      <c r="AL321" t="s">
        <v>73</v>
      </c>
      <c r="AM321" t="s">
        <v>74</v>
      </c>
      <c r="AR321" t="s">
        <v>97</v>
      </c>
      <c r="AS321" t="s">
        <v>92</v>
      </c>
      <c r="AT321" t="s">
        <v>73</v>
      </c>
      <c r="AU321">
        <v>1</v>
      </c>
      <c r="AV321">
        <v>0</v>
      </c>
      <c r="AW321">
        <v>0</v>
      </c>
      <c r="AX321">
        <v>0</v>
      </c>
      <c r="AY321">
        <v>0</v>
      </c>
      <c r="AZ321" t="s">
        <v>581</v>
      </c>
    </row>
    <row r="322" spans="1:52" x14ac:dyDescent="0.2">
      <c r="A322">
        <v>1</v>
      </c>
      <c r="B322">
        <v>0</v>
      </c>
      <c r="C322">
        <v>0</v>
      </c>
      <c r="D322">
        <v>0</v>
      </c>
      <c r="E322">
        <v>1</v>
      </c>
      <c r="F322">
        <v>0</v>
      </c>
      <c r="G322">
        <v>0</v>
      </c>
      <c r="H322">
        <v>0</v>
      </c>
      <c r="I322">
        <v>0</v>
      </c>
      <c r="L322">
        <v>1</v>
      </c>
      <c r="M322">
        <v>0</v>
      </c>
      <c r="N322">
        <v>0</v>
      </c>
      <c r="O322">
        <v>0</v>
      </c>
      <c r="P322">
        <v>0</v>
      </c>
      <c r="Q322" t="s">
        <v>584</v>
      </c>
      <c r="R322">
        <v>0</v>
      </c>
      <c r="S322">
        <v>0</v>
      </c>
      <c r="T322">
        <v>1</v>
      </c>
      <c r="U322">
        <v>0</v>
      </c>
      <c r="V322">
        <v>0</v>
      </c>
      <c r="W322">
        <v>0</v>
      </c>
      <c r="X322">
        <v>0</v>
      </c>
      <c r="Y322">
        <v>0</v>
      </c>
      <c r="Z322">
        <v>0</v>
      </c>
      <c r="AL322" t="s">
        <v>107</v>
      </c>
      <c r="AM322" t="s">
        <v>86</v>
      </c>
      <c r="AN322" t="s">
        <v>86</v>
      </c>
      <c r="AO322" t="s">
        <v>86</v>
      </c>
      <c r="AP322" t="s">
        <v>86</v>
      </c>
      <c r="AQ322" t="s">
        <v>86</v>
      </c>
      <c r="AR322" t="s">
        <v>97</v>
      </c>
      <c r="AS322" t="s">
        <v>92</v>
      </c>
      <c r="AT322" t="s">
        <v>107</v>
      </c>
      <c r="AU322">
        <v>1</v>
      </c>
      <c r="AV322">
        <v>0</v>
      </c>
      <c r="AW322">
        <v>0</v>
      </c>
      <c r="AX322">
        <v>0</v>
      </c>
      <c r="AY322">
        <v>0</v>
      </c>
      <c r="AZ322" t="s">
        <v>580</v>
      </c>
    </row>
    <row r="323" spans="1:52" x14ac:dyDescent="0.2">
      <c r="A323">
        <v>0</v>
      </c>
      <c r="B323">
        <v>1</v>
      </c>
      <c r="C323">
        <v>0</v>
      </c>
      <c r="D323">
        <v>0</v>
      </c>
      <c r="E323">
        <v>0</v>
      </c>
      <c r="F323">
        <v>1</v>
      </c>
      <c r="G323">
        <v>1</v>
      </c>
      <c r="H323">
        <v>1</v>
      </c>
      <c r="I323">
        <v>0</v>
      </c>
      <c r="J323" t="s">
        <v>88</v>
      </c>
      <c r="K323" t="s">
        <v>142</v>
      </c>
      <c r="L323">
        <v>0</v>
      </c>
      <c r="M323">
        <v>1</v>
      </c>
      <c r="N323">
        <v>0</v>
      </c>
      <c r="O323">
        <v>0</v>
      </c>
      <c r="P323">
        <v>0</v>
      </c>
      <c r="Q323" t="s">
        <v>584</v>
      </c>
      <c r="AA323" t="s">
        <v>83</v>
      </c>
      <c r="AB323" t="s">
        <v>82</v>
      </c>
      <c r="AC323" t="s">
        <v>82</v>
      </c>
      <c r="AD323" t="s">
        <v>81</v>
      </c>
      <c r="AE323" t="s">
        <v>83</v>
      </c>
      <c r="AF323" t="s">
        <v>81</v>
      </c>
      <c r="AG323" t="s">
        <v>83</v>
      </c>
      <c r="AH323" t="s">
        <v>83</v>
      </c>
      <c r="AI323" t="s">
        <v>88</v>
      </c>
      <c r="AJ323" t="s">
        <v>89</v>
      </c>
      <c r="AK323" t="s">
        <v>100</v>
      </c>
      <c r="AL323" t="s">
        <v>107</v>
      </c>
      <c r="AM323" t="s">
        <v>87</v>
      </c>
      <c r="AN323" t="s">
        <v>87</v>
      </c>
      <c r="AO323" t="s">
        <v>86</v>
      </c>
      <c r="AP323" t="s">
        <v>87</v>
      </c>
      <c r="AQ323" t="s">
        <v>87</v>
      </c>
      <c r="AR323" t="s">
        <v>113</v>
      </c>
      <c r="AS323" t="s">
        <v>76</v>
      </c>
      <c r="AT323" t="s">
        <v>107</v>
      </c>
      <c r="AU323">
        <v>1</v>
      </c>
      <c r="AV323">
        <v>0</v>
      </c>
      <c r="AW323">
        <v>0</v>
      </c>
      <c r="AX323">
        <v>0</v>
      </c>
      <c r="AY323">
        <v>0</v>
      </c>
      <c r="AZ323" t="s">
        <v>580</v>
      </c>
    </row>
    <row r="324" spans="1:52" x14ac:dyDescent="0.2">
      <c r="A324">
        <v>1</v>
      </c>
      <c r="B324">
        <v>0</v>
      </c>
      <c r="C324">
        <v>0</v>
      </c>
      <c r="D324">
        <v>0</v>
      </c>
      <c r="E324">
        <v>1</v>
      </c>
      <c r="F324">
        <v>0</v>
      </c>
      <c r="G324">
        <v>0</v>
      </c>
      <c r="H324">
        <v>0</v>
      </c>
      <c r="I324">
        <v>0</v>
      </c>
      <c r="L324">
        <v>1</v>
      </c>
      <c r="M324">
        <v>0</v>
      </c>
      <c r="N324">
        <v>0</v>
      </c>
      <c r="O324">
        <v>0</v>
      </c>
      <c r="P324">
        <v>0</v>
      </c>
      <c r="Q324" t="s">
        <v>584</v>
      </c>
      <c r="R324">
        <v>0</v>
      </c>
      <c r="S324">
        <v>1</v>
      </c>
      <c r="T324">
        <v>0</v>
      </c>
      <c r="U324">
        <v>0</v>
      </c>
      <c r="V324">
        <v>0</v>
      </c>
      <c r="W324">
        <v>0</v>
      </c>
      <c r="X324">
        <v>0</v>
      </c>
      <c r="Y324">
        <v>0</v>
      </c>
      <c r="Z324">
        <v>0</v>
      </c>
      <c r="AL324" t="s">
        <v>107</v>
      </c>
      <c r="AM324" t="s">
        <v>86</v>
      </c>
      <c r="AN324" t="s">
        <v>86</v>
      </c>
      <c r="AO324" t="s">
        <v>74</v>
      </c>
      <c r="AP324" t="s">
        <v>86</v>
      </c>
      <c r="AQ324" t="s">
        <v>74</v>
      </c>
      <c r="AR324" t="s">
        <v>75</v>
      </c>
      <c r="AS324" t="s">
        <v>76</v>
      </c>
      <c r="AT324" t="s">
        <v>107</v>
      </c>
      <c r="AU324">
        <v>0</v>
      </c>
      <c r="AV324">
        <v>0</v>
      </c>
      <c r="AW324">
        <v>0</v>
      </c>
      <c r="AX324">
        <v>1</v>
      </c>
      <c r="AY324">
        <v>0</v>
      </c>
      <c r="AZ324" t="s">
        <v>580</v>
      </c>
    </row>
    <row r="325" spans="1:52" x14ac:dyDescent="0.2">
      <c r="A325">
        <v>1</v>
      </c>
      <c r="B325">
        <v>0</v>
      </c>
      <c r="C325">
        <v>0</v>
      </c>
      <c r="D325">
        <v>0</v>
      </c>
      <c r="E325">
        <v>0</v>
      </c>
      <c r="F325">
        <v>0</v>
      </c>
      <c r="G325">
        <v>0</v>
      </c>
      <c r="H325">
        <v>0</v>
      </c>
      <c r="I325">
        <v>1</v>
      </c>
      <c r="J325" t="s">
        <v>88</v>
      </c>
      <c r="K325" t="s">
        <v>89</v>
      </c>
      <c r="L325">
        <v>1</v>
      </c>
      <c r="M325">
        <v>0</v>
      </c>
      <c r="N325">
        <v>0</v>
      </c>
      <c r="O325">
        <v>0</v>
      </c>
      <c r="P325">
        <v>0</v>
      </c>
      <c r="Q325" t="s">
        <v>584</v>
      </c>
      <c r="R325">
        <v>0</v>
      </c>
      <c r="S325">
        <v>0</v>
      </c>
      <c r="T325">
        <v>0</v>
      </c>
      <c r="U325">
        <v>0</v>
      </c>
      <c r="V325">
        <v>0</v>
      </c>
      <c r="W325">
        <v>0</v>
      </c>
      <c r="X325">
        <v>1</v>
      </c>
      <c r="Y325">
        <v>0</v>
      </c>
      <c r="Z325">
        <v>0</v>
      </c>
      <c r="AL325" t="s">
        <v>107</v>
      </c>
      <c r="AM325" t="s">
        <v>86</v>
      </c>
      <c r="AN325" t="s">
        <v>74</v>
      </c>
      <c r="AO325" t="s">
        <v>74</v>
      </c>
      <c r="AP325" t="s">
        <v>74</v>
      </c>
      <c r="AQ325" t="s">
        <v>87</v>
      </c>
      <c r="AR325" t="s">
        <v>97</v>
      </c>
      <c r="AS325" t="s">
        <v>76</v>
      </c>
      <c r="AT325" t="s">
        <v>107</v>
      </c>
      <c r="AU325">
        <v>1</v>
      </c>
      <c r="AV325">
        <v>0</v>
      </c>
      <c r="AW325">
        <v>0</v>
      </c>
      <c r="AX325">
        <v>0</v>
      </c>
      <c r="AY325">
        <v>0</v>
      </c>
      <c r="AZ325" t="s">
        <v>580</v>
      </c>
    </row>
    <row r="326" spans="1:52" x14ac:dyDescent="0.2">
      <c r="A326">
        <v>1</v>
      </c>
      <c r="B326">
        <v>0</v>
      </c>
      <c r="C326">
        <v>0</v>
      </c>
      <c r="D326">
        <v>0</v>
      </c>
      <c r="E326">
        <v>1</v>
      </c>
      <c r="F326">
        <v>0</v>
      </c>
      <c r="G326">
        <v>0</v>
      </c>
      <c r="H326">
        <v>0</v>
      </c>
      <c r="I326">
        <v>0</v>
      </c>
      <c r="L326">
        <v>1</v>
      </c>
      <c r="M326">
        <v>0</v>
      </c>
      <c r="N326">
        <v>0</v>
      </c>
      <c r="O326">
        <v>0</v>
      </c>
      <c r="P326">
        <v>0</v>
      </c>
      <c r="Q326" t="s">
        <v>584</v>
      </c>
      <c r="R326">
        <v>1</v>
      </c>
      <c r="S326">
        <v>0</v>
      </c>
      <c r="T326">
        <v>0</v>
      </c>
      <c r="U326">
        <v>0</v>
      </c>
      <c r="V326">
        <v>0</v>
      </c>
      <c r="W326">
        <v>0</v>
      </c>
      <c r="X326">
        <v>0</v>
      </c>
      <c r="Y326">
        <v>0</v>
      </c>
      <c r="Z326">
        <v>0</v>
      </c>
      <c r="AL326" t="s">
        <v>73</v>
      </c>
      <c r="AM326" t="s">
        <v>87</v>
      </c>
      <c r="AN326" t="s">
        <v>86</v>
      </c>
      <c r="AO326" t="s">
        <v>87</v>
      </c>
      <c r="AP326" t="s">
        <v>87</v>
      </c>
      <c r="AQ326" t="s">
        <v>87</v>
      </c>
      <c r="AR326" t="s">
        <v>113</v>
      </c>
      <c r="AS326" t="s">
        <v>92</v>
      </c>
      <c r="AT326" t="s">
        <v>73</v>
      </c>
      <c r="AU326">
        <v>1</v>
      </c>
      <c r="AV326">
        <v>0</v>
      </c>
      <c r="AW326">
        <v>0</v>
      </c>
      <c r="AX326">
        <v>0</v>
      </c>
      <c r="AY326">
        <v>0</v>
      </c>
      <c r="AZ326" t="s">
        <v>581</v>
      </c>
    </row>
    <row r="327" spans="1:52" x14ac:dyDescent="0.2">
      <c r="A327">
        <v>1</v>
      </c>
      <c r="B327">
        <v>0</v>
      </c>
      <c r="C327">
        <v>0</v>
      </c>
      <c r="D327">
        <v>0</v>
      </c>
      <c r="E327">
        <v>0</v>
      </c>
      <c r="F327">
        <v>1</v>
      </c>
      <c r="G327">
        <v>1</v>
      </c>
      <c r="H327">
        <v>0</v>
      </c>
      <c r="I327">
        <v>0</v>
      </c>
      <c r="J327" t="s">
        <v>88</v>
      </c>
      <c r="K327" t="s">
        <v>80</v>
      </c>
      <c r="L327">
        <v>0</v>
      </c>
      <c r="M327">
        <v>0</v>
      </c>
      <c r="N327">
        <v>0</v>
      </c>
      <c r="O327">
        <v>0</v>
      </c>
      <c r="P327">
        <v>0</v>
      </c>
      <c r="Q327" t="s">
        <v>585</v>
      </c>
      <c r="AA327" t="s">
        <v>83</v>
      </c>
      <c r="AB327" t="s">
        <v>83</v>
      </c>
      <c r="AC327" t="s">
        <v>83</v>
      </c>
      <c r="AD327" t="s">
        <v>83</v>
      </c>
      <c r="AE327" t="s">
        <v>82</v>
      </c>
      <c r="AF327" t="s">
        <v>83</v>
      </c>
      <c r="AG327" t="s">
        <v>83</v>
      </c>
      <c r="AH327" t="s">
        <v>83</v>
      </c>
      <c r="AI327" t="s">
        <v>88</v>
      </c>
      <c r="AJ327" t="s">
        <v>89</v>
      </c>
      <c r="AK327" t="s">
        <v>117</v>
      </c>
      <c r="AL327" t="s">
        <v>120</v>
      </c>
      <c r="AM327" t="s">
        <v>87</v>
      </c>
      <c r="AN327" t="s">
        <v>87</v>
      </c>
      <c r="AO327" t="s">
        <v>87</v>
      </c>
      <c r="AP327" t="s">
        <v>87</v>
      </c>
      <c r="AQ327" t="s">
        <v>87</v>
      </c>
      <c r="AR327" t="s">
        <v>97</v>
      </c>
      <c r="AS327" t="s">
        <v>92</v>
      </c>
      <c r="AT327" t="s">
        <v>120</v>
      </c>
      <c r="AU327">
        <v>1</v>
      </c>
      <c r="AV327">
        <v>0</v>
      </c>
      <c r="AW327">
        <v>0</v>
      </c>
      <c r="AX327">
        <v>0</v>
      </c>
      <c r="AY327">
        <v>0</v>
      </c>
      <c r="AZ327" t="s">
        <v>580</v>
      </c>
    </row>
    <row r="328" spans="1:52" x14ac:dyDescent="0.2">
      <c r="A328">
        <v>1</v>
      </c>
      <c r="B328">
        <v>0</v>
      </c>
      <c r="C328">
        <v>0</v>
      </c>
      <c r="D328">
        <v>0</v>
      </c>
      <c r="E328">
        <v>1</v>
      </c>
      <c r="F328">
        <v>0</v>
      </c>
      <c r="G328">
        <v>0</v>
      </c>
      <c r="H328">
        <v>0</v>
      </c>
      <c r="I328">
        <v>0</v>
      </c>
      <c r="L328">
        <v>1</v>
      </c>
      <c r="M328">
        <v>0</v>
      </c>
      <c r="N328">
        <v>0</v>
      </c>
      <c r="O328">
        <v>0</v>
      </c>
      <c r="P328">
        <v>0</v>
      </c>
      <c r="Q328" t="s">
        <v>584</v>
      </c>
      <c r="R328">
        <v>0</v>
      </c>
      <c r="S328">
        <v>0</v>
      </c>
      <c r="T328">
        <v>1</v>
      </c>
      <c r="U328">
        <v>0</v>
      </c>
      <c r="V328">
        <v>1</v>
      </c>
      <c r="W328">
        <v>0</v>
      </c>
      <c r="X328">
        <v>0</v>
      </c>
      <c r="Y328">
        <v>0</v>
      </c>
      <c r="Z328">
        <v>0</v>
      </c>
      <c r="AL328" t="s">
        <v>73</v>
      </c>
      <c r="AM328" t="s">
        <v>87</v>
      </c>
      <c r="AN328" t="s">
        <v>87</v>
      </c>
      <c r="AO328" t="s">
        <v>87</v>
      </c>
      <c r="AP328" t="s">
        <v>87</v>
      </c>
      <c r="AQ328" t="s">
        <v>87</v>
      </c>
      <c r="AR328" t="s">
        <v>113</v>
      </c>
      <c r="AS328" t="s">
        <v>92</v>
      </c>
      <c r="AT328" t="s">
        <v>73</v>
      </c>
      <c r="AU328">
        <v>0</v>
      </c>
      <c r="AV328">
        <v>0</v>
      </c>
      <c r="AW328">
        <v>0</v>
      </c>
      <c r="AX328">
        <v>1</v>
      </c>
      <c r="AY328">
        <v>0</v>
      </c>
      <c r="AZ328" t="s">
        <v>581</v>
      </c>
    </row>
    <row r="329" spans="1:52" x14ac:dyDescent="0.2">
      <c r="A329">
        <v>0</v>
      </c>
      <c r="B329">
        <v>0</v>
      </c>
      <c r="C329">
        <v>0</v>
      </c>
      <c r="D329">
        <v>1</v>
      </c>
      <c r="L329">
        <v>1</v>
      </c>
      <c r="M329">
        <v>0</v>
      </c>
      <c r="N329">
        <v>0</v>
      </c>
      <c r="O329">
        <v>0</v>
      </c>
      <c r="P329">
        <v>0</v>
      </c>
      <c r="Q329" t="s">
        <v>584</v>
      </c>
      <c r="R329">
        <v>0</v>
      </c>
      <c r="S329">
        <v>0</v>
      </c>
      <c r="T329">
        <v>0</v>
      </c>
      <c r="U329">
        <v>0</v>
      </c>
      <c r="V329">
        <v>0</v>
      </c>
      <c r="W329">
        <v>0</v>
      </c>
      <c r="X329">
        <v>1</v>
      </c>
      <c r="Y329">
        <v>0</v>
      </c>
      <c r="Z329">
        <v>0</v>
      </c>
      <c r="AL329" t="s">
        <v>107</v>
      </c>
      <c r="AR329" t="s">
        <v>97</v>
      </c>
      <c r="AS329" t="s">
        <v>76</v>
      </c>
      <c r="AT329" t="s">
        <v>107</v>
      </c>
      <c r="AU329">
        <v>1</v>
      </c>
      <c r="AV329">
        <v>0</v>
      </c>
      <c r="AW329">
        <v>0</v>
      </c>
      <c r="AX329">
        <v>0</v>
      </c>
      <c r="AY329">
        <v>0</v>
      </c>
      <c r="AZ329" t="s">
        <v>580</v>
      </c>
    </row>
    <row r="330" spans="1:52" x14ac:dyDescent="0.2">
      <c r="A330">
        <v>1</v>
      </c>
      <c r="B330">
        <v>0</v>
      </c>
      <c r="C330">
        <v>0</v>
      </c>
      <c r="D330">
        <v>0</v>
      </c>
      <c r="E330">
        <v>0</v>
      </c>
      <c r="F330">
        <v>1</v>
      </c>
      <c r="G330">
        <v>0</v>
      </c>
      <c r="H330">
        <v>0</v>
      </c>
      <c r="I330">
        <v>0</v>
      </c>
      <c r="J330" t="s">
        <v>88</v>
      </c>
      <c r="K330" t="s">
        <v>89</v>
      </c>
      <c r="L330">
        <v>0</v>
      </c>
      <c r="M330">
        <v>1</v>
      </c>
      <c r="N330">
        <v>0</v>
      </c>
      <c r="O330">
        <v>0</v>
      </c>
      <c r="P330">
        <v>0</v>
      </c>
      <c r="Q330" t="s">
        <v>584</v>
      </c>
      <c r="AA330" t="s">
        <v>83</v>
      </c>
      <c r="AB330" t="s">
        <v>82</v>
      </c>
      <c r="AC330" t="s">
        <v>83</v>
      </c>
      <c r="AD330" t="s">
        <v>83</v>
      </c>
      <c r="AE330" t="s">
        <v>83</v>
      </c>
      <c r="AF330" t="s">
        <v>83</v>
      </c>
      <c r="AG330" t="s">
        <v>83</v>
      </c>
      <c r="AH330" t="s">
        <v>83</v>
      </c>
      <c r="AI330" t="s">
        <v>127</v>
      </c>
      <c r="AJ330" t="s">
        <v>127</v>
      </c>
      <c r="AL330" t="s">
        <v>107</v>
      </c>
      <c r="AM330" t="s">
        <v>74</v>
      </c>
      <c r="AR330" t="s">
        <v>97</v>
      </c>
      <c r="AS330" t="s">
        <v>76</v>
      </c>
      <c r="AT330" t="s">
        <v>107</v>
      </c>
      <c r="AU330">
        <v>0</v>
      </c>
      <c r="AV330">
        <v>0</v>
      </c>
      <c r="AW330">
        <v>0</v>
      </c>
      <c r="AX330">
        <v>1</v>
      </c>
      <c r="AY330">
        <v>0</v>
      </c>
      <c r="AZ330" t="s">
        <v>580</v>
      </c>
    </row>
    <row r="331" spans="1:52" x14ac:dyDescent="0.2">
      <c r="A331">
        <v>0</v>
      </c>
      <c r="B331">
        <v>1</v>
      </c>
      <c r="C331">
        <v>0</v>
      </c>
      <c r="D331">
        <v>0</v>
      </c>
      <c r="E331">
        <v>0</v>
      </c>
      <c r="F331">
        <v>0</v>
      </c>
      <c r="G331">
        <v>1</v>
      </c>
      <c r="H331">
        <v>0</v>
      </c>
      <c r="I331">
        <v>0</v>
      </c>
      <c r="J331" t="s">
        <v>79</v>
      </c>
      <c r="K331" t="s">
        <v>80</v>
      </c>
      <c r="L331">
        <v>1</v>
      </c>
      <c r="M331">
        <v>0</v>
      </c>
      <c r="N331">
        <v>0</v>
      </c>
      <c r="O331">
        <v>0</v>
      </c>
      <c r="P331">
        <v>0</v>
      </c>
      <c r="Q331" t="s">
        <v>584</v>
      </c>
      <c r="R331">
        <v>0</v>
      </c>
      <c r="S331">
        <v>0</v>
      </c>
      <c r="T331">
        <v>1</v>
      </c>
      <c r="U331">
        <v>0</v>
      </c>
      <c r="V331">
        <v>0</v>
      </c>
      <c r="W331">
        <v>0</v>
      </c>
      <c r="X331">
        <v>0</v>
      </c>
      <c r="Y331">
        <v>0</v>
      </c>
      <c r="Z331">
        <v>1</v>
      </c>
      <c r="AL331" t="s">
        <v>96</v>
      </c>
      <c r="AM331" t="s">
        <v>87</v>
      </c>
      <c r="AN331" t="s">
        <v>87</v>
      </c>
      <c r="AO331" t="s">
        <v>86</v>
      </c>
      <c r="AP331" t="s">
        <v>86</v>
      </c>
      <c r="AQ331" t="s">
        <v>86</v>
      </c>
      <c r="AR331" t="s">
        <v>101</v>
      </c>
      <c r="AS331" t="s">
        <v>76</v>
      </c>
      <c r="AT331" t="s">
        <v>96</v>
      </c>
      <c r="AU331">
        <v>0</v>
      </c>
      <c r="AV331">
        <v>0</v>
      </c>
      <c r="AW331">
        <v>0</v>
      </c>
      <c r="AX331">
        <v>0</v>
      </c>
      <c r="AY331">
        <v>1</v>
      </c>
      <c r="AZ331" t="s">
        <v>580</v>
      </c>
    </row>
    <row r="332" spans="1:52" x14ac:dyDescent="0.2">
      <c r="A332">
        <v>1</v>
      </c>
      <c r="B332">
        <v>0</v>
      </c>
      <c r="C332">
        <v>0</v>
      </c>
      <c r="D332">
        <v>0</v>
      </c>
      <c r="E332">
        <v>1</v>
      </c>
      <c r="F332">
        <v>0</v>
      </c>
      <c r="G332">
        <v>0</v>
      </c>
      <c r="H332">
        <v>0</v>
      </c>
      <c r="I332">
        <v>0</v>
      </c>
      <c r="L332">
        <v>1</v>
      </c>
      <c r="M332">
        <v>0</v>
      </c>
      <c r="N332">
        <v>0</v>
      </c>
      <c r="O332">
        <v>0</v>
      </c>
      <c r="P332">
        <v>0</v>
      </c>
      <c r="Q332" t="s">
        <v>584</v>
      </c>
      <c r="R332">
        <v>0</v>
      </c>
      <c r="S332">
        <v>1</v>
      </c>
      <c r="T332">
        <v>0</v>
      </c>
      <c r="U332">
        <v>0</v>
      </c>
      <c r="V332">
        <v>0</v>
      </c>
      <c r="W332">
        <v>0</v>
      </c>
      <c r="X332">
        <v>0</v>
      </c>
      <c r="Y332">
        <v>0</v>
      </c>
      <c r="Z332">
        <v>0</v>
      </c>
      <c r="AL332" t="s">
        <v>107</v>
      </c>
      <c r="AM332" t="s">
        <v>86</v>
      </c>
      <c r="AN332" t="s">
        <v>86</v>
      </c>
      <c r="AO332" t="s">
        <v>86</v>
      </c>
      <c r="AP332" t="s">
        <v>87</v>
      </c>
      <c r="AQ332" t="s">
        <v>86</v>
      </c>
      <c r="AR332" t="s">
        <v>97</v>
      </c>
      <c r="AS332" t="s">
        <v>92</v>
      </c>
      <c r="AT332" t="s">
        <v>107</v>
      </c>
      <c r="AU332">
        <v>1</v>
      </c>
      <c r="AV332">
        <v>0</v>
      </c>
      <c r="AW332">
        <v>0</v>
      </c>
      <c r="AX332">
        <v>0</v>
      </c>
      <c r="AY332">
        <v>0</v>
      </c>
      <c r="AZ332" t="s">
        <v>580</v>
      </c>
    </row>
    <row r="333" spans="1:52" x14ac:dyDescent="0.2">
      <c r="A333">
        <v>1</v>
      </c>
      <c r="B333">
        <v>0</v>
      </c>
      <c r="C333">
        <v>0</v>
      </c>
      <c r="D333">
        <v>0</v>
      </c>
      <c r="E333">
        <v>0</v>
      </c>
      <c r="F333">
        <v>0</v>
      </c>
      <c r="G333">
        <v>0</v>
      </c>
      <c r="H333">
        <v>0</v>
      </c>
      <c r="I333">
        <v>1</v>
      </c>
      <c r="J333" t="s">
        <v>79</v>
      </c>
      <c r="K333" t="s">
        <v>80</v>
      </c>
      <c r="L333">
        <v>1</v>
      </c>
      <c r="M333">
        <v>0</v>
      </c>
      <c r="N333">
        <v>0</v>
      </c>
      <c r="O333">
        <v>0</v>
      </c>
      <c r="P333">
        <v>0</v>
      </c>
      <c r="Q333" t="s">
        <v>584</v>
      </c>
      <c r="R333">
        <v>0</v>
      </c>
      <c r="S333">
        <v>0</v>
      </c>
      <c r="T333">
        <v>0</v>
      </c>
      <c r="U333">
        <v>0</v>
      </c>
      <c r="V333">
        <v>0</v>
      </c>
      <c r="W333">
        <v>0</v>
      </c>
      <c r="X333">
        <v>0</v>
      </c>
      <c r="Y333">
        <v>0</v>
      </c>
      <c r="Z333">
        <v>1</v>
      </c>
      <c r="AL333" t="s">
        <v>107</v>
      </c>
      <c r="AM333" t="s">
        <v>86</v>
      </c>
      <c r="AN333" t="s">
        <v>74</v>
      </c>
      <c r="AO333" t="s">
        <v>86</v>
      </c>
      <c r="AP333" t="s">
        <v>86</v>
      </c>
      <c r="AQ333" t="s">
        <v>86</v>
      </c>
      <c r="AR333" t="s">
        <v>108</v>
      </c>
      <c r="AS333" t="s">
        <v>92</v>
      </c>
      <c r="AT333" t="s">
        <v>107</v>
      </c>
      <c r="AU333">
        <v>1</v>
      </c>
      <c r="AV333">
        <v>0</v>
      </c>
      <c r="AW333">
        <v>0</v>
      </c>
      <c r="AX333">
        <v>0</v>
      </c>
      <c r="AY333">
        <v>0</v>
      </c>
      <c r="AZ333" t="s">
        <v>580</v>
      </c>
    </row>
    <row r="334" spans="1:52" x14ac:dyDescent="0.2">
      <c r="A334">
        <v>0</v>
      </c>
      <c r="B334">
        <v>0</v>
      </c>
      <c r="C334">
        <v>1</v>
      </c>
      <c r="D334">
        <v>0</v>
      </c>
      <c r="E334">
        <v>0</v>
      </c>
      <c r="F334">
        <v>1</v>
      </c>
      <c r="G334">
        <v>0</v>
      </c>
      <c r="H334">
        <v>0</v>
      </c>
      <c r="I334">
        <v>0</v>
      </c>
      <c r="J334" t="s">
        <v>79</v>
      </c>
      <c r="K334" t="s">
        <v>80</v>
      </c>
      <c r="L334">
        <v>1</v>
      </c>
      <c r="M334">
        <v>0</v>
      </c>
      <c r="N334">
        <v>0</v>
      </c>
      <c r="O334">
        <v>0</v>
      </c>
      <c r="P334">
        <v>0</v>
      </c>
      <c r="Q334" t="s">
        <v>584</v>
      </c>
      <c r="R334">
        <v>1</v>
      </c>
      <c r="S334">
        <v>0</v>
      </c>
      <c r="T334">
        <v>0</v>
      </c>
      <c r="U334">
        <v>0</v>
      </c>
      <c r="V334">
        <v>0</v>
      </c>
      <c r="W334">
        <v>0</v>
      </c>
      <c r="X334">
        <v>0</v>
      </c>
      <c r="Y334">
        <v>0</v>
      </c>
      <c r="Z334">
        <v>0</v>
      </c>
      <c r="AL334" t="s">
        <v>73</v>
      </c>
      <c r="AM334" t="s">
        <v>86</v>
      </c>
      <c r="AN334" t="s">
        <v>87</v>
      </c>
      <c r="AO334" t="s">
        <v>87</v>
      </c>
      <c r="AP334" t="s">
        <v>87</v>
      </c>
      <c r="AQ334" t="s">
        <v>87</v>
      </c>
      <c r="AR334" t="s">
        <v>97</v>
      </c>
      <c r="AS334" t="s">
        <v>92</v>
      </c>
      <c r="AT334" t="s">
        <v>73</v>
      </c>
      <c r="AU334">
        <v>1</v>
      </c>
      <c r="AV334">
        <v>0</v>
      </c>
      <c r="AW334">
        <v>0</v>
      </c>
      <c r="AX334">
        <v>0</v>
      </c>
      <c r="AY334">
        <v>0</v>
      </c>
      <c r="AZ334" t="s">
        <v>580</v>
      </c>
    </row>
    <row r="335" spans="1:52" x14ac:dyDescent="0.2">
      <c r="A335">
        <v>1</v>
      </c>
      <c r="B335">
        <v>0</v>
      </c>
      <c r="C335">
        <v>0</v>
      </c>
      <c r="D335">
        <v>0</v>
      </c>
      <c r="E335">
        <v>0</v>
      </c>
      <c r="F335">
        <v>1</v>
      </c>
      <c r="G335">
        <v>1</v>
      </c>
      <c r="H335">
        <v>0</v>
      </c>
      <c r="I335">
        <v>0</v>
      </c>
      <c r="J335" t="s">
        <v>88</v>
      </c>
      <c r="K335" t="s">
        <v>89</v>
      </c>
      <c r="L335">
        <v>0</v>
      </c>
      <c r="M335">
        <v>0</v>
      </c>
      <c r="N335">
        <v>1</v>
      </c>
      <c r="O335">
        <v>0</v>
      </c>
      <c r="P335">
        <v>0</v>
      </c>
      <c r="Q335" t="s">
        <v>584</v>
      </c>
      <c r="AA335" t="s">
        <v>83</v>
      </c>
      <c r="AB335" t="s">
        <v>81</v>
      </c>
      <c r="AC335" t="s">
        <v>83</v>
      </c>
      <c r="AD335" t="s">
        <v>82</v>
      </c>
      <c r="AE335" t="s">
        <v>81</v>
      </c>
      <c r="AF335" t="s">
        <v>83</v>
      </c>
      <c r="AG335" t="s">
        <v>83</v>
      </c>
      <c r="AH335" t="s">
        <v>83</v>
      </c>
      <c r="AI335" t="s">
        <v>88</v>
      </c>
      <c r="AJ335" t="s">
        <v>89</v>
      </c>
      <c r="AK335" t="s">
        <v>85</v>
      </c>
      <c r="AL335" t="s">
        <v>107</v>
      </c>
      <c r="AM335" t="s">
        <v>74</v>
      </c>
      <c r="AR335" t="s">
        <v>75</v>
      </c>
      <c r="AS335" t="s">
        <v>92</v>
      </c>
      <c r="AT335" t="s">
        <v>107</v>
      </c>
      <c r="AU335">
        <v>0</v>
      </c>
      <c r="AV335">
        <v>0</v>
      </c>
      <c r="AW335">
        <v>0</v>
      </c>
      <c r="AX335">
        <v>1</v>
      </c>
      <c r="AY335">
        <v>0</v>
      </c>
      <c r="AZ335" t="s">
        <v>578</v>
      </c>
    </row>
    <row r="336" spans="1:52" x14ac:dyDescent="0.2">
      <c r="A336">
        <v>0</v>
      </c>
      <c r="B336">
        <v>1</v>
      </c>
      <c r="C336">
        <v>0</v>
      </c>
      <c r="D336">
        <v>0</v>
      </c>
      <c r="E336">
        <v>1</v>
      </c>
      <c r="F336">
        <v>0</v>
      </c>
      <c r="G336">
        <v>0</v>
      </c>
      <c r="H336">
        <v>0</v>
      </c>
      <c r="I336">
        <v>0</v>
      </c>
      <c r="L336">
        <v>1</v>
      </c>
      <c r="M336">
        <v>0</v>
      </c>
      <c r="N336">
        <v>0</v>
      </c>
      <c r="O336">
        <v>0</v>
      </c>
      <c r="P336">
        <v>0</v>
      </c>
      <c r="Q336" t="s">
        <v>584</v>
      </c>
      <c r="R336">
        <v>0</v>
      </c>
      <c r="S336">
        <v>1</v>
      </c>
      <c r="T336">
        <v>0</v>
      </c>
      <c r="U336">
        <v>0</v>
      </c>
      <c r="V336">
        <v>0</v>
      </c>
      <c r="W336">
        <v>0</v>
      </c>
      <c r="X336">
        <v>0</v>
      </c>
      <c r="Y336">
        <v>0</v>
      </c>
      <c r="Z336">
        <v>0</v>
      </c>
      <c r="AL336" t="s">
        <v>107</v>
      </c>
      <c r="AM336" t="s">
        <v>87</v>
      </c>
      <c r="AN336" t="s">
        <v>87</v>
      </c>
      <c r="AO336" t="s">
        <v>87</v>
      </c>
      <c r="AP336" t="s">
        <v>87</v>
      </c>
      <c r="AQ336" t="s">
        <v>87</v>
      </c>
      <c r="AR336" t="s">
        <v>101</v>
      </c>
      <c r="AS336" t="s">
        <v>92</v>
      </c>
      <c r="AT336" t="s">
        <v>107</v>
      </c>
      <c r="AU336">
        <v>1</v>
      </c>
      <c r="AV336">
        <v>0</v>
      </c>
      <c r="AW336">
        <v>0</v>
      </c>
      <c r="AX336">
        <v>0</v>
      </c>
      <c r="AY336">
        <v>0</v>
      </c>
      <c r="AZ336" t="s">
        <v>579</v>
      </c>
    </row>
    <row r="337" spans="1:52" x14ac:dyDescent="0.2">
      <c r="A337">
        <v>0</v>
      </c>
      <c r="B337">
        <v>0</v>
      </c>
      <c r="C337">
        <v>0</v>
      </c>
      <c r="D337">
        <v>1</v>
      </c>
      <c r="L337">
        <v>1</v>
      </c>
      <c r="M337">
        <v>0</v>
      </c>
      <c r="N337">
        <v>0</v>
      </c>
      <c r="O337">
        <v>0</v>
      </c>
      <c r="P337">
        <v>0</v>
      </c>
      <c r="Q337" t="s">
        <v>584</v>
      </c>
      <c r="R337">
        <v>0</v>
      </c>
      <c r="S337">
        <v>0</v>
      </c>
      <c r="T337">
        <v>1</v>
      </c>
      <c r="U337">
        <v>0</v>
      </c>
      <c r="V337">
        <v>0</v>
      </c>
      <c r="W337">
        <v>1</v>
      </c>
      <c r="X337">
        <v>0</v>
      </c>
      <c r="Y337">
        <v>0</v>
      </c>
      <c r="Z337">
        <v>0</v>
      </c>
      <c r="AL337" t="s">
        <v>107</v>
      </c>
      <c r="AR337" t="s">
        <v>97</v>
      </c>
      <c r="AS337" t="s">
        <v>92</v>
      </c>
      <c r="AT337" t="s">
        <v>107</v>
      </c>
      <c r="AU337">
        <v>1</v>
      </c>
      <c r="AV337">
        <v>0</v>
      </c>
      <c r="AW337">
        <v>0</v>
      </c>
      <c r="AX337">
        <v>0</v>
      </c>
      <c r="AY337">
        <v>0</v>
      </c>
      <c r="AZ337" t="s">
        <v>581</v>
      </c>
    </row>
    <row r="338" spans="1:52" x14ac:dyDescent="0.2">
      <c r="A338">
        <v>1</v>
      </c>
      <c r="B338">
        <v>0</v>
      </c>
      <c r="C338">
        <v>0</v>
      </c>
      <c r="D338">
        <v>0</v>
      </c>
      <c r="E338">
        <v>0</v>
      </c>
      <c r="F338">
        <v>1</v>
      </c>
      <c r="G338">
        <v>0</v>
      </c>
      <c r="H338">
        <v>0</v>
      </c>
      <c r="I338">
        <v>0</v>
      </c>
      <c r="J338" t="s">
        <v>88</v>
      </c>
      <c r="K338" t="s">
        <v>80</v>
      </c>
      <c r="L338">
        <v>0</v>
      </c>
      <c r="M338">
        <v>0</v>
      </c>
      <c r="N338">
        <v>1</v>
      </c>
      <c r="O338">
        <v>0</v>
      </c>
      <c r="P338">
        <v>0</v>
      </c>
      <c r="Q338" t="s">
        <v>584</v>
      </c>
      <c r="AA338" t="s">
        <v>83</v>
      </c>
      <c r="AB338" t="s">
        <v>82</v>
      </c>
      <c r="AC338" t="s">
        <v>83</v>
      </c>
      <c r="AD338" t="s">
        <v>82</v>
      </c>
      <c r="AE338" t="s">
        <v>81</v>
      </c>
      <c r="AF338" t="s">
        <v>83</v>
      </c>
      <c r="AG338" t="s">
        <v>83</v>
      </c>
      <c r="AH338" t="s">
        <v>83</v>
      </c>
      <c r="AI338" t="s">
        <v>88</v>
      </c>
      <c r="AJ338" t="s">
        <v>89</v>
      </c>
      <c r="AK338" t="s">
        <v>85</v>
      </c>
      <c r="AL338" t="s">
        <v>107</v>
      </c>
      <c r="AM338" t="s">
        <v>86</v>
      </c>
      <c r="AN338" t="s">
        <v>86</v>
      </c>
      <c r="AO338" t="s">
        <v>86</v>
      </c>
      <c r="AP338" t="s">
        <v>86</v>
      </c>
      <c r="AQ338" t="s">
        <v>86</v>
      </c>
      <c r="AR338" t="s">
        <v>75</v>
      </c>
      <c r="AS338" t="s">
        <v>76</v>
      </c>
      <c r="AT338" t="s">
        <v>107</v>
      </c>
      <c r="AU338">
        <v>0</v>
      </c>
      <c r="AV338">
        <v>0</v>
      </c>
      <c r="AW338">
        <v>0</v>
      </c>
      <c r="AX338">
        <v>1</v>
      </c>
      <c r="AY338">
        <v>0</v>
      </c>
      <c r="AZ338" t="s">
        <v>580</v>
      </c>
    </row>
    <row r="339" spans="1:52" x14ac:dyDescent="0.2">
      <c r="A339">
        <v>1</v>
      </c>
      <c r="B339">
        <v>0</v>
      </c>
      <c r="C339">
        <v>0</v>
      </c>
      <c r="D339">
        <v>0</v>
      </c>
      <c r="E339">
        <v>1</v>
      </c>
      <c r="F339">
        <v>0</v>
      </c>
      <c r="G339">
        <v>0</v>
      </c>
      <c r="H339">
        <v>0</v>
      </c>
      <c r="I339">
        <v>0</v>
      </c>
      <c r="L339">
        <v>1</v>
      </c>
      <c r="M339">
        <v>0</v>
      </c>
      <c r="N339">
        <v>0</v>
      </c>
      <c r="O339">
        <v>0</v>
      </c>
      <c r="P339">
        <v>0</v>
      </c>
      <c r="Q339" t="s">
        <v>584</v>
      </c>
      <c r="R339">
        <v>0</v>
      </c>
      <c r="S339">
        <v>0</v>
      </c>
      <c r="T339">
        <v>0</v>
      </c>
      <c r="U339">
        <v>0</v>
      </c>
      <c r="V339">
        <v>0</v>
      </c>
      <c r="W339">
        <v>1</v>
      </c>
      <c r="X339">
        <v>0</v>
      </c>
      <c r="Y339">
        <v>0</v>
      </c>
      <c r="Z339">
        <v>0</v>
      </c>
      <c r="AL339" t="s">
        <v>73</v>
      </c>
      <c r="AM339" t="s">
        <v>87</v>
      </c>
      <c r="AN339" t="s">
        <v>87</v>
      </c>
      <c r="AO339" t="s">
        <v>87</v>
      </c>
      <c r="AP339" t="s">
        <v>87</v>
      </c>
      <c r="AQ339" t="s">
        <v>87</v>
      </c>
      <c r="AR339" t="s">
        <v>108</v>
      </c>
      <c r="AS339" t="s">
        <v>92</v>
      </c>
      <c r="AT339" t="s">
        <v>73</v>
      </c>
      <c r="AU339">
        <v>1</v>
      </c>
      <c r="AV339">
        <v>0</v>
      </c>
      <c r="AW339">
        <v>0</v>
      </c>
      <c r="AX339">
        <v>0</v>
      </c>
      <c r="AY339">
        <v>0</v>
      </c>
      <c r="AZ339" t="s">
        <v>580</v>
      </c>
    </row>
    <row r="340" spans="1:52" x14ac:dyDescent="0.2">
      <c r="A340">
        <v>0</v>
      </c>
      <c r="B340">
        <v>1</v>
      </c>
      <c r="C340">
        <v>0</v>
      </c>
      <c r="D340">
        <v>0</v>
      </c>
      <c r="E340">
        <v>0</v>
      </c>
      <c r="F340">
        <v>1</v>
      </c>
      <c r="G340">
        <v>0</v>
      </c>
      <c r="H340">
        <v>0</v>
      </c>
      <c r="I340">
        <v>0</v>
      </c>
      <c r="J340" t="s">
        <v>135</v>
      </c>
      <c r="K340" t="s">
        <v>127</v>
      </c>
      <c r="L340">
        <v>0</v>
      </c>
      <c r="M340">
        <v>1</v>
      </c>
      <c r="N340">
        <v>0</v>
      </c>
      <c r="O340">
        <v>0</v>
      </c>
      <c r="P340">
        <v>0</v>
      </c>
      <c r="Q340" t="s">
        <v>585</v>
      </c>
      <c r="AA340" t="s">
        <v>81</v>
      </c>
      <c r="AB340" t="s">
        <v>82</v>
      </c>
      <c r="AC340" t="s">
        <v>83</v>
      </c>
      <c r="AD340" t="s">
        <v>81</v>
      </c>
      <c r="AE340" t="s">
        <v>81</v>
      </c>
      <c r="AF340" t="s">
        <v>82</v>
      </c>
      <c r="AG340" t="s">
        <v>83</v>
      </c>
      <c r="AH340" t="s">
        <v>83</v>
      </c>
      <c r="AI340" t="s">
        <v>88</v>
      </c>
      <c r="AJ340" t="s">
        <v>89</v>
      </c>
      <c r="AK340" t="s">
        <v>100</v>
      </c>
      <c r="AL340" t="s">
        <v>107</v>
      </c>
      <c r="AM340" t="s">
        <v>86</v>
      </c>
      <c r="AN340" t="s">
        <v>87</v>
      </c>
      <c r="AO340" t="s">
        <v>87</v>
      </c>
      <c r="AP340" t="s">
        <v>74</v>
      </c>
      <c r="AQ340" t="s">
        <v>86</v>
      </c>
      <c r="AR340" t="s">
        <v>97</v>
      </c>
      <c r="AS340" t="s">
        <v>92</v>
      </c>
      <c r="AT340" t="s">
        <v>107</v>
      </c>
      <c r="AU340">
        <v>1</v>
      </c>
      <c r="AV340">
        <v>0</v>
      </c>
      <c r="AW340">
        <v>0</v>
      </c>
      <c r="AX340">
        <v>0</v>
      </c>
      <c r="AY340">
        <v>0</v>
      </c>
      <c r="AZ340" t="s">
        <v>581</v>
      </c>
    </row>
    <row r="341" spans="1:52" x14ac:dyDescent="0.2">
      <c r="A341">
        <v>1</v>
      </c>
      <c r="B341">
        <v>0</v>
      </c>
      <c r="C341">
        <v>0</v>
      </c>
      <c r="D341">
        <v>0</v>
      </c>
      <c r="E341">
        <v>0</v>
      </c>
      <c r="F341">
        <v>1</v>
      </c>
      <c r="G341">
        <v>0</v>
      </c>
      <c r="H341">
        <v>0</v>
      </c>
      <c r="I341">
        <v>0</v>
      </c>
      <c r="J341" t="s">
        <v>79</v>
      </c>
      <c r="K341" t="s">
        <v>80</v>
      </c>
      <c r="L341">
        <v>0</v>
      </c>
      <c r="M341">
        <v>0</v>
      </c>
      <c r="N341">
        <v>1</v>
      </c>
      <c r="O341">
        <v>0</v>
      </c>
      <c r="P341">
        <v>0</v>
      </c>
      <c r="Q341" t="s">
        <v>584</v>
      </c>
      <c r="AA341" t="s">
        <v>81</v>
      </c>
      <c r="AB341" t="s">
        <v>82</v>
      </c>
      <c r="AC341" t="s">
        <v>83</v>
      </c>
      <c r="AD341" t="s">
        <v>83</v>
      </c>
      <c r="AE341" t="s">
        <v>81</v>
      </c>
      <c r="AF341" t="s">
        <v>83</v>
      </c>
      <c r="AG341" t="s">
        <v>81</v>
      </c>
      <c r="AH341" t="s">
        <v>83</v>
      </c>
      <c r="AI341" t="s">
        <v>88</v>
      </c>
      <c r="AJ341" t="s">
        <v>89</v>
      </c>
      <c r="AK341" t="s">
        <v>85</v>
      </c>
      <c r="AL341" t="s">
        <v>73</v>
      </c>
      <c r="AM341" t="s">
        <v>74</v>
      </c>
      <c r="AR341" t="s">
        <v>97</v>
      </c>
      <c r="AS341" t="s">
        <v>92</v>
      </c>
      <c r="AT341" t="s">
        <v>73</v>
      </c>
      <c r="AU341">
        <v>1</v>
      </c>
      <c r="AV341">
        <v>0</v>
      </c>
      <c r="AW341">
        <v>0</v>
      </c>
      <c r="AX341">
        <v>0</v>
      </c>
      <c r="AY341">
        <v>0</v>
      </c>
      <c r="AZ341" t="s">
        <v>581</v>
      </c>
    </row>
    <row r="342" spans="1:52" x14ac:dyDescent="0.2">
      <c r="A342">
        <v>0</v>
      </c>
      <c r="B342">
        <v>1</v>
      </c>
      <c r="C342">
        <v>0</v>
      </c>
      <c r="D342">
        <v>0</v>
      </c>
      <c r="E342">
        <v>1</v>
      </c>
      <c r="F342">
        <v>0</v>
      </c>
      <c r="G342">
        <v>0</v>
      </c>
      <c r="H342">
        <v>0</v>
      </c>
      <c r="I342">
        <v>0</v>
      </c>
      <c r="L342">
        <v>0</v>
      </c>
      <c r="M342">
        <v>1</v>
      </c>
      <c r="N342">
        <v>0</v>
      </c>
      <c r="O342">
        <v>0</v>
      </c>
      <c r="P342">
        <v>0</v>
      </c>
      <c r="Q342" t="s">
        <v>584</v>
      </c>
      <c r="AA342" t="s">
        <v>90</v>
      </c>
      <c r="AB342" t="s">
        <v>82</v>
      </c>
      <c r="AC342" t="s">
        <v>90</v>
      </c>
      <c r="AD342" t="s">
        <v>81</v>
      </c>
      <c r="AE342" t="s">
        <v>90</v>
      </c>
      <c r="AF342" t="s">
        <v>90</v>
      </c>
      <c r="AG342" t="s">
        <v>90</v>
      </c>
      <c r="AH342" t="s">
        <v>83</v>
      </c>
      <c r="AI342" t="s">
        <v>88</v>
      </c>
      <c r="AJ342" t="s">
        <v>89</v>
      </c>
      <c r="AK342" t="s">
        <v>100</v>
      </c>
      <c r="AL342" t="s">
        <v>96</v>
      </c>
      <c r="AM342" t="s">
        <v>87</v>
      </c>
      <c r="AN342" t="s">
        <v>87</v>
      </c>
      <c r="AO342" t="s">
        <v>86</v>
      </c>
      <c r="AP342" t="s">
        <v>74</v>
      </c>
      <c r="AQ342" t="s">
        <v>86</v>
      </c>
      <c r="AR342" t="s">
        <v>97</v>
      </c>
      <c r="AS342" t="s">
        <v>76</v>
      </c>
      <c r="AT342" t="s">
        <v>96</v>
      </c>
      <c r="AU342">
        <v>1</v>
      </c>
      <c r="AV342">
        <v>0</v>
      </c>
      <c r="AW342">
        <v>0</v>
      </c>
      <c r="AX342">
        <v>0</v>
      </c>
      <c r="AY342">
        <v>0</v>
      </c>
      <c r="AZ342" t="s">
        <v>580</v>
      </c>
    </row>
    <row r="343" spans="1:52" x14ac:dyDescent="0.2">
      <c r="A343">
        <v>1</v>
      </c>
      <c r="B343">
        <v>0</v>
      </c>
      <c r="C343">
        <v>0</v>
      </c>
      <c r="D343">
        <v>0</v>
      </c>
      <c r="E343">
        <v>1</v>
      </c>
      <c r="F343">
        <v>0</v>
      </c>
      <c r="G343">
        <v>0</v>
      </c>
      <c r="H343">
        <v>0</v>
      </c>
      <c r="I343">
        <v>0</v>
      </c>
      <c r="L343">
        <v>1</v>
      </c>
      <c r="M343">
        <v>0</v>
      </c>
      <c r="N343">
        <v>0</v>
      </c>
      <c r="O343">
        <v>0</v>
      </c>
      <c r="P343">
        <v>0</v>
      </c>
      <c r="Q343" t="s">
        <v>584</v>
      </c>
      <c r="R343">
        <v>0</v>
      </c>
      <c r="S343">
        <v>0</v>
      </c>
      <c r="T343">
        <v>0</v>
      </c>
      <c r="U343">
        <v>0</v>
      </c>
      <c r="V343">
        <v>0</v>
      </c>
      <c r="W343">
        <v>0</v>
      </c>
      <c r="X343">
        <v>1</v>
      </c>
      <c r="Y343">
        <v>0</v>
      </c>
      <c r="Z343">
        <v>0</v>
      </c>
      <c r="AL343" t="s">
        <v>73</v>
      </c>
      <c r="AM343" t="s">
        <v>74</v>
      </c>
      <c r="AR343" t="s">
        <v>97</v>
      </c>
      <c r="AS343" t="s">
        <v>76</v>
      </c>
      <c r="AT343" t="s">
        <v>73</v>
      </c>
      <c r="AU343">
        <v>1</v>
      </c>
      <c r="AV343">
        <v>0</v>
      </c>
      <c r="AW343">
        <v>0</v>
      </c>
      <c r="AX343">
        <v>0</v>
      </c>
      <c r="AY343">
        <v>0</v>
      </c>
      <c r="AZ343" t="s">
        <v>580</v>
      </c>
    </row>
    <row r="344" spans="1:52" x14ac:dyDescent="0.2">
      <c r="A344">
        <v>1</v>
      </c>
      <c r="B344">
        <v>0</v>
      </c>
      <c r="C344">
        <v>0</v>
      </c>
      <c r="D344">
        <v>0</v>
      </c>
      <c r="E344">
        <v>0</v>
      </c>
      <c r="F344">
        <v>1</v>
      </c>
      <c r="G344">
        <v>0</v>
      </c>
      <c r="H344">
        <v>0</v>
      </c>
      <c r="I344">
        <v>0</v>
      </c>
      <c r="J344" t="s">
        <v>88</v>
      </c>
      <c r="K344" t="s">
        <v>89</v>
      </c>
      <c r="L344">
        <v>0</v>
      </c>
      <c r="M344">
        <v>0</v>
      </c>
      <c r="N344">
        <v>1</v>
      </c>
      <c r="O344">
        <v>0</v>
      </c>
      <c r="P344">
        <v>0</v>
      </c>
      <c r="Q344" t="s">
        <v>584</v>
      </c>
      <c r="AA344" t="s">
        <v>81</v>
      </c>
      <c r="AB344" t="s">
        <v>82</v>
      </c>
      <c r="AC344" t="s">
        <v>83</v>
      </c>
      <c r="AD344" t="s">
        <v>83</v>
      </c>
      <c r="AE344" t="s">
        <v>81</v>
      </c>
      <c r="AF344" t="s">
        <v>81</v>
      </c>
      <c r="AG344" t="s">
        <v>81</v>
      </c>
      <c r="AH344" t="s">
        <v>83</v>
      </c>
      <c r="AI344" t="s">
        <v>88</v>
      </c>
      <c r="AJ344" t="s">
        <v>89</v>
      </c>
      <c r="AK344" t="s">
        <v>85</v>
      </c>
      <c r="AL344" t="s">
        <v>107</v>
      </c>
      <c r="AM344" t="s">
        <v>86</v>
      </c>
      <c r="AN344" t="s">
        <v>86</v>
      </c>
      <c r="AO344" t="s">
        <v>87</v>
      </c>
      <c r="AP344" t="s">
        <v>86</v>
      </c>
      <c r="AQ344" t="s">
        <v>87</v>
      </c>
      <c r="AR344" t="s">
        <v>97</v>
      </c>
      <c r="AS344" t="s">
        <v>76</v>
      </c>
      <c r="AT344" t="s">
        <v>107</v>
      </c>
      <c r="AU344">
        <v>1</v>
      </c>
      <c r="AV344">
        <v>0</v>
      </c>
      <c r="AW344">
        <v>0</v>
      </c>
      <c r="AX344">
        <v>0</v>
      </c>
      <c r="AY344">
        <v>0</v>
      </c>
      <c r="AZ344" t="s">
        <v>580</v>
      </c>
    </row>
    <row r="345" spans="1:52" x14ac:dyDescent="0.2">
      <c r="A345">
        <v>0</v>
      </c>
      <c r="B345">
        <v>1</v>
      </c>
      <c r="C345">
        <v>0</v>
      </c>
      <c r="D345">
        <v>0</v>
      </c>
      <c r="E345">
        <v>0</v>
      </c>
      <c r="F345">
        <v>1</v>
      </c>
      <c r="G345">
        <v>0</v>
      </c>
      <c r="H345">
        <v>1</v>
      </c>
      <c r="I345">
        <v>0</v>
      </c>
      <c r="J345" t="s">
        <v>88</v>
      </c>
      <c r="K345" t="s">
        <v>89</v>
      </c>
      <c r="L345">
        <v>0</v>
      </c>
      <c r="M345">
        <v>1</v>
      </c>
      <c r="N345">
        <v>0</v>
      </c>
      <c r="O345">
        <v>0</v>
      </c>
      <c r="P345">
        <v>0</v>
      </c>
      <c r="Q345" t="s">
        <v>584</v>
      </c>
      <c r="AA345" t="s">
        <v>90</v>
      </c>
      <c r="AB345" t="s">
        <v>82</v>
      </c>
      <c r="AC345" t="s">
        <v>82</v>
      </c>
      <c r="AD345" t="s">
        <v>81</v>
      </c>
      <c r="AE345" t="s">
        <v>90</v>
      </c>
      <c r="AF345" t="s">
        <v>83</v>
      </c>
      <c r="AG345" t="s">
        <v>90</v>
      </c>
      <c r="AH345" t="s">
        <v>83</v>
      </c>
      <c r="AI345" t="s">
        <v>88</v>
      </c>
      <c r="AJ345" t="s">
        <v>89</v>
      </c>
      <c r="AK345" t="s">
        <v>100</v>
      </c>
      <c r="AL345" t="s">
        <v>73</v>
      </c>
      <c r="AM345" t="s">
        <v>86</v>
      </c>
      <c r="AN345" t="s">
        <v>86</v>
      </c>
      <c r="AO345" t="s">
        <v>86</v>
      </c>
      <c r="AP345" t="s">
        <v>86</v>
      </c>
      <c r="AQ345" t="s">
        <v>86</v>
      </c>
      <c r="AR345" t="s">
        <v>75</v>
      </c>
      <c r="AS345" t="s">
        <v>76</v>
      </c>
      <c r="AT345" t="s">
        <v>73</v>
      </c>
      <c r="AU345">
        <v>0</v>
      </c>
      <c r="AV345">
        <v>0</v>
      </c>
      <c r="AW345">
        <v>0</v>
      </c>
      <c r="AX345">
        <v>1</v>
      </c>
      <c r="AY345">
        <v>0</v>
      </c>
      <c r="AZ345" t="s">
        <v>579</v>
      </c>
    </row>
    <row r="346" spans="1:52" x14ac:dyDescent="0.2">
      <c r="A346">
        <v>1</v>
      </c>
      <c r="B346">
        <v>0</v>
      </c>
      <c r="C346">
        <v>0</v>
      </c>
      <c r="D346">
        <v>0</v>
      </c>
      <c r="E346">
        <v>0</v>
      </c>
      <c r="F346">
        <v>0</v>
      </c>
      <c r="G346">
        <v>1</v>
      </c>
      <c r="H346">
        <v>0</v>
      </c>
      <c r="I346">
        <v>0</v>
      </c>
      <c r="J346" t="s">
        <v>135</v>
      </c>
      <c r="K346" t="s">
        <v>80</v>
      </c>
      <c r="L346">
        <v>1</v>
      </c>
      <c r="M346">
        <v>0</v>
      </c>
      <c r="N346">
        <v>0</v>
      </c>
      <c r="O346">
        <v>0</v>
      </c>
      <c r="P346">
        <v>0</v>
      </c>
      <c r="Q346" t="s">
        <v>584</v>
      </c>
      <c r="R346">
        <v>0</v>
      </c>
      <c r="S346">
        <v>0</v>
      </c>
      <c r="T346">
        <v>1</v>
      </c>
      <c r="U346">
        <v>0</v>
      </c>
      <c r="V346">
        <v>0</v>
      </c>
      <c r="W346">
        <v>0</v>
      </c>
      <c r="X346">
        <v>0</v>
      </c>
      <c r="Y346">
        <v>0</v>
      </c>
      <c r="Z346">
        <v>0</v>
      </c>
      <c r="AL346" t="s">
        <v>107</v>
      </c>
      <c r="AM346" t="s">
        <v>87</v>
      </c>
      <c r="AN346" t="s">
        <v>87</v>
      </c>
      <c r="AO346" t="s">
        <v>87</v>
      </c>
      <c r="AP346" t="s">
        <v>87</v>
      </c>
      <c r="AQ346" t="s">
        <v>87</v>
      </c>
      <c r="AR346" t="s">
        <v>159</v>
      </c>
      <c r="AS346" t="s">
        <v>76</v>
      </c>
      <c r="AT346" t="s">
        <v>107</v>
      </c>
      <c r="AU346">
        <v>0</v>
      </c>
      <c r="AV346">
        <v>0</v>
      </c>
      <c r="AW346">
        <v>0</v>
      </c>
      <c r="AX346">
        <v>1</v>
      </c>
      <c r="AY346">
        <v>0</v>
      </c>
      <c r="AZ346" t="s">
        <v>578</v>
      </c>
    </row>
    <row r="347" spans="1:52" x14ac:dyDescent="0.2">
      <c r="A347">
        <v>1</v>
      </c>
      <c r="B347">
        <v>0</v>
      </c>
      <c r="C347">
        <v>0</v>
      </c>
      <c r="D347">
        <v>0</v>
      </c>
      <c r="E347">
        <v>1</v>
      </c>
      <c r="F347">
        <v>0</v>
      </c>
      <c r="G347">
        <v>0</v>
      </c>
      <c r="H347">
        <v>0</v>
      </c>
      <c r="I347">
        <v>0</v>
      </c>
      <c r="L347">
        <v>0</v>
      </c>
      <c r="M347">
        <v>0</v>
      </c>
      <c r="N347">
        <v>0</v>
      </c>
      <c r="O347">
        <v>1</v>
      </c>
      <c r="P347">
        <v>0</v>
      </c>
      <c r="Q347" t="s">
        <v>584</v>
      </c>
      <c r="AA347" t="s">
        <v>83</v>
      </c>
      <c r="AB347" t="s">
        <v>82</v>
      </c>
      <c r="AC347" t="s">
        <v>81</v>
      </c>
      <c r="AD347" t="s">
        <v>81</v>
      </c>
      <c r="AE347" t="s">
        <v>83</v>
      </c>
      <c r="AF347" t="s">
        <v>83</v>
      </c>
      <c r="AG347" t="s">
        <v>83</v>
      </c>
      <c r="AH347" t="s">
        <v>83</v>
      </c>
      <c r="AI347" t="s">
        <v>84</v>
      </c>
      <c r="AJ347" t="s">
        <v>80</v>
      </c>
      <c r="AK347" t="s">
        <v>117</v>
      </c>
      <c r="AL347" t="s">
        <v>73</v>
      </c>
      <c r="AM347" t="s">
        <v>87</v>
      </c>
      <c r="AN347" t="s">
        <v>87</v>
      </c>
      <c r="AO347" t="s">
        <v>87</v>
      </c>
      <c r="AP347" t="s">
        <v>87</v>
      </c>
      <c r="AQ347" t="s">
        <v>87</v>
      </c>
      <c r="AR347" t="s">
        <v>75</v>
      </c>
      <c r="AS347" t="s">
        <v>76</v>
      </c>
      <c r="AT347" t="s">
        <v>73</v>
      </c>
      <c r="AU347">
        <v>0</v>
      </c>
      <c r="AV347">
        <v>0</v>
      </c>
      <c r="AW347">
        <v>1</v>
      </c>
      <c r="AX347">
        <v>0</v>
      </c>
      <c r="AY347">
        <v>0</v>
      </c>
      <c r="AZ347" t="s">
        <v>579</v>
      </c>
    </row>
    <row r="348" spans="1:52" x14ac:dyDescent="0.2">
      <c r="A348">
        <v>1</v>
      </c>
      <c r="B348">
        <v>0</v>
      </c>
      <c r="C348">
        <v>0</v>
      </c>
      <c r="D348">
        <v>0</v>
      </c>
      <c r="E348">
        <v>1</v>
      </c>
      <c r="F348">
        <v>0</v>
      </c>
      <c r="G348">
        <v>0</v>
      </c>
      <c r="H348">
        <v>0</v>
      </c>
      <c r="I348">
        <v>0</v>
      </c>
      <c r="L348">
        <v>1</v>
      </c>
      <c r="M348">
        <v>0</v>
      </c>
      <c r="N348">
        <v>0</v>
      </c>
      <c r="O348">
        <v>0</v>
      </c>
      <c r="P348">
        <v>0</v>
      </c>
      <c r="Q348" t="s">
        <v>584</v>
      </c>
      <c r="R348">
        <v>0</v>
      </c>
      <c r="S348">
        <v>1</v>
      </c>
      <c r="T348">
        <v>0</v>
      </c>
      <c r="U348">
        <v>0</v>
      </c>
      <c r="V348">
        <v>0</v>
      </c>
      <c r="W348">
        <v>0</v>
      </c>
      <c r="X348">
        <v>0</v>
      </c>
      <c r="Y348">
        <v>0</v>
      </c>
      <c r="Z348">
        <v>0</v>
      </c>
      <c r="AL348" t="s">
        <v>107</v>
      </c>
      <c r="AM348" t="s">
        <v>86</v>
      </c>
      <c r="AN348" t="s">
        <v>74</v>
      </c>
      <c r="AO348" t="s">
        <v>74</v>
      </c>
      <c r="AP348" t="s">
        <v>86</v>
      </c>
      <c r="AQ348" t="s">
        <v>74</v>
      </c>
      <c r="AR348" t="s">
        <v>97</v>
      </c>
      <c r="AS348" t="s">
        <v>92</v>
      </c>
      <c r="AT348" t="s">
        <v>107</v>
      </c>
      <c r="AU348">
        <v>1</v>
      </c>
      <c r="AV348">
        <v>0</v>
      </c>
      <c r="AW348">
        <v>0</v>
      </c>
      <c r="AX348">
        <v>0</v>
      </c>
      <c r="AY348">
        <v>0</v>
      </c>
      <c r="AZ348" t="s">
        <v>581</v>
      </c>
    </row>
    <row r="349" spans="1:52" x14ac:dyDescent="0.2">
      <c r="A349">
        <v>0</v>
      </c>
      <c r="B349">
        <v>1</v>
      </c>
      <c r="C349">
        <v>0</v>
      </c>
      <c r="D349">
        <v>0</v>
      </c>
      <c r="E349">
        <v>0</v>
      </c>
      <c r="F349">
        <v>0</v>
      </c>
      <c r="G349">
        <v>1</v>
      </c>
      <c r="H349">
        <v>0</v>
      </c>
      <c r="I349">
        <v>0</v>
      </c>
      <c r="J349" t="s">
        <v>135</v>
      </c>
      <c r="K349" t="s">
        <v>142</v>
      </c>
      <c r="L349">
        <v>1</v>
      </c>
      <c r="M349">
        <v>0</v>
      </c>
      <c r="N349">
        <v>0</v>
      </c>
      <c r="O349">
        <v>0</v>
      </c>
      <c r="P349">
        <v>0</v>
      </c>
      <c r="Q349" t="s">
        <v>584</v>
      </c>
      <c r="R349">
        <v>0</v>
      </c>
      <c r="S349">
        <v>0</v>
      </c>
      <c r="T349">
        <v>1</v>
      </c>
      <c r="U349">
        <v>0</v>
      </c>
      <c r="V349">
        <v>0</v>
      </c>
      <c r="W349">
        <v>0</v>
      </c>
      <c r="X349">
        <v>0</v>
      </c>
      <c r="Y349">
        <v>0</v>
      </c>
      <c r="Z349">
        <v>0</v>
      </c>
      <c r="AL349" t="s">
        <v>252</v>
      </c>
      <c r="AM349" t="s">
        <v>86</v>
      </c>
      <c r="AN349" t="s">
        <v>86</v>
      </c>
      <c r="AO349" t="s">
        <v>86</v>
      </c>
      <c r="AP349" t="s">
        <v>74</v>
      </c>
      <c r="AQ349" t="s">
        <v>86</v>
      </c>
      <c r="AR349" t="s">
        <v>101</v>
      </c>
      <c r="AS349" t="s">
        <v>76</v>
      </c>
      <c r="AT349" t="s">
        <v>252</v>
      </c>
      <c r="AU349">
        <v>1</v>
      </c>
      <c r="AV349">
        <v>0</v>
      </c>
      <c r="AW349">
        <v>0</v>
      </c>
      <c r="AX349">
        <v>0</v>
      </c>
      <c r="AY349">
        <v>0</v>
      </c>
      <c r="AZ349" t="s">
        <v>579</v>
      </c>
    </row>
    <row r="350" spans="1:52" x14ac:dyDescent="0.2">
      <c r="A350">
        <v>0</v>
      </c>
      <c r="B350">
        <v>1</v>
      </c>
      <c r="C350">
        <v>0</v>
      </c>
      <c r="D350">
        <v>0</v>
      </c>
      <c r="E350">
        <v>1</v>
      </c>
      <c r="F350">
        <v>0</v>
      </c>
      <c r="G350">
        <v>0</v>
      </c>
      <c r="H350">
        <v>0</v>
      </c>
      <c r="I350">
        <v>0</v>
      </c>
      <c r="L350">
        <v>1</v>
      </c>
      <c r="M350">
        <v>0</v>
      </c>
      <c r="N350">
        <v>0</v>
      </c>
      <c r="O350">
        <v>0</v>
      </c>
      <c r="P350">
        <v>0</v>
      </c>
      <c r="Q350" t="s">
        <v>584</v>
      </c>
      <c r="R350">
        <v>0</v>
      </c>
      <c r="S350">
        <v>0</v>
      </c>
      <c r="T350">
        <v>0</v>
      </c>
      <c r="U350">
        <v>0</v>
      </c>
      <c r="V350">
        <v>0</v>
      </c>
      <c r="W350">
        <v>0</v>
      </c>
      <c r="X350">
        <v>1</v>
      </c>
      <c r="Y350">
        <v>0</v>
      </c>
      <c r="Z350">
        <v>0</v>
      </c>
      <c r="AL350" t="s">
        <v>73</v>
      </c>
      <c r="AM350" t="s">
        <v>74</v>
      </c>
      <c r="AR350" t="s">
        <v>97</v>
      </c>
      <c r="AS350" t="s">
        <v>76</v>
      </c>
      <c r="AT350" t="s">
        <v>73</v>
      </c>
      <c r="AU350">
        <v>1</v>
      </c>
      <c r="AV350">
        <v>0</v>
      </c>
      <c r="AW350">
        <v>0</v>
      </c>
      <c r="AX350">
        <v>0</v>
      </c>
      <c r="AY350">
        <v>0</v>
      </c>
      <c r="AZ350" t="s">
        <v>580</v>
      </c>
    </row>
    <row r="351" spans="1:52" x14ac:dyDescent="0.2">
      <c r="A351">
        <v>1</v>
      </c>
      <c r="B351">
        <v>0</v>
      </c>
      <c r="C351">
        <v>0</v>
      </c>
      <c r="D351">
        <v>0</v>
      </c>
      <c r="E351">
        <v>1</v>
      </c>
      <c r="F351">
        <v>0</v>
      </c>
      <c r="G351">
        <v>0</v>
      </c>
      <c r="H351">
        <v>0</v>
      </c>
      <c r="I351">
        <v>0</v>
      </c>
      <c r="L351">
        <v>1</v>
      </c>
      <c r="M351">
        <v>0</v>
      </c>
      <c r="N351">
        <v>0</v>
      </c>
      <c r="O351">
        <v>0</v>
      </c>
      <c r="P351">
        <v>0</v>
      </c>
      <c r="Q351" t="s">
        <v>584</v>
      </c>
      <c r="R351">
        <v>0</v>
      </c>
      <c r="S351">
        <v>1</v>
      </c>
      <c r="T351">
        <v>0</v>
      </c>
      <c r="U351">
        <v>0</v>
      </c>
      <c r="V351">
        <v>0</v>
      </c>
      <c r="W351">
        <v>0</v>
      </c>
      <c r="X351">
        <v>0</v>
      </c>
      <c r="Y351">
        <v>0</v>
      </c>
      <c r="Z351">
        <v>0</v>
      </c>
      <c r="AL351" t="s">
        <v>73</v>
      </c>
      <c r="AM351" t="s">
        <v>87</v>
      </c>
      <c r="AN351" t="s">
        <v>86</v>
      </c>
      <c r="AO351" t="s">
        <v>86</v>
      </c>
      <c r="AP351" t="s">
        <v>86</v>
      </c>
      <c r="AQ351" t="s">
        <v>87</v>
      </c>
      <c r="AR351" t="s">
        <v>97</v>
      </c>
      <c r="AS351" t="s">
        <v>76</v>
      </c>
      <c r="AT351" t="s">
        <v>73</v>
      </c>
      <c r="AU351">
        <v>1</v>
      </c>
      <c r="AV351">
        <v>0</v>
      </c>
      <c r="AW351">
        <v>0</v>
      </c>
      <c r="AX351">
        <v>0</v>
      </c>
      <c r="AY351">
        <v>0</v>
      </c>
      <c r="AZ351" t="s">
        <v>581</v>
      </c>
    </row>
    <row r="352" spans="1:52" x14ac:dyDescent="0.2">
      <c r="A352">
        <v>1</v>
      </c>
      <c r="B352">
        <v>1</v>
      </c>
      <c r="C352">
        <v>0</v>
      </c>
      <c r="D352">
        <v>0</v>
      </c>
      <c r="E352">
        <v>1</v>
      </c>
      <c r="F352">
        <v>0</v>
      </c>
      <c r="G352">
        <v>0</v>
      </c>
      <c r="H352">
        <v>0</v>
      </c>
      <c r="I352">
        <v>0</v>
      </c>
      <c r="L352">
        <v>0</v>
      </c>
      <c r="M352">
        <v>0</v>
      </c>
      <c r="N352">
        <v>0</v>
      </c>
      <c r="O352">
        <v>1</v>
      </c>
      <c r="P352">
        <v>0</v>
      </c>
      <c r="Q352" t="s">
        <v>585</v>
      </c>
      <c r="AA352" t="s">
        <v>90</v>
      </c>
      <c r="AB352" t="s">
        <v>83</v>
      </c>
      <c r="AC352" t="s">
        <v>90</v>
      </c>
      <c r="AD352" t="s">
        <v>83</v>
      </c>
      <c r="AE352" t="s">
        <v>90</v>
      </c>
      <c r="AF352" t="s">
        <v>90</v>
      </c>
      <c r="AG352" t="s">
        <v>83</v>
      </c>
      <c r="AH352" t="s">
        <v>83</v>
      </c>
      <c r="AI352" t="s">
        <v>88</v>
      </c>
      <c r="AJ352" t="s">
        <v>80</v>
      </c>
      <c r="AK352" t="s">
        <v>85</v>
      </c>
      <c r="AL352" t="s">
        <v>107</v>
      </c>
      <c r="AM352" t="s">
        <v>86</v>
      </c>
      <c r="AN352" t="s">
        <v>74</v>
      </c>
      <c r="AO352" t="s">
        <v>74</v>
      </c>
      <c r="AP352" t="s">
        <v>74</v>
      </c>
      <c r="AQ352" t="s">
        <v>86</v>
      </c>
      <c r="AR352" t="s">
        <v>75</v>
      </c>
      <c r="AS352" t="s">
        <v>92</v>
      </c>
      <c r="AT352" t="s">
        <v>107</v>
      </c>
      <c r="AU352">
        <v>1</v>
      </c>
      <c r="AV352">
        <v>0</v>
      </c>
      <c r="AW352">
        <v>0</v>
      </c>
      <c r="AX352">
        <v>0</v>
      </c>
      <c r="AY352">
        <v>0</v>
      </c>
      <c r="AZ352" t="s">
        <v>580</v>
      </c>
    </row>
    <row r="353" spans="1:52" x14ac:dyDescent="0.2">
      <c r="A353">
        <v>0</v>
      </c>
      <c r="B353">
        <v>1</v>
      </c>
      <c r="C353">
        <v>1</v>
      </c>
      <c r="D353">
        <v>0</v>
      </c>
      <c r="E353">
        <v>1</v>
      </c>
      <c r="F353">
        <v>0</v>
      </c>
      <c r="G353">
        <v>0</v>
      </c>
      <c r="H353">
        <v>0</v>
      </c>
      <c r="I353">
        <v>0</v>
      </c>
      <c r="L353">
        <v>1</v>
      </c>
      <c r="M353">
        <v>0</v>
      </c>
      <c r="N353">
        <v>0</v>
      </c>
      <c r="O353">
        <v>0</v>
      </c>
      <c r="P353">
        <v>0</v>
      </c>
      <c r="Q353" t="s">
        <v>584</v>
      </c>
      <c r="R353">
        <v>0</v>
      </c>
      <c r="S353">
        <v>0</v>
      </c>
      <c r="T353">
        <v>1</v>
      </c>
      <c r="U353">
        <v>0</v>
      </c>
      <c r="V353">
        <v>0</v>
      </c>
      <c r="W353">
        <v>0</v>
      </c>
      <c r="X353">
        <v>1</v>
      </c>
      <c r="Y353">
        <v>1</v>
      </c>
      <c r="Z353">
        <v>0</v>
      </c>
      <c r="AL353" t="s">
        <v>107</v>
      </c>
      <c r="AM353" t="s">
        <v>86</v>
      </c>
      <c r="AN353" t="s">
        <v>86</v>
      </c>
      <c r="AO353" t="s">
        <v>87</v>
      </c>
      <c r="AP353" t="s">
        <v>86</v>
      </c>
      <c r="AQ353" t="s">
        <v>87</v>
      </c>
      <c r="AR353" t="s">
        <v>97</v>
      </c>
      <c r="AS353" t="s">
        <v>76</v>
      </c>
      <c r="AT353" t="s">
        <v>107</v>
      </c>
      <c r="AU353">
        <v>1</v>
      </c>
      <c r="AV353">
        <v>0</v>
      </c>
      <c r="AW353">
        <v>0</v>
      </c>
      <c r="AX353">
        <v>0</v>
      </c>
      <c r="AY353">
        <v>0</v>
      </c>
      <c r="AZ353" t="s">
        <v>580</v>
      </c>
    </row>
    <row r="354" spans="1:52" x14ac:dyDescent="0.2">
      <c r="A354">
        <v>0</v>
      </c>
      <c r="B354">
        <v>0</v>
      </c>
      <c r="C354">
        <v>0</v>
      </c>
      <c r="D354">
        <v>1</v>
      </c>
      <c r="L354">
        <v>1</v>
      </c>
      <c r="M354">
        <v>0</v>
      </c>
      <c r="N354">
        <v>0</v>
      </c>
      <c r="O354">
        <v>0</v>
      </c>
      <c r="P354">
        <v>0</v>
      </c>
      <c r="Q354" t="s">
        <v>584</v>
      </c>
      <c r="R354">
        <v>0</v>
      </c>
      <c r="S354">
        <v>0</v>
      </c>
      <c r="T354">
        <v>1</v>
      </c>
      <c r="U354">
        <v>0</v>
      </c>
      <c r="V354">
        <v>1</v>
      </c>
      <c r="W354">
        <v>1</v>
      </c>
      <c r="X354">
        <v>1</v>
      </c>
      <c r="Y354">
        <v>1</v>
      </c>
      <c r="Z354">
        <v>0</v>
      </c>
      <c r="AL354" t="s">
        <v>73</v>
      </c>
      <c r="AR354" t="s">
        <v>75</v>
      </c>
      <c r="AS354" t="s">
        <v>76</v>
      </c>
      <c r="AT354" t="s">
        <v>73</v>
      </c>
      <c r="AU354">
        <v>0</v>
      </c>
      <c r="AV354">
        <v>0</v>
      </c>
      <c r="AW354">
        <v>0</v>
      </c>
      <c r="AX354">
        <v>1</v>
      </c>
      <c r="AY354">
        <v>0</v>
      </c>
      <c r="AZ354" t="s">
        <v>580</v>
      </c>
    </row>
    <row r="355" spans="1:52" x14ac:dyDescent="0.2">
      <c r="A355">
        <v>1</v>
      </c>
      <c r="B355">
        <v>0</v>
      </c>
      <c r="C355">
        <v>0</v>
      </c>
      <c r="D355">
        <v>0</v>
      </c>
      <c r="E355">
        <v>0</v>
      </c>
      <c r="F355">
        <v>1</v>
      </c>
      <c r="G355">
        <v>0</v>
      </c>
      <c r="H355">
        <v>0</v>
      </c>
      <c r="I355">
        <v>0</v>
      </c>
      <c r="J355" t="s">
        <v>135</v>
      </c>
      <c r="K355" t="s">
        <v>142</v>
      </c>
      <c r="L355">
        <v>1</v>
      </c>
      <c r="M355">
        <v>0</v>
      </c>
      <c r="N355">
        <v>0</v>
      </c>
      <c r="O355">
        <v>0</v>
      </c>
      <c r="P355">
        <v>0</v>
      </c>
      <c r="Q355" t="s">
        <v>584</v>
      </c>
      <c r="R355">
        <v>0</v>
      </c>
      <c r="S355">
        <v>1</v>
      </c>
      <c r="T355">
        <v>0</v>
      </c>
      <c r="U355">
        <v>0</v>
      </c>
      <c r="V355">
        <v>0</v>
      </c>
      <c r="W355">
        <v>0</v>
      </c>
      <c r="X355">
        <v>0</v>
      </c>
      <c r="Y355">
        <v>0</v>
      </c>
      <c r="Z355">
        <v>0</v>
      </c>
      <c r="AL355" t="s">
        <v>107</v>
      </c>
      <c r="AM355" t="s">
        <v>87</v>
      </c>
      <c r="AN355" t="s">
        <v>87</v>
      </c>
      <c r="AO355" t="s">
        <v>87</v>
      </c>
      <c r="AP355" t="s">
        <v>87</v>
      </c>
      <c r="AQ355" t="s">
        <v>86</v>
      </c>
      <c r="AR355" t="s">
        <v>97</v>
      </c>
      <c r="AS355" t="s">
        <v>76</v>
      </c>
      <c r="AT355" t="s">
        <v>107</v>
      </c>
      <c r="AU355">
        <v>0</v>
      </c>
      <c r="AV355">
        <v>0</v>
      </c>
      <c r="AW355">
        <v>0</v>
      </c>
      <c r="AX355">
        <v>1</v>
      </c>
      <c r="AY355">
        <v>0</v>
      </c>
      <c r="AZ355" t="s">
        <v>579</v>
      </c>
    </row>
    <row r="356" spans="1:52" x14ac:dyDescent="0.2">
      <c r="A356">
        <v>0</v>
      </c>
      <c r="B356">
        <v>1</v>
      </c>
      <c r="C356">
        <v>0</v>
      </c>
      <c r="D356">
        <v>0</v>
      </c>
      <c r="E356">
        <v>0</v>
      </c>
      <c r="F356">
        <v>0</v>
      </c>
      <c r="G356">
        <v>0</v>
      </c>
      <c r="H356">
        <v>1</v>
      </c>
      <c r="I356">
        <v>0</v>
      </c>
      <c r="J356" t="s">
        <v>88</v>
      </c>
      <c r="K356" t="s">
        <v>89</v>
      </c>
      <c r="L356">
        <v>1</v>
      </c>
      <c r="M356">
        <v>0</v>
      </c>
      <c r="N356">
        <v>0</v>
      </c>
      <c r="O356">
        <v>0</v>
      </c>
      <c r="P356">
        <v>0</v>
      </c>
      <c r="Q356" t="s">
        <v>584</v>
      </c>
      <c r="R356">
        <v>0</v>
      </c>
      <c r="S356">
        <v>0</v>
      </c>
      <c r="T356">
        <v>0</v>
      </c>
      <c r="U356">
        <v>0</v>
      </c>
      <c r="V356">
        <v>0</v>
      </c>
      <c r="W356">
        <v>0</v>
      </c>
      <c r="X356">
        <v>0</v>
      </c>
      <c r="Y356">
        <v>1</v>
      </c>
      <c r="Z356">
        <v>0</v>
      </c>
      <c r="AL356" t="s">
        <v>107</v>
      </c>
      <c r="AM356" t="s">
        <v>86</v>
      </c>
      <c r="AN356" t="s">
        <v>87</v>
      </c>
      <c r="AO356" t="s">
        <v>74</v>
      </c>
      <c r="AP356" t="s">
        <v>87</v>
      </c>
      <c r="AQ356" t="s">
        <v>74</v>
      </c>
      <c r="AR356" t="s">
        <v>101</v>
      </c>
      <c r="AS356" t="s">
        <v>76</v>
      </c>
      <c r="AT356" t="s">
        <v>107</v>
      </c>
      <c r="AU356">
        <v>0</v>
      </c>
      <c r="AV356">
        <v>0</v>
      </c>
      <c r="AW356">
        <v>0</v>
      </c>
      <c r="AX356">
        <v>1</v>
      </c>
      <c r="AY356">
        <v>1</v>
      </c>
      <c r="AZ356" t="s">
        <v>580</v>
      </c>
    </row>
    <row r="357" spans="1:52" x14ac:dyDescent="0.2">
      <c r="A357">
        <v>0</v>
      </c>
      <c r="B357">
        <v>1</v>
      </c>
      <c r="C357">
        <v>0</v>
      </c>
      <c r="D357">
        <v>0</v>
      </c>
      <c r="E357">
        <v>0</v>
      </c>
      <c r="F357">
        <v>0</v>
      </c>
      <c r="G357">
        <v>0</v>
      </c>
      <c r="H357">
        <v>0</v>
      </c>
      <c r="I357">
        <v>1</v>
      </c>
      <c r="J357" t="s">
        <v>88</v>
      </c>
      <c r="K357" t="s">
        <v>89</v>
      </c>
      <c r="L357">
        <v>0</v>
      </c>
      <c r="M357">
        <v>1</v>
      </c>
      <c r="N357">
        <v>0</v>
      </c>
      <c r="O357">
        <v>0</v>
      </c>
      <c r="P357">
        <v>0</v>
      </c>
      <c r="Q357" t="s">
        <v>584</v>
      </c>
      <c r="AA357" t="s">
        <v>83</v>
      </c>
      <c r="AB357" t="s">
        <v>82</v>
      </c>
      <c r="AC357" t="s">
        <v>81</v>
      </c>
      <c r="AD357" t="s">
        <v>83</v>
      </c>
      <c r="AE357" t="s">
        <v>82</v>
      </c>
      <c r="AF357" t="s">
        <v>90</v>
      </c>
      <c r="AG357" t="s">
        <v>83</v>
      </c>
      <c r="AH357" t="s">
        <v>83</v>
      </c>
      <c r="AI357" t="s">
        <v>88</v>
      </c>
      <c r="AJ357" t="s">
        <v>89</v>
      </c>
      <c r="AK357" t="s">
        <v>100</v>
      </c>
      <c r="AL357" t="s">
        <v>96</v>
      </c>
      <c r="AM357" t="s">
        <v>86</v>
      </c>
      <c r="AN357" t="s">
        <v>86</v>
      </c>
      <c r="AO357" t="s">
        <v>86</v>
      </c>
      <c r="AP357" t="s">
        <v>87</v>
      </c>
      <c r="AQ357" t="s">
        <v>86</v>
      </c>
      <c r="AR357" t="s">
        <v>108</v>
      </c>
      <c r="AS357" t="s">
        <v>76</v>
      </c>
      <c r="AT357" t="s">
        <v>96</v>
      </c>
      <c r="AU357">
        <v>0</v>
      </c>
      <c r="AV357">
        <v>0</v>
      </c>
      <c r="AW357">
        <v>0</v>
      </c>
      <c r="AX357">
        <v>0</v>
      </c>
      <c r="AY357">
        <v>1</v>
      </c>
      <c r="AZ357" t="s">
        <v>577</v>
      </c>
    </row>
    <row r="358" spans="1:52" x14ac:dyDescent="0.2">
      <c r="A358">
        <v>0</v>
      </c>
      <c r="B358">
        <v>1</v>
      </c>
      <c r="C358">
        <v>0</v>
      </c>
      <c r="D358">
        <v>0</v>
      </c>
      <c r="E358">
        <v>0</v>
      </c>
      <c r="F358">
        <v>1</v>
      </c>
      <c r="G358">
        <v>0</v>
      </c>
      <c r="H358">
        <v>0</v>
      </c>
      <c r="I358">
        <v>0</v>
      </c>
      <c r="J358" t="s">
        <v>135</v>
      </c>
      <c r="K358" t="s">
        <v>89</v>
      </c>
      <c r="L358">
        <v>1</v>
      </c>
      <c r="M358">
        <v>0</v>
      </c>
      <c r="N358">
        <v>0</v>
      </c>
      <c r="O358">
        <v>0</v>
      </c>
      <c r="P358">
        <v>0</v>
      </c>
      <c r="Q358" t="s">
        <v>584</v>
      </c>
      <c r="R358">
        <v>1</v>
      </c>
      <c r="S358">
        <v>0</v>
      </c>
      <c r="T358">
        <v>0</v>
      </c>
      <c r="U358">
        <v>0</v>
      </c>
      <c r="V358">
        <v>0</v>
      </c>
      <c r="W358">
        <v>0</v>
      </c>
      <c r="X358">
        <v>0</v>
      </c>
      <c r="Y358">
        <v>0</v>
      </c>
      <c r="Z358">
        <v>0</v>
      </c>
      <c r="AL358" t="s">
        <v>73</v>
      </c>
      <c r="AM358" t="s">
        <v>87</v>
      </c>
      <c r="AN358" t="s">
        <v>86</v>
      </c>
      <c r="AO358" t="s">
        <v>87</v>
      </c>
      <c r="AP358" t="s">
        <v>86</v>
      </c>
      <c r="AQ358" t="s">
        <v>87</v>
      </c>
      <c r="AR358" t="s">
        <v>75</v>
      </c>
      <c r="AS358" t="s">
        <v>76</v>
      </c>
      <c r="AT358" t="s">
        <v>73</v>
      </c>
      <c r="AU358">
        <v>1</v>
      </c>
      <c r="AV358">
        <v>0</v>
      </c>
      <c r="AW358">
        <v>0</v>
      </c>
      <c r="AX358">
        <v>0</v>
      </c>
      <c r="AY358">
        <v>0</v>
      </c>
      <c r="AZ358" t="s">
        <v>578</v>
      </c>
    </row>
    <row r="359" spans="1:52" x14ac:dyDescent="0.2">
      <c r="A359">
        <v>1</v>
      </c>
      <c r="B359">
        <v>0</v>
      </c>
      <c r="C359">
        <v>0</v>
      </c>
      <c r="D359">
        <v>0</v>
      </c>
      <c r="E359">
        <v>1</v>
      </c>
      <c r="F359">
        <v>0</v>
      </c>
      <c r="G359">
        <v>0</v>
      </c>
      <c r="H359">
        <v>0</v>
      </c>
      <c r="I359">
        <v>0</v>
      </c>
      <c r="L359">
        <v>1</v>
      </c>
      <c r="M359">
        <v>0</v>
      </c>
      <c r="N359">
        <v>0</v>
      </c>
      <c r="O359">
        <v>0</v>
      </c>
      <c r="P359">
        <v>0</v>
      </c>
      <c r="Q359" t="s">
        <v>584</v>
      </c>
      <c r="R359">
        <v>0</v>
      </c>
      <c r="S359">
        <v>0</v>
      </c>
      <c r="T359">
        <v>1</v>
      </c>
      <c r="U359">
        <v>0</v>
      </c>
      <c r="V359">
        <v>0</v>
      </c>
      <c r="W359">
        <v>0</v>
      </c>
      <c r="X359">
        <v>0</v>
      </c>
      <c r="Y359">
        <v>0</v>
      </c>
      <c r="Z359">
        <v>0</v>
      </c>
      <c r="AL359" t="s">
        <v>107</v>
      </c>
      <c r="AM359" t="s">
        <v>86</v>
      </c>
      <c r="AN359" t="s">
        <v>74</v>
      </c>
      <c r="AO359" t="s">
        <v>87</v>
      </c>
      <c r="AP359" t="s">
        <v>86</v>
      </c>
      <c r="AQ359" t="s">
        <v>87</v>
      </c>
      <c r="AR359" t="s">
        <v>75</v>
      </c>
      <c r="AS359" t="s">
        <v>76</v>
      </c>
      <c r="AT359" t="s">
        <v>107</v>
      </c>
      <c r="AU359">
        <v>1</v>
      </c>
      <c r="AV359">
        <v>0</v>
      </c>
      <c r="AW359">
        <v>0</v>
      </c>
      <c r="AX359">
        <v>0</v>
      </c>
      <c r="AY359">
        <v>0</v>
      </c>
      <c r="AZ359" t="s">
        <v>580</v>
      </c>
    </row>
    <row r="360" spans="1:52" x14ac:dyDescent="0.2">
      <c r="A360">
        <v>1</v>
      </c>
      <c r="B360">
        <v>0</v>
      </c>
      <c r="C360">
        <v>0</v>
      </c>
      <c r="D360">
        <v>0</v>
      </c>
      <c r="E360">
        <v>1</v>
      </c>
      <c r="F360">
        <v>0</v>
      </c>
      <c r="G360">
        <v>0</v>
      </c>
      <c r="H360">
        <v>0</v>
      </c>
      <c r="I360">
        <v>0</v>
      </c>
      <c r="L360">
        <v>0</v>
      </c>
      <c r="M360">
        <v>1</v>
      </c>
      <c r="N360">
        <v>0</v>
      </c>
      <c r="O360">
        <v>1</v>
      </c>
      <c r="P360">
        <v>0</v>
      </c>
      <c r="Q360" t="s">
        <v>584</v>
      </c>
      <c r="AA360" t="s">
        <v>83</v>
      </c>
      <c r="AB360" t="s">
        <v>82</v>
      </c>
      <c r="AC360" t="s">
        <v>83</v>
      </c>
      <c r="AD360" t="s">
        <v>83</v>
      </c>
      <c r="AE360" t="s">
        <v>83</v>
      </c>
      <c r="AF360" t="s">
        <v>90</v>
      </c>
      <c r="AG360" t="s">
        <v>83</v>
      </c>
      <c r="AH360" t="s">
        <v>83</v>
      </c>
      <c r="AI360" t="s">
        <v>88</v>
      </c>
      <c r="AJ360" t="s">
        <v>89</v>
      </c>
      <c r="AK360" t="s">
        <v>100</v>
      </c>
      <c r="AL360" t="s">
        <v>73</v>
      </c>
      <c r="AM360" t="s">
        <v>87</v>
      </c>
      <c r="AN360" t="s">
        <v>87</v>
      </c>
      <c r="AO360" t="s">
        <v>87</v>
      </c>
      <c r="AP360" t="s">
        <v>87</v>
      </c>
      <c r="AQ360" t="s">
        <v>74</v>
      </c>
      <c r="AR360" t="s">
        <v>75</v>
      </c>
      <c r="AS360" t="s">
        <v>76</v>
      </c>
      <c r="AT360" t="s">
        <v>73</v>
      </c>
      <c r="AU360">
        <v>0</v>
      </c>
      <c r="AV360">
        <v>0</v>
      </c>
      <c r="AW360">
        <v>0</v>
      </c>
      <c r="AX360">
        <v>1</v>
      </c>
      <c r="AY360">
        <v>0</v>
      </c>
      <c r="AZ360" t="s">
        <v>580</v>
      </c>
    </row>
    <row r="361" spans="1:52" x14ac:dyDescent="0.2">
      <c r="A361">
        <v>1</v>
      </c>
      <c r="B361">
        <v>0</v>
      </c>
      <c r="C361">
        <v>0</v>
      </c>
      <c r="D361">
        <v>0</v>
      </c>
      <c r="E361">
        <v>0</v>
      </c>
      <c r="F361">
        <v>0</v>
      </c>
      <c r="G361">
        <v>1</v>
      </c>
      <c r="H361">
        <v>0</v>
      </c>
      <c r="I361">
        <v>0</v>
      </c>
      <c r="J361" t="s">
        <v>135</v>
      </c>
      <c r="K361" t="s">
        <v>80</v>
      </c>
      <c r="L361">
        <v>0</v>
      </c>
      <c r="M361">
        <v>1</v>
      </c>
      <c r="N361">
        <v>1</v>
      </c>
      <c r="O361">
        <v>0</v>
      </c>
      <c r="P361">
        <v>0</v>
      </c>
      <c r="Q361" t="s">
        <v>584</v>
      </c>
      <c r="AA361" t="s">
        <v>81</v>
      </c>
      <c r="AB361" t="s">
        <v>82</v>
      </c>
      <c r="AC361" t="s">
        <v>83</v>
      </c>
      <c r="AD361" t="s">
        <v>82</v>
      </c>
      <c r="AE361" t="s">
        <v>81</v>
      </c>
      <c r="AF361" t="s">
        <v>83</v>
      </c>
      <c r="AG361" t="s">
        <v>83</v>
      </c>
      <c r="AH361" t="s">
        <v>83</v>
      </c>
      <c r="AI361" t="s">
        <v>135</v>
      </c>
      <c r="AJ361" t="s">
        <v>80</v>
      </c>
      <c r="AK361" t="s">
        <v>85</v>
      </c>
      <c r="AL361" t="s">
        <v>96</v>
      </c>
      <c r="AM361" t="s">
        <v>86</v>
      </c>
      <c r="AN361" t="s">
        <v>87</v>
      </c>
      <c r="AO361" t="s">
        <v>86</v>
      </c>
      <c r="AP361" t="s">
        <v>86</v>
      </c>
      <c r="AQ361" t="s">
        <v>87</v>
      </c>
      <c r="AR361" t="s">
        <v>108</v>
      </c>
      <c r="AS361" t="s">
        <v>76</v>
      </c>
      <c r="AT361" t="s">
        <v>96</v>
      </c>
      <c r="AU361">
        <v>0</v>
      </c>
      <c r="AV361">
        <v>0</v>
      </c>
      <c r="AW361">
        <v>1</v>
      </c>
      <c r="AX361">
        <v>0</v>
      </c>
      <c r="AY361">
        <v>0</v>
      </c>
      <c r="AZ361" t="s">
        <v>577</v>
      </c>
    </row>
    <row r="362" spans="1:52" x14ac:dyDescent="0.2">
      <c r="A362">
        <v>1</v>
      </c>
      <c r="B362">
        <v>0</v>
      </c>
      <c r="C362">
        <v>0</v>
      </c>
      <c r="D362">
        <v>0</v>
      </c>
      <c r="E362">
        <v>0</v>
      </c>
      <c r="F362">
        <v>1</v>
      </c>
      <c r="G362">
        <v>0</v>
      </c>
      <c r="H362">
        <v>0</v>
      </c>
      <c r="I362">
        <v>0</v>
      </c>
      <c r="J362" t="s">
        <v>135</v>
      </c>
      <c r="K362" t="s">
        <v>89</v>
      </c>
      <c r="L362">
        <v>0</v>
      </c>
      <c r="M362">
        <v>0</v>
      </c>
      <c r="N362">
        <v>0</v>
      </c>
      <c r="O362">
        <v>1</v>
      </c>
      <c r="P362">
        <v>0</v>
      </c>
      <c r="Q362" t="s">
        <v>584</v>
      </c>
      <c r="AA362" t="s">
        <v>83</v>
      </c>
      <c r="AB362" t="s">
        <v>82</v>
      </c>
      <c r="AC362" t="s">
        <v>81</v>
      </c>
      <c r="AD362" t="s">
        <v>81</v>
      </c>
      <c r="AE362" t="s">
        <v>83</v>
      </c>
      <c r="AF362" t="s">
        <v>82</v>
      </c>
      <c r="AG362" t="s">
        <v>82</v>
      </c>
      <c r="AH362" t="s">
        <v>81</v>
      </c>
      <c r="AI362" t="s">
        <v>88</v>
      </c>
      <c r="AJ362" t="s">
        <v>89</v>
      </c>
      <c r="AK362" t="s">
        <v>85</v>
      </c>
      <c r="AL362" t="s">
        <v>73</v>
      </c>
      <c r="AM362" t="s">
        <v>87</v>
      </c>
      <c r="AN362" t="s">
        <v>87</v>
      </c>
      <c r="AO362" t="s">
        <v>87</v>
      </c>
      <c r="AP362" t="s">
        <v>87</v>
      </c>
      <c r="AQ362" t="s">
        <v>74</v>
      </c>
      <c r="AR362" t="s">
        <v>108</v>
      </c>
      <c r="AS362" t="s">
        <v>76</v>
      </c>
      <c r="AT362" t="s">
        <v>73</v>
      </c>
      <c r="AU362">
        <v>0</v>
      </c>
      <c r="AV362">
        <v>1</v>
      </c>
      <c r="AW362">
        <v>0</v>
      </c>
      <c r="AX362">
        <v>1</v>
      </c>
      <c r="AY362">
        <v>0</v>
      </c>
      <c r="AZ362" t="s">
        <v>578</v>
      </c>
    </row>
    <row r="363" spans="1:52" x14ac:dyDescent="0.2">
      <c r="A363">
        <v>0</v>
      </c>
      <c r="B363">
        <v>1</v>
      </c>
      <c r="C363">
        <v>0</v>
      </c>
      <c r="D363">
        <v>0</v>
      </c>
      <c r="E363">
        <v>1</v>
      </c>
      <c r="F363">
        <v>0</v>
      </c>
      <c r="G363">
        <v>0</v>
      </c>
      <c r="H363">
        <v>0</v>
      </c>
      <c r="I363">
        <v>0</v>
      </c>
      <c r="L363">
        <v>0</v>
      </c>
      <c r="M363">
        <v>0</v>
      </c>
      <c r="N363">
        <v>0</v>
      </c>
      <c r="O363">
        <v>0</v>
      </c>
      <c r="P363">
        <v>1</v>
      </c>
      <c r="Q363" t="s">
        <v>584</v>
      </c>
      <c r="AA363" t="s">
        <v>81</v>
      </c>
      <c r="AB363" t="s">
        <v>81</v>
      </c>
      <c r="AC363" t="s">
        <v>81</v>
      </c>
      <c r="AD363" t="s">
        <v>81</v>
      </c>
      <c r="AE363" t="s">
        <v>82</v>
      </c>
      <c r="AF363" t="s">
        <v>81</v>
      </c>
      <c r="AG363" t="s">
        <v>83</v>
      </c>
      <c r="AH363" t="s">
        <v>81</v>
      </c>
      <c r="AI363" t="s">
        <v>88</v>
      </c>
      <c r="AJ363" t="s">
        <v>80</v>
      </c>
      <c r="AK363" t="s">
        <v>85</v>
      </c>
      <c r="AL363" t="s">
        <v>107</v>
      </c>
      <c r="AM363" t="s">
        <v>86</v>
      </c>
      <c r="AN363" t="s">
        <v>74</v>
      </c>
      <c r="AO363" t="s">
        <v>86</v>
      </c>
      <c r="AP363" t="s">
        <v>87</v>
      </c>
      <c r="AQ363" t="s">
        <v>86</v>
      </c>
      <c r="AR363" t="s">
        <v>75</v>
      </c>
      <c r="AS363" t="s">
        <v>76</v>
      </c>
      <c r="AT363" t="s">
        <v>107</v>
      </c>
      <c r="AU363">
        <v>1</v>
      </c>
      <c r="AV363">
        <v>0</v>
      </c>
      <c r="AW363">
        <v>0</v>
      </c>
      <c r="AX363">
        <v>0</v>
      </c>
      <c r="AY363">
        <v>0</v>
      </c>
      <c r="AZ363" t="s">
        <v>580</v>
      </c>
    </row>
    <row r="364" spans="1:52" x14ac:dyDescent="0.2">
      <c r="A364">
        <v>1</v>
      </c>
      <c r="B364">
        <v>0</v>
      </c>
      <c r="C364">
        <v>0</v>
      </c>
      <c r="D364">
        <v>0</v>
      </c>
      <c r="E364">
        <v>0</v>
      </c>
      <c r="F364">
        <v>1</v>
      </c>
      <c r="G364">
        <v>1</v>
      </c>
      <c r="H364">
        <v>1</v>
      </c>
      <c r="I364">
        <v>0</v>
      </c>
      <c r="J364" t="s">
        <v>88</v>
      </c>
      <c r="K364" t="s">
        <v>89</v>
      </c>
      <c r="L364">
        <v>0</v>
      </c>
      <c r="M364">
        <v>0</v>
      </c>
      <c r="N364">
        <v>1</v>
      </c>
      <c r="O364">
        <v>0</v>
      </c>
      <c r="P364">
        <v>0</v>
      </c>
      <c r="Q364" t="s">
        <v>584</v>
      </c>
      <c r="AA364" t="s">
        <v>82</v>
      </c>
      <c r="AB364" t="s">
        <v>81</v>
      </c>
      <c r="AC364" t="s">
        <v>81</v>
      </c>
      <c r="AD364" t="s">
        <v>82</v>
      </c>
      <c r="AE364" t="s">
        <v>82</v>
      </c>
      <c r="AF364" t="s">
        <v>82</v>
      </c>
      <c r="AG364" t="s">
        <v>82</v>
      </c>
      <c r="AH364" t="s">
        <v>83</v>
      </c>
      <c r="AI364" t="s">
        <v>84</v>
      </c>
      <c r="AJ364" t="s">
        <v>142</v>
      </c>
      <c r="AK364" t="s">
        <v>117</v>
      </c>
      <c r="AL364" t="s">
        <v>73</v>
      </c>
      <c r="AM364" t="s">
        <v>87</v>
      </c>
      <c r="AN364" t="s">
        <v>87</v>
      </c>
      <c r="AO364" t="s">
        <v>87</v>
      </c>
      <c r="AP364" t="s">
        <v>87</v>
      </c>
      <c r="AQ364" t="s">
        <v>87</v>
      </c>
      <c r="AR364" t="s">
        <v>75</v>
      </c>
      <c r="AS364" t="s">
        <v>76</v>
      </c>
      <c r="AT364" t="s">
        <v>73</v>
      </c>
      <c r="AU364">
        <v>0</v>
      </c>
      <c r="AV364">
        <v>0</v>
      </c>
      <c r="AW364">
        <v>1</v>
      </c>
      <c r="AX364">
        <v>0</v>
      </c>
      <c r="AY364">
        <v>0</v>
      </c>
      <c r="AZ364" t="s">
        <v>578</v>
      </c>
    </row>
    <row r="365" spans="1:52" x14ac:dyDescent="0.2">
      <c r="A365">
        <v>0</v>
      </c>
      <c r="B365">
        <v>1</v>
      </c>
      <c r="C365">
        <v>0</v>
      </c>
      <c r="D365">
        <v>0</v>
      </c>
      <c r="E365">
        <v>0</v>
      </c>
      <c r="F365">
        <v>1</v>
      </c>
      <c r="G365">
        <v>0</v>
      </c>
      <c r="H365">
        <v>0</v>
      </c>
      <c r="I365">
        <v>0</v>
      </c>
      <c r="J365" t="s">
        <v>135</v>
      </c>
      <c r="K365" t="s">
        <v>142</v>
      </c>
      <c r="L365">
        <v>1</v>
      </c>
      <c r="M365">
        <v>0</v>
      </c>
      <c r="N365">
        <v>0</v>
      </c>
      <c r="O365">
        <v>0</v>
      </c>
      <c r="P365">
        <v>0</v>
      </c>
      <c r="Q365" t="s">
        <v>584</v>
      </c>
      <c r="R365">
        <v>1</v>
      </c>
      <c r="S365">
        <v>0</v>
      </c>
      <c r="T365">
        <v>0</v>
      </c>
      <c r="U365">
        <v>0</v>
      </c>
      <c r="V365">
        <v>0</v>
      </c>
      <c r="W365">
        <v>0</v>
      </c>
      <c r="X365">
        <v>0</v>
      </c>
      <c r="Y365">
        <v>0</v>
      </c>
      <c r="Z365">
        <v>0</v>
      </c>
      <c r="AL365" t="s">
        <v>73</v>
      </c>
      <c r="AM365" t="s">
        <v>87</v>
      </c>
      <c r="AN365" t="s">
        <v>87</v>
      </c>
      <c r="AO365" t="s">
        <v>87</v>
      </c>
      <c r="AP365" t="s">
        <v>87</v>
      </c>
      <c r="AQ365" t="s">
        <v>87</v>
      </c>
      <c r="AR365" t="s">
        <v>75</v>
      </c>
      <c r="AS365" t="s">
        <v>76</v>
      </c>
      <c r="AT365" t="s">
        <v>73</v>
      </c>
      <c r="AU365">
        <v>1</v>
      </c>
      <c r="AV365">
        <v>0</v>
      </c>
      <c r="AW365">
        <v>0</v>
      </c>
      <c r="AX365">
        <v>0</v>
      </c>
      <c r="AY365">
        <v>0</v>
      </c>
      <c r="AZ365" t="s">
        <v>579</v>
      </c>
    </row>
    <row r="366" spans="1:52" x14ac:dyDescent="0.2">
      <c r="A366">
        <v>0</v>
      </c>
      <c r="B366">
        <v>1</v>
      </c>
      <c r="C366">
        <v>0</v>
      </c>
      <c r="D366">
        <v>0</v>
      </c>
      <c r="E366">
        <v>0</v>
      </c>
      <c r="F366">
        <v>1</v>
      </c>
      <c r="G366">
        <v>1</v>
      </c>
      <c r="H366">
        <v>0</v>
      </c>
      <c r="I366">
        <v>0</v>
      </c>
      <c r="J366" t="s">
        <v>88</v>
      </c>
      <c r="K366" t="s">
        <v>142</v>
      </c>
      <c r="L366">
        <v>1</v>
      </c>
      <c r="M366">
        <v>0</v>
      </c>
      <c r="N366">
        <v>0</v>
      </c>
      <c r="O366">
        <v>0</v>
      </c>
      <c r="P366">
        <v>0</v>
      </c>
      <c r="Q366" t="s">
        <v>584</v>
      </c>
      <c r="R366">
        <v>0</v>
      </c>
      <c r="S366">
        <v>1</v>
      </c>
      <c r="T366">
        <v>0</v>
      </c>
      <c r="U366">
        <v>0</v>
      </c>
      <c r="V366">
        <v>0</v>
      </c>
      <c r="W366">
        <v>0</v>
      </c>
      <c r="X366">
        <v>0</v>
      </c>
      <c r="Y366">
        <v>0</v>
      </c>
      <c r="Z366">
        <v>0</v>
      </c>
      <c r="AL366" t="s">
        <v>96</v>
      </c>
      <c r="AM366" t="s">
        <v>74</v>
      </c>
      <c r="AR366" t="s">
        <v>108</v>
      </c>
      <c r="AS366" t="s">
        <v>76</v>
      </c>
      <c r="AT366" t="s">
        <v>96</v>
      </c>
      <c r="AU366">
        <v>1</v>
      </c>
      <c r="AV366">
        <v>0</v>
      </c>
      <c r="AW366">
        <v>0</v>
      </c>
      <c r="AX366">
        <v>0</v>
      </c>
      <c r="AY366">
        <v>0</v>
      </c>
      <c r="AZ366" t="s">
        <v>580</v>
      </c>
    </row>
    <row r="367" spans="1:52" x14ac:dyDescent="0.2">
      <c r="A367">
        <v>1</v>
      </c>
      <c r="B367">
        <v>0</v>
      </c>
      <c r="C367">
        <v>0</v>
      </c>
      <c r="D367">
        <v>0</v>
      </c>
      <c r="E367">
        <v>0</v>
      </c>
      <c r="F367">
        <v>1</v>
      </c>
      <c r="G367">
        <v>0</v>
      </c>
      <c r="H367">
        <v>0</v>
      </c>
      <c r="I367">
        <v>0</v>
      </c>
      <c r="J367" t="s">
        <v>79</v>
      </c>
      <c r="K367" t="s">
        <v>127</v>
      </c>
      <c r="L367">
        <v>1</v>
      </c>
      <c r="M367">
        <v>0</v>
      </c>
      <c r="N367">
        <v>0</v>
      </c>
      <c r="O367">
        <v>0</v>
      </c>
      <c r="P367">
        <v>0</v>
      </c>
      <c r="Q367" t="s">
        <v>584</v>
      </c>
      <c r="R367">
        <v>1</v>
      </c>
      <c r="S367">
        <v>0</v>
      </c>
      <c r="T367">
        <v>0</v>
      </c>
      <c r="U367">
        <v>0</v>
      </c>
      <c r="V367">
        <v>0</v>
      </c>
      <c r="W367">
        <v>0</v>
      </c>
      <c r="X367">
        <v>0</v>
      </c>
      <c r="Y367">
        <v>0</v>
      </c>
      <c r="Z367">
        <v>0</v>
      </c>
      <c r="AL367" t="s">
        <v>96</v>
      </c>
      <c r="AM367" t="s">
        <v>87</v>
      </c>
      <c r="AN367" t="s">
        <v>87</v>
      </c>
      <c r="AO367" t="s">
        <v>87</v>
      </c>
      <c r="AP367" t="s">
        <v>87</v>
      </c>
      <c r="AQ367" t="s">
        <v>87</v>
      </c>
      <c r="AR367" t="s">
        <v>75</v>
      </c>
      <c r="AS367" t="s">
        <v>76</v>
      </c>
      <c r="AT367" t="s">
        <v>96</v>
      </c>
      <c r="AU367">
        <v>1</v>
      </c>
      <c r="AV367">
        <v>0</v>
      </c>
      <c r="AW367">
        <v>0</v>
      </c>
      <c r="AX367">
        <v>0</v>
      </c>
      <c r="AY367">
        <v>0</v>
      </c>
      <c r="AZ367" t="s">
        <v>580</v>
      </c>
    </row>
    <row r="368" spans="1:52" x14ac:dyDescent="0.2">
      <c r="A368">
        <v>1</v>
      </c>
      <c r="B368">
        <v>0</v>
      </c>
      <c r="C368">
        <v>0</v>
      </c>
      <c r="D368">
        <v>0</v>
      </c>
      <c r="E368">
        <v>1</v>
      </c>
      <c r="F368">
        <v>0</v>
      </c>
      <c r="G368">
        <v>0</v>
      </c>
      <c r="H368">
        <v>0</v>
      </c>
      <c r="I368">
        <v>0</v>
      </c>
      <c r="L368">
        <v>1</v>
      </c>
      <c r="M368">
        <v>0</v>
      </c>
      <c r="N368">
        <v>0</v>
      </c>
      <c r="O368">
        <v>0</v>
      </c>
      <c r="P368">
        <v>0</v>
      </c>
      <c r="Q368" t="s">
        <v>584</v>
      </c>
      <c r="R368">
        <v>0</v>
      </c>
      <c r="S368">
        <v>0</v>
      </c>
      <c r="T368">
        <v>0</v>
      </c>
      <c r="U368">
        <v>0</v>
      </c>
      <c r="V368">
        <v>0</v>
      </c>
      <c r="W368">
        <v>0</v>
      </c>
      <c r="X368">
        <v>0</v>
      </c>
      <c r="Y368">
        <v>0</v>
      </c>
      <c r="Z368">
        <v>1</v>
      </c>
      <c r="AL368" t="s">
        <v>96</v>
      </c>
      <c r="AM368" t="s">
        <v>74</v>
      </c>
      <c r="AR368" t="s">
        <v>108</v>
      </c>
      <c r="AS368" t="s">
        <v>76</v>
      </c>
      <c r="AT368" t="s">
        <v>96</v>
      </c>
      <c r="AU368">
        <v>1</v>
      </c>
      <c r="AV368">
        <v>0</v>
      </c>
      <c r="AW368">
        <v>0</v>
      </c>
      <c r="AX368">
        <v>0</v>
      </c>
      <c r="AY368">
        <v>0</v>
      </c>
      <c r="AZ368" t="s">
        <v>581</v>
      </c>
    </row>
    <row r="369" spans="1:52" x14ac:dyDescent="0.2">
      <c r="A369">
        <v>0</v>
      </c>
      <c r="B369">
        <v>1</v>
      </c>
      <c r="C369">
        <v>0</v>
      </c>
      <c r="D369">
        <v>0</v>
      </c>
      <c r="E369">
        <v>0</v>
      </c>
      <c r="F369">
        <v>1</v>
      </c>
      <c r="G369">
        <v>0</v>
      </c>
      <c r="H369">
        <v>1</v>
      </c>
      <c r="I369">
        <v>0</v>
      </c>
      <c r="J369" t="s">
        <v>135</v>
      </c>
      <c r="K369" t="s">
        <v>80</v>
      </c>
      <c r="L369">
        <v>0</v>
      </c>
      <c r="M369">
        <v>0</v>
      </c>
      <c r="N369">
        <v>0</v>
      </c>
      <c r="O369">
        <v>1</v>
      </c>
      <c r="P369">
        <v>0</v>
      </c>
      <c r="Q369" t="s">
        <v>584</v>
      </c>
      <c r="AA369" t="s">
        <v>83</v>
      </c>
      <c r="AB369" t="s">
        <v>82</v>
      </c>
      <c r="AC369" t="s">
        <v>81</v>
      </c>
      <c r="AD369" t="s">
        <v>81</v>
      </c>
      <c r="AE369" t="s">
        <v>83</v>
      </c>
      <c r="AF369" t="s">
        <v>83</v>
      </c>
      <c r="AG369" t="s">
        <v>90</v>
      </c>
      <c r="AH369" t="s">
        <v>81</v>
      </c>
      <c r="AI369" t="s">
        <v>88</v>
      </c>
      <c r="AJ369" t="s">
        <v>89</v>
      </c>
      <c r="AK369" t="s">
        <v>100</v>
      </c>
      <c r="AL369" t="s">
        <v>107</v>
      </c>
      <c r="AM369" t="s">
        <v>87</v>
      </c>
      <c r="AN369" t="s">
        <v>87</v>
      </c>
      <c r="AO369" t="s">
        <v>87</v>
      </c>
      <c r="AP369" t="s">
        <v>87</v>
      </c>
      <c r="AQ369" t="s">
        <v>86</v>
      </c>
      <c r="AR369" t="s">
        <v>97</v>
      </c>
      <c r="AS369" t="s">
        <v>76</v>
      </c>
      <c r="AT369" t="s">
        <v>107</v>
      </c>
      <c r="AU369">
        <v>1</v>
      </c>
      <c r="AV369">
        <v>0</v>
      </c>
      <c r="AW369">
        <v>0</v>
      </c>
      <c r="AX369">
        <v>0</v>
      </c>
      <c r="AY369">
        <v>0</v>
      </c>
      <c r="AZ369" t="s">
        <v>581</v>
      </c>
    </row>
    <row r="370" spans="1:52" x14ac:dyDescent="0.2">
      <c r="A370">
        <v>1</v>
      </c>
      <c r="B370">
        <v>0</v>
      </c>
      <c r="C370">
        <v>0</v>
      </c>
      <c r="D370">
        <v>0</v>
      </c>
      <c r="E370">
        <v>1</v>
      </c>
      <c r="F370">
        <v>0</v>
      </c>
      <c r="G370">
        <v>0</v>
      </c>
      <c r="H370">
        <v>0</v>
      </c>
      <c r="I370">
        <v>0</v>
      </c>
      <c r="L370">
        <v>1</v>
      </c>
      <c r="M370">
        <v>0</v>
      </c>
      <c r="N370">
        <v>0</v>
      </c>
      <c r="O370">
        <v>0</v>
      </c>
      <c r="P370">
        <v>0</v>
      </c>
      <c r="Q370" t="s">
        <v>584</v>
      </c>
      <c r="R370">
        <v>0</v>
      </c>
      <c r="S370">
        <v>0</v>
      </c>
      <c r="T370">
        <v>0</v>
      </c>
      <c r="U370">
        <v>0</v>
      </c>
      <c r="V370">
        <v>0</v>
      </c>
      <c r="W370">
        <v>0</v>
      </c>
      <c r="X370">
        <v>1</v>
      </c>
      <c r="Y370">
        <v>0</v>
      </c>
      <c r="Z370">
        <v>0</v>
      </c>
      <c r="AL370" t="s">
        <v>73</v>
      </c>
      <c r="AM370" t="s">
        <v>74</v>
      </c>
      <c r="AR370" t="s">
        <v>75</v>
      </c>
      <c r="AS370" t="s">
        <v>76</v>
      </c>
      <c r="AT370" t="s">
        <v>73</v>
      </c>
      <c r="AU370">
        <v>1</v>
      </c>
      <c r="AV370">
        <v>0</v>
      </c>
      <c r="AW370">
        <v>0</v>
      </c>
      <c r="AX370">
        <v>0</v>
      </c>
      <c r="AY370">
        <v>0</v>
      </c>
      <c r="AZ370" t="s">
        <v>579</v>
      </c>
    </row>
    <row r="371" spans="1:52" x14ac:dyDescent="0.2">
      <c r="A371">
        <v>1</v>
      </c>
      <c r="B371">
        <v>0</v>
      </c>
      <c r="C371">
        <v>0</v>
      </c>
      <c r="D371">
        <v>0</v>
      </c>
      <c r="E371">
        <v>1</v>
      </c>
      <c r="F371">
        <v>0</v>
      </c>
      <c r="G371">
        <v>0</v>
      </c>
      <c r="H371">
        <v>0</v>
      </c>
      <c r="I371">
        <v>0</v>
      </c>
      <c r="L371">
        <v>0</v>
      </c>
      <c r="M371">
        <v>0</v>
      </c>
      <c r="N371">
        <v>1</v>
      </c>
      <c r="O371">
        <v>0</v>
      </c>
      <c r="P371">
        <v>0</v>
      </c>
      <c r="Q371" t="s">
        <v>584</v>
      </c>
      <c r="AA371" t="s">
        <v>81</v>
      </c>
      <c r="AB371" t="s">
        <v>83</v>
      </c>
      <c r="AC371" t="s">
        <v>83</v>
      </c>
      <c r="AD371" t="s">
        <v>81</v>
      </c>
      <c r="AE371" t="s">
        <v>82</v>
      </c>
      <c r="AF371" t="s">
        <v>82</v>
      </c>
      <c r="AG371" t="s">
        <v>82</v>
      </c>
      <c r="AH371" t="s">
        <v>81</v>
      </c>
      <c r="AI371" t="s">
        <v>88</v>
      </c>
      <c r="AJ371" t="s">
        <v>89</v>
      </c>
      <c r="AK371" t="s">
        <v>85</v>
      </c>
      <c r="AL371" t="s">
        <v>107</v>
      </c>
      <c r="AM371" t="s">
        <v>87</v>
      </c>
      <c r="AN371" t="s">
        <v>87</v>
      </c>
      <c r="AO371" t="s">
        <v>87</v>
      </c>
      <c r="AP371" t="s">
        <v>74</v>
      </c>
      <c r="AQ371" t="s">
        <v>87</v>
      </c>
      <c r="AR371" t="s">
        <v>101</v>
      </c>
      <c r="AS371" t="s">
        <v>76</v>
      </c>
      <c r="AT371" t="s">
        <v>107</v>
      </c>
      <c r="AU371">
        <v>1</v>
      </c>
      <c r="AV371">
        <v>0</v>
      </c>
      <c r="AW371">
        <v>0</v>
      </c>
      <c r="AX371">
        <v>0</v>
      </c>
      <c r="AY371">
        <v>0</v>
      </c>
      <c r="AZ371" t="s">
        <v>580</v>
      </c>
    </row>
    <row r="372" spans="1:52" x14ac:dyDescent="0.2">
      <c r="A372">
        <v>1</v>
      </c>
      <c r="B372">
        <v>0</v>
      </c>
      <c r="C372">
        <v>0</v>
      </c>
      <c r="D372">
        <v>0</v>
      </c>
      <c r="E372">
        <v>0</v>
      </c>
      <c r="F372">
        <v>1</v>
      </c>
      <c r="G372">
        <v>0</v>
      </c>
      <c r="H372">
        <v>0</v>
      </c>
      <c r="I372">
        <v>0</v>
      </c>
      <c r="J372" t="s">
        <v>79</v>
      </c>
      <c r="K372" t="s">
        <v>89</v>
      </c>
      <c r="L372">
        <v>0</v>
      </c>
      <c r="M372">
        <v>0</v>
      </c>
      <c r="N372">
        <v>1</v>
      </c>
      <c r="O372">
        <v>0</v>
      </c>
      <c r="P372">
        <v>0</v>
      </c>
      <c r="Q372" t="s">
        <v>584</v>
      </c>
      <c r="AA372" t="s">
        <v>81</v>
      </c>
      <c r="AB372" t="s">
        <v>82</v>
      </c>
      <c r="AC372" t="s">
        <v>83</v>
      </c>
      <c r="AD372" t="s">
        <v>81</v>
      </c>
      <c r="AE372" t="s">
        <v>82</v>
      </c>
      <c r="AF372" t="s">
        <v>82</v>
      </c>
      <c r="AG372" t="s">
        <v>82</v>
      </c>
      <c r="AH372" t="s">
        <v>82</v>
      </c>
      <c r="AI372" t="s">
        <v>88</v>
      </c>
      <c r="AJ372" t="s">
        <v>89</v>
      </c>
      <c r="AK372" t="s">
        <v>85</v>
      </c>
      <c r="AL372" t="s">
        <v>73</v>
      </c>
      <c r="AM372" t="s">
        <v>87</v>
      </c>
      <c r="AN372" t="s">
        <v>86</v>
      </c>
      <c r="AO372" t="s">
        <v>86</v>
      </c>
      <c r="AP372" t="s">
        <v>86</v>
      </c>
      <c r="AQ372" t="s">
        <v>86</v>
      </c>
      <c r="AR372" t="s">
        <v>159</v>
      </c>
      <c r="AS372" t="s">
        <v>76</v>
      </c>
      <c r="AT372" t="s">
        <v>73</v>
      </c>
      <c r="AU372">
        <v>1</v>
      </c>
      <c r="AV372">
        <v>0</v>
      </c>
      <c r="AW372">
        <v>0</v>
      </c>
      <c r="AX372">
        <v>0</v>
      </c>
      <c r="AY372">
        <v>0</v>
      </c>
      <c r="AZ372" t="s">
        <v>578</v>
      </c>
    </row>
    <row r="373" spans="1:52" x14ac:dyDescent="0.2">
      <c r="A373">
        <v>1</v>
      </c>
      <c r="B373">
        <v>0</v>
      </c>
      <c r="C373">
        <v>0</v>
      </c>
      <c r="D373">
        <v>0</v>
      </c>
      <c r="E373">
        <v>1</v>
      </c>
      <c r="F373">
        <v>0</v>
      </c>
      <c r="G373">
        <v>0</v>
      </c>
      <c r="H373">
        <v>0</v>
      </c>
      <c r="I373">
        <v>0</v>
      </c>
      <c r="L373">
        <v>0</v>
      </c>
      <c r="M373">
        <v>0</v>
      </c>
      <c r="N373">
        <v>1</v>
      </c>
      <c r="O373">
        <v>0</v>
      </c>
      <c r="P373">
        <v>0</v>
      </c>
      <c r="Q373" t="s">
        <v>584</v>
      </c>
      <c r="AA373" t="s">
        <v>83</v>
      </c>
      <c r="AB373" t="s">
        <v>81</v>
      </c>
      <c r="AC373" t="s">
        <v>83</v>
      </c>
      <c r="AD373" t="s">
        <v>81</v>
      </c>
      <c r="AE373" t="s">
        <v>83</v>
      </c>
      <c r="AF373" t="s">
        <v>83</v>
      </c>
      <c r="AG373" t="s">
        <v>83</v>
      </c>
      <c r="AH373" t="s">
        <v>83</v>
      </c>
      <c r="AI373" t="s">
        <v>84</v>
      </c>
      <c r="AJ373" t="s">
        <v>80</v>
      </c>
      <c r="AK373" t="s">
        <v>117</v>
      </c>
      <c r="AL373" t="s">
        <v>96</v>
      </c>
      <c r="AM373" t="s">
        <v>87</v>
      </c>
      <c r="AN373" t="s">
        <v>86</v>
      </c>
      <c r="AO373" t="s">
        <v>86</v>
      </c>
      <c r="AP373" t="s">
        <v>87</v>
      </c>
      <c r="AQ373" t="s">
        <v>74</v>
      </c>
      <c r="AR373" t="s">
        <v>108</v>
      </c>
      <c r="AS373" t="s">
        <v>76</v>
      </c>
      <c r="AT373" t="s">
        <v>96</v>
      </c>
      <c r="AU373">
        <v>1</v>
      </c>
      <c r="AV373">
        <v>0</v>
      </c>
      <c r="AW373">
        <v>0</v>
      </c>
      <c r="AX373">
        <v>0</v>
      </c>
      <c r="AY373">
        <v>0</v>
      </c>
      <c r="AZ373" t="s">
        <v>580</v>
      </c>
    </row>
    <row r="374" spans="1:52" x14ac:dyDescent="0.2">
      <c r="A374">
        <v>1</v>
      </c>
      <c r="B374">
        <v>0</v>
      </c>
      <c r="C374">
        <v>0</v>
      </c>
      <c r="D374">
        <v>0</v>
      </c>
      <c r="E374">
        <v>0</v>
      </c>
      <c r="F374">
        <v>1</v>
      </c>
      <c r="G374">
        <v>0</v>
      </c>
      <c r="H374">
        <v>0</v>
      </c>
      <c r="I374">
        <v>0</v>
      </c>
      <c r="J374" t="s">
        <v>135</v>
      </c>
      <c r="K374" t="s">
        <v>80</v>
      </c>
      <c r="L374">
        <v>1</v>
      </c>
      <c r="M374">
        <v>0</v>
      </c>
      <c r="N374">
        <v>0</v>
      </c>
      <c r="O374">
        <v>0</v>
      </c>
      <c r="P374">
        <v>0</v>
      </c>
      <c r="Q374" t="s">
        <v>584</v>
      </c>
      <c r="R374">
        <v>0</v>
      </c>
      <c r="S374">
        <v>0</v>
      </c>
      <c r="T374">
        <v>1</v>
      </c>
      <c r="U374">
        <v>0</v>
      </c>
      <c r="V374">
        <v>0</v>
      </c>
      <c r="W374">
        <v>0</v>
      </c>
      <c r="X374">
        <v>0</v>
      </c>
      <c r="Y374">
        <v>0</v>
      </c>
      <c r="Z374">
        <v>0</v>
      </c>
      <c r="AL374" t="s">
        <v>73</v>
      </c>
      <c r="AM374" t="s">
        <v>86</v>
      </c>
      <c r="AN374" t="s">
        <v>74</v>
      </c>
      <c r="AO374" t="s">
        <v>87</v>
      </c>
      <c r="AP374" t="s">
        <v>87</v>
      </c>
      <c r="AQ374" t="s">
        <v>87</v>
      </c>
      <c r="AR374" t="s">
        <v>97</v>
      </c>
      <c r="AS374" t="s">
        <v>76</v>
      </c>
      <c r="AT374" t="s">
        <v>73</v>
      </c>
      <c r="AU374">
        <v>1</v>
      </c>
      <c r="AV374">
        <v>0</v>
      </c>
      <c r="AW374">
        <v>0</v>
      </c>
      <c r="AX374">
        <v>0</v>
      </c>
      <c r="AY374">
        <v>1</v>
      </c>
      <c r="AZ374" t="s">
        <v>580</v>
      </c>
    </row>
    <row r="375" spans="1:52" x14ac:dyDescent="0.2">
      <c r="A375">
        <v>1</v>
      </c>
      <c r="B375">
        <v>0</v>
      </c>
      <c r="C375">
        <v>0</v>
      </c>
      <c r="D375">
        <v>0</v>
      </c>
      <c r="E375">
        <v>1</v>
      </c>
      <c r="F375">
        <v>0</v>
      </c>
      <c r="G375">
        <v>0</v>
      </c>
      <c r="H375">
        <v>0</v>
      </c>
      <c r="I375">
        <v>0</v>
      </c>
      <c r="L375">
        <v>0</v>
      </c>
      <c r="M375">
        <v>1</v>
      </c>
      <c r="N375">
        <v>0</v>
      </c>
      <c r="O375">
        <v>0</v>
      </c>
      <c r="P375">
        <v>0</v>
      </c>
      <c r="Q375" t="s">
        <v>584</v>
      </c>
      <c r="AA375" t="s">
        <v>90</v>
      </c>
      <c r="AB375" t="s">
        <v>82</v>
      </c>
      <c r="AC375" t="s">
        <v>83</v>
      </c>
      <c r="AD375" t="s">
        <v>81</v>
      </c>
      <c r="AE375" t="s">
        <v>81</v>
      </c>
      <c r="AF375" t="s">
        <v>83</v>
      </c>
      <c r="AG375" t="s">
        <v>83</v>
      </c>
      <c r="AH375" t="s">
        <v>83</v>
      </c>
      <c r="AI375" t="s">
        <v>88</v>
      </c>
      <c r="AJ375" t="s">
        <v>89</v>
      </c>
      <c r="AK375" t="s">
        <v>100</v>
      </c>
      <c r="AL375" t="s">
        <v>96</v>
      </c>
      <c r="AM375" t="s">
        <v>86</v>
      </c>
      <c r="AN375" t="s">
        <v>87</v>
      </c>
      <c r="AO375" t="s">
        <v>87</v>
      </c>
      <c r="AP375" t="s">
        <v>87</v>
      </c>
      <c r="AQ375" t="s">
        <v>87</v>
      </c>
      <c r="AR375" t="s">
        <v>97</v>
      </c>
      <c r="AS375" t="s">
        <v>76</v>
      </c>
      <c r="AT375" t="s">
        <v>96</v>
      </c>
      <c r="AU375">
        <v>1</v>
      </c>
      <c r="AV375">
        <v>0</v>
      </c>
      <c r="AW375">
        <v>0</v>
      </c>
      <c r="AX375">
        <v>0</v>
      </c>
      <c r="AY375">
        <v>0</v>
      </c>
      <c r="AZ375" t="s">
        <v>580</v>
      </c>
    </row>
    <row r="376" spans="1:52" x14ac:dyDescent="0.2">
      <c r="A376">
        <v>1</v>
      </c>
      <c r="B376">
        <v>0</v>
      </c>
      <c r="C376">
        <v>0</v>
      </c>
      <c r="D376">
        <v>0</v>
      </c>
      <c r="E376">
        <v>0</v>
      </c>
      <c r="F376">
        <v>1</v>
      </c>
      <c r="G376">
        <v>0</v>
      </c>
      <c r="H376">
        <v>0</v>
      </c>
      <c r="I376">
        <v>0</v>
      </c>
      <c r="J376" t="s">
        <v>79</v>
      </c>
      <c r="K376" t="s">
        <v>89</v>
      </c>
      <c r="L376">
        <v>0</v>
      </c>
      <c r="M376">
        <v>0</v>
      </c>
      <c r="N376">
        <v>1</v>
      </c>
      <c r="O376">
        <v>0</v>
      </c>
      <c r="P376">
        <v>0</v>
      </c>
      <c r="Q376" t="s">
        <v>584</v>
      </c>
      <c r="AA376" t="s">
        <v>83</v>
      </c>
      <c r="AB376" t="s">
        <v>81</v>
      </c>
      <c r="AC376" t="s">
        <v>83</v>
      </c>
      <c r="AD376" t="s">
        <v>81</v>
      </c>
      <c r="AE376" t="s">
        <v>82</v>
      </c>
      <c r="AF376" t="s">
        <v>81</v>
      </c>
      <c r="AG376" t="s">
        <v>83</v>
      </c>
      <c r="AH376" t="s">
        <v>83</v>
      </c>
      <c r="AI376" t="s">
        <v>84</v>
      </c>
      <c r="AJ376" t="s">
        <v>89</v>
      </c>
      <c r="AK376" t="s">
        <v>85</v>
      </c>
      <c r="AL376" t="s">
        <v>73</v>
      </c>
      <c r="AM376" t="s">
        <v>87</v>
      </c>
      <c r="AN376" t="s">
        <v>87</v>
      </c>
      <c r="AO376" t="s">
        <v>87</v>
      </c>
      <c r="AP376" t="s">
        <v>86</v>
      </c>
      <c r="AQ376" t="s">
        <v>87</v>
      </c>
      <c r="AR376" t="s">
        <v>75</v>
      </c>
      <c r="AS376" t="s">
        <v>76</v>
      </c>
      <c r="AT376" t="s">
        <v>73</v>
      </c>
      <c r="AU376">
        <v>1</v>
      </c>
      <c r="AV376">
        <v>0</v>
      </c>
      <c r="AW376">
        <v>0</v>
      </c>
      <c r="AX376">
        <v>0</v>
      </c>
      <c r="AY376">
        <v>0</v>
      </c>
      <c r="AZ376" t="s">
        <v>579</v>
      </c>
    </row>
    <row r="377" spans="1:52" x14ac:dyDescent="0.2">
      <c r="A377">
        <v>1</v>
      </c>
      <c r="B377">
        <v>0</v>
      </c>
      <c r="C377">
        <v>0</v>
      </c>
      <c r="D377">
        <v>0</v>
      </c>
      <c r="E377">
        <v>1</v>
      </c>
      <c r="F377">
        <v>0</v>
      </c>
      <c r="G377">
        <v>0</v>
      </c>
      <c r="H377">
        <v>0</v>
      </c>
      <c r="I377">
        <v>0</v>
      </c>
      <c r="L377">
        <v>0</v>
      </c>
      <c r="M377">
        <v>1</v>
      </c>
      <c r="N377">
        <v>0</v>
      </c>
      <c r="O377">
        <v>1</v>
      </c>
      <c r="P377">
        <v>0</v>
      </c>
      <c r="Q377" t="s">
        <v>584</v>
      </c>
      <c r="AA377" t="s">
        <v>90</v>
      </c>
      <c r="AB377" t="s">
        <v>82</v>
      </c>
      <c r="AC377" t="s">
        <v>81</v>
      </c>
      <c r="AD377" t="s">
        <v>90</v>
      </c>
      <c r="AE377" t="s">
        <v>90</v>
      </c>
      <c r="AF377" t="s">
        <v>90</v>
      </c>
      <c r="AG377" t="s">
        <v>82</v>
      </c>
      <c r="AH377" t="s">
        <v>90</v>
      </c>
      <c r="AI377" t="s">
        <v>88</v>
      </c>
      <c r="AJ377" t="s">
        <v>89</v>
      </c>
      <c r="AK377" t="s">
        <v>85</v>
      </c>
      <c r="AL377" t="s">
        <v>73</v>
      </c>
      <c r="AM377" t="s">
        <v>74</v>
      </c>
      <c r="AR377" t="s">
        <v>97</v>
      </c>
      <c r="AS377" t="s">
        <v>76</v>
      </c>
      <c r="AT377" t="s">
        <v>73</v>
      </c>
      <c r="AU377">
        <v>1</v>
      </c>
      <c r="AV377">
        <v>0</v>
      </c>
      <c r="AW377">
        <v>0</v>
      </c>
      <c r="AX377">
        <v>0</v>
      </c>
      <c r="AY377">
        <v>0</v>
      </c>
      <c r="AZ377" t="s">
        <v>580</v>
      </c>
    </row>
    <row r="378" spans="1:52" x14ac:dyDescent="0.2">
      <c r="A378">
        <v>1</v>
      </c>
      <c r="B378">
        <v>0</v>
      </c>
      <c r="C378">
        <v>0</v>
      </c>
      <c r="D378">
        <v>0</v>
      </c>
      <c r="E378">
        <v>1</v>
      </c>
      <c r="F378">
        <v>0</v>
      </c>
      <c r="G378">
        <v>0</v>
      </c>
      <c r="H378">
        <v>0</v>
      </c>
      <c r="I378">
        <v>0</v>
      </c>
      <c r="L378">
        <v>0</v>
      </c>
      <c r="M378">
        <v>0</v>
      </c>
      <c r="N378">
        <v>1</v>
      </c>
      <c r="O378">
        <v>0</v>
      </c>
      <c r="P378">
        <v>0</v>
      </c>
      <c r="Q378" t="s">
        <v>584</v>
      </c>
      <c r="AA378" t="s">
        <v>83</v>
      </c>
      <c r="AB378" t="s">
        <v>83</v>
      </c>
      <c r="AC378" t="s">
        <v>83</v>
      </c>
      <c r="AD378" t="s">
        <v>81</v>
      </c>
      <c r="AE378" t="s">
        <v>83</v>
      </c>
      <c r="AF378" t="s">
        <v>83</v>
      </c>
      <c r="AG378" t="s">
        <v>83</v>
      </c>
      <c r="AH378" t="s">
        <v>83</v>
      </c>
      <c r="AI378" t="s">
        <v>135</v>
      </c>
      <c r="AJ378" t="s">
        <v>80</v>
      </c>
      <c r="AK378" t="s">
        <v>117</v>
      </c>
      <c r="AL378" t="s">
        <v>73</v>
      </c>
      <c r="AM378" t="s">
        <v>74</v>
      </c>
      <c r="AR378" t="s">
        <v>113</v>
      </c>
      <c r="AS378" t="s">
        <v>76</v>
      </c>
      <c r="AT378" t="s">
        <v>73</v>
      </c>
      <c r="AU378">
        <v>1</v>
      </c>
      <c r="AV378">
        <v>0</v>
      </c>
      <c r="AW378">
        <v>0</v>
      </c>
      <c r="AX378">
        <v>0</v>
      </c>
      <c r="AY378">
        <v>0</v>
      </c>
      <c r="AZ378" t="s">
        <v>579</v>
      </c>
    </row>
    <row r="379" spans="1:52" x14ac:dyDescent="0.2">
      <c r="A379">
        <v>1</v>
      </c>
      <c r="B379">
        <v>0</v>
      </c>
      <c r="C379">
        <v>0</v>
      </c>
      <c r="D379">
        <v>0</v>
      </c>
      <c r="E379">
        <v>0</v>
      </c>
      <c r="F379">
        <v>1</v>
      </c>
      <c r="G379">
        <v>0</v>
      </c>
      <c r="H379">
        <v>0</v>
      </c>
      <c r="I379">
        <v>0</v>
      </c>
      <c r="J379" t="s">
        <v>88</v>
      </c>
      <c r="K379" t="s">
        <v>80</v>
      </c>
      <c r="L379">
        <v>0</v>
      </c>
      <c r="M379">
        <v>0</v>
      </c>
      <c r="N379">
        <v>1</v>
      </c>
      <c r="O379">
        <v>0</v>
      </c>
      <c r="P379">
        <v>0</v>
      </c>
      <c r="Q379" t="s">
        <v>584</v>
      </c>
      <c r="AA379" t="s">
        <v>83</v>
      </c>
      <c r="AB379" t="s">
        <v>82</v>
      </c>
      <c r="AC379" t="s">
        <v>81</v>
      </c>
      <c r="AD379" t="s">
        <v>82</v>
      </c>
      <c r="AE379" t="s">
        <v>83</v>
      </c>
      <c r="AF379" t="s">
        <v>83</v>
      </c>
      <c r="AG379" t="s">
        <v>81</v>
      </c>
      <c r="AH379" t="s">
        <v>83</v>
      </c>
      <c r="AI379" t="s">
        <v>88</v>
      </c>
      <c r="AJ379" t="s">
        <v>89</v>
      </c>
      <c r="AK379" t="s">
        <v>85</v>
      </c>
      <c r="AL379" t="s">
        <v>96</v>
      </c>
      <c r="AM379" t="s">
        <v>87</v>
      </c>
      <c r="AN379" t="s">
        <v>87</v>
      </c>
      <c r="AO379" t="s">
        <v>87</v>
      </c>
      <c r="AP379" t="s">
        <v>74</v>
      </c>
      <c r="AQ379" t="s">
        <v>87</v>
      </c>
      <c r="AR379" t="s">
        <v>101</v>
      </c>
      <c r="AS379" t="s">
        <v>76</v>
      </c>
      <c r="AT379" t="s">
        <v>96</v>
      </c>
      <c r="AU379">
        <v>1</v>
      </c>
      <c r="AV379">
        <v>0</v>
      </c>
      <c r="AW379">
        <v>0</v>
      </c>
      <c r="AX379">
        <v>0</v>
      </c>
      <c r="AY379">
        <v>0</v>
      </c>
      <c r="AZ379" t="s">
        <v>579</v>
      </c>
    </row>
    <row r="380" spans="1:52" x14ac:dyDescent="0.2">
      <c r="A380">
        <v>1</v>
      </c>
      <c r="B380">
        <v>0</v>
      </c>
      <c r="C380">
        <v>0</v>
      </c>
      <c r="D380">
        <v>0</v>
      </c>
      <c r="E380">
        <v>0</v>
      </c>
      <c r="F380">
        <v>0</v>
      </c>
      <c r="G380">
        <v>0</v>
      </c>
      <c r="H380">
        <v>1</v>
      </c>
      <c r="I380">
        <v>0</v>
      </c>
      <c r="J380" t="s">
        <v>135</v>
      </c>
      <c r="K380" t="s">
        <v>80</v>
      </c>
      <c r="L380">
        <v>0</v>
      </c>
      <c r="M380">
        <v>1</v>
      </c>
      <c r="N380">
        <v>0</v>
      </c>
      <c r="O380">
        <v>0</v>
      </c>
      <c r="P380">
        <v>0</v>
      </c>
      <c r="Q380" t="s">
        <v>584</v>
      </c>
      <c r="AA380" t="s">
        <v>90</v>
      </c>
      <c r="AB380" t="s">
        <v>81</v>
      </c>
      <c r="AC380" t="s">
        <v>82</v>
      </c>
      <c r="AD380" t="s">
        <v>83</v>
      </c>
      <c r="AE380" t="s">
        <v>83</v>
      </c>
      <c r="AF380" t="s">
        <v>83</v>
      </c>
      <c r="AG380" t="s">
        <v>83</v>
      </c>
      <c r="AH380" t="s">
        <v>83</v>
      </c>
      <c r="AI380" t="s">
        <v>88</v>
      </c>
      <c r="AJ380" t="s">
        <v>89</v>
      </c>
      <c r="AK380" t="s">
        <v>100</v>
      </c>
      <c r="AL380" t="s">
        <v>73</v>
      </c>
      <c r="AM380" t="s">
        <v>87</v>
      </c>
      <c r="AN380" t="s">
        <v>87</v>
      </c>
      <c r="AO380" t="s">
        <v>87</v>
      </c>
      <c r="AP380" t="s">
        <v>87</v>
      </c>
      <c r="AQ380" t="s">
        <v>87</v>
      </c>
      <c r="AR380" t="s">
        <v>75</v>
      </c>
      <c r="AS380" t="s">
        <v>76</v>
      </c>
      <c r="AT380" t="s">
        <v>73</v>
      </c>
      <c r="AU380">
        <v>1</v>
      </c>
      <c r="AV380">
        <v>0</v>
      </c>
      <c r="AW380">
        <v>0</v>
      </c>
      <c r="AX380">
        <v>0</v>
      </c>
      <c r="AY380">
        <v>0</v>
      </c>
      <c r="AZ380" t="s">
        <v>579</v>
      </c>
    </row>
    <row r="381" spans="1:52" x14ac:dyDescent="0.2">
      <c r="A381">
        <v>0</v>
      </c>
      <c r="B381">
        <v>1</v>
      </c>
      <c r="C381">
        <v>0</v>
      </c>
      <c r="D381">
        <v>0</v>
      </c>
      <c r="E381">
        <v>1</v>
      </c>
      <c r="F381">
        <v>0</v>
      </c>
      <c r="G381">
        <v>0</v>
      </c>
      <c r="H381">
        <v>0</v>
      </c>
      <c r="I381">
        <v>0</v>
      </c>
      <c r="L381">
        <v>1</v>
      </c>
      <c r="M381">
        <v>0</v>
      </c>
      <c r="N381">
        <v>0</v>
      </c>
      <c r="O381">
        <v>0</v>
      </c>
      <c r="P381">
        <v>0</v>
      </c>
      <c r="Q381" t="s">
        <v>584</v>
      </c>
      <c r="R381">
        <v>1</v>
      </c>
      <c r="S381">
        <v>0</v>
      </c>
      <c r="T381">
        <v>0</v>
      </c>
      <c r="U381">
        <v>0</v>
      </c>
      <c r="V381">
        <v>0</v>
      </c>
      <c r="W381">
        <v>0</v>
      </c>
      <c r="X381">
        <v>0</v>
      </c>
      <c r="Y381">
        <v>0</v>
      </c>
      <c r="Z381">
        <v>0</v>
      </c>
      <c r="AL381" t="s">
        <v>73</v>
      </c>
      <c r="AM381" t="s">
        <v>86</v>
      </c>
      <c r="AN381" t="s">
        <v>87</v>
      </c>
      <c r="AO381" t="s">
        <v>87</v>
      </c>
      <c r="AP381" t="s">
        <v>87</v>
      </c>
      <c r="AQ381" t="s">
        <v>87</v>
      </c>
      <c r="AR381" t="s">
        <v>97</v>
      </c>
      <c r="AS381" t="s">
        <v>76</v>
      </c>
      <c r="AT381" t="s">
        <v>73</v>
      </c>
      <c r="AU381">
        <v>1</v>
      </c>
      <c r="AV381">
        <v>0</v>
      </c>
      <c r="AW381">
        <v>0</v>
      </c>
      <c r="AX381">
        <v>0</v>
      </c>
      <c r="AY381">
        <v>0</v>
      </c>
      <c r="AZ381" t="s">
        <v>580</v>
      </c>
    </row>
    <row r="382" spans="1:52" x14ac:dyDescent="0.2">
      <c r="A382">
        <v>0</v>
      </c>
      <c r="B382">
        <v>1</v>
      </c>
      <c r="C382">
        <v>0</v>
      </c>
      <c r="D382">
        <v>0</v>
      </c>
      <c r="E382">
        <v>0</v>
      </c>
      <c r="F382">
        <v>1</v>
      </c>
      <c r="G382">
        <v>0</v>
      </c>
      <c r="H382">
        <v>0</v>
      </c>
      <c r="I382">
        <v>0</v>
      </c>
      <c r="J382" t="s">
        <v>135</v>
      </c>
      <c r="K382" t="s">
        <v>127</v>
      </c>
      <c r="L382">
        <v>0</v>
      </c>
      <c r="M382">
        <v>1</v>
      </c>
      <c r="N382">
        <v>0</v>
      </c>
      <c r="O382">
        <v>0</v>
      </c>
      <c r="P382">
        <v>0</v>
      </c>
      <c r="Q382" t="s">
        <v>584</v>
      </c>
      <c r="AA382" t="s">
        <v>90</v>
      </c>
      <c r="AB382" t="s">
        <v>82</v>
      </c>
      <c r="AC382" t="s">
        <v>90</v>
      </c>
      <c r="AD382" t="s">
        <v>82</v>
      </c>
      <c r="AE382" t="s">
        <v>90</v>
      </c>
      <c r="AF382" t="s">
        <v>90</v>
      </c>
      <c r="AG382" t="s">
        <v>90</v>
      </c>
      <c r="AH382" t="s">
        <v>83</v>
      </c>
      <c r="AI382" t="s">
        <v>84</v>
      </c>
      <c r="AJ382" t="s">
        <v>127</v>
      </c>
      <c r="AK382" t="s">
        <v>153</v>
      </c>
      <c r="AL382" t="s">
        <v>96</v>
      </c>
      <c r="AM382" t="s">
        <v>86</v>
      </c>
      <c r="AN382" t="s">
        <v>74</v>
      </c>
      <c r="AO382" t="s">
        <v>87</v>
      </c>
      <c r="AP382" t="s">
        <v>74</v>
      </c>
      <c r="AQ382" t="s">
        <v>74</v>
      </c>
      <c r="AR382" t="s">
        <v>97</v>
      </c>
      <c r="AS382" t="s">
        <v>76</v>
      </c>
      <c r="AT382" t="s">
        <v>96</v>
      </c>
      <c r="AU382">
        <v>1</v>
      </c>
      <c r="AV382">
        <v>0</v>
      </c>
      <c r="AW382">
        <v>0</v>
      </c>
      <c r="AX382">
        <v>0</v>
      </c>
      <c r="AY382">
        <v>0</v>
      </c>
      <c r="AZ382" t="s">
        <v>580</v>
      </c>
    </row>
    <row r="383" spans="1:52" x14ac:dyDescent="0.2">
      <c r="A383">
        <v>1</v>
      </c>
      <c r="B383">
        <v>0</v>
      </c>
      <c r="C383">
        <v>0</v>
      </c>
      <c r="D383">
        <v>0</v>
      </c>
      <c r="E383">
        <v>0</v>
      </c>
      <c r="F383">
        <v>1</v>
      </c>
      <c r="G383">
        <v>0</v>
      </c>
      <c r="H383">
        <v>0</v>
      </c>
      <c r="I383">
        <v>0</v>
      </c>
      <c r="J383" t="s">
        <v>79</v>
      </c>
      <c r="K383" t="s">
        <v>142</v>
      </c>
      <c r="L383">
        <v>0</v>
      </c>
      <c r="M383">
        <v>1</v>
      </c>
      <c r="N383">
        <v>0</v>
      </c>
      <c r="O383">
        <v>0</v>
      </c>
      <c r="P383">
        <v>0</v>
      </c>
      <c r="Q383" t="s">
        <v>584</v>
      </c>
      <c r="AA383" t="s">
        <v>81</v>
      </c>
      <c r="AB383" t="s">
        <v>82</v>
      </c>
      <c r="AC383" t="s">
        <v>83</v>
      </c>
      <c r="AD383" t="s">
        <v>81</v>
      </c>
      <c r="AE383" t="s">
        <v>82</v>
      </c>
      <c r="AF383" t="s">
        <v>82</v>
      </c>
      <c r="AG383" t="s">
        <v>82</v>
      </c>
      <c r="AH383" t="s">
        <v>83</v>
      </c>
      <c r="AI383" t="s">
        <v>88</v>
      </c>
      <c r="AJ383" t="s">
        <v>142</v>
      </c>
      <c r="AK383" t="s">
        <v>100</v>
      </c>
      <c r="AL383" t="s">
        <v>120</v>
      </c>
      <c r="AM383" t="s">
        <v>87</v>
      </c>
      <c r="AN383" t="s">
        <v>74</v>
      </c>
      <c r="AO383" t="s">
        <v>87</v>
      </c>
      <c r="AP383" t="s">
        <v>74</v>
      </c>
      <c r="AQ383" t="s">
        <v>74</v>
      </c>
      <c r="AR383" t="s">
        <v>159</v>
      </c>
      <c r="AS383" t="s">
        <v>76</v>
      </c>
      <c r="AT383" t="s">
        <v>120</v>
      </c>
      <c r="AU383">
        <v>1</v>
      </c>
      <c r="AV383">
        <v>0</v>
      </c>
      <c r="AW383">
        <v>0</v>
      </c>
      <c r="AX383">
        <v>0</v>
      </c>
      <c r="AY383">
        <v>0</v>
      </c>
      <c r="AZ383" t="s">
        <v>579</v>
      </c>
    </row>
    <row r="384" spans="1:52" x14ac:dyDescent="0.2">
      <c r="A384">
        <v>1</v>
      </c>
      <c r="B384">
        <v>0</v>
      </c>
      <c r="C384">
        <v>0</v>
      </c>
      <c r="D384">
        <v>0</v>
      </c>
      <c r="E384">
        <v>0</v>
      </c>
      <c r="F384">
        <v>1</v>
      </c>
      <c r="G384">
        <v>0</v>
      </c>
      <c r="H384">
        <v>0</v>
      </c>
      <c r="I384">
        <v>0</v>
      </c>
      <c r="J384" t="s">
        <v>79</v>
      </c>
      <c r="K384" t="s">
        <v>80</v>
      </c>
      <c r="L384">
        <v>0</v>
      </c>
      <c r="M384">
        <v>1</v>
      </c>
      <c r="N384">
        <v>0</v>
      </c>
      <c r="O384">
        <v>0</v>
      </c>
      <c r="P384">
        <v>0</v>
      </c>
      <c r="Q384" t="s">
        <v>584</v>
      </c>
      <c r="AA384" t="s">
        <v>90</v>
      </c>
      <c r="AB384" t="s">
        <v>82</v>
      </c>
      <c r="AC384" t="s">
        <v>82</v>
      </c>
      <c r="AD384" t="s">
        <v>82</v>
      </c>
      <c r="AE384" t="s">
        <v>81</v>
      </c>
      <c r="AF384" t="s">
        <v>83</v>
      </c>
      <c r="AG384" t="s">
        <v>90</v>
      </c>
      <c r="AH384" t="s">
        <v>83</v>
      </c>
      <c r="AI384" t="s">
        <v>84</v>
      </c>
      <c r="AJ384" t="s">
        <v>80</v>
      </c>
      <c r="AK384" t="s">
        <v>117</v>
      </c>
      <c r="AL384" t="s">
        <v>107</v>
      </c>
      <c r="AM384" t="s">
        <v>87</v>
      </c>
      <c r="AN384" t="s">
        <v>87</v>
      </c>
      <c r="AO384" t="s">
        <v>87</v>
      </c>
      <c r="AP384" t="s">
        <v>87</v>
      </c>
      <c r="AQ384" t="s">
        <v>87</v>
      </c>
      <c r="AR384" t="s">
        <v>75</v>
      </c>
      <c r="AS384" t="s">
        <v>76</v>
      </c>
      <c r="AT384" t="s">
        <v>107</v>
      </c>
      <c r="AU384">
        <v>1</v>
      </c>
      <c r="AV384">
        <v>0</v>
      </c>
      <c r="AW384">
        <v>0</v>
      </c>
      <c r="AX384">
        <v>0</v>
      </c>
      <c r="AY384">
        <v>0</v>
      </c>
      <c r="AZ384" t="s">
        <v>579</v>
      </c>
    </row>
    <row r="385" spans="1:52" x14ac:dyDescent="0.2">
      <c r="A385">
        <v>1</v>
      </c>
      <c r="B385">
        <v>0</v>
      </c>
      <c r="C385">
        <v>0</v>
      </c>
      <c r="D385">
        <v>0</v>
      </c>
      <c r="E385">
        <v>1</v>
      </c>
      <c r="F385">
        <v>0</v>
      </c>
      <c r="G385">
        <v>0</v>
      </c>
      <c r="H385">
        <v>0</v>
      </c>
      <c r="I385">
        <v>0</v>
      </c>
      <c r="L385">
        <v>0</v>
      </c>
      <c r="M385">
        <v>1</v>
      </c>
      <c r="N385">
        <v>0</v>
      </c>
      <c r="O385">
        <v>0</v>
      </c>
      <c r="P385">
        <v>0</v>
      </c>
      <c r="Q385" t="s">
        <v>584</v>
      </c>
      <c r="AA385" t="s">
        <v>90</v>
      </c>
      <c r="AB385" t="s">
        <v>82</v>
      </c>
      <c r="AC385" t="s">
        <v>82</v>
      </c>
      <c r="AD385" t="s">
        <v>82</v>
      </c>
      <c r="AE385" t="s">
        <v>83</v>
      </c>
      <c r="AF385" t="s">
        <v>90</v>
      </c>
      <c r="AG385" t="s">
        <v>90</v>
      </c>
      <c r="AH385" t="s">
        <v>83</v>
      </c>
      <c r="AI385" t="s">
        <v>88</v>
      </c>
      <c r="AJ385" t="s">
        <v>89</v>
      </c>
      <c r="AK385" t="s">
        <v>100</v>
      </c>
      <c r="AL385" t="s">
        <v>107</v>
      </c>
      <c r="AM385" t="s">
        <v>86</v>
      </c>
      <c r="AN385" t="s">
        <v>86</v>
      </c>
      <c r="AO385" t="s">
        <v>86</v>
      </c>
      <c r="AP385" t="s">
        <v>86</v>
      </c>
      <c r="AQ385" t="s">
        <v>74</v>
      </c>
      <c r="AR385" t="s">
        <v>75</v>
      </c>
      <c r="AS385" t="s">
        <v>76</v>
      </c>
      <c r="AT385" t="s">
        <v>107</v>
      </c>
      <c r="AU385">
        <v>1</v>
      </c>
      <c r="AV385">
        <v>0</v>
      </c>
      <c r="AW385">
        <v>0</v>
      </c>
      <c r="AX385">
        <v>0</v>
      </c>
      <c r="AY385">
        <v>0</v>
      </c>
      <c r="AZ385" t="s">
        <v>580</v>
      </c>
    </row>
    <row r="386" spans="1:52" x14ac:dyDescent="0.2">
      <c r="A386">
        <v>0</v>
      </c>
      <c r="B386">
        <v>1</v>
      </c>
      <c r="C386">
        <v>0</v>
      </c>
      <c r="D386">
        <v>0</v>
      </c>
      <c r="E386">
        <v>0</v>
      </c>
      <c r="F386">
        <v>1</v>
      </c>
      <c r="G386">
        <v>1</v>
      </c>
      <c r="H386">
        <v>0</v>
      </c>
      <c r="I386">
        <v>0</v>
      </c>
      <c r="J386" t="s">
        <v>79</v>
      </c>
      <c r="K386" t="s">
        <v>80</v>
      </c>
      <c r="L386">
        <v>0</v>
      </c>
      <c r="M386">
        <v>1</v>
      </c>
      <c r="N386">
        <v>0</v>
      </c>
      <c r="O386">
        <v>0</v>
      </c>
      <c r="P386">
        <v>0</v>
      </c>
      <c r="Q386" t="s">
        <v>584</v>
      </c>
      <c r="AA386" t="s">
        <v>83</v>
      </c>
      <c r="AB386" t="s">
        <v>81</v>
      </c>
      <c r="AC386" t="s">
        <v>90</v>
      </c>
      <c r="AD386" t="s">
        <v>81</v>
      </c>
      <c r="AE386" t="s">
        <v>82</v>
      </c>
      <c r="AF386" t="s">
        <v>90</v>
      </c>
      <c r="AG386" t="s">
        <v>90</v>
      </c>
      <c r="AH386" t="s">
        <v>83</v>
      </c>
      <c r="AI386" t="s">
        <v>84</v>
      </c>
      <c r="AJ386" t="s">
        <v>80</v>
      </c>
      <c r="AK386" t="s">
        <v>117</v>
      </c>
      <c r="AL386" t="s">
        <v>96</v>
      </c>
      <c r="AM386" t="s">
        <v>87</v>
      </c>
      <c r="AN386" t="s">
        <v>87</v>
      </c>
      <c r="AO386" t="s">
        <v>86</v>
      </c>
      <c r="AP386" t="s">
        <v>74</v>
      </c>
      <c r="AQ386" t="s">
        <v>87</v>
      </c>
      <c r="AR386" t="s">
        <v>101</v>
      </c>
      <c r="AS386" t="s">
        <v>76</v>
      </c>
      <c r="AT386" t="s">
        <v>96</v>
      </c>
      <c r="AU386">
        <v>1</v>
      </c>
      <c r="AV386">
        <v>0</v>
      </c>
      <c r="AW386">
        <v>0</v>
      </c>
      <c r="AX386">
        <v>0</v>
      </c>
      <c r="AY386">
        <v>0</v>
      </c>
      <c r="AZ386" t="s">
        <v>579</v>
      </c>
    </row>
    <row r="387" spans="1:52" x14ac:dyDescent="0.2">
      <c r="A387">
        <v>0</v>
      </c>
      <c r="B387">
        <v>1</v>
      </c>
      <c r="C387">
        <v>0</v>
      </c>
      <c r="D387">
        <v>0</v>
      </c>
      <c r="E387">
        <v>1</v>
      </c>
      <c r="F387">
        <v>0</v>
      </c>
      <c r="G387">
        <v>0</v>
      </c>
      <c r="H387">
        <v>0</v>
      </c>
      <c r="I387">
        <v>0</v>
      </c>
      <c r="L387">
        <v>0</v>
      </c>
      <c r="M387">
        <v>1</v>
      </c>
      <c r="N387">
        <v>0</v>
      </c>
      <c r="O387">
        <v>0</v>
      </c>
      <c r="P387">
        <v>0</v>
      </c>
      <c r="Q387" t="s">
        <v>584</v>
      </c>
      <c r="AA387" t="s">
        <v>90</v>
      </c>
      <c r="AB387" t="s">
        <v>82</v>
      </c>
      <c r="AC387" t="s">
        <v>90</v>
      </c>
      <c r="AD387" t="s">
        <v>90</v>
      </c>
      <c r="AE387" t="s">
        <v>90</v>
      </c>
      <c r="AF387" t="s">
        <v>90</v>
      </c>
      <c r="AG387" t="s">
        <v>90</v>
      </c>
      <c r="AH387" t="s">
        <v>90</v>
      </c>
      <c r="AI387" t="s">
        <v>84</v>
      </c>
      <c r="AJ387" t="s">
        <v>80</v>
      </c>
      <c r="AK387" t="s">
        <v>85</v>
      </c>
      <c r="AL387" t="s">
        <v>73</v>
      </c>
      <c r="AM387" t="s">
        <v>86</v>
      </c>
      <c r="AN387" t="s">
        <v>86</v>
      </c>
      <c r="AO387" t="s">
        <v>86</v>
      </c>
      <c r="AP387" t="s">
        <v>86</v>
      </c>
      <c r="AQ387" t="s">
        <v>74</v>
      </c>
      <c r="AR387" t="s">
        <v>97</v>
      </c>
      <c r="AS387" t="s">
        <v>76</v>
      </c>
      <c r="AT387" t="s">
        <v>73</v>
      </c>
      <c r="AU387">
        <v>1</v>
      </c>
      <c r="AV387">
        <v>0</v>
      </c>
      <c r="AW387">
        <v>0</v>
      </c>
      <c r="AX387">
        <v>0</v>
      </c>
      <c r="AY387">
        <v>0</v>
      </c>
      <c r="AZ387" t="s">
        <v>581</v>
      </c>
    </row>
    <row r="388" spans="1:52" x14ac:dyDescent="0.2">
      <c r="A388">
        <v>1</v>
      </c>
      <c r="B388">
        <v>0</v>
      </c>
      <c r="C388">
        <v>0</v>
      </c>
      <c r="D388">
        <v>0</v>
      </c>
      <c r="E388">
        <v>0</v>
      </c>
      <c r="F388">
        <v>1</v>
      </c>
      <c r="G388">
        <v>0</v>
      </c>
      <c r="H388">
        <v>0</v>
      </c>
      <c r="I388">
        <v>0</v>
      </c>
      <c r="J388" t="s">
        <v>88</v>
      </c>
      <c r="K388" t="s">
        <v>142</v>
      </c>
      <c r="L388">
        <v>0</v>
      </c>
      <c r="M388">
        <v>1</v>
      </c>
      <c r="N388">
        <v>0</v>
      </c>
      <c r="O388">
        <v>0</v>
      </c>
      <c r="P388">
        <v>0</v>
      </c>
      <c r="Q388" t="s">
        <v>584</v>
      </c>
      <c r="AA388" t="s">
        <v>83</v>
      </c>
      <c r="AB388" t="s">
        <v>82</v>
      </c>
      <c r="AC388" t="s">
        <v>83</v>
      </c>
      <c r="AD388" t="s">
        <v>82</v>
      </c>
      <c r="AE388" t="s">
        <v>83</v>
      </c>
      <c r="AF388" t="s">
        <v>83</v>
      </c>
      <c r="AG388" t="s">
        <v>83</v>
      </c>
      <c r="AH388" t="s">
        <v>83</v>
      </c>
      <c r="AI388" t="s">
        <v>88</v>
      </c>
      <c r="AJ388" t="s">
        <v>89</v>
      </c>
      <c r="AK388" t="s">
        <v>85</v>
      </c>
      <c r="AL388" t="s">
        <v>73</v>
      </c>
      <c r="AM388" t="s">
        <v>86</v>
      </c>
      <c r="AN388" t="s">
        <v>74</v>
      </c>
      <c r="AO388" t="s">
        <v>86</v>
      </c>
      <c r="AP388" t="s">
        <v>74</v>
      </c>
      <c r="AQ388" t="s">
        <v>74</v>
      </c>
      <c r="AR388" t="s">
        <v>75</v>
      </c>
      <c r="AS388" t="s">
        <v>76</v>
      </c>
      <c r="AT388" t="s">
        <v>73</v>
      </c>
      <c r="AU388">
        <v>1</v>
      </c>
      <c r="AV388">
        <v>0</v>
      </c>
      <c r="AW388">
        <v>0</v>
      </c>
      <c r="AX388">
        <v>0</v>
      </c>
      <c r="AY388">
        <v>0</v>
      </c>
      <c r="AZ388" t="s">
        <v>580</v>
      </c>
    </row>
    <row r="389" spans="1:52" x14ac:dyDescent="0.2">
      <c r="A389">
        <v>0</v>
      </c>
      <c r="B389">
        <v>1</v>
      </c>
      <c r="C389">
        <v>0</v>
      </c>
      <c r="D389">
        <v>0</v>
      </c>
      <c r="E389">
        <v>0</v>
      </c>
      <c r="F389">
        <v>0</v>
      </c>
      <c r="G389">
        <v>0</v>
      </c>
      <c r="H389">
        <v>0</v>
      </c>
      <c r="I389">
        <v>1</v>
      </c>
      <c r="J389" t="s">
        <v>88</v>
      </c>
      <c r="K389" t="s">
        <v>89</v>
      </c>
      <c r="L389">
        <v>0</v>
      </c>
      <c r="M389">
        <v>1</v>
      </c>
      <c r="N389">
        <v>0</v>
      </c>
      <c r="O389">
        <v>0</v>
      </c>
      <c r="P389">
        <v>0</v>
      </c>
      <c r="Q389" t="s">
        <v>584</v>
      </c>
      <c r="AA389" t="s">
        <v>83</v>
      </c>
      <c r="AB389" t="s">
        <v>82</v>
      </c>
      <c r="AC389" t="s">
        <v>90</v>
      </c>
      <c r="AD389" t="s">
        <v>82</v>
      </c>
      <c r="AE389" t="s">
        <v>83</v>
      </c>
      <c r="AF389" t="s">
        <v>90</v>
      </c>
      <c r="AG389" t="s">
        <v>90</v>
      </c>
      <c r="AH389" t="s">
        <v>83</v>
      </c>
      <c r="AI389" t="s">
        <v>135</v>
      </c>
      <c r="AJ389" t="s">
        <v>80</v>
      </c>
      <c r="AK389" t="s">
        <v>117</v>
      </c>
      <c r="AL389" t="s">
        <v>73</v>
      </c>
      <c r="AM389" t="s">
        <v>86</v>
      </c>
      <c r="AN389" t="s">
        <v>86</v>
      </c>
      <c r="AO389" t="s">
        <v>86</v>
      </c>
      <c r="AP389" t="s">
        <v>86</v>
      </c>
      <c r="AQ389" t="s">
        <v>86</v>
      </c>
      <c r="AR389" t="s">
        <v>97</v>
      </c>
      <c r="AS389" t="s">
        <v>76</v>
      </c>
      <c r="AT389" t="s">
        <v>73</v>
      </c>
      <c r="AU389">
        <v>1</v>
      </c>
      <c r="AV389">
        <v>0</v>
      </c>
      <c r="AW389">
        <v>0</v>
      </c>
      <c r="AX389">
        <v>0</v>
      </c>
      <c r="AY389">
        <v>0</v>
      </c>
      <c r="AZ389" t="s">
        <v>580</v>
      </c>
    </row>
    <row r="390" spans="1:52" x14ac:dyDescent="0.2">
      <c r="A390">
        <v>0</v>
      </c>
      <c r="B390">
        <v>0</v>
      </c>
      <c r="C390">
        <v>1</v>
      </c>
      <c r="D390">
        <v>0</v>
      </c>
      <c r="E390">
        <v>1</v>
      </c>
      <c r="F390">
        <v>0</v>
      </c>
      <c r="G390">
        <v>0</v>
      </c>
      <c r="H390">
        <v>0</v>
      </c>
      <c r="I390">
        <v>0</v>
      </c>
      <c r="L390">
        <v>1</v>
      </c>
      <c r="M390">
        <v>0</v>
      </c>
      <c r="N390">
        <v>0</v>
      </c>
      <c r="O390">
        <v>0</v>
      </c>
      <c r="P390">
        <v>0</v>
      </c>
      <c r="Q390" t="s">
        <v>584</v>
      </c>
      <c r="R390">
        <v>0</v>
      </c>
      <c r="S390">
        <v>0</v>
      </c>
      <c r="T390">
        <v>0</v>
      </c>
      <c r="U390">
        <v>0</v>
      </c>
      <c r="V390">
        <v>0</v>
      </c>
      <c r="W390">
        <v>0</v>
      </c>
      <c r="X390">
        <v>1</v>
      </c>
      <c r="Y390">
        <v>0</v>
      </c>
      <c r="Z390">
        <v>0</v>
      </c>
      <c r="AL390" t="s">
        <v>73</v>
      </c>
      <c r="AM390" t="s">
        <v>86</v>
      </c>
      <c r="AN390" t="s">
        <v>86</v>
      </c>
      <c r="AO390" t="s">
        <v>87</v>
      </c>
      <c r="AP390" t="s">
        <v>87</v>
      </c>
      <c r="AQ390" t="s">
        <v>87</v>
      </c>
      <c r="AR390" t="s">
        <v>97</v>
      </c>
      <c r="AS390" t="s">
        <v>76</v>
      </c>
      <c r="AT390" t="s">
        <v>73</v>
      </c>
      <c r="AU390">
        <v>1</v>
      </c>
      <c r="AV390">
        <v>0</v>
      </c>
      <c r="AW390">
        <v>0</v>
      </c>
      <c r="AX390">
        <v>0</v>
      </c>
      <c r="AY390">
        <v>0</v>
      </c>
      <c r="AZ390" t="s">
        <v>581</v>
      </c>
    </row>
    <row r="391" spans="1:52" x14ac:dyDescent="0.2">
      <c r="A391">
        <v>0</v>
      </c>
      <c r="B391">
        <v>1</v>
      </c>
      <c r="C391">
        <v>0</v>
      </c>
      <c r="D391">
        <v>0</v>
      </c>
      <c r="E391">
        <v>0</v>
      </c>
      <c r="F391">
        <v>1</v>
      </c>
      <c r="G391">
        <v>0</v>
      </c>
      <c r="H391">
        <v>0</v>
      </c>
      <c r="I391">
        <v>0</v>
      </c>
      <c r="J391" t="s">
        <v>88</v>
      </c>
      <c r="K391" t="s">
        <v>89</v>
      </c>
      <c r="L391">
        <v>1</v>
      </c>
      <c r="M391">
        <v>0</v>
      </c>
      <c r="N391">
        <v>0</v>
      </c>
      <c r="O391">
        <v>0</v>
      </c>
      <c r="P391">
        <v>0</v>
      </c>
      <c r="Q391" t="s">
        <v>584</v>
      </c>
      <c r="R391">
        <v>0</v>
      </c>
      <c r="S391">
        <v>0</v>
      </c>
      <c r="T391">
        <v>0</v>
      </c>
      <c r="U391">
        <v>0</v>
      </c>
      <c r="V391">
        <v>0</v>
      </c>
      <c r="W391">
        <v>0</v>
      </c>
      <c r="X391">
        <v>0</v>
      </c>
      <c r="Y391">
        <v>0</v>
      </c>
      <c r="Z391">
        <v>1</v>
      </c>
      <c r="AL391" t="s">
        <v>107</v>
      </c>
      <c r="AM391" t="s">
        <v>87</v>
      </c>
      <c r="AN391" t="s">
        <v>87</v>
      </c>
      <c r="AO391" t="s">
        <v>87</v>
      </c>
      <c r="AP391" t="s">
        <v>74</v>
      </c>
      <c r="AQ391" t="s">
        <v>87</v>
      </c>
      <c r="AR391" t="s">
        <v>113</v>
      </c>
      <c r="AS391" t="s">
        <v>76</v>
      </c>
      <c r="AT391" t="s">
        <v>107</v>
      </c>
      <c r="AU391">
        <v>1</v>
      </c>
      <c r="AV391">
        <v>0</v>
      </c>
      <c r="AW391">
        <v>0</v>
      </c>
      <c r="AX391">
        <v>0</v>
      </c>
      <c r="AY391">
        <v>0</v>
      </c>
      <c r="AZ391" t="s">
        <v>580</v>
      </c>
    </row>
    <row r="392" spans="1:52" x14ac:dyDescent="0.2">
      <c r="A392">
        <v>0</v>
      </c>
      <c r="B392">
        <v>1</v>
      </c>
      <c r="C392">
        <v>0</v>
      </c>
      <c r="D392">
        <v>0</v>
      </c>
      <c r="E392">
        <v>0</v>
      </c>
      <c r="F392">
        <v>0</v>
      </c>
      <c r="G392">
        <v>0</v>
      </c>
      <c r="H392">
        <v>1</v>
      </c>
      <c r="I392">
        <v>0</v>
      </c>
      <c r="J392" t="s">
        <v>135</v>
      </c>
      <c r="K392" t="s">
        <v>80</v>
      </c>
      <c r="L392">
        <v>1</v>
      </c>
      <c r="M392">
        <v>0</v>
      </c>
      <c r="N392">
        <v>0</v>
      </c>
      <c r="O392">
        <v>0</v>
      </c>
      <c r="P392">
        <v>0</v>
      </c>
      <c r="Q392" t="s">
        <v>584</v>
      </c>
      <c r="R392">
        <v>0</v>
      </c>
      <c r="S392">
        <v>0</v>
      </c>
      <c r="T392">
        <v>0</v>
      </c>
      <c r="U392">
        <v>0</v>
      </c>
      <c r="V392">
        <v>0</v>
      </c>
      <c r="W392">
        <v>0</v>
      </c>
      <c r="X392">
        <v>0</v>
      </c>
      <c r="Y392">
        <v>0</v>
      </c>
      <c r="Z392">
        <v>1</v>
      </c>
      <c r="AL392" t="s">
        <v>96</v>
      </c>
      <c r="AM392" t="s">
        <v>87</v>
      </c>
      <c r="AN392" t="s">
        <v>87</v>
      </c>
      <c r="AO392" t="s">
        <v>86</v>
      </c>
      <c r="AP392" t="s">
        <v>86</v>
      </c>
      <c r="AQ392" t="s">
        <v>86</v>
      </c>
      <c r="AR392" t="s">
        <v>97</v>
      </c>
      <c r="AS392" t="s">
        <v>76</v>
      </c>
      <c r="AT392" t="s">
        <v>96</v>
      </c>
      <c r="AU392">
        <v>1</v>
      </c>
      <c r="AV392">
        <v>0</v>
      </c>
      <c r="AW392">
        <v>0</v>
      </c>
      <c r="AX392">
        <v>0</v>
      </c>
      <c r="AY392">
        <v>0</v>
      </c>
      <c r="AZ392" t="s">
        <v>580</v>
      </c>
    </row>
    <row r="393" spans="1:52" x14ac:dyDescent="0.2">
      <c r="A393">
        <v>0</v>
      </c>
      <c r="B393">
        <v>1</v>
      </c>
      <c r="C393">
        <v>0</v>
      </c>
      <c r="D393">
        <v>0</v>
      </c>
      <c r="E393">
        <v>0</v>
      </c>
      <c r="F393">
        <v>1</v>
      </c>
      <c r="G393">
        <v>1</v>
      </c>
      <c r="H393">
        <v>1</v>
      </c>
      <c r="I393">
        <v>0</v>
      </c>
      <c r="J393" t="s">
        <v>88</v>
      </c>
      <c r="K393" t="s">
        <v>89</v>
      </c>
      <c r="L393">
        <v>0</v>
      </c>
      <c r="M393">
        <v>1</v>
      </c>
      <c r="N393">
        <v>0</v>
      </c>
      <c r="O393">
        <v>0</v>
      </c>
      <c r="P393">
        <v>0</v>
      </c>
      <c r="Q393" t="s">
        <v>584</v>
      </c>
      <c r="AA393" t="s">
        <v>83</v>
      </c>
      <c r="AB393" t="s">
        <v>82</v>
      </c>
      <c r="AC393" t="s">
        <v>82</v>
      </c>
      <c r="AD393" t="s">
        <v>82</v>
      </c>
      <c r="AE393" t="s">
        <v>81</v>
      </c>
      <c r="AF393" t="s">
        <v>81</v>
      </c>
      <c r="AG393" t="s">
        <v>83</v>
      </c>
      <c r="AH393" t="s">
        <v>83</v>
      </c>
      <c r="AI393" t="s">
        <v>88</v>
      </c>
      <c r="AJ393" t="s">
        <v>89</v>
      </c>
      <c r="AK393" t="s">
        <v>100</v>
      </c>
      <c r="AL393" t="s">
        <v>73</v>
      </c>
      <c r="AM393" t="s">
        <v>87</v>
      </c>
      <c r="AN393" t="s">
        <v>87</v>
      </c>
      <c r="AO393" t="s">
        <v>87</v>
      </c>
      <c r="AP393" t="s">
        <v>87</v>
      </c>
      <c r="AQ393" t="s">
        <v>87</v>
      </c>
      <c r="AR393" t="s">
        <v>97</v>
      </c>
      <c r="AS393" t="s">
        <v>76</v>
      </c>
      <c r="AT393" t="s">
        <v>73</v>
      </c>
      <c r="AU393">
        <v>1</v>
      </c>
      <c r="AV393">
        <v>0</v>
      </c>
      <c r="AW393">
        <v>0</v>
      </c>
      <c r="AX393">
        <v>0</v>
      </c>
      <c r="AY393">
        <v>0</v>
      </c>
      <c r="AZ393" t="s">
        <v>580</v>
      </c>
    </row>
    <row r="394" spans="1:52" x14ac:dyDescent="0.2">
      <c r="A394">
        <v>0</v>
      </c>
      <c r="B394">
        <v>1</v>
      </c>
      <c r="C394">
        <v>0</v>
      </c>
      <c r="D394">
        <v>0</v>
      </c>
      <c r="E394">
        <v>1</v>
      </c>
      <c r="F394">
        <v>0</v>
      </c>
      <c r="G394">
        <v>0</v>
      </c>
      <c r="H394">
        <v>0</v>
      </c>
      <c r="I394">
        <v>0</v>
      </c>
      <c r="L394">
        <v>1</v>
      </c>
      <c r="M394">
        <v>0</v>
      </c>
      <c r="N394">
        <v>0</v>
      </c>
      <c r="O394">
        <v>0</v>
      </c>
      <c r="P394">
        <v>0</v>
      </c>
      <c r="Q394" t="s">
        <v>584</v>
      </c>
      <c r="R394">
        <v>0</v>
      </c>
      <c r="S394">
        <v>0</v>
      </c>
      <c r="T394">
        <v>0</v>
      </c>
      <c r="U394">
        <v>0</v>
      </c>
      <c r="V394">
        <v>0</v>
      </c>
      <c r="W394">
        <v>0</v>
      </c>
      <c r="X394">
        <v>0</v>
      </c>
      <c r="Y394">
        <v>0</v>
      </c>
      <c r="Z394">
        <v>1</v>
      </c>
      <c r="AL394" t="s">
        <v>96</v>
      </c>
      <c r="AM394" t="s">
        <v>86</v>
      </c>
      <c r="AN394" t="s">
        <v>87</v>
      </c>
      <c r="AO394" t="s">
        <v>74</v>
      </c>
      <c r="AP394" t="s">
        <v>87</v>
      </c>
      <c r="AQ394" t="s">
        <v>87</v>
      </c>
      <c r="AR394" t="s">
        <v>97</v>
      </c>
      <c r="AS394" t="s">
        <v>76</v>
      </c>
      <c r="AT394" t="s">
        <v>96</v>
      </c>
      <c r="AU394">
        <v>1</v>
      </c>
      <c r="AV394">
        <v>0</v>
      </c>
      <c r="AW394">
        <v>0</v>
      </c>
      <c r="AX394">
        <v>0</v>
      </c>
      <c r="AY394">
        <v>0</v>
      </c>
      <c r="AZ394" t="s">
        <v>580</v>
      </c>
    </row>
    <row r="395" spans="1:52" x14ac:dyDescent="0.2">
      <c r="A395">
        <v>0</v>
      </c>
      <c r="B395">
        <v>1</v>
      </c>
      <c r="C395">
        <v>0</v>
      </c>
      <c r="D395">
        <v>0</v>
      </c>
      <c r="E395">
        <v>0</v>
      </c>
      <c r="F395">
        <v>1</v>
      </c>
      <c r="G395">
        <v>0</v>
      </c>
      <c r="H395">
        <v>1</v>
      </c>
      <c r="I395">
        <v>0</v>
      </c>
      <c r="J395" t="s">
        <v>88</v>
      </c>
      <c r="K395" t="s">
        <v>89</v>
      </c>
      <c r="L395">
        <v>0</v>
      </c>
      <c r="M395">
        <v>0</v>
      </c>
      <c r="N395">
        <v>0</v>
      </c>
      <c r="O395">
        <v>0</v>
      </c>
      <c r="P395">
        <v>1</v>
      </c>
      <c r="Q395" t="s">
        <v>584</v>
      </c>
      <c r="AA395" t="s">
        <v>90</v>
      </c>
      <c r="AB395" t="s">
        <v>81</v>
      </c>
      <c r="AC395" t="s">
        <v>81</v>
      </c>
      <c r="AD395" t="s">
        <v>90</v>
      </c>
      <c r="AE395" t="s">
        <v>82</v>
      </c>
      <c r="AF395" t="s">
        <v>81</v>
      </c>
      <c r="AG395" t="s">
        <v>90</v>
      </c>
      <c r="AH395" t="s">
        <v>90</v>
      </c>
      <c r="AI395" t="s">
        <v>88</v>
      </c>
      <c r="AJ395" t="s">
        <v>89</v>
      </c>
      <c r="AK395" t="s">
        <v>100</v>
      </c>
      <c r="AL395" t="s">
        <v>107</v>
      </c>
      <c r="AM395" t="s">
        <v>86</v>
      </c>
      <c r="AN395" t="s">
        <v>86</v>
      </c>
      <c r="AO395" t="s">
        <v>86</v>
      </c>
      <c r="AP395" t="s">
        <v>86</v>
      </c>
      <c r="AQ395" t="s">
        <v>86</v>
      </c>
      <c r="AR395" t="s">
        <v>101</v>
      </c>
      <c r="AS395" t="s">
        <v>76</v>
      </c>
      <c r="AT395" t="s">
        <v>107</v>
      </c>
      <c r="AU395">
        <v>0</v>
      </c>
      <c r="AV395">
        <v>0</v>
      </c>
      <c r="AW395">
        <v>0</v>
      </c>
      <c r="AX395">
        <v>0</v>
      </c>
      <c r="AY395">
        <v>1</v>
      </c>
      <c r="AZ395" t="s">
        <v>580</v>
      </c>
    </row>
    <row r="396" spans="1:52" x14ac:dyDescent="0.2">
      <c r="A396">
        <v>0</v>
      </c>
      <c r="B396">
        <v>1</v>
      </c>
      <c r="C396">
        <v>0</v>
      </c>
      <c r="D396">
        <v>0</v>
      </c>
      <c r="E396">
        <v>0</v>
      </c>
      <c r="F396">
        <v>1</v>
      </c>
      <c r="G396">
        <v>0</v>
      </c>
      <c r="H396">
        <v>0</v>
      </c>
      <c r="I396">
        <v>0</v>
      </c>
      <c r="J396" t="s">
        <v>135</v>
      </c>
      <c r="K396" t="s">
        <v>80</v>
      </c>
      <c r="L396">
        <v>1</v>
      </c>
      <c r="M396">
        <v>0</v>
      </c>
      <c r="N396">
        <v>0</v>
      </c>
      <c r="O396">
        <v>0</v>
      </c>
      <c r="P396">
        <v>0</v>
      </c>
      <c r="Q396" t="s">
        <v>584</v>
      </c>
      <c r="R396">
        <v>0</v>
      </c>
      <c r="S396">
        <v>0</v>
      </c>
      <c r="T396">
        <v>0</v>
      </c>
      <c r="U396">
        <v>0</v>
      </c>
      <c r="V396">
        <v>0</v>
      </c>
      <c r="W396">
        <v>0</v>
      </c>
      <c r="X396">
        <v>1</v>
      </c>
      <c r="Y396">
        <v>0</v>
      </c>
      <c r="Z396">
        <v>0</v>
      </c>
      <c r="AL396" t="s">
        <v>107</v>
      </c>
      <c r="AM396" t="s">
        <v>74</v>
      </c>
      <c r="AR396" t="s">
        <v>97</v>
      </c>
      <c r="AS396" t="s">
        <v>76</v>
      </c>
      <c r="AT396" t="s">
        <v>107</v>
      </c>
      <c r="AU396">
        <v>1</v>
      </c>
      <c r="AV396">
        <v>0</v>
      </c>
      <c r="AW396">
        <v>0</v>
      </c>
      <c r="AX396">
        <v>0</v>
      </c>
      <c r="AY396">
        <v>0</v>
      </c>
      <c r="AZ396" t="s">
        <v>580</v>
      </c>
    </row>
    <row r="397" spans="1:52" x14ac:dyDescent="0.2">
      <c r="A397">
        <v>0</v>
      </c>
      <c r="B397">
        <v>1</v>
      </c>
      <c r="C397">
        <v>0</v>
      </c>
      <c r="D397">
        <v>0</v>
      </c>
      <c r="E397">
        <v>0</v>
      </c>
      <c r="F397">
        <v>1</v>
      </c>
      <c r="G397">
        <v>1</v>
      </c>
      <c r="H397">
        <v>1</v>
      </c>
      <c r="I397">
        <v>0</v>
      </c>
      <c r="J397" t="s">
        <v>88</v>
      </c>
      <c r="K397" t="s">
        <v>89</v>
      </c>
      <c r="L397">
        <v>0</v>
      </c>
      <c r="M397">
        <v>1</v>
      </c>
      <c r="N397">
        <v>0</v>
      </c>
      <c r="O397">
        <v>0</v>
      </c>
      <c r="P397">
        <v>0</v>
      </c>
      <c r="Q397" t="s">
        <v>584</v>
      </c>
      <c r="AA397" t="s">
        <v>90</v>
      </c>
      <c r="AB397" t="s">
        <v>82</v>
      </c>
      <c r="AC397" t="s">
        <v>81</v>
      </c>
      <c r="AD397" t="s">
        <v>81</v>
      </c>
      <c r="AE397" t="s">
        <v>90</v>
      </c>
      <c r="AF397" t="s">
        <v>90</v>
      </c>
      <c r="AG397" t="s">
        <v>90</v>
      </c>
      <c r="AH397" t="s">
        <v>90</v>
      </c>
      <c r="AI397" t="s">
        <v>88</v>
      </c>
      <c r="AJ397" t="s">
        <v>89</v>
      </c>
      <c r="AK397" t="s">
        <v>100</v>
      </c>
      <c r="AL397" t="s">
        <v>73</v>
      </c>
      <c r="AM397" t="s">
        <v>87</v>
      </c>
      <c r="AN397" t="s">
        <v>87</v>
      </c>
      <c r="AO397" t="s">
        <v>87</v>
      </c>
      <c r="AP397" t="s">
        <v>87</v>
      </c>
      <c r="AQ397" t="s">
        <v>87</v>
      </c>
      <c r="AR397" t="s">
        <v>97</v>
      </c>
      <c r="AS397" t="s">
        <v>76</v>
      </c>
      <c r="AT397" t="s">
        <v>73</v>
      </c>
      <c r="AU397">
        <v>1</v>
      </c>
      <c r="AV397">
        <v>0</v>
      </c>
      <c r="AW397">
        <v>0</v>
      </c>
      <c r="AX397">
        <v>0</v>
      </c>
      <c r="AY397">
        <v>0</v>
      </c>
      <c r="AZ397" t="s">
        <v>580</v>
      </c>
    </row>
    <row r="398" spans="1:52" x14ac:dyDescent="0.2">
      <c r="A398">
        <v>0</v>
      </c>
      <c r="B398">
        <v>1</v>
      </c>
      <c r="C398">
        <v>0</v>
      </c>
      <c r="D398">
        <v>0</v>
      </c>
      <c r="E398">
        <v>0</v>
      </c>
      <c r="F398">
        <v>1</v>
      </c>
      <c r="G398">
        <v>0</v>
      </c>
      <c r="H398">
        <v>0</v>
      </c>
      <c r="I398">
        <v>0</v>
      </c>
      <c r="J398" t="s">
        <v>79</v>
      </c>
      <c r="K398" t="s">
        <v>80</v>
      </c>
      <c r="L398">
        <v>0</v>
      </c>
      <c r="M398">
        <v>1</v>
      </c>
      <c r="N398">
        <v>0</v>
      </c>
      <c r="O398">
        <v>0</v>
      </c>
      <c r="P398">
        <v>0</v>
      </c>
      <c r="Q398" t="s">
        <v>584</v>
      </c>
      <c r="AA398" t="s">
        <v>82</v>
      </c>
      <c r="AB398" t="s">
        <v>82</v>
      </c>
      <c r="AC398" t="s">
        <v>83</v>
      </c>
      <c r="AD398" t="s">
        <v>83</v>
      </c>
      <c r="AE398" t="s">
        <v>83</v>
      </c>
      <c r="AF398" t="s">
        <v>82</v>
      </c>
      <c r="AG398" t="s">
        <v>90</v>
      </c>
      <c r="AH398" t="s">
        <v>83</v>
      </c>
      <c r="AI398" t="s">
        <v>84</v>
      </c>
      <c r="AJ398" t="s">
        <v>80</v>
      </c>
      <c r="AK398" t="s">
        <v>85</v>
      </c>
      <c r="AL398" t="s">
        <v>73</v>
      </c>
      <c r="AM398" t="s">
        <v>87</v>
      </c>
      <c r="AN398" t="s">
        <v>74</v>
      </c>
      <c r="AO398" t="s">
        <v>87</v>
      </c>
      <c r="AP398" t="s">
        <v>87</v>
      </c>
      <c r="AQ398" t="s">
        <v>87</v>
      </c>
      <c r="AR398" t="s">
        <v>75</v>
      </c>
      <c r="AS398" t="s">
        <v>76</v>
      </c>
      <c r="AT398" t="s">
        <v>73</v>
      </c>
      <c r="AU398">
        <v>0</v>
      </c>
      <c r="AV398">
        <v>0</v>
      </c>
      <c r="AW398">
        <v>0</v>
      </c>
      <c r="AX398">
        <v>0</v>
      </c>
      <c r="AY398">
        <v>1</v>
      </c>
      <c r="AZ398" t="s">
        <v>579</v>
      </c>
    </row>
    <row r="399" spans="1:52" x14ac:dyDescent="0.2">
      <c r="A399">
        <v>0</v>
      </c>
      <c r="B399">
        <v>1</v>
      </c>
      <c r="C399">
        <v>0</v>
      </c>
      <c r="D399">
        <v>0</v>
      </c>
      <c r="E399">
        <v>1</v>
      </c>
      <c r="F399">
        <v>0</v>
      </c>
      <c r="G399">
        <v>0</v>
      </c>
      <c r="H399">
        <v>0</v>
      </c>
      <c r="I399">
        <v>0</v>
      </c>
      <c r="L399">
        <v>1</v>
      </c>
      <c r="M399">
        <v>0</v>
      </c>
      <c r="N399">
        <v>0</v>
      </c>
      <c r="O399">
        <v>0</v>
      </c>
      <c r="P399">
        <v>0</v>
      </c>
      <c r="Q399" t="s">
        <v>584</v>
      </c>
      <c r="R399">
        <v>0</v>
      </c>
      <c r="S399">
        <v>0</v>
      </c>
      <c r="T399">
        <v>1</v>
      </c>
      <c r="U399">
        <v>0</v>
      </c>
      <c r="V399">
        <v>1</v>
      </c>
      <c r="W399">
        <v>0</v>
      </c>
      <c r="X399">
        <v>0</v>
      </c>
      <c r="Y399">
        <v>1</v>
      </c>
      <c r="Z399">
        <v>1</v>
      </c>
      <c r="AL399" t="s">
        <v>107</v>
      </c>
      <c r="AM399" t="s">
        <v>87</v>
      </c>
      <c r="AN399" t="s">
        <v>87</v>
      </c>
      <c r="AO399" t="s">
        <v>87</v>
      </c>
      <c r="AP399" t="s">
        <v>87</v>
      </c>
      <c r="AQ399" t="s">
        <v>87</v>
      </c>
      <c r="AR399" t="s">
        <v>75</v>
      </c>
      <c r="AS399" t="s">
        <v>76</v>
      </c>
      <c r="AT399" t="s">
        <v>107</v>
      </c>
      <c r="AU399">
        <v>0</v>
      </c>
      <c r="AV399">
        <v>0</v>
      </c>
      <c r="AW399">
        <v>0</v>
      </c>
      <c r="AX399">
        <v>1</v>
      </c>
      <c r="AY399">
        <v>0</v>
      </c>
      <c r="AZ399" t="s">
        <v>580</v>
      </c>
    </row>
    <row r="400" spans="1:52" x14ac:dyDescent="0.2">
      <c r="A400">
        <v>1</v>
      </c>
      <c r="B400">
        <v>0</v>
      </c>
      <c r="C400">
        <v>0</v>
      </c>
      <c r="D400">
        <v>0</v>
      </c>
      <c r="E400">
        <v>0</v>
      </c>
      <c r="F400">
        <v>1</v>
      </c>
      <c r="G400">
        <v>1</v>
      </c>
      <c r="H400">
        <v>0</v>
      </c>
      <c r="I400">
        <v>0</v>
      </c>
      <c r="J400" t="s">
        <v>88</v>
      </c>
      <c r="K400" t="s">
        <v>89</v>
      </c>
      <c r="L400">
        <v>0</v>
      </c>
      <c r="M400">
        <v>0</v>
      </c>
      <c r="N400">
        <v>1</v>
      </c>
      <c r="O400">
        <v>0</v>
      </c>
      <c r="P400">
        <v>0</v>
      </c>
      <c r="Q400" t="s">
        <v>584</v>
      </c>
      <c r="AA400" t="s">
        <v>83</v>
      </c>
      <c r="AB400" t="s">
        <v>82</v>
      </c>
      <c r="AC400" t="s">
        <v>83</v>
      </c>
      <c r="AD400" t="s">
        <v>81</v>
      </c>
      <c r="AE400" t="s">
        <v>83</v>
      </c>
      <c r="AF400" t="s">
        <v>83</v>
      </c>
      <c r="AG400" t="s">
        <v>83</v>
      </c>
      <c r="AH400" t="s">
        <v>83</v>
      </c>
      <c r="AI400" t="s">
        <v>88</v>
      </c>
      <c r="AJ400" t="s">
        <v>89</v>
      </c>
      <c r="AK400" t="s">
        <v>100</v>
      </c>
      <c r="AL400" t="s">
        <v>73</v>
      </c>
      <c r="AM400" t="s">
        <v>87</v>
      </c>
      <c r="AN400" t="s">
        <v>87</v>
      </c>
      <c r="AO400" t="s">
        <v>87</v>
      </c>
      <c r="AP400" t="s">
        <v>87</v>
      </c>
      <c r="AQ400" t="s">
        <v>87</v>
      </c>
      <c r="AR400" t="s">
        <v>75</v>
      </c>
      <c r="AS400" t="s">
        <v>76</v>
      </c>
      <c r="AT400" t="s">
        <v>73</v>
      </c>
      <c r="AU400">
        <v>1</v>
      </c>
      <c r="AV400">
        <v>0</v>
      </c>
      <c r="AW400">
        <v>0</v>
      </c>
      <c r="AX400">
        <v>0</v>
      </c>
      <c r="AY400">
        <v>0</v>
      </c>
      <c r="AZ400" t="s">
        <v>580</v>
      </c>
    </row>
    <row r="401" spans="1:52" x14ac:dyDescent="0.2">
      <c r="A401">
        <v>1</v>
      </c>
      <c r="B401">
        <v>0</v>
      </c>
      <c r="C401">
        <v>0</v>
      </c>
      <c r="D401">
        <v>0</v>
      </c>
      <c r="E401">
        <v>1</v>
      </c>
      <c r="F401">
        <v>0</v>
      </c>
      <c r="G401">
        <v>0</v>
      </c>
      <c r="H401">
        <v>0</v>
      </c>
      <c r="I401">
        <v>0</v>
      </c>
      <c r="L401">
        <v>0</v>
      </c>
      <c r="M401">
        <v>1</v>
      </c>
      <c r="N401">
        <v>1</v>
      </c>
      <c r="O401">
        <v>0</v>
      </c>
      <c r="P401">
        <v>0</v>
      </c>
      <c r="Q401" t="s">
        <v>584</v>
      </c>
      <c r="AA401" t="s">
        <v>82</v>
      </c>
      <c r="AB401" t="s">
        <v>81</v>
      </c>
      <c r="AC401" t="s">
        <v>81</v>
      </c>
      <c r="AD401" t="s">
        <v>81</v>
      </c>
      <c r="AE401" t="s">
        <v>81</v>
      </c>
      <c r="AF401" t="s">
        <v>82</v>
      </c>
      <c r="AG401" t="s">
        <v>81</v>
      </c>
      <c r="AH401" t="s">
        <v>81</v>
      </c>
      <c r="AI401" t="s">
        <v>135</v>
      </c>
      <c r="AJ401" t="s">
        <v>89</v>
      </c>
      <c r="AK401" t="s">
        <v>85</v>
      </c>
      <c r="AL401" t="s">
        <v>120</v>
      </c>
      <c r="AM401" t="s">
        <v>86</v>
      </c>
      <c r="AN401" t="s">
        <v>87</v>
      </c>
      <c r="AO401" t="s">
        <v>87</v>
      </c>
      <c r="AP401" t="s">
        <v>74</v>
      </c>
      <c r="AQ401" t="s">
        <v>87</v>
      </c>
      <c r="AR401" t="s">
        <v>75</v>
      </c>
      <c r="AS401" t="s">
        <v>76</v>
      </c>
      <c r="AT401" t="s">
        <v>120</v>
      </c>
      <c r="AU401">
        <v>1</v>
      </c>
      <c r="AV401">
        <v>0</v>
      </c>
      <c r="AW401">
        <v>0</v>
      </c>
      <c r="AX401">
        <v>0</v>
      </c>
      <c r="AY401">
        <v>0</v>
      </c>
      <c r="AZ401" t="s">
        <v>580</v>
      </c>
    </row>
    <row r="402" spans="1:52" x14ac:dyDescent="0.2">
      <c r="A402">
        <v>0</v>
      </c>
      <c r="B402">
        <v>0</v>
      </c>
      <c r="C402">
        <v>0</v>
      </c>
      <c r="D402">
        <v>1</v>
      </c>
      <c r="L402">
        <v>1</v>
      </c>
      <c r="M402">
        <v>0</v>
      </c>
      <c r="N402">
        <v>0</v>
      </c>
      <c r="O402">
        <v>0</v>
      </c>
      <c r="P402">
        <v>0</v>
      </c>
      <c r="Q402" t="s">
        <v>584</v>
      </c>
      <c r="R402">
        <v>0</v>
      </c>
      <c r="S402">
        <v>0</v>
      </c>
      <c r="T402">
        <v>1</v>
      </c>
      <c r="U402">
        <v>0</v>
      </c>
      <c r="V402">
        <v>0</v>
      </c>
      <c r="W402">
        <v>0</v>
      </c>
      <c r="X402">
        <v>0</v>
      </c>
      <c r="Y402">
        <v>0</v>
      </c>
      <c r="Z402">
        <v>0</v>
      </c>
      <c r="AL402" t="s">
        <v>96</v>
      </c>
      <c r="AR402" t="s">
        <v>97</v>
      </c>
      <c r="AS402" t="s">
        <v>76</v>
      </c>
      <c r="AT402" t="s">
        <v>96</v>
      </c>
      <c r="AU402">
        <v>0</v>
      </c>
      <c r="AV402">
        <v>0</v>
      </c>
      <c r="AW402">
        <v>0</v>
      </c>
      <c r="AX402">
        <v>0</v>
      </c>
      <c r="AY402">
        <v>1</v>
      </c>
      <c r="AZ402" t="s">
        <v>581</v>
      </c>
    </row>
    <row r="403" spans="1:52" x14ac:dyDescent="0.2">
      <c r="A403">
        <v>0</v>
      </c>
      <c r="B403">
        <v>1</v>
      </c>
      <c r="C403">
        <v>0</v>
      </c>
      <c r="D403">
        <v>0</v>
      </c>
      <c r="E403">
        <v>1</v>
      </c>
      <c r="F403">
        <v>0</v>
      </c>
      <c r="G403">
        <v>0</v>
      </c>
      <c r="H403">
        <v>0</v>
      </c>
      <c r="I403">
        <v>0</v>
      </c>
      <c r="L403">
        <v>0</v>
      </c>
      <c r="M403">
        <v>1</v>
      </c>
      <c r="N403">
        <v>0</v>
      </c>
      <c r="O403">
        <v>0</v>
      </c>
      <c r="P403">
        <v>0</v>
      </c>
      <c r="Q403" t="s">
        <v>584</v>
      </c>
      <c r="AA403" t="s">
        <v>90</v>
      </c>
      <c r="AB403" t="s">
        <v>82</v>
      </c>
      <c r="AC403" t="s">
        <v>90</v>
      </c>
      <c r="AD403" t="s">
        <v>90</v>
      </c>
      <c r="AE403" t="s">
        <v>90</v>
      </c>
      <c r="AF403" t="s">
        <v>90</v>
      </c>
      <c r="AG403" t="s">
        <v>90</v>
      </c>
      <c r="AH403" t="s">
        <v>90</v>
      </c>
      <c r="AI403" t="s">
        <v>127</v>
      </c>
      <c r="AJ403" t="s">
        <v>127</v>
      </c>
      <c r="AL403" t="s">
        <v>107</v>
      </c>
      <c r="AM403" t="s">
        <v>74</v>
      </c>
      <c r="AR403" t="s">
        <v>97</v>
      </c>
      <c r="AS403" t="s">
        <v>76</v>
      </c>
      <c r="AT403" t="s">
        <v>107</v>
      </c>
      <c r="AU403">
        <v>1</v>
      </c>
      <c r="AV403">
        <v>0</v>
      </c>
      <c r="AW403">
        <v>0</v>
      </c>
      <c r="AX403">
        <v>0</v>
      </c>
      <c r="AY403">
        <v>0</v>
      </c>
      <c r="AZ403" t="s">
        <v>580</v>
      </c>
    </row>
    <row r="404" spans="1:52" x14ac:dyDescent="0.2">
      <c r="A404">
        <v>1</v>
      </c>
      <c r="B404">
        <v>0</v>
      </c>
      <c r="C404">
        <v>0</v>
      </c>
      <c r="D404">
        <v>0</v>
      </c>
      <c r="E404">
        <v>0</v>
      </c>
      <c r="F404">
        <v>0</v>
      </c>
      <c r="G404">
        <v>1</v>
      </c>
      <c r="H404">
        <v>0</v>
      </c>
      <c r="I404">
        <v>0</v>
      </c>
      <c r="J404" t="s">
        <v>79</v>
      </c>
      <c r="K404" t="s">
        <v>80</v>
      </c>
      <c r="L404">
        <v>0</v>
      </c>
      <c r="M404">
        <v>0</v>
      </c>
      <c r="N404">
        <v>1</v>
      </c>
      <c r="O404">
        <v>0</v>
      </c>
      <c r="P404">
        <v>0</v>
      </c>
      <c r="Q404" t="s">
        <v>584</v>
      </c>
      <c r="AA404" t="s">
        <v>81</v>
      </c>
      <c r="AB404" t="s">
        <v>83</v>
      </c>
      <c r="AC404" t="s">
        <v>83</v>
      </c>
      <c r="AD404" t="s">
        <v>81</v>
      </c>
      <c r="AE404" t="s">
        <v>82</v>
      </c>
      <c r="AF404" t="s">
        <v>83</v>
      </c>
      <c r="AG404" t="s">
        <v>83</v>
      </c>
      <c r="AH404" t="s">
        <v>83</v>
      </c>
      <c r="AI404" t="s">
        <v>88</v>
      </c>
      <c r="AJ404" t="s">
        <v>89</v>
      </c>
      <c r="AK404" t="s">
        <v>85</v>
      </c>
      <c r="AL404" t="s">
        <v>107</v>
      </c>
      <c r="AM404" t="s">
        <v>86</v>
      </c>
      <c r="AN404" t="s">
        <v>87</v>
      </c>
      <c r="AO404" t="s">
        <v>86</v>
      </c>
      <c r="AP404" t="s">
        <v>86</v>
      </c>
      <c r="AQ404" t="s">
        <v>87</v>
      </c>
      <c r="AR404" t="s">
        <v>75</v>
      </c>
      <c r="AS404" t="s">
        <v>76</v>
      </c>
      <c r="AT404" t="s">
        <v>107</v>
      </c>
      <c r="AU404">
        <v>1</v>
      </c>
      <c r="AV404">
        <v>0</v>
      </c>
      <c r="AW404">
        <v>0</v>
      </c>
      <c r="AX404">
        <v>0</v>
      </c>
      <c r="AY404">
        <v>0</v>
      </c>
      <c r="AZ404" t="s">
        <v>580</v>
      </c>
    </row>
    <row r="405" spans="1:52" x14ac:dyDescent="0.2">
      <c r="A405">
        <v>0</v>
      </c>
      <c r="B405">
        <v>1</v>
      </c>
      <c r="C405">
        <v>0</v>
      </c>
      <c r="D405">
        <v>0</v>
      </c>
      <c r="E405">
        <v>0</v>
      </c>
      <c r="F405">
        <v>0</v>
      </c>
      <c r="G405">
        <v>1</v>
      </c>
      <c r="H405">
        <v>0</v>
      </c>
      <c r="I405">
        <v>0</v>
      </c>
      <c r="J405" t="s">
        <v>135</v>
      </c>
      <c r="K405" t="s">
        <v>127</v>
      </c>
      <c r="L405">
        <v>0</v>
      </c>
      <c r="M405">
        <v>1</v>
      </c>
      <c r="N405">
        <v>0</v>
      </c>
      <c r="O405">
        <v>0</v>
      </c>
      <c r="P405">
        <v>0</v>
      </c>
      <c r="Q405" t="s">
        <v>584</v>
      </c>
      <c r="AA405" t="s">
        <v>81</v>
      </c>
      <c r="AB405" t="s">
        <v>82</v>
      </c>
      <c r="AC405" t="s">
        <v>83</v>
      </c>
      <c r="AD405" t="s">
        <v>81</v>
      </c>
      <c r="AE405" t="s">
        <v>81</v>
      </c>
      <c r="AF405" t="s">
        <v>83</v>
      </c>
      <c r="AG405" t="s">
        <v>83</v>
      </c>
      <c r="AH405" t="s">
        <v>83</v>
      </c>
      <c r="AI405" t="s">
        <v>88</v>
      </c>
      <c r="AJ405" t="s">
        <v>127</v>
      </c>
      <c r="AK405" t="s">
        <v>85</v>
      </c>
      <c r="AL405" t="s">
        <v>107</v>
      </c>
      <c r="AM405" t="s">
        <v>87</v>
      </c>
      <c r="AN405" t="s">
        <v>87</v>
      </c>
      <c r="AO405" t="s">
        <v>87</v>
      </c>
      <c r="AP405" t="s">
        <v>87</v>
      </c>
      <c r="AQ405" t="s">
        <v>87</v>
      </c>
      <c r="AR405" t="s">
        <v>75</v>
      </c>
      <c r="AS405" t="s">
        <v>76</v>
      </c>
      <c r="AT405" t="s">
        <v>107</v>
      </c>
      <c r="AU405">
        <v>1</v>
      </c>
      <c r="AV405">
        <v>0</v>
      </c>
      <c r="AW405">
        <v>0</v>
      </c>
      <c r="AX405">
        <v>0</v>
      </c>
      <c r="AY405">
        <v>0</v>
      </c>
      <c r="AZ405" t="s">
        <v>580</v>
      </c>
    </row>
    <row r="406" spans="1:52" x14ac:dyDescent="0.2">
      <c r="A406">
        <v>0</v>
      </c>
      <c r="B406">
        <v>1</v>
      </c>
      <c r="C406">
        <v>0</v>
      </c>
      <c r="D406">
        <v>0</v>
      </c>
      <c r="E406">
        <v>1</v>
      </c>
      <c r="F406">
        <v>0</v>
      </c>
      <c r="G406">
        <v>0</v>
      </c>
      <c r="H406">
        <v>0</v>
      </c>
      <c r="I406">
        <v>0</v>
      </c>
      <c r="L406">
        <v>1</v>
      </c>
      <c r="M406">
        <v>0</v>
      </c>
      <c r="N406">
        <v>0</v>
      </c>
      <c r="O406">
        <v>0</v>
      </c>
      <c r="P406">
        <v>0</v>
      </c>
      <c r="Q406" t="s">
        <v>584</v>
      </c>
      <c r="R406">
        <v>0</v>
      </c>
      <c r="S406">
        <v>0</v>
      </c>
      <c r="T406">
        <v>1</v>
      </c>
      <c r="U406">
        <v>0</v>
      </c>
      <c r="V406">
        <v>1</v>
      </c>
      <c r="W406">
        <v>0</v>
      </c>
      <c r="X406">
        <v>0</v>
      </c>
      <c r="Y406">
        <v>0</v>
      </c>
      <c r="Z406">
        <v>0</v>
      </c>
      <c r="AL406" t="s">
        <v>96</v>
      </c>
      <c r="AM406" t="s">
        <v>74</v>
      </c>
      <c r="AR406" t="s">
        <v>75</v>
      </c>
      <c r="AS406" t="s">
        <v>76</v>
      </c>
      <c r="AT406" t="s">
        <v>96</v>
      </c>
      <c r="AU406">
        <v>1</v>
      </c>
      <c r="AV406">
        <v>0</v>
      </c>
      <c r="AW406">
        <v>0</v>
      </c>
      <c r="AX406">
        <v>0</v>
      </c>
      <c r="AY406">
        <v>0</v>
      </c>
      <c r="AZ406" t="s">
        <v>580</v>
      </c>
    </row>
    <row r="407" spans="1:52" x14ac:dyDescent="0.2">
      <c r="A407">
        <v>1</v>
      </c>
      <c r="B407">
        <v>0</v>
      </c>
      <c r="C407">
        <v>0</v>
      </c>
      <c r="D407">
        <v>0</v>
      </c>
      <c r="E407">
        <v>0</v>
      </c>
      <c r="F407">
        <v>1</v>
      </c>
      <c r="G407">
        <v>0</v>
      </c>
      <c r="H407">
        <v>0</v>
      </c>
      <c r="I407">
        <v>0</v>
      </c>
      <c r="J407" t="s">
        <v>88</v>
      </c>
      <c r="K407" t="s">
        <v>80</v>
      </c>
      <c r="L407">
        <v>1</v>
      </c>
      <c r="M407">
        <v>0</v>
      </c>
      <c r="N407">
        <v>0</v>
      </c>
      <c r="O407">
        <v>0</v>
      </c>
      <c r="P407">
        <v>0</v>
      </c>
      <c r="Q407" t="s">
        <v>584</v>
      </c>
      <c r="R407">
        <v>0</v>
      </c>
      <c r="S407">
        <v>0</v>
      </c>
      <c r="T407">
        <v>0</v>
      </c>
      <c r="U407">
        <v>0</v>
      </c>
      <c r="V407">
        <v>0</v>
      </c>
      <c r="W407">
        <v>0</v>
      </c>
      <c r="X407">
        <v>0</v>
      </c>
      <c r="Y407">
        <v>0</v>
      </c>
      <c r="Z407">
        <v>1</v>
      </c>
      <c r="AL407" t="s">
        <v>73</v>
      </c>
      <c r="AM407" t="s">
        <v>86</v>
      </c>
      <c r="AN407" t="s">
        <v>74</v>
      </c>
      <c r="AO407" t="s">
        <v>86</v>
      </c>
      <c r="AP407" t="s">
        <v>74</v>
      </c>
      <c r="AQ407" t="s">
        <v>86</v>
      </c>
      <c r="AR407" t="s">
        <v>75</v>
      </c>
      <c r="AS407" t="s">
        <v>76</v>
      </c>
      <c r="AT407" t="s">
        <v>73</v>
      </c>
      <c r="AU407">
        <v>0</v>
      </c>
      <c r="AV407">
        <v>0</v>
      </c>
      <c r="AW407">
        <v>1</v>
      </c>
      <c r="AX407">
        <v>1</v>
      </c>
      <c r="AY407">
        <v>0</v>
      </c>
      <c r="AZ407" t="s">
        <v>580</v>
      </c>
    </row>
    <row r="408" spans="1:52" x14ac:dyDescent="0.2">
      <c r="A408">
        <v>0</v>
      </c>
      <c r="B408">
        <v>1</v>
      </c>
      <c r="C408">
        <v>0</v>
      </c>
      <c r="D408">
        <v>0</v>
      </c>
      <c r="E408">
        <v>0</v>
      </c>
      <c r="F408">
        <v>1</v>
      </c>
      <c r="G408">
        <v>0</v>
      </c>
      <c r="H408">
        <v>1</v>
      </c>
      <c r="I408">
        <v>0</v>
      </c>
      <c r="J408" t="s">
        <v>79</v>
      </c>
      <c r="K408" t="s">
        <v>89</v>
      </c>
      <c r="L408">
        <v>1</v>
      </c>
      <c r="M408">
        <v>0</v>
      </c>
      <c r="N408">
        <v>0</v>
      </c>
      <c r="O408">
        <v>0</v>
      </c>
      <c r="P408">
        <v>0</v>
      </c>
      <c r="Q408" t="s">
        <v>584</v>
      </c>
      <c r="R408">
        <v>0</v>
      </c>
      <c r="S408">
        <v>0</v>
      </c>
      <c r="T408">
        <v>1</v>
      </c>
      <c r="U408">
        <v>0</v>
      </c>
      <c r="V408">
        <v>0</v>
      </c>
      <c r="W408">
        <v>0</v>
      </c>
      <c r="X408">
        <v>0</v>
      </c>
      <c r="Y408">
        <v>0</v>
      </c>
      <c r="Z408">
        <v>0</v>
      </c>
      <c r="AL408" t="s">
        <v>107</v>
      </c>
      <c r="AM408" t="s">
        <v>86</v>
      </c>
      <c r="AN408" t="s">
        <v>74</v>
      </c>
      <c r="AO408" t="s">
        <v>87</v>
      </c>
      <c r="AP408" t="s">
        <v>87</v>
      </c>
      <c r="AQ408" t="s">
        <v>86</v>
      </c>
      <c r="AR408" t="s">
        <v>75</v>
      </c>
      <c r="AS408" t="s">
        <v>76</v>
      </c>
      <c r="AT408" t="s">
        <v>107</v>
      </c>
      <c r="AU408">
        <v>1</v>
      </c>
      <c r="AV408">
        <v>0</v>
      </c>
      <c r="AW408">
        <v>0</v>
      </c>
      <c r="AX408">
        <v>0</v>
      </c>
      <c r="AY408">
        <v>0</v>
      </c>
      <c r="AZ408" t="s">
        <v>580</v>
      </c>
    </row>
    <row r="409" spans="1:52" x14ac:dyDescent="0.2">
      <c r="A409">
        <v>0</v>
      </c>
      <c r="B409">
        <v>1</v>
      </c>
      <c r="C409">
        <v>0</v>
      </c>
      <c r="D409">
        <v>0</v>
      </c>
      <c r="E409">
        <v>0</v>
      </c>
      <c r="F409">
        <v>1</v>
      </c>
      <c r="G409">
        <v>0</v>
      </c>
      <c r="H409">
        <v>1</v>
      </c>
      <c r="I409">
        <v>0</v>
      </c>
      <c r="J409" t="s">
        <v>79</v>
      </c>
      <c r="K409" t="s">
        <v>80</v>
      </c>
      <c r="L409">
        <v>0</v>
      </c>
      <c r="M409">
        <v>1</v>
      </c>
      <c r="N409">
        <v>0</v>
      </c>
      <c r="O409">
        <v>0</v>
      </c>
      <c r="P409">
        <v>0</v>
      </c>
      <c r="Q409" t="s">
        <v>584</v>
      </c>
      <c r="AA409" t="s">
        <v>90</v>
      </c>
      <c r="AB409" t="s">
        <v>82</v>
      </c>
      <c r="AC409" t="s">
        <v>81</v>
      </c>
      <c r="AD409" t="s">
        <v>90</v>
      </c>
      <c r="AE409" t="s">
        <v>90</v>
      </c>
      <c r="AF409" t="s">
        <v>90</v>
      </c>
      <c r="AG409" t="s">
        <v>90</v>
      </c>
      <c r="AH409" t="s">
        <v>90</v>
      </c>
      <c r="AI409" t="s">
        <v>88</v>
      </c>
      <c r="AJ409" t="s">
        <v>89</v>
      </c>
      <c r="AK409" t="s">
        <v>100</v>
      </c>
      <c r="AL409" t="s">
        <v>73</v>
      </c>
      <c r="AM409" t="s">
        <v>87</v>
      </c>
      <c r="AN409" t="s">
        <v>87</v>
      </c>
      <c r="AO409" t="s">
        <v>87</v>
      </c>
      <c r="AP409" t="s">
        <v>87</v>
      </c>
      <c r="AQ409" t="s">
        <v>87</v>
      </c>
      <c r="AR409" t="s">
        <v>75</v>
      </c>
      <c r="AS409" t="s">
        <v>76</v>
      </c>
      <c r="AT409" t="s">
        <v>73</v>
      </c>
      <c r="AU409">
        <v>1</v>
      </c>
      <c r="AV409">
        <v>0</v>
      </c>
      <c r="AW409">
        <v>0</v>
      </c>
      <c r="AX409">
        <v>0</v>
      </c>
      <c r="AY409">
        <v>0</v>
      </c>
      <c r="AZ409" t="s">
        <v>579</v>
      </c>
    </row>
    <row r="410" spans="1:52" x14ac:dyDescent="0.2">
      <c r="A410">
        <v>0</v>
      </c>
      <c r="B410">
        <v>1</v>
      </c>
      <c r="C410">
        <v>0</v>
      </c>
      <c r="D410">
        <v>0</v>
      </c>
      <c r="E410">
        <v>0</v>
      </c>
      <c r="F410">
        <v>1</v>
      </c>
      <c r="G410">
        <v>0</v>
      </c>
      <c r="H410">
        <v>1</v>
      </c>
      <c r="I410">
        <v>0</v>
      </c>
      <c r="J410" t="s">
        <v>88</v>
      </c>
      <c r="K410" t="s">
        <v>80</v>
      </c>
      <c r="L410">
        <v>1</v>
      </c>
      <c r="M410">
        <v>0</v>
      </c>
      <c r="N410">
        <v>0</v>
      </c>
      <c r="O410">
        <v>0</v>
      </c>
      <c r="P410">
        <v>0</v>
      </c>
      <c r="Q410" t="s">
        <v>584</v>
      </c>
      <c r="R410">
        <v>1</v>
      </c>
      <c r="S410">
        <v>0</v>
      </c>
      <c r="T410">
        <v>0</v>
      </c>
      <c r="U410">
        <v>0</v>
      </c>
      <c r="V410">
        <v>0</v>
      </c>
      <c r="W410">
        <v>0</v>
      </c>
      <c r="X410">
        <v>0</v>
      </c>
      <c r="Y410">
        <v>0</v>
      </c>
      <c r="Z410">
        <v>0</v>
      </c>
      <c r="AL410" t="s">
        <v>73</v>
      </c>
      <c r="AM410" t="s">
        <v>87</v>
      </c>
      <c r="AN410" t="s">
        <v>87</v>
      </c>
      <c r="AO410" t="s">
        <v>87</v>
      </c>
      <c r="AP410" t="s">
        <v>87</v>
      </c>
      <c r="AQ410" t="s">
        <v>87</v>
      </c>
      <c r="AR410" t="s">
        <v>97</v>
      </c>
      <c r="AS410" t="s">
        <v>76</v>
      </c>
      <c r="AT410" t="s">
        <v>73</v>
      </c>
      <c r="AU410">
        <v>1</v>
      </c>
      <c r="AV410">
        <v>0</v>
      </c>
      <c r="AW410">
        <v>0</v>
      </c>
      <c r="AX410">
        <v>0</v>
      </c>
      <c r="AY410">
        <v>0</v>
      </c>
      <c r="AZ410" t="s">
        <v>580</v>
      </c>
    </row>
    <row r="411" spans="1:52" x14ac:dyDescent="0.2">
      <c r="A411">
        <v>0</v>
      </c>
      <c r="B411">
        <v>1</v>
      </c>
      <c r="C411">
        <v>0</v>
      </c>
      <c r="D411">
        <v>0</v>
      </c>
      <c r="E411">
        <v>1</v>
      </c>
      <c r="F411">
        <v>0</v>
      </c>
      <c r="G411">
        <v>0</v>
      </c>
      <c r="H411">
        <v>0</v>
      </c>
      <c r="I411">
        <v>0</v>
      </c>
      <c r="L411">
        <v>0</v>
      </c>
      <c r="M411">
        <v>1</v>
      </c>
      <c r="N411">
        <v>0</v>
      </c>
      <c r="O411">
        <v>0</v>
      </c>
      <c r="P411">
        <v>0</v>
      </c>
      <c r="Q411" t="s">
        <v>584</v>
      </c>
      <c r="AA411" t="s">
        <v>83</v>
      </c>
      <c r="AB411" t="s">
        <v>81</v>
      </c>
      <c r="AC411" t="s">
        <v>90</v>
      </c>
      <c r="AD411" t="s">
        <v>82</v>
      </c>
      <c r="AE411" t="s">
        <v>83</v>
      </c>
      <c r="AF411" t="s">
        <v>83</v>
      </c>
      <c r="AG411" t="s">
        <v>83</v>
      </c>
      <c r="AH411" t="s">
        <v>83</v>
      </c>
      <c r="AI411" t="s">
        <v>88</v>
      </c>
      <c r="AJ411" t="s">
        <v>89</v>
      </c>
      <c r="AK411" t="s">
        <v>100</v>
      </c>
      <c r="AL411" t="s">
        <v>73</v>
      </c>
      <c r="AM411" t="s">
        <v>74</v>
      </c>
      <c r="AR411" t="s">
        <v>97</v>
      </c>
      <c r="AS411" t="s">
        <v>76</v>
      </c>
      <c r="AT411" t="s">
        <v>73</v>
      </c>
      <c r="AU411">
        <v>0</v>
      </c>
      <c r="AV411">
        <v>0</v>
      </c>
      <c r="AW411">
        <v>0</v>
      </c>
      <c r="AX411">
        <v>0</v>
      </c>
      <c r="AY411">
        <v>1</v>
      </c>
      <c r="AZ411" t="s">
        <v>581</v>
      </c>
    </row>
    <row r="412" spans="1:52" x14ac:dyDescent="0.2">
      <c r="A412">
        <v>1</v>
      </c>
      <c r="B412">
        <v>0</v>
      </c>
      <c r="C412">
        <v>0</v>
      </c>
      <c r="D412">
        <v>0</v>
      </c>
      <c r="E412">
        <v>1</v>
      </c>
      <c r="F412">
        <v>0</v>
      </c>
      <c r="G412">
        <v>0</v>
      </c>
      <c r="H412">
        <v>0</v>
      </c>
      <c r="I412">
        <v>0</v>
      </c>
      <c r="L412">
        <v>1</v>
      </c>
      <c r="M412">
        <v>0</v>
      </c>
      <c r="N412">
        <v>0</v>
      </c>
      <c r="O412">
        <v>0</v>
      </c>
      <c r="P412">
        <v>0</v>
      </c>
      <c r="Q412" t="s">
        <v>584</v>
      </c>
      <c r="R412">
        <v>0</v>
      </c>
      <c r="S412">
        <v>1</v>
      </c>
      <c r="T412">
        <v>0</v>
      </c>
      <c r="U412">
        <v>0</v>
      </c>
      <c r="V412">
        <v>0</v>
      </c>
      <c r="W412">
        <v>0</v>
      </c>
      <c r="X412">
        <v>0</v>
      </c>
      <c r="Y412">
        <v>0</v>
      </c>
      <c r="Z412">
        <v>0</v>
      </c>
      <c r="AL412" t="s">
        <v>96</v>
      </c>
      <c r="AM412" t="s">
        <v>74</v>
      </c>
      <c r="AR412" t="s">
        <v>97</v>
      </c>
      <c r="AS412" t="s">
        <v>76</v>
      </c>
      <c r="AT412" t="s">
        <v>96</v>
      </c>
      <c r="AU412">
        <v>1</v>
      </c>
      <c r="AV412">
        <v>0</v>
      </c>
      <c r="AW412">
        <v>0</v>
      </c>
      <c r="AX412">
        <v>0</v>
      </c>
      <c r="AY412">
        <v>0</v>
      </c>
      <c r="AZ412" t="s">
        <v>580</v>
      </c>
    </row>
    <row r="413" spans="1:52" x14ac:dyDescent="0.2">
      <c r="A413">
        <v>0</v>
      </c>
      <c r="B413">
        <v>1</v>
      </c>
      <c r="C413">
        <v>0</v>
      </c>
      <c r="D413">
        <v>0</v>
      </c>
      <c r="E413">
        <v>0</v>
      </c>
      <c r="F413">
        <v>1</v>
      </c>
      <c r="G413">
        <v>1</v>
      </c>
      <c r="H413">
        <v>0</v>
      </c>
      <c r="I413">
        <v>0</v>
      </c>
      <c r="J413" t="s">
        <v>135</v>
      </c>
      <c r="K413" t="s">
        <v>127</v>
      </c>
      <c r="L413">
        <v>1</v>
      </c>
      <c r="M413">
        <v>0</v>
      </c>
      <c r="N413">
        <v>0</v>
      </c>
      <c r="O413">
        <v>0</v>
      </c>
      <c r="P413">
        <v>0</v>
      </c>
      <c r="Q413" t="s">
        <v>584</v>
      </c>
      <c r="R413">
        <v>0</v>
      </c>
      <c r="S413">
        <v>0</v>
      </c>
      <c r="T413">
        <v>1</v>
      </c>
      <c r="U413">
        <v>0</v>
      </c>
      <c r="V413">
        <v>0</v>
      </c>
      <c r="W413">
        <v>0</v>
      </c>
      <c r="X413">
        <v>0</v>
      </c>
      <c r="Y413">
        <v>0</v>
      </c>
      <c r="Z413">
        <v>0</v>
      </c>
      <c r="AL413" t="s">
        <v>73</v>
      </c>
      <c r="AM413" t="s">
        <v>86</v>
      </c>
      <c r="AN413" t="s">
        <v>86</v>
      </c>
      <c r="AO413" t="s">
        <v>86</v>
      </c>
      <c r="AP413" t="s">
        <v>86</v>
      </c>
      <c r="AQ413" t="s">
        <v>86</v>
      </c>
      <c r="AR413" t="s">
        <v>75</v>
      </c>
      <c r="AS413" t="s">
        <v>76</v>
      </c>
      <c r="AT413" t="s">
        <v>73</v>
      </c>
      <c r="AU413">
        <v>1</v>
      </c>
      <c r="AV413">
        <v>0</v>
      </c>
      <c r="AW413">
        <v>0</v>
      </c>
      <c r="AX413">
        <v>0</v>
      </c>
      <c r="AY413">
        <v>0</v>
      </c>
      <c r="AZ413" t="s">
        <v>580</v>
      </c>
    </row>
    <row r="414" spans="1:52" x14ac:dyDescent="0.2">
      <c r="A414">
        <v>0</v>
      </c>
      <c r="B414">
        <v>1</v>
      </c>
      <c r="C414">
        <v>0</v>
      </c>
      <c r="D414">
        <v>0</v>
      </c>
      <c r="E414">
        <v>0</v>
      </c>
      <c r="F414">
        <v>0</v>
      </c>
      <c r="G414">
        <v>1</v>
      </c>
      <c r="H414">
        <v>1</v>
      </c>
      <c r="I414">
        <v>0</v>
      </c>
      <c r="J414" t="s">
        <v>88</v>
      </c>
      <c r="K414" t="s">
        <v>89</v>
      </c>
      <c r="L414">
        <v>0</v>
      </c>
      <c r="M414">
        <v>0</v>
      </c>
      <c r="N414">
        <v>0</v>
      </c>
      <c r="O414">
        <v>0</v>
      </c>
      <c r="P414">
        <v>0</v>
      </c>
      <c r="Q414" t="s">
        <v>585</v>
      </c>
      <c r="AA414" t="s">
        <v>90</v>
      </c>
      <c r="AB414" t="s">
        <v>83</v>
      </c>
      <c r="AC414" t="s">
        <v>82</v>
      </c>
      <c r="AD414" t="s">
        <v>82</v>
      </c>
      <c r="AE414" t="s">
        <v>81</v>
      </c>
      <c r="AF414" t="s">
        <v>90</v>
      </c>
      <c r="AG414" t="s">
        <v>90</v>
      </c>
      <c r="AH414" t="s">
        <v>83</v>
      </c>
      <c r="AI414" t="s">
        <v>84</v>
      </c>
      <c r="AJ414" t="s">
        <v>80</v>
      </c>
      <c r="AK414" t="s">
        <v>100</v>
      </c>
      <c r="AL414" t="s">
        <v>73</v>
      </c>
      <c r="AM414" t="s">
        <v>87</v>
      </c>
      <c r="AN414" t="s">
        <v>87</v>
      </c>
      <c r="AO414" t="s">
        <v>74</v>
      </c>
      <c r="AP414" t="s">
        <v>87</v>
      </c>
      <c r="AQ414" t="s">
        <v>74</v>
      </c>
      <c r="AR414" t="s">
        <v>75</v>
      </c>
      <c r="AS414" t="s">
        <v>76</v>
      </c>
      <c r="AT414" t="s">
        <v>73</v>
      </c>
      <c r="AU414">
        <v>1</v>
      </c>
      <c r="AV414">
        <v>0</v>
      </c>
      <c r="AW414">
        <v>0</v>
      </c>
      <c r="AX414">
        <v>0</v>
      </c>
      <c r="AY414">
        <v>0</v>
      </c>
      <c r="AZ414" t="s">
        <v>581</v>
      </c>
    </row>
    <row r="415" spans="1:52" x14ac:dyDescent="0.2">
      <c r="A415">
        <v>1</v>
      </c>
      <c r="B415">
        <v>0</v>
      </c>
      <c r="C415">
        <v>0</v>
      </c>
      <c r="D415">
        <v>0</v>
      </c>
      <c r="E415">
        <v>0</v>
      </c>
      <c r="F415">
        <v>1</v>
      </c>
      <c r="G415">
        <v>0</v>
      </c>
      <c r="H415">
        <v>1</v>
      </c>
      <c r="I415">
        <v>0</v>
      </c>
      <c r="J415" t="s">
        <v>88</v>
      </c>
      <c r="K415" t="s">
        <v>89</v>
      </c>
      <c r="L415">
        <v>1</v>
      </c>
      <c r="M415">
        <v>0</v>
      </c>
      <c r="N415">
        <v>0</v>
      </c>
      <c r="O415">
        <v>0</v>
      </c>
      <c r="P415">
        <v>0</v>
      </c>
      <c r="Q415" t="s">
        <v>584</v>
      </c>
      <c r="R415">
        <v>1</v>
      </c>
      <c r="S415">
        <v>0</v>
      </c>
      <c r="T415">
        <v>0</v>
      </c>
      <c r="U415">
        <v>0</v>
      </c>
      <c r="V415">
        <v>0</v>
      </c>
      <c r="W415">
        <v>0</v>
      </c>
      <c r="X415">
        <v>0</v>
      </c>
      <c r="Y415">
        <v>0</v>
      </c>
      <c r="Z415">
        <v>0</v>
      </c>
      <c r="AL415" t="s">
        <v>96</v>
      </c>
      <c r="AM415" t="s">
        <v>87</v>
      </c>
      <c r="AN415" t="s">
        <v>87</v>
      </c>
      <c r="AO415" t="s">
        <v>87</v>
      </c>
      <c r="AP415" t="s">
        <v>87</v>
      </c>
      <c r="AQ415" t="s">
        <v>87</v>
      </c>
      <c r="AR415" t="s">
        <v>97</v>
      </c>
      <c r="AS415" t="s">
        <v>92</v>
      </c>
      <c r="AT415" t="s">
        <v>96</v>
      </c>
      <c r="AU415">
        <v>1</v>
      </c>
      <c r="AV415">
        <v>0</v>
      </c>
      <c r="AW415">
        <v>0</v>
      </c>
      <c r="AX415">
        <v>0</v>
      </c>
      <c r="AY415">
        <v>0</v>
      </c>
      <c r="AZ415" t="s">
        <v>581</v>
      </c>
    </row>
    <row r="416" spans="1:52" x14ac:dyDescent="0.2">
      <c r="A416">
        <v>1</v>
      </c>
      <c r="B416">
        <v>0</v>
      </c>
      <c r="C416">
        <v>0</v>
      </c>
      <c r="D416">
        <v>0</v>
      </c>
      <c r="E416">
        <v>0</v>
      </c>
      <c r="F416">
        <v>1</v>
      </c>
      <c r="G416">
        <v>1</v>
      </c>
      <c r="H416">
        <v>1</v>
      </c>
      <c r="I416">
        <v>0</v>
      </c>
      <c r="J416" t="s">
        <v>88</v>
      </c>
      <c r="K416" t="s">
        <v>89</v>
      </c>
      <c r="L416">
        <v>0</v>
      </c>
      <c r="M416">
        <v>1</v>
      </c>
      <c r="N416">
        <v>1</v>
      </c>
      <c r="O416">
        <v>0</v>
      </c>
      <c r="P416">
        <v>0</v>
      </c>
      <c r="Q416" t="s">
        <v>584</v>
      </c>
      <c r="AA416" t="s">
        <v>83</v>
      </c>
      <c r="AB416" t="s">
        <v>82</v>
      </c>
      <c r="AC416" t="s">
        <v>82</v>
      </c>
      <c r="AD416" t="s">
        <v>82</v>
      </c>
      <c r="AE416" t="s">
        <v>82</v>
      </c>
      <c r="AF416" t="s">
        <v>83</v>
      </c>
      <c r="AG416" t="s">
        <v>81</v>
      </c>
      <c r="AH416" t="s">
        <v>83</v>
      </c>
      <c r="AI416" t="s">
        <v>88</v>
      </c>
      <c r="AJ416" t="s">
        <v>89</v>
      </c>
      <c r="AK416" t="s">
        <v>100</v>
      </c>
      <c r="AL416" t="s">
        <v>96</v>
      </c>
      <c r="AM416" t="s">
        <v>87</v>
      </c>
      <c r="AN416" t="s">
        <v>87</v>
      </c>
      <c r="AO416" t="s">
        <v>87</v>
      </c>
      <c r="AP416" t="s">
        <v>87</v>
      </c>
      <c r="AQ416" t="s">
        <v>87</v>
      </c>
      <c r="AR416" t="s">
        <v>75</v>
      </c>
      <c r="AS416" t="s">
        <v>76</v>
      </c>
      <c r="AT416" t="s">
        <v>96</v>
      </c>
      <c r="AU416">
        <v>1</v>
      </c>
      <c r="AV416">
        <v>0</v>
      </c>
      <c r="AW416">
        <v>0</v>
      </c>
      <c r="AX416">
        <v>0</v>
      </c>
      <c r="AY416">
        <v>0</v>
      </c>
      <c r="AZ416" t="s">
        <v>579</v>
      </c>
    </row>
    <row r="417" spans="1:52" x14ac:dyDescent="0.2">
      <c r="A417">
        <v>1</v>
      </c>
      <c r="B417">
        <v>0</v>
      </c>
      <c r="C417">
        <v>0</v>
      </c>
      <c r="D417">
        <v>0</v>
      </c>
      <c r="E417">
        <v>0</v>
      </c>
      <c r="F417">
        <v>1</v>
      </c>
      <c r="G417">
        <v>0</v>
      </c>
      <c r="H417">
        <v>0</v>
      </c>
      <c r="I417">
        <v>0</v>
      </c>
      <c r="J417" t="s">
        <v>135</v>
      </c>
      <c r="K417" t="s">
        <v>80</v>
      </c>
      <c r="L417">
        <v>0</v>
      </c>
      <c r="M417">
        <v>0</v>
      </c>
      <c r="N417">
        <v>1</v>
      </c>
      <c r="O417">
        <v>0</v>
      </c>
      <c r="P417">
        <v>0</v>
      </c>
      <c r="Q417" t="s">
        <v>584</v>
      </c>
      <c r="AA417" t="s">
        <v>81</v>
      </c>
      <c r="AB417" t="s">
        <v>83</v>
      </c>
      <c r="AC417" t="s">
        <v>83</v>
      </c>
      <c r="AD417" t="s">
        <v>83</v>
      </c>
      <c r="AE417" t="s">
        <v>82</v>
      </c>
      <c r="AF417" t="s">
        <v>81</v>
      </c>
      <c r="AG417" t="s">
        <v>81</v>
      </c>
      <c r="AH417" t="s">
        <v>83</v>
      </c>
      <c r="AI417" t="s">
        <v>135</v>
      </c>
      <c r="AJ417" t="s">
        <v>80</v>
      </c>
      <c r="AK417" t="s">
        <v>85</v>
      </c>
      <c r="AL417" t="s">
        <v>73</v>
      </c>
      <c r="AM417" t="s">
        <v>86</v>
      </c>
      <c r="AN417" t="s">
        <v>74</v>
      </c>
      <c r="AO417" t="s">
        <v>86</v>
      </c>
      <c r="AP417" t="s">
        <v>74</v>
      </c>
      <c r="AQ417" t="s">
        <v>74</v>
      </c>
      <c r="AR417" t="s">
        <v>75</v>
      </c>
      <c r="AS417" t="s">
        <v>92</v>
      </c>
      <c r="AT417" t="s">
        <v>73</v>
      </c>
      <c r="AU417">
        <v>1</v>
      </c>
      <c r="AV417">
        <v>0</v>
      </c>
      <c r="AW417">
        <v>0</v>
      </c>
      <c r="AX417">
        <v>0</v>
      </c>
      <c r="AY417">
        <v>0</v>
      </c>
      <c r="AZ417" t="s">
        <v>580</v>
      </c>
    </row>
    <row r="418" spans="1:52" x14ac:dyDescent="0.2">
      <c r="A418">
        <v>0</v>
      </c>
      <c r="B418">
        <v>1</v>
      </c>
      <c r="C418">
        <v>0</v>
      </c>
      <c r="D418">
        <v>0</v>
      </c>
      <c r="E418">
        <v>0</v>
      </c>
      <c r="F418">
        <v>1</v>
      </c>
      <c r="G418">
        <v>0</v>
      </c>
      <c r="H418">
        <v>0</v>
      </c>
      <c r="I418">
        <v>0</v>
      </c>
      <c r="J418" t="s">
        <v>88</v>
      </c>
      <c r="K418" t="s">
        <v>89</v>
      </c>
      <c r="L418">
        <v>0</v>
      </c>
      <c r="M418">
        <v>0</v>
      </c>
      <c r="N418">
        <v>0</v>
      </c>
      <c r="O418">
        <v>1</v>
      </c>
      <c r="P418">
        <v>0</v>
      </c>
      <c r="Q418" t="s">
        <v>584</v>
      </c>
      <c r="AA418" t="s">
        <v>90</v>
      </c>
      <c r="AB418" t="s">
        <v>81</v>
      </c>
      <c r="AC418" t="s">
        <v>90</v>
      </c>
      <c r="AD418" t="s">
        <v>83</v>
      </c>
      <c r="AE418" t="s">
        <v>82</v>
      </c>
      <c r="AF418" t="s">
        <v>90</v>
      </c>
      <c r="AG418" t="s">
        <v>90</v>
      </c>
      <c r="AH418" t="s">
        <v>90</v>
      </c>
      <c r="AI418" t="s">
        <v>88</v>
      </c>
      <c r="AJ418" t="s">
        <v>89</v>
      </c>
      <c r="AK418" t="s">
        <v>100</v>
      </c>
      <c r="AL418" t="s">
        <v>107</v>
      </c>
      <c r="AM418" t="s">
        <v>87</v>
      </c>
      <c r="AN418" t="s">
        <v>87</v>
      </c>
      <c r="AO418" t="s">
        <v>87</v>
      </c>
      <c r="AP418" t="s">
        <v>74</v>
      </c>
      <c r="AQ418" t="s">
        <v>87</v>
      </c>
      <c r="AR418" t="s">
        <v>97</v>
      </c>
      <c r="AS418" t="s">
        <v>92</v>
      </c>
      <c r="AT418" t="s">
        <v>107</v>
      </c>
      <c r="AU418">
        <v>1</v>
      </c>
      <c r="AV418">
        <v>0</v>
      </c>
      <c r="AW418">
        <v>0</v>
      </c>
      <c r="AX418">
        <v>0</v>
      </c>
      <c r="AY418">
        <v>0</v>
      </c>
      <c r="AZ418" t="s">
        <v>580</v>
      </c>
    </row>
    <row r="419" spans="1:52" x14ac:dyDescent="0.2">
      <c r="A419">
        <v>1</v>
      </c>
      <c r="B419">
        <v>0</v>
      </c>
      <c r="C419">
        <v>0</v>
      </c>
      <c r="D419">
        <v>0</v>
      </c>
      <c r="E419">
        <v>0</v>
      </c>
      <c r="F419">
        <v>1</v>
      </c>
      <c r="G419">
        <v>1</v>
      </c>
      <c r="H419">
        <v>0</v>
      </c>
      <c r="I419">
        <v>0</v>
      </c>
      <c r="J419" t="s">
        <v>88</v>
      </c>
      <c r="K419" t="s">
        <v>80</v>
      </c>
      <c r="L419">
        <v>0</v>
      </c>
      <c r="M419">
        <v>0</v>
      </c>
      <c r="N419">
        <v>1</v>
      </c>
      <c r="O419">
        <v>0</v>
      </c>
      <c r="P419">
        <v>0</v>
      </c>
      <c r="Q419" t="s">
        <v>584</v>
      </c>
      <c r="AA419" t="s">
        <v>83</v>
      </c>
      <c r="AB419" t="s">
        <v>81</v>
      </c>
      <c r="AC419" t="s">
        <v>83</v>
      </c>
      <c r="AD419" t="s">
        <v>82</v>
      </c>
      <c r="AE419" t="s">
        <v>81</v>
      </c>
      <c r="AF419" t="s">
        <v>83</v>
      </c>
      <c r="AG419" t="s">
        <v>83</v>
      </c>
      <c r="AH419" t="s">
        <v>83</v>
      </c>
      <c r="AI419" t="s">
        <v>88</v>
      </c>
      <c r="AJ419" t="s">
        <v>80</v>
      </c>
      <c r="AK419" t="s">
        <v>85</v>
      </c>
      <c r="AL419" t="s">
        <v>73</v>
      </c>
      <c r="AM419" t="s">
        <v>87</v>
      </c>
      <c r="AN419" t="s">
        <v>87</v>
      </c>
      <c r="AO419" t="s">
        <v>87</v>
      </c>
      <c r="AP419" t="s">
        <v>87</v>
      </c>
      <c r="AQ419" t="s">
        <v>87</v>
      </c>
      <c r="AR419" t="s">
        <v>97</v>
      </c>
      <c r="AS419" t="s">
        <v>92</v>
      </c>
      <c r="AT419" t="s">
        <v>73</v>
      </c>
      <c r="AU419">
        <v>1</v>
      </c>
      <c r="AV419">
        <v>0</v>
      </c>
      <c r="AW419">
        <v>0</v>
      </c>
      <c r="AX419">
        <v>0</v>
      </c>
      <c r="AY419">
        <v>0</v>
      </c>
      <c r="AZ419" t="s">
        <v>580</v>
      </c>
    </row>
    <row r="420" spans="1:52" x14ac:dyDescent="0.2">
      <c r="A420">
        <v>1</v>
      </c>
      <c r="B420">
        <v>0</v>
      </c>
      <c r="C420">
        <v>0</v>
      </c>
      <c r="D420">
        <v>0</v>
      </c>
      <c r="E420">
        <v>1</v>
      </c>
      <c r="F420">
        <v>0</v>
      </c>
      <c r="G420">
        <v>0</v>
      </c>
      <c r="H420">
        <v>0</v>
      </c>
      <c r="I420">
        <v>0</v>
      </c>
      <c r="L420">
        <v>0</v>
      </c>
      <c r="M420">
        <v>0</v>
      </c>
      <c r="N420">
        <v>1</v>
      </c>
      <c r="O420">
        <v>0</v>
      </c>
      <c r="P420">
        <v>0</v>
      </c>
      <c r="Q420" t="s">
        <v>584</v>
      </c>
      <c r="AA420" t="s">
        <v>81</v>
      </c>
      <c r="AB420" t="s">
        <v>82</v>
      </c>
      <c r="AC420" t="s">
        <v>81</v>
      </c>
      <c r="AD420" t="s">
        <v>83</v>
      </c>
      <c r="AE420" t="s">
        <v>82</v>
      </c>
      <c r="AF420" t="s">
        <v>83</v>
      </c>
      <c r="AG420" t="s">
        <v>83</v>
      </c>
      <c r="AH420" t="s">
        <v>82</v>
      </c>
      <c r="AI420" t="s">
        <v>84</v>
      </c>
      <c r="AJ420" t="s">
        <v>89</v>
      </c>
      <c r="AK420" t="s">
        <v>153</v>
      </c>
      <c r="AL420" t="s">
        <v>107</v>
      </c>
      <c r="AM420" t="s">
        <v>87</v>
      </c>
      <c r="AN420" t="s">
        <v>87</v>
      </c>
      <c r="AO420" t="s">
        <v>87</v>
      </c>
      <c r="AP420" t="s">
        <v>86</v>
      </c>
      <c r="AQ420" t="s">
        <v>86</v>
      </c>
      <c r="AR420" t="s">
        <v>75</v>
      </c>
      <c r="AS420" t="s">
        <v>92</v>
      </c>
      <c r="AT420" t="s">
        <v>107</v>
      </c>
      <c r="AU420">
        <v>1</v>
      </c>
      <c r="AV420">
        <v>0</v>
      </c>
      <c r="AW420">
        <v>0</v>
      </c>
      <c r="AX420">
        <v>0</v>
      </c>
      <c r="AY420">
        <v>0</v>
      </c>
      <c r="AZ420" t="s">
        <v>580</v>
      </c>
    </row>
    <row r="421" spans="1:52" x14ac:dyDescent="0.2">
      <c r="A421">
        <v>1</v>
      </c>
      <c r="B421">
        <v>0</v>
      </c>
      <c r="C421">
        <v>0</v>
      </c>
      <c r="D421">
        <v>0</v>
      </c>
      <c r="E421">
        <v>1</v>
      </c>
      <c r="F421">
        <v>0</v>
      </c>
      <c r="G421">
        <v>0</v>
      </c>
      <c r="H421">
        <v>0</v>
      </c>
      <c r="I421">
        <v>0</v>
      </c>
      <c r="L421">
        <v>1</v>
      </c>
      <c r="M421">
        <v>0</v>
      </c>
      <c r="N421">
        <v>0</v>
      </c>
      <c r="O421">
        <v>0</v>
      </c>
      <c r="P421">
        <v>0</v>
      </c>
      <c r="Q421" t="s">
        <v>584</v>
      </c>
      <c r="R421">
        <v>0</v>
      </c>
      <c r="S421">
        <v>0</v>
      </c>
      <c r="T421">
        <v>0</v>
      </c>
      <c r="U421">
        <v>0</v>
      </c>
      <c r="V421">
        <v>0</v>
      </c>
      <c r="W421">
        <v>0</v>
      </c>
      <c r="X421">
        <v>1</v>
      </c>
      <c r="Y421">
        <v>1</v>
      </c>
      <c r="Z421">
        <v>0</v>
      </c>
      <c r="AL421" t="s">
        <v>96</v>
      </c>
      <c r="AM421" t="s">
        <v>86</v>
      </c>
      <c r="AN421" t="s">
        <v>86</v>
      </c>
      <c r="AO421" t="s">
        <v>86</v>
      </c>
      <c r="AP421" t="s">
        <v>74</v>
      </c>
      <c r="AQ421" t="s">
        <v>86</v>
      </c>
      <c r="AR421" t="s">
        <v>75</v>
      </c>
      <c r="AS421" t="s">
        <v>76</v>
      </c>
      <c r="AT421" t="s">
        <v>96</v>
      </c>
      <c r="AU421">
        <v>0</v>
      </c>
      <c r="AV421">
        <v>0</v>
      </c>
      <c r="AW421">
        <v>0</v>
      </c>
      <c r="AX421">
        <v>1</v>
      </c>
      <c r="AY421">
        <v>0</v>
      </c>
      <c r="AZ421" t="s">
        <v>580</v>
      </c>
    </row>
    <row r="422" spans="1:52" x14ac:dyDescent="0.2">
      <c r="A422">
        <v>1</v>
      </c>
      <c r="B422">
        <v>0</v>
      </c>
      <c r="C422">
        <v>0</v>
      </c>
      <c r="D422">
        <v>0</v>
      </c>
      <c r="E422">
        <v>1</v>
      </c>
      <c r="F422">
        <v>0</v>
      </c>
      <c r="G422">
        <v>0</v>
      </c>
      <c r="H422">
        <v>0</v>
      </c>
      <c r="I422">
        <v>0</v>
      </c>
      <c r="L422">
        <v>1</v>
      </c>
      <c r="M422">
        <v>0</v>
      </c>
      <c r="N422">
        <v>0</v>
      </c>
      <c r="O422">
        <v>0</v>
      </c>
      <c r="P422">
        <v>0</v>
      </c>
      <c r="Q422" t="s">
        <v>584</v>
      </c>
      <c r="R422">
        <v>0</v>
      </c>
      <c r="S422">
        <v>0</v>
      </c>
      <c r="T422">
        <v>1</v>
      </c>
      <c r="U422">
        <v>0</v>
      </c>
      <c r="V422">
        <v>0</v>
      </c>
      <c r="W422">
        <v>0</v>
      </c>
      <c r="X422">
        <v>0</v>
      </c>
      <c r="Y422">
        <v>0</v>
      </c>
      <c r="Z422">
        <v>0</v>
      </c>
      <c r="AL422" t="s">
        <v>107</v>
      </c>
      <c r="AM422" t="s">
        <v>86</v>
      </c>
      <c r="AN422" t="s">
        <v>86</v>
      </c>
      <c r="AO422" t="s">
        <v>86</v>
      </c>
      <c r="AP422" t="s">
        <v>86</v>
      </c>
      <c r="AQ422" t="s">
        <v>74</v>
      </c>
      <c r="AR422" t="s">
        <v>97</v>
      </c>
      <c r="AS422" t="s">
        <v>92</v>
      </c>
      <c r="AT422" t="s">
        <v>107</v>
      </c>
      <c r="AU422">
        <v>1</v>
      </c>
      <c r="AV422">
        <v>0</v>
      </c>
      <c r="AW422">
        <v>0</v>
      </c>
      <c r="AX422">
        <v>0</v>
      </c>
      <c r="AY422">
        <v>0</v>
      </c>
      <c r="AZ422" t="s">
        <v>580</v>
      </c>
    </row>
    <row r="423" spans="1:52" x14ac:dyDescent="0.2">
      <c r="A423">
        <v>1</v>
      </c>
      <c r="B423">
        <v>0</v>
      </c>
      <c r="C423">
        <v>0</v>
      </c>
      <c r="D423">
        <v>0</v>
      </c>
      <c r="E423">
        <v>1</v>
      </c>
      <c r="F423">
        <v>0</v>
      </c>
      <c r="G423">
        <v>0</v>
      </c>
      <c r="H423">
        <v>0</v>
      </c>
      <c r="I423">
        <v>0</v>
      </c>
      <c r="L423">
        <v>0</v>
      </c>
      <c r="M423">
        <v>0</v>
      </c>
      <c r="N423">
        <v>1</v>
      </c>
      <c r="O423">
        <v>0</v>
      </c>
      <c r="P423">
        <v>0</v>
      </c>
      <c r="Q423" t="s">
        <v>584</v>
      </c>
      <c r="AA423" t="s">
        <v>82</v>
      </c>
      <c r="AB423" t="s">
        <v>83</v>
      </c>
      <c r="AC423" t="s">
        <v>83</v>
      </c>
      <c r="AD423" t="s">
        <v>83</v>
      </c>
      <c r="AE423" t="s">
        <v>82</v>
      </c>
      <c r="AF423" t="s">
        <v>83</v>
      </c>
      <c r="AG423" t="s">
        <v>81</v>
      </c>
      <c r="AH423" t="s">
        <v>81</v>
      </c>
      <c r="AI423" t="s">
        <v>88</v>
      </c>
      <c r="AJ423" t="s">
        <v>89</v>
      </c>
      <c r="AK423" t="s">
        <v>85</v>
      </c>
      <c r="AL423" t="s">
        <v>107</v>
      </c>
      <c r="AM423" t="s">
        <v>87</v>
      </c>
      <c r="AN423" t="s">
        <v>87</v>
      </c>
      <c r="AO423" t="s">
        <v>87</v>
      </c>
      <c r="AP423" t="s">
        <v>87</v>
      </c>
      <c r="AQ423" t="s">
        <v>87</v>
      </c>
      <c r="AR423" t="s">
        <v>97</v>
      </c>
      <c r="AS423" t="s">
        <v>92</v>
      </c>
      <c r="AT423" t="s">
        <v>107</v>
      </c>
      <c r="AU423">
        <v>1</v>
      </c>
      <c r="AV423">
        <v>0</v>
      </c>
      <c r="AW423">
        <v>0</v>
      </c>
      <c r="AX423">
        <v>0</v>
      </c>
      <c r="AY423">
        <v>0</v>
      </c>
      <c r="AZ423" t="s">
        <v>580</v>
      </c>
    </row>
    <row r="424" spans="1:52" x14ac:dyDescent="0.2">
      <c r="A424">
        <v>1</v>
      </c>
      <c r="B424">
        <v>0</v>
      </c>
      <c r="C424">
        <v>0</v>
      </c>
      <c r="D424">
        <v>0</v>
      </c>
      <c r="E424">
        <v>1</v>
      </c>
      <c r="F424">
        <v>0</v>
      </c>
      <c r="G424">
        <v>0</v>
      </c>
      <c r="H424">
        <v>0</v>
      </c>
      <c r="I424">
        <v>0</v>
      </c>
      <c r="L424">
        <v>1</v>
      </c>
      <c r="M424">
        <v>0</v>
      </c>
      <c r="N424">
        <v>0</v>
      </c>
      <c r="O424">
        <v>0</v>
      </c>
      <c r="P424">
        <v>0</v>
      </c>
      <c r="Q424" t="s">
        <v>584</v>
      </c>
      <c r="R424">
        <v>0</v>
      </c>
      <c r="S424">
        <v>0</v>
      </c>
      <c r="T424">
        <v>0</v>
      </c>
      <c r="U424">
        <v>0</v>
      </c>
      <c r="V424">
        <v>0</v>
      </c>
      <c r="W424">
        <v>1</v>
      </c>
      <c r="X424">
        <v>0</v>
      </c>
      <c r="Y424">
        <v>0</v>
      </c>
      <c r="Z424">
        <v>0</v>
      </c>
      <c r="AL424" t="s">
        <v>107</v>
      </c>
      <c r="AM424" t="s">
        <v>86</v>
      </c>
      <c r="AN424" t="s">
        <v>87</v>
      </c>
      <c r="AO424" t="s">
        <v>87</v>
      </c>
      <c r="AP424" t="s">
        <v>74</v>
      </c>
      <c r="AQ424" t="s">
        <v>87</v>
      </c>
      <c r="AR424" t="s">
        <v>97</v>
      </c>
      <c r="AS424" t="s">
        <v>92</v>
      </c>
      <c r="AT424" t="s">
        <v>107</v>
      </c>
      <c r="AU424">
        <v>0</v>
      </c>
      <c r="AV424">
        <v>0</v>
      </c>
      <c r="AW424">
        <v>0</v>
      </c>
      <c r="AX424">
        <v>1</v>
      </c>
      <c r="AY424">
        <v>0</v>
      </c>
      <c r="AZ424" t="s">
        <v>580</v>
      </c>
    </row>
    <row r="425" spans="1:52" x14ac:dyDescent="0.2">
      <c r="A425">
        <v>0</v>
      </c>
      <c r="B425">
        <v>1</v>
      </c>
      <c r="C425">
        <v>0</v>
      </c>
      <c r="D425">
        <v>0</v>
      </c>
      <c r="E425">
        <v>1</v>
      </c>
      <c r="F425">
        <v>0</v>
      </c>
      <c r="G425">
        <v>0</v>
      </c>
      <c r="H425">
        <v>0</v>
      </c>
      <c r="I425">
        <v>0</v>
      </c>
      <c r="L425">
        <v>1</v>
      </c>
      <c r="M425">
        <v>0</v>
      </c>
      <c r="N425">
        <v>0</v>
      </c>
      <c r="O425">
        <v>0</v>
      </c>
      <c r="P425">
        <v>0</v>
      </c>
      <c r="Q425" t="s">
        <v>584</v>
      </c>
      <c r="R425">
        <v>0</v>
      </c>
      <c r="S425">
        <v>0</v>
      </c>
      <c r="T425">
        <v>1</v>
      </c>
      <c r="U425">
        <v>0</v>
      </c>
      <c r="V425">
        <v>0</v>
      </c>
      <c r="W425">
        <v>0</v>
      </c>
      <c r="X425">
        <v>0</v>
      </c>
      <c r="Y425">
        <v>0</v>
      </c>
      <c r="Z425">
        <v>0</v>
      </c>
      <c r="AL425" t="s">
        <v>96</v>
      </c>
      <c r="AM425" t="s">
        <v>87</v>
      </c>
      <c r="AN425" t="s">
        <v>87</v>
      </c>
      <c r="AO425" t="s">
        <v>87</v>
      </c>
      <c r="AP425" t="s">
        <v>87</v>
      </c>
      <c r="AQ425" t="s">
        <v>87</v>
      </c>
      <c r="AR425" t="s">
        <v>97</v>
      </c>
      <c r="AS425" t="s">
        <v>92</v>
      </c>
      <c r="AT425" t="s">
        <v>96</v>
      </c>
      <c r="AU425">
        <v>1</v>
      </c>
      <c r="AV425">
        <v>0</v>
      </c>
      <c r="AW425">
        <v>0</v>
      </c>
      <c r="AX425">
        <v>0</v>
      </c>
      <c r="AY425">
        <v>0</v>
      </c>
      <c r="AZ425" t="s">
        <v>580</v>
      </c>
    </row>
    <row r="426" spans="1:52" x14ac:dyDescent="0.2">
      <c r="A426">
        <v>0</v>
      </c>
      <c r="B426">
        <v>1</v>
      </c>
      <c r="C426">
        <v>0</v>
      </c>
      <c r="D426">
        <v>0</v>
      </c>
      <c r="E426">
        <v>1</v>
      </c>
      <c r="F426">
        <v>0</v>
      </c>
      <c r="G426">
        <v>0</v>
      </c>
      <c r="H426">
        <v>0</v>
      </c>
      <c r="I426">
        <v>0</v>
      </c>
      <c r="L426">
        <v>0</v>
      </c>
      <c r="M426">
        <v>1</v>
      </c>
      <c r="N426">
        <v>0</v>
      </c>
      <c r="O426">
        <v>0</v>
      </c>
      <c r="P426">
        <v>0</v>
      </c>
      <c r="Q426" t="s">
        <v>584</v>
      </c>
      <c r="AA426" t="s">
        <v>83</v>
      </c>
      <c r="AB426" t="s">
        <v>83</v>
      </c>
      <c r="AC426" t="s">
        <v>83</v>
      </c>
      <c r="AD426" t="s">
        <v>83</v>
      </c>
      <c r="AE426" t="s">
        <v>83</v>
      </c>
      <c r="AF426" t="s">
        <v>83</v>
      </c>
      <c r="AG426" t="s">
        <v>83</v>
      </c>
      <c r="AH426" t="s">
        <v>83</v>
      </c>
      <c r="AI426" t="s">
        <v>88</v>
      </c>
      <c r="AJ426" t="s">
        <v>89</v>
      </c>
      <c r="AK426" t="s">
        <v>100</v>
      </c>
      <c r="AL426" t="s">
        <v>107</v>
      </c>
      <c r="AM426" t="s">
        <v>87</v>
      </c>
      <c r="AN426" t="s">
        <v>87</v>
      </c>
      <c r="AO426" t="s">
        <v>87</v>
      </c>
      <c r="AP426" t="s">
        <v>87</v>
      </c>
      <c r="AQ426" t="s">
        <v>87</v>
      </c>
      <c r="AR426" t="s">
        <v>113</v>
      </c>
      <c r="AS426" t="s">
        <v>76</v>
      </c>
      <c r="AT426" t="s">
        <v>107</v>
      </c>
      <c r="AU426">
        <v>1</v>
      </c>
      <c r="AV426">
        <v>0</v>
      </c>
      <c r="AW426">
        <v>0</v>
      </c>
      <c r="AX426">
        <v>0</v>
      </c>
      <c r="AY426">
        <v>0</v>
      </c>
      <c r="AZ426" t="s">
        <v>580</v>
      </c>
    </row>
    <row r="427" spans="1:52" x14ac:dyDescent="0.2">
      <c r="A427">
        <v>0</v>
      </c>
      <c r="B427">
        <v>1</v>
      </c>
      <c r="C427">
        <v>0</v>
      </c>
      <c r="D427">
        <v>0</v>
      </c>
      <c r="E427">
        <v>0</v>
      </c>
      <c r="F427">
        <v>1</v>
      </c>
      <c r="G427">
        <v>0</v>
      </c>
      <c r="H427">
        <v>0</v>
      </c>
      <c r="I427">
        <v>0</v>
      </c>
      <c r="J427" t="s">
        <v>88</v>
      </c>
      <c r="K427" t="s">
        <v>89</v>
      </c>
      <c r="L427">
        <v>0</v>
      </c>
      <c r="M427">
        <v>0</v>
      </c>
      <c r="N427">
        <v>0</v>
      </c>
      <c r="O427">
        <v>0</v>
      </c>
      <c r="P427">
        <v>1</v>
      </c>
      <c r="Q427" t="s">
        <v>584</v>
      </c>
      <c r="AA427" t="s">
        <v>83</v>
      </c>
      <c r="AB427" t="s">
        <v>82</v>
      </c>
      <c r="AC427" t="s">
        <v>83</v>
      </c>
      <c r="AD427" t="s">
        <v>82</v>
      </c>
      <c r="AE427" t="s">
        <v>81</v>
      </c>
      <c r="AF427" t="s">
        <v>83</v>
      </c>
      <c r="AG427" t="s">
        <v>83</v>
      </c>
      <c r="AH427" t="s">
        <v>81</v>
      </c>
      <c r="AI427" t="s">
        <v>88</v>
      </c>
      <c r="AJ427" t="s">
        <v>89</v>
      </c>
      <c r="AK427" t="s">
        <v>85</v>
      </c>
      <c r="AL427" t="s">
        <v>107</v>
      </c>
      <c r="AM427" t="s">
        <v>87</v>
      </c>
      <c r="AN427" t="s">
        <v>87</v>
      </c>
      <c r="AO427" t="s">
        <v>87</v>
      </c>
      <c r="AP427" t="s">
        <v>86</v>
      </c>
      <c r="AQ427" t="s">
        <v>87</v>
      </c>
      <c r="AR427" t="s">
        <v>75</v>
      </c>
      <c r="AS427" t="s">
        <v>76</v>
      </c>
      <c r="AT427" t="s">
        <v>107</v>
      </c>
      <c r="AU427">
        <v>1</v>
      </c>
      <c r="AV427">
        <v>0</v>
      </c>
      <c r="AW427">
        <v>0</v>
      </c>
      <c r="AX427">
        <v>0</v>
      </c>
      <c r="AY427">
        <v>0</v>
      </c>
      <c r="AZ427" t="s">
        <v>579</v>
      </c>
    </row>
    <row r="428" spans="1:52" x14ac:dyDescent="0.2">
      <c r="A428">
        <v>1</v>
      </c>
      <c r="B428">
        <v>1</v>
      </c>
      <c r="C428">
        <v>0</v>
      </c>
      <c r="D428">
        <v>0</v>
      </c>
      <c r="E428">
        <v>0</v>
      </c>
      <c r="F428">
        <v>1</v>
      </c>
      <c r="G428">
        <v>0</v>
      </c>
      <c r="H428">
        <v>1</v>
      </c>
      <c r="I428">
        <v>0</v>
      </c>
      <c r="J428" t="s">
        <v>88</v>
      </c>
      <c r="K428" t="s">
        <v>89</v>
      </c>
      <c r="L428">
        <v>0</v>
      </c>
      <c r="M428">
        <v>1</v>
      </c>
      <c r="N428">
        <v>0</v>
      </c>
      <c r="O428">
        <v>0</v>
      </c>
      <c r="P428">
        <v>1</v>
      </c>
      <c r="Q428" t="s">
        <v>584</v>
      </c>
      <c r="AA428" t="s">
        <v>83</v>
      </c>
      <c r="AB428" t="s">
        <v>82</v>
      </c>
      <c r="AC428" t="s">
        <v>81</v>
      </c>
      <c r="AD428" t="s">
        <v>82</v>
      </c>
      <c r="AE428" t="s">
        <v>81</v>
      </c>
      <c r="AF428" t="s">
        <v>81</v>
      </c>
      <c r="AG428" t="s">
        <v>83</v>
      </c>
      <c r="AH428" t="s">
        <v>83</v>
      </c>
      <c r="AI428" t="s">
        <v>88</v>
      </c>
      <c r="AJ428" t="s">
        <v>89</v>
      </c>
      <c r="AK428" t="s">
        <v>100</v>
      </c>
      <c r="AL428" t="s">
        <v>107</v>
      </c>
      <c r="AM428" t="s">
        <v>86</v>
      </c>
      <c r="AN428" t="s">
        <v>86</v>
      </c>
      <c r="AO428" t="s">
        <v>87</v>
      </c>
      <c r="AP428" t="s">
        <v>87</v>
      </c>
      <c r="AQ428" t="s">
        <v>86</v>
      </c>
      <c r="AR428" t="s">
        <v>75</v>
      </c>
      <c r="AS428" t="s">
        <v>76</v>
      </c>
      <c r="AT428" t="s">
        <v>107</v>
      </c>
      <c r="AU428">
        <v>1</v>
      </c>
      <c r="AV428">
        <v>0</v>
      </c>
      <c r="AW428">
        <v>0</v>
      </c>
      <c r="AX428">
        <v>0</v>
      </c>
      <c r="AY428">
        <v>0</v>
      </c>
      <c r="AZ428" t="s">
        <v>580</v>
      </c>
    </row>
    <row r="429" spans="1:52" x14ac:dyDescent="0.2">
      <c r="A429">
        <v>1</v>
      </c>
      <c r="B429">
        <v>0</v>
      </c>
      <c r="C429">
        <v>0</v>
      </c>
      <c r="D429">
        <v>0</v>
      </c>
      <c r="E429">
        <v>0</v>
      </c>
      <c r="F429">
        <v>1</v>
      </c>
      <c r="G429">
        <v>0</v>
      </c>
      <c r="H429">
        <v>0</v>
      </c>
      <c r="I429">
        <v>0</v>
      </c>
      <c r="J429" t="s">
        <v>79</v>
      </c>
      <c r="K429" t="s">
        <v>89</v>
      </c>
      <c r="L429">
        <v>1</v>
      </c>
      <c r="M429">
        <v>0</v>
      </c>
      <c r="N429">
        <v>0</v>
      </c>
      <c r="O429">
        <v>0</v>
      </c>
      <c r="P429">
        <v>0</v>
      </c>
      <c r="Q429" t="s">
        <v>584</v>
      </c>
      <c r="R429">
        <v>0</v>
      </c>
      <c r="S429">
        <v>0</v>
      </c>
      <c r="T429">
        <v>1</v>
      </c>
      <c r="U429">
        <v>0</v>
      </c>
      <c r="V429">
        <v>0</v>
      </c>
      <c r="W429">
        <v>0</v>
      </c>
      <c r="X429">
        <v>0</v>
      </c>
      <c r="Y429">
        <v>0</v>
      </c>
      <c r="Z429">
        <v>0</v>
      </c>
      <c r="AL429" t="s">
        <v>73</v>
      </c>
      <c r="AM429" t="s">
        <v>86</v>
      </c>
      <c r="AN429" t="s">
        <v>74</v>
      </c>
      <c r="AO429" t="s">
        <v>87</v>
      </c>
      <c r="AP429" t="s">
        <v>74</v>
      </c>
      <c r="AQ429" t="s">
        <v>87</v>
      </c>
      <c r="AR429" t="s">
        <v>97</v>
      </c>
      <c r="AS429" t="s">
        <v>76</v>
      </c>
      <c r="AT429" t="s">
        <v>73</v>
      </c>
      <c r="AU429">
        <v>1</v>
      </c>
      <c r="AV429">
        <v>0</v>
      </c>
      <c r="AW429">
        <v>0</v>
      </c>
      <c r="AX429">
        <v>0</v>
      </c>
      <c r="AY429">
        <v>0</v>
      </c>
      <c r="AZ429" t="s">
        <v>580</v>
      </c>
    </row>
    <row r="430" spans="1:52" x14ac:dyDescent="0.2">
      <c r="A430">
        <v>0</v>
      </c>
      <c r="B430">
        <v>1</v>
      </c>
      <c r="C430">
        <v>0</v>
      </c>
      <c r="D430">
        <v>0</v>
      </c>
      <c r="E430">
        <v>1</v>
      </c>
      <c r="F430">
        <v>0</v>
      </c>
      <c r="G430">
        <v>0</v>
      </c>
      <c r="H430">
        <v>0</v>
      </c>
      <c r="I430">
        <v>0</v>
      </c>
      <c r="L430">
        <v>1</v>
      </c>
      <c r="M430">
        <v>0</v>
      </c>
      <c r="N430">
        <v>0</v>
      </c>
      <c r="O430">
        <v>0</v>
      </c>
      <c r="P430">
        <v>0</v>
      </c>
      <c r="Q430" t="s">
        <v>584</v>
      </c>
      <c r="R430">
        <v>1</v>
      </c>
      <c r="S430">
        <v>0</v>
      </c>
      <c r="T430">
        <v>0</v>
      </c>
      <c r="U430">
        <v>0</v>
      </c>
      <c r="V430">
        <v>0</v>
      </c>
      <c r="W430">
        <v>0</v>
      </c>
      <c r="X430">
        <v>0</v>
      </c>
      <c r="Y430">
        <v>0</v>
      </c>
      <c r="Z430">
        <v>0</v>
      </c>
      <c r="AL430" t="s">
        <v>107</v>
      </c>
      <c r="AM430" t="s">
        <v>87</v>
      </c>
      <c r="AN430" t="s">
        <v>87</v>
      </c>
      <c r="AO430" t="s">
        <v>87</v>
      </c>
      <c r="AP430" t="s">
        <v>87</v>
      </c>
      <c r="AQ430" t="s">
        <v>87</v>
      </c>
      <c r="AR430" t="s">
        <v>97</v>
      </c>
      <c r="AS430" t="s">
        <v>92</v>
      </c>
      <c r="AT430" t="s">
        <v>107</v>
      </c>
      <c r="AU430">
        <v>1</v>
      </c>
      <c r="AV430">
        <v>0</v>
      </c>
      <c r="AW430">
        <v>0</v>
      </c>
      <c r="AX430">
        <v>0</v>
      </c>
      <c r="AY430">
        <v>0</v>
      </c>
      <c r="AZ430" t="s">
        <v>580</v>
      </c>
    </row>
    <row r="431" spans="1:52" x14ac:dyDescent="0.2">
      <c r="A431">
        <v>1</v>
      </c>
      <c r="B431">
        <v>0</v>
      </c>
      <c r="C431">
        <v>0</v>
      </c>
      <c r="D431">
        <v>0</v>
      </c>
      <c r="E431">
        <v>0</v>
      </c>
      <c r="F431">
        <v>1</v>
      </c>
      <c r="G431">
        <v>0</v>
      </c>
      <c r="H431">
        <v>0</v>
      </c>
      <c r="I431">
        <v>0</v>
      </c>
      <c r="J431" t="s">
        <v>88</v>
      </c>
      <c r="K431" t="s">
        <v>89</v>
      </c>
      <c r="L431">
        <v>0</v>
      </c>
      <c r="M431">
        <v>0</v>
      </c>
      <c r="N431">
        <v>1</v>
      </c>
      <c r="O431">
        <v>0</v>
      </c>
      <c r="P431">
        <v>0</v>
      </c>
      <c r="Q431" t="s">
        <v>584</v>
      </c>
      <c r="AA431" t="s">
        <v>83</v>
      </c>
      <c r="AB431" t="s">
        <v>83</v>
      </c>
      <c r="AC431" t="s">
        <v>83</v>
      </c>
      <c r="AD431" t="s">
        <v>90</v>
      </c>
      <c r="AE431" t="s">
        <v>83</v>
      </c>
      <c r="AF431" t="s">
        <v>83</v>
      </c>
      <c r="AG431" t="s">
        <v>81</v>
      </c>
      <c r="AH431" t="s">
        <v>83</v>
      </c>
      <c r="AI431" t="s">
        <v>88</v>
      </c>
      <c r="AJ431" t="s">
        <v>89</v>
      </c>
      <c r="AK431" t="s">
        <v>85</v>
      </c>
      <c r="AL431" t="s">
        <v>107</v>
      </c>
      <c r="AM431" t="s">
        <v>86</v>
      </c>
      <c r="AN431" t="s">
        <v>86</v>
      </c>
      <c r="AO431" t="s">
        <v>86</v>
      </c>
      <c r="AP431" t="s">
        <v>86</v>
      </c>
      <c r="AQ431" t="s">
        <v>86</v>
      </c>
      <c r="AR431" t="s">
        <v>97</v>
      </c>
      <c r="AS431" t="s">
        <v>76</v>
      </c>
      <c r="AT431" t="s">
        <v>107</v>
      </c>
      <c r="AU431">
        <v>0</v>
      </c>
      <c r="AV431">
        <v>0</v>
      </c>
      <c r="AW431">
        <v>0</v>
      </c>
      <c r="AX431">
        <v>1</v>
      </c>
      <c r="AY431">
        <v>0</v>
      </c>
      <c r="AZ431" t="s">
        <v>580</v>
      </c>
    </row>
    <row r="432" spans="1:52" x14ac:dyDescent="0.2">
      <c r="A432">
        <v>1</v>
      </c>
      <c r="B432">
        <v>0</v>
      </c>
      <c r="C432">
        <v>0</v>
      </c>
      <c r="D432">
        <v>0</v>
      </c>
      <c r="E432">
        <v>1</v>
      </c>
      <c r="F432">
        <v>0</v>
      </c>
      <c r="G432">
        <v>0</v>
      </c>
      <c r="H432">
        <v>0</v>
      </c>
      <c r="I432">
        <v>0</v>
      </c>
      <c r="L432">
        <v>1</v>
      </c>
      <c r="M432">
        <v>0</v>
      </c>
      <c r="N432">
        <v>0</v>
      </c>
      <c r="O432">
        <v>0</v>
      </c>
      <c r="P432">
        <v>0</v>
      </c>
      <c r="Q432" t="s">
        <v>584</v>
      </c>
      <c r="R432">
        <v>1</v>
      </c>
      <c r="S432">
        <v>0</v>
      </c>
      <c r="T432">
        <v>0</v>
      </c>
      <c r="U432">
        <v>0</v>
      </c>
      <c r="V432">
        <v>0</v>
      </c>
      <c r="W432">
        <v>0</v>
      </c>
      <c r="X432">
        <v>0</v>
      </c>
      <c r="Y432">
        <v>0</v>
      </c>
      <c r="Z432">
        <v>0</v>
      </c>
      <c r="AL432" t="s">
        <v>107</v>
      </c>
      <c r="AM432" t="s">
        <v>87</v>
      </c>
      <c r="AN432" t="s">
        <v>87</v>
      </c>
      <c r="AO432" t="s">
        <v>86</v>
      </c>
      <c r="AP432" t="s">
        <v>86</v>
      </c>
      <c r="AQ432" t="s">
        <v>86</v>
      </c>
      <c r="AR432" t="s">
        <v>75</v>
      </c>
      <c r="AS432" t="s">
        <v>92</v>
      </c>
      <c r="AT432" t="s">
        <v>107</v>
      </c>
      <c r="AU432">
        <v>1</v>
      </c>
      <c r="AV432">
        <v>0</v>
      </c>
      <c r="AW432">
        <v>0</v>
      </c>
      <c r="AX432">
        <v>0</v>
      </c>
      <c r="AY432">
        <v>0</v>
      </c>
      <c r="AZ432" t="s">
        <v>580</v>
      </c>
    </row>
    <row r="433" spans="1:52" x14ac:dyDescent="0.2">
      <c r="A433">
        <v>1</v>
      </c>
      <c r="B433">
        <v>0</v>
      </c>
      <c r="C433">
        <v>0</v>
      </c>
      <c r="D433">
        <v>0</v>
      </c>
      <c r="E433">
        <v>0</v>
      </c>
      <c r="F433">
        <v>1</v>
      </c>
      <c r="G433">
        <v>0</v>
      </c>
      <c r="H433">
        <v>1</v>
      </c>
      <c r="I433">
        <v>0</v>
      </c>
      <c r="J433" t="s">
        <v>88</v>
      </c>
      <c r="K433" t="s">
        <v>89</v>
      </c>
      <c r="L433">
        <v>0</v>
      </c>
      <c r="M433">
        <v>1</v>
      </c>
      <c r="N433">
        <v>0</v>
      </c>
      <c r="O433">
        <v>0</v>
      </c>
      <c r="P433">
        <v>0</v>
      </c>
      <c r="Q433" t="s">
        <v>584</v>
      </c>
      <c r="AA433" t="s">
        <v>83</v>
      </c>
      <c r="AB433" t="s">
        <v>82</v>
      </c>
      <c r="AC433" t="s">
        <v>81</v>
      </c>
      <c r="AD433" t="s">
        <v>81</v>
      </c>
      <c r="AE433" t="s">
        <v>81</v>
      </c>
      <c r="AF433" t="s">
        <v>83</v>
      </c>
      <c r="AG433" t="s">
        <v>81</v>
      </c>
      <c r="AH433" t="s">
        <v>83</v>
      </c>
      <c r="AI433" t="s">
        <v>88</v>
      </c>
      <c r="AJ433" t="s">
        <v>89</v>
      </c>
      <c r="AK433" t="s">
        <v>100</v>
      </c>
      <c r="AL433" t="s">
        <v>107</v>
      </c>
      <c r="AM433" t="s">
        <v>86</v>
      </c>
      <c r="AN433" t="s">
        <v>86</v>
      </c>
      <c r="AO433" t="s">
        <v>86</v>
      </c>
      <c r="AP433" t="s">
        <v>86</v>
      </c>
      <c r="AQ433" t="s">
        <v>86</v>
      </c>
      <c r="AR433" t="s">
        <v>97</v>
      </c>
      <c r="AS433" t="s">
        <v>92</v>
      </c>
      <c r="AT433" t="s">
        <v>107</v>
      </c>
      <c r="AU433">
        <v>1</v>
      </c>
      <c r="AV433">
        <v>0</v>
      </c>
      <c r="AW433">
        <v>0</v>
      </c>
      <c r="AX433">
        <v>0</v>
      </c>
      <c r="AY433">
        <v>0</v>
      </c>
      <c r="AZ433" t="s">
        <v>580</v>
      </c>
    </row>
    <row r="434" spans="1:52" x14ac:dyDescent="0.2">
      <c r="A434">
        <v>1</v>
      </c>
      <c r="B434">
        <v>0</v>
      </c>
      <c r="C434">
        <v>0</v>
      </c>
      <c r="D434">
        <v>0</v>
      </c>
      <c r="E434">
        <v>0</v>
      </c>
      <c r="F434">
        <v>1</v>
      </c>
      <c r="G434">
        <v>0</v>
      </c>
      <c r="H434">
        <v>0</v>
      </c>
      <c r="I434">
        <v>0</v>
      </c>
      <c r="J434" t="s">
        <v>79</v>
      </c>
      <c r="K434" t="s">
        <v>80</v>
      </c>
      <c r="L434">
        <v>0</v>
      </c>
      <c r="M434">
        <v>0</v>
      </c>
      <c r="N434">
        <v>1</v>
      </c>
      <c r="O434">
        <v>0</v>
      </c>
      <c r="P434">
        <v>0</v>
      </c>
      <c r="Q434" t="s">
        <v>584</v>
      </c>
      <c r="AA434" t="s">
        <v>81</v>
      </c>
      <c r="AB434" t="s">
        <v>82</v>
      </c>
      <c r="AC434" t="s">
        <v>81</v>
      </c>
      <c r="AD434" t="s">
        <v>81</v>
      </c>
      <c r="AE434" t="s">
        <v>82</v>
      </c>
      <c r="AF434" t="s">
        <v>81</v>
      </c>
      <c r="AG434" t="s">
        <v>81</v>
      </c>
      <c r="AH434" t="s">
        <v>83</v>
      </c>
      <c r="AI434" t="s">
        <v>88</v>
      </c>
      <c r="AJ434" t="s">
        <v>89</v>
      </c>
      <c r="AK434" t="s">
        <v>85</v>
      </c>
      <c r="AL434" t="s">
        <v>96</v>
      </c>
      <c r="AM434" t="s">
        <v>87</v>
      </c>
      <c r="AN434" t="s">
        <v>87</v>
      </c>
      <c r="AO434" t="s">
        <v>87</v>
      </c>
      <c r="AP434" t="s">
        <v>86</v>
      </c>
      <c r="AQ434" t="s">
        <v>87</v>
      </c>
      <c r="AR434" t="s">
        <v>75</v>
      </c>
      <c r="AS434" t="s">
        <v>92</v>
      </c>
      <c r="AT434" t="s">
        <v>96</v>
      </c>
      <c r="AU434">
        <v>1</v>
      </c>
      <c r="AV434">
        <v>0</v>
      </c>
      <c r="AW434">
        <v>0</v>
      </c>
      <c r="AX434">
        <v>0</v>
      </c>
      <c r="AY434">
        <v>0</v>
      </c>
      <c r="AZ434" t="s">
        <v>580</v>
      </c>
    </row>
    <row r="435" spans="1:52" x14ac:dyDescent="0.2">
      <c r="A435">
        <v>0</v>
      </c>
      <c r="B435">
        <v>1</v>
      </c>
      <c r="C435">
        <v>0</v>
      </c>
      <c r="D435">
        <v>0</v>
      </c>
      <c r="E435">
        <v>0</v>
      </c>
      <c r="F435">
        <v>1</v>
      </c>
      <c r="G435">
        <v>0</v>
      </c>
      <c r="H435">
        <v>1</v>
      </c>
      <c r="I435">
        <v>0</v>
      </c>
      <c r="J435" t="s">
        <v>88</v>
      </c>
      <c r="K435" t="s">
        <v>89</v>
      </c>
      <c r="L435">
        <v>0</v>
      </c>
      <c r="M435">
        <v>1</v>
      </c>
      <c r="N435">
        <v>0</v>
      </c>
      <c r="O435">
        <v>0</v>
      </c>
      <c r="P435">
        <v>0</v>
      </c>
      <c r="Q435" t="s">
        <v>584</v>
      </c>
      <c r="AA435" t="s">
        <v>90</v>
      </c>
      <c r="AB435" t="s">
        <v>82</v>
      </c>
      <c r="AC435" t="s">
        <v>83</v>
      </c>
      <c r="AD435" t="s">
        <v>90</v>
      </c>
      <c r="AE435" t="s">
        <v>83</v>
      </c>
      <c r="AF435" t="s">
        <v>90</v>
      </c>
      <c r="AG435" t="s">
        <v>90</v>
      </c>
      <c r="AH435" t="s">
        <v>81</v>
      </c>
      <c r="AI435" t="s">
        <v>88</v>
      </c>
      <c r="AJ435" t="s">
        <v>89</v>
      </c>
      <c r="AK435" t="s">
        <v>100</v>
      </c>
      <c r="AL435" t="s">
        <v>107</v>
      </c>
      <c r="AM435" t="s">
        <v>74</v>
      </c>
      <c r="AR435" t="s">
        <v>75</v>
      </c>
      <c r="AS435" t="s">
        <v>76</v>
      </c>
      <c r="AT435" t="s">
        <v>107</v>
      </c>
      <c r="AU435">
        <v>1</v>
      </c>
      <c r="AV435">
        <v>0</v>
      </c>
      <c r="AW435">
        <v>0</v>
      </c>
      <c r="AX435">
        <v>0</v>
      </c>
      <c r="AY435">
        <v>0</v>
      </c>
      <c r="AZ435" t="s">
        <v>580</v>
      </c>
    </row>
    <row r="436" spans="1:52" x14ac:dyDescent="0.2">
      <c r="A436">
        <v>1</v>
      </c>
      <c r="B436">
        <v>0</v>
      </c>
      <c r="C436">
        <v>0</v>
      </c>
      <c r="D436">
        <v>0</v>
      </c>
      <c r="E436">
        <v>0</v>
      </c>
      <c r="F436">
        <v>1</v>
      </c>
      <c r="G436">
        <v>1</v>
      </c>
      <c r="H436">
        <v>0</v>
      </c>
      <c r="I436">
        <v>0</v>
      </c>
      <c r="J436" t="s">
        <v>79</v>
      </c>
      <c r="K436" t="s">
        <v>80</v>
      </c>
      <c r="L436">
        <v>0</v>
      </c>
      <c r="M436">
        <v>1</v>
      </c>
      <c r="N436">
        <v>0</v>
      </c>
      <c r="O436">
        <v>0</v>
      </c>
      <c r="P436">
        <v>0</v>
      </c>
      <c r="Q436" t="s">
        <v>584</v>
      </c>
      <c r="AA436" t="s">
        <v>90</v>
      </c>
      <c r="AB436" t="s">
        <v>82</v>
      </c>
      <c r="AC436" t="s">
        <v>83</v>
      </c>
      <c r="AD436" t="s">
        <v>90</v>
      </c>
      <c r="AE436" t="s">
        <v>90</v>
      </c>
      <c r="AF436" t="s">
        <v>90</v>
      </c>
      <c r="AG436" t="s">
        <v>90</v>
      </c>
      <c r="AH436" t="s">
        <v>83</v>
      </c>
      <c r="AI436" t="s">
        <v>88</v>
      </c>
      <c r="AJ436" t="s">
        <v>89</v>
      </c>
      <c r="AK436" t="s">
        <v>85</v>
      </c>
      <c r="AL436" t="s">
        <v>73</v>
      </c>
      <c r="AM436" t="s">
        <v>86</v>
      </c>
      <c r="AN436" t="s">
        <v>86</v>
      </c>
      <c r="AO436" t="s">
        <v>87</v>
      </c>
      <c r="AP436" t="s">
        <v>86</v>
      </c>
      <c r="AQ436" t="s">
        <v>86</v>
      </c>
      <c r="AR436" t="s">
        <v>75</v>
      </c>
      <c r="AS436" t="s">
        <v>76</v>
      </c>
      <c r="AT436" t="s">
        <v>73</v>
      </c>
      <c r="AU436">
        <v>0</v>
      </c>
      <c r="AV436">
        <v>0</v>
      </c>
      <c r="AW436">
        <v>0</v>
      </c>
      <c r="AX436">
        <v>1</v>
      </c>
      <c r="AY436">
        <v>0</v>
      </c>
      <c r="AZ436" t="s">
        <v>578</v>
      </c>
    </row>
    <row r="437" spans="1:52" x14ac:dyDescent="0.2">
      <c r="A437">
        <v>1</v>
      </c>
      <c r="B437">
        <v>0</v>
      </c>
      <c r="C437">
        <v>0</v>
      </c>
      <c r="D437">
        <v>0</v>
      </c>
      <c r="E437">
        <v>0</v>
      </c>
      <c r="F437">
        <v>1</v>
      </c>
      <c r="G437">
        <v>0</v>
      </c>
      <c r="H437">
        <v>0</v>
      </c>
      <c r="I437">
        <v>0</v>
      </c>
      <c r="J437" t="s">
        <v>79</v>
      </c>
      <c r="K437" t="s">
        <v>80</v>
      </c>
      <c r="L437">
        <v>0</v>
      </c>
      <c r="M437">
        <v>0</v>
      </c>
      <c r="N437">
        <v>1</v>
      </c>
      <c r="O437">
        <v>0</v>
      </c>
      <c r="P437">
        <v>0</v>
      </c>
      <c r="Q437" t="s">
        <v>584</v>
      </c>
      <c r="AA437" t="s">
        <v>83</v>
      </c>
      <c r="AB437" t="s">
        <v>82</v>
      </c>
      <c r="AC437" t="s">
        <v>82</v>
      </c>
      <c r="AD437" t="s">
        <v>81</v>
      </c>
      <c r="AE437" t="s">
        <v>81</v>
      </c>
      <c r="AF437" t="s">
        <v>81</v>
      </c>
      <c r="AG437" t="s">
        <v>83</v>
      </c>
      <c r="AH437" t="s">
        <v>81</v>
      </c>
      <c r="AI437" t="s">
        <v>135</v>
      </c>
      <c r="AJ437" t="s">
        <v>80</v>
      </c>
      <c r="AK437" t="s">
        <v>117</v>
      </c>
      <c r="AL437" t="s">
        <v>107</v>
      </c>
      <c r="AM437" t="s">
        <v>87</v>
      </c>
      <c r="AN437" t="s">
        <v>87</v>
      </c>
      <c r="AO437" t="s">
        <v>87</v>
      </c>
      <c r="AP437" t="s">
        <v>87</v>
      </c>
      <c r="AQ437" t="s">
        <v>87</v>
      </c>
      <c r="AR437" t="s">
        <v>75</v>
      </c>
      <c r="AS437" t="s">
        <v>278</v>
      </c>
      <c r="AT437" t="s">
        <v>107</v>
      </c>
      <c r="AU437">
        <v>0</v>
      </c>
      <c r="AV437">
        <v>0</v>
      </c>
      <c r="AW437">
        <v>0</v>
      </c>
      <c r="AX437">
        <v>1</v>
      </c>
      <c r="AY437">
        <v>0</v>
      </c>
      <c r="AZ437" t="s">
        <v>578</v>
      </c>
    </row>
    <row r="438" spans="1:52" x14ac:dyDescent="0.2">
      <c r="A438">
        <v>1</v>
      </c>
      <c r="B438">
        <v>0</v>
      </c>
      <c r="C438">
        <v>0</v>
      </c>
      <c r="D438">
        <v>0</v>
      </c>
      <c r="E438">
        <v>1</v>
      </c>
      <c r="F438">
        <v>0</v>
      </c>
      <c r="G438">
        <v>0</v>
      </c>
      <c r="H438">
        <v>0</v>
      </c>
      <c r="I438">
        <v>0</v>
      </c>
      <c r="L438">
        <v>0</v>
      </c>
      <c r="M438">
        <v>1</v>
      </c>
      <c r="N438">
        <v>0</v>
      </c>
      <c r="O438">
        <v>0</v>
      </c>
      <c r="P438">
        <v>0</v>
      </c>
      <c r="Q438" t="s">
        <v>584</v>
      </c>
      <c r="AA438" t="s">
        <v>90</v>
      </c>
      <c r="AB438" t="s">
        <v>82</v>
      </c>
      <c r="AC438" t="s">
        <v>83</v>
      </c>
      <c r="AD438" t="s">
        <v>90</v>
      </c>
      <c r="AE438" t="s">
        <v>81</v>
      </c>
      <c r="AF438" t="s">
        <v>90</v>
      </c>
      <c r="AG438" t="s">
        <v>90</v>
      </c>
      <c r="AH438" t="s">
        <v>83</v>
      </c>
      <c r="AI438" t="s">
        <v>127</v>
      </c>
      <c r="AJ438" t="s">
        <v>127</v>
      </c>
      <c r="AL438" t="s">
        <v>96</v>
      </c>
      <c r="AM438" t="s">
        <v>87</v>
      </c>
      <c r="AN438" t="s">
        <v>87</v>
      </c>
      <c r="AO438" t="s">
        <v>87</v>
      </c>
      <c r="AP438" t="s">
        <v>87</v>
      </c>
      <c r="AQ438" t="s">
        <v>87</v>
      </c>
      <c r="AR438" t="s">
        <v>159</v>
      </c>
      <c r="AS438" t="s">
        <v>76</v>
      </c>
      <c r="AT438" t="s">
        <v>96</v>
      </c>
      <c r="AU438">
        <v>0</v>
      </c>
      <c r="AV438">
        <v>0</v>
      </c>
      <c r="AW438">
        <v>0</v>
      </c>
      <c r="AX438">
        <v>1</v>
      </c>
      <c r="AY438">
        <v>0</v>
      </c>
      <c r="AZ438" t="s">
        <v>577</v>
      </c>
    </row>
    <row r="439" spans="1:52" x14ac:dyDescent="0.2">
      <c r="A439">
        <v>0</v>
      </c>
      <c r="B439">
        <v>1</v>
      </c>
      <c r="C439">
        <v>0</v>
      </c>
      <c r="D439">
        <v>0</v>
      </c>
      <c r="E439">
        <v>1</v>
      </c>
      <c r="F439">
        <v>0</v>
      </c>
      <c r="G439">
        <v>0</v>
      </c>
      <c r="H439">
        <v>0</v>
      </c>
      <c r="I439">
        <v>0</v>
      </c>
      <c r="L439">
        <v>0</v>
      </c>
      <c r="M439">
        <v>1</v>
      </c>
      <c r="N439">
        <v>0</v>
      </c>
      <c r="O439">
        <v>0</v>
      </c>
      <c r="P439">
        <v>0</v>
      </c>
      <c r="Q439" t="s">
        <v>584</v>
      </c>
      <c r="AA439" t="s">
        <v>83</v>
      </c>
      <c r="AB439" t="s">
        <v>82</v>
      </c>
      <c r="AC439" t="s">
        <v>83</v>
      </c>
      <c r="AD439" t="s">
        <v>83</v>
      </c>
      <c r="AE439" t="s">
        <v>83</v>
      </c>
      <c r="AF439" t="s">
        <v>83</v>
      </c>
      <c r="AG439" t="s">
        <v>83</v>
      </c>
      <c r="AH439" t="s">
        <v>83</v>
      </c>
      <c r="AI439" t="s">
        <v>135</v>
      </c>
      <c r="AJ439" t="s">
        <v>89</v>
      </c>
      <c r="AK439" t="s">
        <v>85</v>
      </c>
      <c r="AL439" t="s">
        <v>73</v>
      </c>
      <c r="AM439" t="s">
        <v>74</v>
      </c>
      <c r="AR439" t="s">
        <v>75</v>
      </c>
      <c r="AS439" t="s">
        <v>76</v>
      </c>
      <c r="AT439" t="s">
        <v>73</v>
      </c>
      <c r="AU439">
        <v>0</v>
      </c>
      <c r="AV439">
        <v>0</v>
      </c>
      <c r="AW439">
        <v>1</v>
      </c>
      <c r="AX439">
        <v>0</v>
      </c>
      <c r="AY439">
        <v>0</v>
      </c>
      <c r="AZ439" t="s">
        <v>580</v>
      </c>
    </row>
    <row r="440" spans="1:52" x14ac:dyDescent="0.2">
      <c r="A440">
        <v>1</v>
      </c>
      <c r="B440">
        <v>0</v>
      </c>
      <c r="C440">
        <v>0</v>
      </c>
      <c r="D440">
        <v>0</v>
      </c>
      <c r="E440">
        <v>0</v>
      </c>
      <c r="F440">
        <v>1</v>
      </c>
      <c r="G440">
        <v>1</v>
      </c>
      <c r="H440">
        <v>0</v>
      </c>
      <c r="I440">
        <v>0</v>
      </c>
      <c r="J440" t="s">
        <v>88</v>
      </c>
      <c r="K440" t="s">
        <v>89</v>
      </c>
      <c r="L440">
        <v>0</v>
      </c>
      <c r="M440">
        <v>0</v>
      </c>
      <c r="N440">
        <v>1</v>
      </c>
      <c r="O440">
        <v>0</v>
      </c>
      <c r="P440">
        <v>0</v>
      </c>
      <c r="Q440" t="s">
        <v>584</v>
      </c>
      <c r="AA440" t="s">
        <v>83</v>
      </c>
      <c r="AB440" t="s">
        <v>82</v>
      </c>
      <c r="AC440" t="s">
        <v>83</v>
      </c>
      <c r="AD440" t="s">
        <v>81</v>
      </c>
      <c r="AE440" t="s">
        <v>82</v>
      </c>
      <c r="AF440" t="s">
        <v>81</v>
      </c>
      <c r="AG440" t="s">
        <v>83</v>
      </c>
      <c r="AH440" t="s">
        <v>83</v>
      </c>
      <c r="AI440" t="s">
        <v>88</v>
      </c>
      <c r="AJ440" t="s">
        <v>89</v>
      </c>
      <c r="AK440" t="s">
        <v>85</v>
      </c>
      <c r="AL440" t="s">
        <v>96</v>
      </c>
      <c r="AM440" t="s">
        <v>86</v>
      </c>
      <c r="AN440" t="s">
        <v>87</v>
      </c>
      <c r="AO440" t="s">
        <v>87</v>
      </c>
      <c r="AP440" t="s">
        <v>87</v>
      </c>
      <c r="AQ440" t="s">
        <v>87</v>
      </c>
      <c r="AR440" t="s">
        <v>75</v>
      </c>
      <c r="AS440" t="s">
        <v>76</v>
      </c>
      <c r="AT440" t="s">
        <v>96</v>
      </c>
      <c r="AU440">
        <v>0</v>
      </c>
      <c r="AV440">
        <v>0</v>
      </c>
      <c r="AW440">
        <v>0</v>
      </c>
      <c r="AX440">
        <v>1</v>
      </c>
      <c r="AY440">
        <v>0</v>
      </c>
      <c r="AZ440" t="s">
        <v>578</v>
      </c>
    </row>
    <row r="441" spans="1:52" x14ac:dyDescent="0.2">
      <c r="A441">
        <v>0</v>
      </c>
      <c r="B441">
        <v>1</v>
      </c>
      <c r="C441">
        <v>0</v>
      </c>
      <c r="D441">
        <v>0</v>
      </c>
      <c r="E441">
        <v>0</v>
      </c>
      <c r="F441">
        <v>1</v>
      </c>
      <c r="G441">
        <v>0</v>
      </c>
      <c r="H441">
        <v>1</v>
      </c>
      <c r="I441">
        <v>1</v>
      </c>
      <c r="J441" t="s">
        <v>88</v>
      </c>
      <c r="K441" t="s">
        <v>89</v>
      </c>
      <c r="L441">
        <v>0</v>
      </c>
      <c r="M441">
        <v>0</v>
      </c>
      <c r="N441">
        <v>0</v>
      </c>
      <c r="O441">
        <v>0</v>
      </c>
      <c r="P441">
        <v>0</v>
      </c>
      <c r="Q441" t="s">
        <v>585</v>
      </c>
      <c r="AA441" t="s">
        <v>90</v>
      </c>
      <c r="AB441" t="s">
        <v>82</v>
      </c>
      <c r="AC441" t="s">
        <v>81</v>
      </c>
      <c r="AD441" t="s">
        <v>82</v>
      </c>
      <c r="AE441" t="s">
        <v>83</v>
      </c>
      <c r="AF441" t="s">
        <v>90</v>
      </c>
      <c r="AG441" t="s">
        <v>81</v>
      </c>
      <c r="AH441" t="s">
        <v>83</v>
      </c>
      <c r="AI441" t="s">
        <v>135</v>
      </c>
      <c r="AJ441" t="s">
        <v>80</v>
      </c>
      <c r="AK441" t="s">
        <v>153</v>
      </c>
      <c r="AL441" t="s">
        <v>96</v>
      </c>
      <c r="AM441" t="s">
        <v>86</v>
      </c>
      <c r="AN441" t="s">
        <v>86</v>
      </c>
      <c r="AO441" t="s">
        <v>86</v>
      </c>
      <c r="AP441" t="s">
        <v>86</v>
      </c>
      <c r="AQ441" t="s">
        <v>86</v>
      </c>
      <c r="AR441" t="s">
        <v>75</v>
      </c>
      <c r="AS441" t="s">
        <v>76</v>
      </c>
      <c r="AT441" t="s">
        <v>96</v>
      </c>
      <c r="AU441">
        <v>1</v>
      </c>
      <c r="AV441">
        <v>0</v>
      </c>
      <c r="AW441">
        <v>0</v>
      </c>
      <c r="AX441">
        <v>0</v>
      </c>
      <c r="AY441">
        <v>0</v>
      </c>
      <c r="AZ441" t="s">
        <v>579</v>
      </c>
    </row>
    <row r="442" spans="1:52" x14ac:dyDescent="0.2">
      <c r="A442">
        <v>1</v>
      </c>
      <c r="B442">
        <v>0</v>
      </c>
      <c r="C442">
        <v>0</v>
      </c>
      <c r="D442">
        <v>0</v>
      </c>
      <c r="E442">
        <v>1</v>
      </c>
      <c r="F442">
        <v>0</v>
      </c>
      <c r="G442">
        <v>0</v>
      </c>
      <c r="H442">
        <v>0</v>
      </c>
      <c r="I442">
        <v>0</v>
      </c>
      <c r="L442">
        <v>1</v>
      </c>
      <c r="M442">
        <v>0</v>
      </c>
      <c r="N442">
        <v>0</v>
      </c>
      <c r="O442">
        <v>0</v>
      </c>
      <c r="P442">
        <v>0</v>
      </c>
      <c r="Q442" t="s">
        <v>584</v>
      </c>
      <c r="R442">
        <v>0</v>
      </c>
      <c r="S442">
        <v>1</v>
      </c>
      <c r="T442">
        <v>0</v>
      </c>
      <c r="U442">
        <v>0</v>
      </c>
      <c r="V442">
        <v>0</v>
      </c>
      <c r="W442">
        <v>0</v>
      </c>
      <c r="X442">
        <v>0</v>
      </c>
      <c r="Y442">
        <v>0</v>
      </c>
      <c r="Z442">
        <v>0</v>
      </c>
      <c r="AL442" t="s">
        <v>96</v>
      </c>
      <c r="AM442" t="s">
        <v>87</v>
      </c>
      <c r="AN442" t="s">
        <v>86</v>
      </c>
      <c r="AO442" t="s">
        <v>86</v>
      </c>
      <c r="AP442" t="s">
        <v>87</v>
      </c>
      <c r="AQ442" t="s">
        <v>87</v>
      </c>
      <c r="AR442" t="s">
        <v>75</v>
      </c>
      <c r="AS442" t="s">
        <v>92</v>
      </c>
      <c r="AT442" t="s">
        <v>96</v>
      </c>
      <c r="AU442">
        <v>1</v>
      </c>
      <c r="AV442">
        <v>0</v>
      </c>
      <c r="AW442">
        <v>0</v>
      </c>
      <c r="AX442">
        <v>0</v>
      </c>
      <c r="AY442">
        <v>0</v>
      </c>
      <c r="AZ442" t="s">
        <v>578</v>
      </c>
    </row>
    <row r="443" spans="1:52" x14ac:dyDescent="0.2">
      <c r="A443">
        <v>0</v>
      </c>
      <c r="B443">
        <v>1</v>
      </c>
      <c r="C443">
        <v>0</v>
      </c>
      <c r="D443">
        <v>0</v>
      </c>
      <c r="E443">
        <v>1</v>
      </c>
      <c r="F443">
        <v>0</v>
      </c>
      <c r="G443">
        <v>0</v>
      </c>
      <c r="H443">
        <v>0</v>
      </c>
      <c r="I443">
        <v>0</v>
      </c>
      <c r="L443">
        <v>1</v>
      </c>
      <c r="M443">
        <v>0</v>
      </c>
      <c r="N443">
        <v>0</v>
      </c>
      <c r="O443">
        <v>0</v>
      </c>
      <c r="P443">
        <v>0</v>
      </c>
      <c r="Q443" t="s">
        <v>584</v>
      </c>
      <c r="R443">
        <v>1</v>
      </c>
      <c r="S443">
        <v>0</v>
      </c>
      <c r="T443">
        <v>0</v>
      </c>
      <c r="U443">
        <v>0</v>
      </c>
      <c r="V443">
        <v>0</v>
      </c>
      <c r="W443">
        <v>0</v>
      </c>
      <c r="X443">
        <v>0</v>
      </c>
      <c r="Y443">
        <v>0</v>
      </c>
      <c r="Z443">
        <v>0</v>
      </c>
      <c r="AL443" t="s">
        <v>107</v>
      </c>
      <c r="AM443" t="s">
        <v>87</v>
      </c>
      <c r="AN443" t="s">
        <v>87</v>
      </c>
      <c r="AO443" t="s">
        <v>87</v>
      </c>
      <c r="AP443" t="s">
        <v>87</v>
      </c>
      <c r="AQ443" t="s">
        <v>87</v>
      </c>
      <c r="AR443" t="s">
        <v>113</v>
      </c>
      <c r="AS443" t="s">
        <v>76</v>
      </c>
      <c r="AT443" t="s">
        <v>107</v>
      </c>
      <c r="AU443">
        <v>1</v>
      </c>
      <c r="AV443">
        <v>0</v>
      </c>
      <c r="AW443">
        <v>0</v>
      </c>
      <c r="AX443">
        <v>0</v>
      </c>
      <c r="AY443">
        <v>0</v>
      </c>
      <c r="AZ443" t="s">
        <v>580</v>
      </c>
    </row>
    <row r="444" spans="1:52" x14ac:dyDescent="0.2">
      <c r="A444">
        <v>1</v>
      </c>
      <c r="B444">
        <v>0</v>
      </c>
      <c r="C444">
        <v>0</v>
      </c>
      <c r="D444">
        <v>0</v>
      </c>
      <c r="E444">
        <v>0</v>
      </c>
      <c r="F444">
        <v>1</v>
      </c>
      <c r="G444">
        <v>0</v>
      </c>
      <c r="H444">
        <v>0</v>
      </c>
      <c r="I444">
        <v>0</v>
      </c>
      <c r="J444" t="s">
        <v>135</v>
      </c>
      <c r="K444" t="s">
        <v>127</v>
      </c>
      <c r="L444">
        <v>0</v>
      </c>
      <c r="M444">
        <v>1</v>
      </c>
      <c r="N444">
        <v>0</v>
      </c>
      <c r="O444">
        <v>0</v>
      </c>
      <c r="P444">
        <v>0</v>
      </c>
      <c r="Q444" t="s">
        <v>584</v>
      </c>
      <c r="AA444" t="s">
        <v>83</v>
      </c>
      <c r="AB444" t="s">
        <v>83</v>
      </c>
      <c r="AC444" t="s">
        <v>83</v>
      </c>
      <c r="AD444" t="s">
        <v>83</v>
      </c>
      <c r="AE444" t="s">
        <v>82</v>
      </c>
      <c r="AF444" t="s">
        <v>83</v>
      </c>
      <c r="AG444" t="s">
        <v>81</v>
      </c>
      <c r="AH444" t="s">
        <v>83</v>
      </c>
      <c r="AI444" t="s">
        <v>135</v>
      </c>
      <c r="AJ444" t="s">
        <v>127</v>
      </c>
      <c r="AK444" t="s">
        <v>85</v>
      </c>
      <c r="AL444" t="s">
        <v>107</v>
      </c>
      <c r="AM444" t="s">
        <v>87</v>
      </c>
      <c r="AN444" t="s">
        <v>86</v>
      </c>
      <c r="AO444" t="s">
        <v>87</v>
      </c>
      <c r="AP444" t="s">
        <v>87</v>
      </c>
      <c r="AQ444" t="s">
        <v>74</v>
      </c>
      <c r="AR444" t="s">
        <v>159</v>
      </c>
      <c r="AS444" t="s">
        <v>76</v>
      </c>
      <c r="AT444" t="s">
        <v>107</v>
      </c>
      <c r="AU444">
        <v>0</v>
      </c>
      <c r="AV444">
        <v>0</v>
      </c>
      <c r="AW444">
        <v>0</v>
      </c>
      <c r="AX444">
        <v>1</v>
      </c>
      <c r="AY444">
        <v>0</v>
      </c>
      <c r="AZ444" t="s">
        <v>579</v>
      </c>
    </row>
    <row r="445" spans="1:52" x14ac:dyDescent="0.2">
      <c r="A445">
        <v>1</v>
      </c>
      <c r="B445">
        <v>0</v>
      </c>
      <c r="C445">
        <v>0</v>
      </c>
      <c r="D445">
        <v>0</v>
      </c>
      <c r="E445">
        <v>0</v>
      </c>
      <c r="F445">
        <v>1</v>
      </c>
      <c r="G445">
        <v>0</v>
      </c>
      <c r="H445">
        <v>0</v>
      </c>
      <c r="I445">
        <v>0</v>
      </c>
      <c r="J445" t="s">
        <v>135</v>
      </c>
      <c r="K445" t="s">
        <v>80</v>
      </c>
      <c r="L445">
        <v>1</v>
      </c>
      <c r="M445">
        <v>0</v>
      </c>
      <c r="N445">
        <v>0</v>
      </c>
      <c r="O445">
        <v>0</v>
      </c>
      <c r="P445">
        <v>0</v>
      </c>
      <c r="Q445" t="s">
        <v>584</v>
      </c>
      <c r="R445">
        <v>0</v>
      </c>
      <c r="S445">
        <v>0</v>
      </c>
      <c r="T445">
        <v>0</v>
      </c>
      <c r="U445">
        <v>0</v>
      </c>
      <c r="V445">
        <v>0</v>
      </c>
      <c r="W445">
        <v>0</v>
      </c>
      <c r="X445">
        <v>1</v>
      </c>
      <c r="Y445">
        <v>1</v>
      </c>
      <c r="Z445">
        <v>1</v>
      </c>
      <c r="AL445" t="s">
        <v>107</v>
      </c>
      <c r="AM445" t="s">
        <v>86</v>
      </c>
      <c r="AN445" t="s">
        <v>74</v>
      </c>
      <c r="AO445" t="s">
        <v>86</v>
      </c>
      <c r="AP445" t="s">
        <v>74</v>
      </c>
      <c r="AQ445" t="s">
        <v>74</v>
      </c>
      <c r="AR445" t="s">
        <v>108</v>
      </c>
      <c r="AS445" t="s">
        <v>76</v>
      </c>
      <c r="AT445" t="s">
        <v>107</v>
      </c>
      <c r="AU445">
        <v>0</v>
      </c>
      <c r="AV445">
        <v>0</v>
      </c>
      <c r="AW445">
        <v>0</v>
      </c>
      <c r="AX445">
        <v>1</v>
      </c>
      <c r="AY445">
        <v>0</v>
      </c>
      <c r="AZ445" t="s">
        <v>579</v>
      </c>
    </row>
    <row r="446" spans="1:52" x14ac:dyDescent="0.2">
      <c r="A446">
        <v>1</v>
      </c>
      <c r="B446">
        <v>0</v>
      </c>
      <c r="C446">
        <v>0</v>
      </c>
      <c r="D446">
        <v>0</v>
      </c>
      <c r="E446">
        <v>0</v>
      </c>
      <c r="F446">
        <v>1</v>
      </c>
      <c r="G446">
        <v>0</v>
      </c>
      <c r="H446">
        <v>1</v>
      </c>
      <c r="I446">
        <v>0</v>
      </c>
      <c r="J446" t="s">
        <v>135</v>
      </c>
      <c r="K446" t="s">
        <v>80</v>
      </c>
      <c r="L446">
        <v>0</v>
      </c>
      <c r="M446">
        <v>0</v>
      </c>
      <c r="N446">
        <v>1</v>
      </c>
      <c r="O446">
        <v>0</v>
      </c>
      <c r="P446">
        <v>0</v>
      </c>
      <c r="Q446" t="s">
        <v>584</v>
      </c>
      <c r="AA446" t="s">
        <v>82</v>
      </c>
      <c r="AB446" t="s">
        <v>81</v>
      </c>
      <c r="AC446" t="s">
        <v>83</v>
      </c>
      <c r="AD446" t="s">
        <v>83</v>
      </c>
      <c r="AE446" t="s">
        <v>82</v>
      </c>
      <c r="AF446" t="s">
        <v>83</v>
      </c>
      <c r="AG446" t="s">
        <v>83</v>
      </c>
      <c r="AH446" t="s">
        <v>83</v>
      </c>
      <c r="AI446" t="s">
        <v>88</v>
      </c>
      <c r="AJ446" t="s">
        <v>89</v>
      </c>
      <c r="AK446" t="s">
        <v>100</v>
      </c>
      <c r="AL446" t="s">
        <v>73</v>
      </c>
      <c r="AM446" t="s">
        <v>86</v>
      </c>
      <c r="AN446" t="s">
        <v>74</v>
      </c>
      <c r="AO446" t="s">
        <v>87</v>
      </c>
      <c r="AP446" t="s">
        <v>74</v>
      </c>
      <c r="AQ446" t="s">
        <v>87</v>
      </c>
      <c r="AR446" t="s">
        <v>159</v>
      </c>
      <c r="AS446" t="s">
        <v>76</v>
      </c>
      <c r="AT446" t="s">
        <v>73</v>
      </c>
      <c r="AU446">
        <v>0</v>
      </c>
      <c r="AV446">
        <v>0</v>
      </c>
      <c r="AW446">
        <v>0</v>
      </c>
      <c r="AX446">
        <v>1</v>
      </c>
      <c r="AY446">
        <v>0</v>
      </c>
      <c r="AZ446" t="s">
        <v>578</v>
      </c>
    </row>
    <row r="447" spans="1:52" x14ac:dyDescent="0.2">
      <c r="A447">
        <v>1</v>
      </c>
      <c r="B447">
        <v>0</v>
      </c>
      <c r="C447">
        <v>0</v>
      </c>
      <c r="D447">
        <v>0</v>
      </c>
      <c r="E447">
        <v>0</v>
      </c>
      <c r="F447">
        <v>0</v>
      </c>
      <c r="G447">
        <v>1</v>
      </c>
      <c r="H447">
        <v>0</v>
      </c>
      <c r="I447">
        <v>0</v>
      </c>
      <c r="J447" t="s">
        <v>127</v>
      </c>
      <c r="K447" t="s">
        <v>127</v>
      </c>
      <c r="L447">
        <v>1</v>
      </c>
      <c r="M447">
        <v>0</v>
      </c>
      <c r="N447">
        <v>0</v>
      </c>
      <c r="O447">
        <v>0</v>
      </c>
      <c r="P447">
        <v>0</v>
      </c>
      <c r="Q447" t="s">
        <v>584</v>
      </c>
      <c r="R447">
        <v>0</v>
      </c>
      <c r="S447">
        <v>0</v>
      </c>
      <c r="T447">
        <v>1</v>
      </c>
      <c r="U447">
        <v>0</v>
      </c>
      <c r="V447">
        <v>0</v>
      </c>
      <c r="W447">
        <v>0</v>
      </c>
      <c r="X447">
        <v>0</v>
      </c>
      <c r="Y447">
        <v>0</v>
      </c>
      <c r="Z447">
        <v>0</v>
      </c>
      <c r="AL447" t="s">
        <v>107</v>
      </c>
      <c r="AM447" t="s">
        <v>87</v>
      </c>
      <c r="AN447" t="s">
        <v>87</v>
      </c>
      <c r="AO447" t="s">
        <v>87</v>
      </c>
      <c r="AP447" t="s">
        <v>86</v>
      </c>
      <c r="AQ447" t="s">
        <v>87</v>
      </c>
      <c r="AR447" t="s">
        <v>159</v>
      </c>
      <c r="AS447" t="s">
        <v>76</v>
      </c>
      <c r="AT447" t="s">
        <v>107</v>
      </c>
      <c r="AU447">
        <v>0</v>
      </c>
      <c r="AV447">
        <v>0</v>
      </c>
      <c r="AW447">
        <v>0</v>
      </c>
      <c r="AX447">
        <v>1</v>
      </c>
      <c r="AY447">
        <v>0</v>
      </c>
      <c r="AZ447" t="s">
        <v>578</v>
      </c>
    </row>
    <row r="448" spans="1:52" x14ac:dyDescent="0.2">
      <c r="A448">
        <v>0</v>
      </c>
      <c r="B448">
        <v>1</v>
      </c>
      <c r="C448">
        <v>0</v>
      </c>
      <c r="D448">
        <v>0</v>
      </c>
      <c r="E448">
        <v>1</v>
      </c>
      <c r="F448">
        <v>0</v>
      </c>
      <c r="G448">
        <v>0</v>
      </c>
      <c r="H448">
        <v>0</v>
      </c>
      <c r="I448">
        <v>0</v>
      </c>
      <c r="L448">
        <v>1</v>
      </c>
      <c r="M448">
        <v>0</v>
      </c>
      <c r="N448">
        <v>0</v>
      </c>
      <c r="O448">
        <v>0</v>
      </c>
      <c r="P448">
        <v>0</v>
      </c>
      <c r="Q448" t="s">
        <v>584</v>
      </c>
      <c r="R448">
        <v>0</v>
      </c>
      <c r="S448">
        <v>0</v>
      </c>
      <c r="T448">
        <v>0</v>
      </c>
      <c r="U448">
        <v>0</v>
      </c>
      <c r="V448">
        <v>0</v>
      </c>
      <c r="W448">
        <v>0</v>
      </c>
      <c r="X448">
        <v>1</v>
      </c>
      <c r="Y448">
        <v>0</v>
      </c>
      <c r="Z448">
        <v>0</v>
      </c>
      <c r="AL448" t="s">
        <v>107</v>
      </c>
      <c r="AM448" t="s">
        <v>74</v>
      </c>
      <c r="AR448" t="s">
        <v>75</v>
      </c>
      <c r="AS448" t="s">
        <v>76</v>
      </c>
      <c r="AT448" t="s">
        <v>107</v>
      </c>
      <c r="AU448">
        <v>0</v>
      </c>
      <c r="AV448">
        <v>0</v>
      </c>
      <c r="AW448">
        <v>0</v>
      </c>
      <c r="AX448">
        <v>1</v>
      </c>
      <c r="AY448">
        <v>0</v>
      </c>
      <c r="AZ448" t="s">
        <v>578</v>
      </c>
    </row>
    <row r="449" spans="1:52" x14ac:dyDescent="0.2">
      <c r="A449">
        <v>1</v>
      </c>
      <c r="B449">
        <v>0</v>
      </c>
      <c r="C449">
        <v>0</v>
      </c>
      <c r="D449">
        <v>0</v>
      </c>
      <c r="E449">
        <v>0</v>
      </c>
      <c r="F449">
        <v>0</v>
      </c>
      <c r="G449">
        <v>1</v>
      </c>
      <c r="H449">
        <v>0</v>
      </c>
      <c r="I449">
        <v>0</v>
      </c>
      <c r="J449" t="s">
        <v>79</v>
      </c>
      <c r="K449" t="s">
        <v>80</v>
      </c>
      <c r="L449">
        <v>0</v>
      </c>
      <c r="M449">
        <v>1</v>
      </c>
      <c r="N449">
        <v>0</v>
      </c>
      <c r="O449">
        <v>0</v>
      </c>
      <c r="P449">
        <v>0</v>
      </c>
      <c r="Q449" t="s">
        <v>584</v>
      </c>
      <c r="AA449" t="s">
        <v>90</v>
      </c>
      <c r="AB449" t="s">
        <v>82</v>
      </c>
      <c r="AC449" t="s">
        <v>82</v>
      </c>
      <c r="AD449" t="s">
        <v>82</v>
      </c>
      <c r="AE449" t="s">
        <v>81</v>
      </c>
      <c r="AF449" t="s">
        <v>83</v>
      </c>
      <c r="AG449" t="s">
        <v>90</v>
      </c>
      <c r="AH449" t="s">
        <v>83</v>
      </c>
      <c r="AI449" t="s">
        <v>88</v>
      </c>
      <c r="AJ449" t="s">
        <v>89</v>
      </c>
      <c r="AK449" t="s">
        <v>100</v>
      </c>
      <c r="AL449" t="s">
        <v>73</v>
      </c>
      <c r="AM449" t="s">
        <v>87</v>
      </c>
      <c r="AN449" t="s">
        <v>87</v>
      </c>
      <c r="AO449" t="s">
        <v>87</v>
      </c>
      <c r="AP449" t="s">
        <v>87</v>
      </c>
      <c r="AQ449" t="s">
        <v>87</v>
      </c>
      <c r="AR449" t="s">
        <v>75</v>
      </c>
      <c r="AS449" t="s">
        <v>76</v>
      </c>
      <c r="AT449" t="s">
        <v>73</v>
      </c>
      <c r="AU449">
        <v>0</v>
      </c>
      <c r="AV449">
        <v>0</v>
      </c>
      <c r="AW449">
        <v>1</v>
      </c>
      <c r="AX449">
        <v>0</v>
      </c>
      <c r="AY449">
        <v>0</v>
      </c>
      <c r="AZ449" t="s">
        <v>578</v>
      </c>
    </row>
    <row r="450" spans="1:52" x14ac:dyDescent="0.2">
      <c r="A450">
        <v>1</v>
      </c>
      <c r="B450">
        <v>0</v>
      </c>
      <c r="C450">
        <v>0</v>
      </c>
      <c r="D450">
        <v>0</v>
      </c>
      <c r="E450">
        <v>0</v>
      </c>
      <c r="F450">
        <v>1</v>
      </c>
      <c r="G450">
        <v>1</v>
      </c>
      <c r="H450">
        <v>1</v>
      </c>
      <c r="I450">
        <v>0</v>
      </c>
      <c r="J450" t="s">
        <v>135</v>
      </c>
      <c r="K450" t="s">
        <v>80</v>
      </c>
      <c r="L450">
        <v>0</v>
      </c>
      <c r="M450">
        <v>1</v>
      </c>
      <c r="N450">
        <v>0</v>
      </c>
      <c r="O450">
        <v>0</v>
      </c>
      <c r="P450">
        <v>0</v>
      </c>
      <c r="Q450" t="s">
        <v>584</v>
      </c>
      <c r="AA450" t="s">
        <v>83</v>
      </c>
      <c r="AB450" t="s">
        <v>82</v>
      </c>
      <c r="AC450" t="s">
        <v>82</v>
      </c>
      <c r="AD450" t="s">
        <v>82</v>
      </c>
      <c r="AE450" t="s">
        <v>82</v>
      </c>
      <c r="AF450" t="s">
        <v>81</v>
      </c>
      <c r="AG450" t="s">
        <v>83</v>
      </c>
      <c r="AH450" t="s">
        <v>83</v>
      </c>
      <c r="AI450" t="s">
        <v>88</v>
      </c>
      <c r="AJ450" t="s">
        <v>89</v>
      </c>
      <c r="AK450" t="s">
        <v>100</v>
      </c>
      <c r="AL450" t="s">
        <v>107</v>
      </c>
      <c r="AM450" t="s">
        <v>86</v>
      </c>
      <c r="AN450" t="s">
        <v>86</v>
      </c>
      <c r="AO450" t="s">
        <v>86</v>
      </c>
      <c r="AP450" t="s">
        <v>86</v>
      </c>
      <c r="AQ450" t="s">
        <v>86</v>
      </c>
      <c r="AR450" t="s">
        <v>75</v>
      </c>
      <c r="AS450" t="s">
        <v>76</v>
      </c>
      <c r="AT450" t="s">
        <v>107</v>
      </c>
      <c r="AU450">
        <v>0</v>
      </c>
      <c r="AV450">
        <v>0</v>
      </c>
      <c r="AW450">
        <v>0</v>
      </c>
      <c r="AX450">
        <v>1</v>
      </c>
      <c r="AY450">
        <v>0</v>
      </c>
      <c r="AZ450" t="s">
        <v>578</v>
      </c>
    </row>
    <row r="451" spans="1:52" x14ac:dyDescent="0.2">
      <c r="A451">
        <v>1</v>
      </c>
      <c r="B451">
        <v>0</v>
      </c>
      <c r="C451">
        <v>0</v>
      </c>
      <c r="D451">
        <v>0</v>
      </c>
      <c r="E451">
        <v>0</v>
      </c>
      <c r="F451">
        <v>1</v>
      </c>
      <c r="G451">
        <v>1</v>
      </c>
      <c r="H451">
        <v>1</v>
      </c>
      <c r="I451">
        <v>0</v>
      </c>
      <c r="J451" t="s">
        <v>88</v>
      </c>
      <c r="K451" t="s">
        <v>89</v>
      </c>
      <c r="L451">
        <v>0</v>
      </c>
      <c r="M451">
        <v>1</v>
      </c>
      <c r="N451">
        <v>0</v>
      </c>
      <c r="O451">
        <v>0</v>
      </c>
      <c r="P451">
        <v>0</v>
      </c>
      <c r="Q451" t="s">
        <v>584</v>
      </c>
      <c r="AA451" t="s">
        <v>83</v>
      </c>
      <c r="AB451" t="s">
        <v>82</v>
      </c>
      <c r="AC451" t="s">
        <v>83</v>
      </c>
      <c r="AD451" t="s">
        <v>81</v>
      </c>
      <c r="AE451" t="s">
        <v>81</v>
      </c>
      <c r="AF451" t="s">
        <v>83</v>
      </c>
      <c r="AG451" t="s">
        <v>81</v>
      </c>
      <c r="AH451" t="s">
        <v>82</v>
      </c>
      <c r="AI451" t="s">
        <v>88</v>
      </c>
      <c r="AJ451" t="s">
        <v>89</v>
      </c>
      <c r="AK451" t="s">
        <v>100</v>
      </c>
      <c r="AL451" t="s">
        <v>107</v>
      </c>
      <c r="AM451" t="s">
        <v>74</v>
      </c>
      <c r="AR451" t="s">
        <v>75</v>
      </c>
      <c r="AS451" t="s">
        <v>76</v>
      </c>
      <c r="AT451" t="s">
        <v>107</v>
      </c>
      <c r="AU451">
        <v>0</v>
      </c>
      <c r="AV451">
        <v>0</v>
      </c>
      <c r="AW451">
        <v>1</v>
      </c>
      <c r="AX451">
        <v>1</v>
      </c>
      <c r="AY451">
        <v>0</v>
      </c>
      <c r="AZ451" t="s">
        <v>578</v>
      </c>
    </row>
    <row r="452" spans="1:52" x14ac:dyDescent="0.2">
      <c r="A452">
        <v>0</v>
      </c>
      <c r="B452">
        <v>1</v>
      </c>
      <c r="C452">
        <v>0</v>
      </c>
      <c r="D452">
        <v>0</v>
      </c>
      <c r="E452">
        <v>0</v>
      </c>
      <c r="F452">
        <v>1</v>
      </c>
      <c r="G452">
        <v>1</v>
      </c>
      <c r="H452">
        <v>0</v>
      </c>
      <c r="I452">
        <v>0</v>
      </c>
      <c r="J452" t="s">
        <v>88</v>
      </c>
      <c r="K452" t="s">
        <v>80</v>
      </c>
      <c r="L452">
        <v>0</v>
      </c>
      <c r="M452">
        <v>0</v>
      </c>
      <c r="N452">
        <v>0</v>
      </c>
      <c r="O452">
        <v>1</v>
      </c>
      <c r="P452">
        <v>0</v>
      </c>
      <c r="Q452" t="s">
        <v>584</v>
      </c>
      <c r="AA452" t="s">
        <v>83</v>
      </c>
      <c r="AB452" t="s">
        <v>82</v>
      </c>
      <c r="AC452" t="s">
        <v>81</v>
      </c>
      <c r="AD452" t="s">
        <v>81</v>
      </c>
      <c r="AE452" t="s">
        <v>81</v>
      </c>
      <c r="AF452" t="s">
        <v>81</v>
      </c>
      <c r="AG452" t="s">
        <v>90</v>
      </c>
      <c r="AH452" t="s">
        <v>81</v>
      </c>
      <c r="AI452" t="s">
        <v>88</v>
      </c>
      <c r="AJ452" t="s">
        <v>89</v>
      </c>
      <c r="AK452" t="s">
        <v>85</v>
      </c>
      <c r="AL452" t="s">
        <v>73</v>
      </c>
      <c r="AM452" t="s">
        <v>86</v>
      </c>
      <c r="AN452" t="s">
        <v>86</v>
      </c>
      <c r="AO452" t="s">
        <v>86</v>
      </c>
      <c r="AP452" t="s">
        <v>74</v>
      </c>
      <c r="AQ452" t="s">
        <v>86</v>
      </c>
      <c r="AR452" t="s">
        <v>75</v>
      </c>
      <c r="AS452" t="s">
        <v>76</v>
      </c>
      <c r="AT452" t="s">
        <v>73</v>
      </c>
      <c r="AU452">
        <v>0</v>
      </c>
      <c r="AV452">
        <v>0</v>
      </c>
      <c r="AW452">
        <v>0</v>
      </c>
      <c r="AX452">
        <v>1</v>
      </c>
      <c r="AY452">
        <v>0</v>
      </c>
      <c r="AZ452" t="s">
        <v>578</v>
      </c>
    </row>
    <row r="453" spans="1:52" x14ac:dyDescent="0.2">
      <c r="A453">
        <v>1</v>
      </c>
      <c r="B453">
        <v>0</v>
      </c>
      <c r="C453">
        <v>0</v>
      </c>
      <c r="D453">
        <v>0</v>
      </c>
      <c r="E453">
        <v>1</v>
      </c>
      <c r="F453">
        <v>0</v>
      </c>
      <c r="G453">
        <v>0</v>
      </c>
      <c r="H453">
        <v>0</v>
      </c>
      <c r="I453">
        <v>0</v>
      </c>
      <c r="L453">
        <v>0</v>
      </c>
      <c r="M453">
        <v>1</v>
      </c>
      <c r="N453">
        <v>0</v>
      </c>
      <c r="O453">
        <v>0</v>
      </c>
      <c r="P453">
        <v>0</v>
      </c>
      <c r="Q453" t="s">
        <v>584</v>
      </c>
      <c r="AA453" t="s">
        <v>90</v>
      </c>
      <c r="AB453" t="s">
        <v>82</v>
      </c>
      <c r="AC453" t="s">
        <v>81</v>
      </c>
      <c r="AD453" t="s">
        <v>81</v>
      </c>
      <c r="AE453" t="s">
        <v>81</v>
      </c>
      <c r="AF453" t="s">
        <v>90</v>
      </c>
      <c r="AG453" t="s">
        <v>83</v>
      </c>
      <c r="AH453" t="s">
        <v>90</v>
      </c>
      <c r="AI453" t="s">
        <v>88</v>
      </c>
      <c r="AJ453" t="s">
        <v>89</v>
      </c>
      <c r="AK453" t="s">
        <v>100</v>
      </c>
      <c r="AL453" t="s">
        <v>107</v>
      </c>
      <c r="AM453" t="s">
        <v>86</v>
      </c>
      <c r="AN453" t="s">
        <v>86</v>
      </c>
      <c r="AO453" t="s">
        <v>86</v>
      </c>
      <c r="AP453" t="s">
        <v>86</v>
      </c>
      <c r="AQ453" t="s">
        <v>86</v>
      </c>
      <c r="AR453" t="s">
        <v>108</v>
      </c>
      <c r="AS453" t="s">
        <v>76</v>
      </c>
      <c r="AT453" t="s">
        <v>107</v>
      </c>
      <c r="AU453">
        <v>0</v>
      </c>
      <c r="AV453">
        <v>0</v>
      </c>
      <c r="AW453">
        <v>0</v>
      </c>
      <c r="AX453">
        <v>1</v>
      </c>
      <c r="AY453">
        <v>0</v>
      </c>
      <c r="AZ453" t="s">
        <v>580</v>
      </c>
    </row>
    <row r="454" spans="1:52" x14ac:dyDescent="0.2">
      <c r="A454">
        <v>1</v>
      </c>
      <c r="B454">
        <v>0</v>
      </c>
      <c r="C454">
        <v>0</v>
      </c>
      <c r="D454">
        <v>0</v>
      </c>
      <c r="E454">
        <v>0</v>
      </c>
      <c r="F454">
        <v>0</v>
      </c>
      <c r="G454">
        <v>1</v>
      </c>
      <c r="H454">
        <v>0</v>
      </c>
      <c r="I454">
        <v>0</v>
      </c>
      <c r="J454" t="s">
        <v>88</v>
      </c>
      <c r="K454" t="s">
        <v>89</v>
      </c>
      <c r="L454">
        <v>1</v>
      </c>
      <c r="M454">
        <v>0</v>
      </c>
      <c r="N454">
        <v>0</v>
      </c>
      <c r="O454">
        <v>0</v>
      </c>
      <c r="P454">
        <v>0</v>
      </c>
      <c r="Q454" t="s">
        <v>584</v>
      </c>
      <c r="R454">
        <v>1</v>
      </c>
      <c r="S454">
        <v>0</v>
      </c>
      <c r="T454">
        <v>0</v>
      </c>
      <c r="U454">
        <v>0</v>
      </c>
      <c r="V454">
        <v>0</v>
      </c>
      <c r="W454">
        <v>0</v>
      </c>
      <c r="X454">
        <v>0</v>
      </c>
      <c r="Y454">
        <v>0</v>
      </c>
      <c r="Z454">
        <v>0</v>
      </c>
      <c r="AL454" t="s">
        <v>96</v>
      </c>
      <c r="AM454" t="s">
        <v>87</v>
      </c>
      <c r="AN454" t="s">
        <v>87</v>
      </c>
      <c r="AO454" t="s">
        <v>86</v>
      </c>
      <c r="AP454" t="s">
        <v>87</v>
      </c>
      <c r="AQ454" t="s">
        <v>86</v>
      </c>
      <c r="AR454" t="s">
        <v>75</v>
      </c>
      <c r="AS454" t="s">
        <v>92</v>
      </c>
      <c r="AT454" t="s">
        <v>96</v>
      </c>
      <c r="AU454">
        <v>0</v>
      </c>
      <c r="AV454">
        <v>0</v>
      </c>
      <c r="AW454">
        <v>0</v>
      </c>
      <c r="AX454">
        <v>1</v>
      </c>
      <c r="AY454">
        <v>0</v>
      </c>
      <c r="AZ454" t="s">
        <v>579</v>
      </c>
    </row>
    <row r="455" spans="1:52" x14ac:dyDescent="0.2">
      <c r="A455">
        <v>1</v>
      </c>
      <c r="B455">
        <v>0</v>
      </c>
      <c r="C455">
        <v>0</v>
      </c>
      <c r="D455">
        <v>0</v>
      </c>
      <c r="E455">
        <v>0</v>
      </c>
      <c r="F455">
        <v>1</v>
      </c>
      <c r="G455">
        <v>1</v>
      </c>
      <c r="H455">
        <v>1</v>
      </c>
      <c r="I455">
        <v>0</v>
      </c>
      <c r="J455" t="s">
        <v>88</v>
      </c>
      <c r="K455" t="s">
        <v>89</v>
      </c>
      <c r="L455">
        <v>0</v>
      </c>
      <c r="M455">
        <v>0</v>
      </c>
      <c r="N455">
        <v>0</v>
      </c>
      <c r="O455">
        <v>1</v>
      </c>
      <c r="P455">
        <v>0</v>
      </c>
      <c r="Q455" t="s">
        <v>584</v>
      </c>
      <c r="AA455" t="s">
        <v>90</v>
      </c>
      <c r="AB455" t="s">
        <v>82</v>
      </c>
      <c r="AC455" t="s">
        <v>82</v>
      </c>
      <c r="AD455" t="s">
        <v>82</v>
      </c>
      <c r="AE455" t="s">
        <v>83</v>
      </c>
      <c r="AF455" t="s">
        <v>81</v>
      </c>
      <c r="AG455" t="s">
        <v>83</v>
      </c>
      <c r="AH455" t="s">
        <v>83</v>
      </c>
      <c r="AI455" t="s">
        <v>88</v>
      </c>
      <c r="AJ455" t="s">
        <v>89</v>
      </c>
      <c r="AK455" t="s">
        <v>100</v>
      </c>
      <c r="AL455" t="s">
        <v>107</v>
      </c>
      <c r="AM455" t="s">
        <v>87</v>
      </c>
      <c r="AN455" t="s">
        <v>87</v>
      </c>
      <c r="AO455" t="s">
        <v>87</v>
      </c>
      <c r="AP455" t="s">
        <v>87</v>
      </c>
      <c r="AQ455" t="s">
        <v>87</v>
      </c>
      <c r="AR455" t="s">
        <v>75</v>
      </c>
      <c r="AS455" t="s">
        <v>92</v>
      </c>
      <c r="AT455" t="s">
        <v>107</v>
      </c>
      <c r="AU455">
        <v>0</v>
      </c>
      <c r="AV455">
        <v>0</v>
      </c>
      <c r="AW455">
        <v>0</v>
      </c>
      <c r="AX455">
        <v>1</v>
      </c>
      <c r="AY455">
        <v>0</v>
      </c>
      <c r="AZ455" t="s">
        <v>579</v>
      </c>
    </row>
    <row r="456" spans="1:52" x14ac:dyDescent="0.2">
      <c r="A456">
        <v>0</v>
      </c>
      <c r="B456">
        <v>1</v>
      </c>
      <c r="C456">
        <v>0</v>
      </c>
      <c r="D456">
        <v>0</v>
      </c>
      <c r="E456">
        <v>0</v>
      </c>
      <c r="F456">
        <v>0</v>
      </c>
      <c r="G456">
        <v>1</v>
      </c>
      <c r="H456">
        <v>1</v>
      </c>
      <c r="I456">
        <v>1</v>
      </c>
      <c r="J456" t="s">
        <v>79</v>
      </c>
      <c r="K456" t="s">
        <v>127</v>
      </c>
      <c r="L456">
        <v>0</v>
      </c>
      <c r="M456">
        <v>0</v>
      </c>
      <c r="N456">
        <v>0</v>
      </c>
      <c r="O456">
        <v>0</v>
      </c>
      <c r="P456">
        <v>1</v>
      </c>
      <c r="Q456" t="s">
        <v>584</v>
      </c>
      <c r="AA456" t="s">
        <v>81</v>
      </c>
      <c r="AB456" t="s">
        <v>81</v>
      </c>
      <c r="AC456" t="s">
        <v>81</v>
      </c>
      <c r="AD456" t="s">
        <v>82</v>
      </c>
      <c r="AE456" t="s">
        <v>81</v>
      </c>
      <c r="AF456" t="s">
        <v>81</v>
      </c>
      <c r="AG456" t="s">
        <v>81</v>
      </c>
      <c r="AH456" t="s">
        <v>83</v>
      </c>
      <c r="AI456" t="s">
        <v>135</v>
      </c>
      <c r="AJ456" t="s">
        <v>89</v>
      </c>
      <c r="AK456" t="s">
        <v>169</v>
      </c>
      <c r="AL456" t="s">
        <v>96</v>
      </c>
      <c r="AM456" t="s">
        <v>87</v>
      </c>
      <c r="AN456" t="s">
        <v>86</v>
      </c>
      <c r="AO456" t="s">
        <v>74</v>
      </c>
      <c r="AP456" t="s">
        <v>87</v>
      </c>
      <c r="AQ456" t="s">
        <v>74</v>
      </c>
      <c r="AR456" t="s">
        <v>108</v>
      </c>
      <c r="AS456" t="s">
        <v>92</v>
      </c>
      <c r="AT456" t="s">
        <v>96</v>
      </c>
      <c r="AU456">
        <v>0</v>
      </c>
      <c r="AV456">
        <v>0</v>
      </c>
      <c r="AW456">
        <v>1</v>
      </c>
      <c r="AX456">
        <v>0</v>
      </c>
      <c r="AY456">
        <v>0</v>
      </c>
      <c r="AZ456" t="s">
        <v>578</v>
      </c>
    </row>
    <row r="457" spans="1:52" x14ac:dyDescent="0.2">
      <c r="A457">
        <v>1</v>
      </c>
      <c r="B457">
        <v>0</v>
      </c>
      <c r="C457">
        <v>0</v>
      </c>
      <c r="D457">
        <v>0</v>
      </c>
      <c r="E457">
        <v>1</v>
      </c>
      <c r="F457">
        <v>0</v>
      </c>
      <c r="G457">
        <v>0</v>
      </c>
      <c r="H457">
        <v>0</v>
      </c>
      <c r="I457">
        <v>0</v>
      </c>
      <c r="L457">
        <v>1</v>
      </c>
      <c r="M457">
        <v>0</v>
      </c>
      <c r="N457">
        <v>0</v>
      </c>
      <c r="O457">
        <v>0</v>
      </c>
      <c r="P457">
        <v>0</v>
      </c>
      <c r="Q457" t="s">
        <v>584</v>
      </c>
      <c r="R457">
        <v>0</v>
      </c>
      <c r="S457">
        <v>0</v>
      </c>
      <c r="T457">
        <v>0</v>
      </c>
      <c r="U457">
        <v>0</v>
      </c>
      <c r="V457">
        <v>0</v>
      </c>
      <c r="W457">
        <v>0</v>
      </c>
      <c r="X457">
        <v>1</v>
      </c>
      <c r="Y457">
        <v>0</v>
      </c>
      <c r="Z457">
        <v>0</v>
      </c>
      <c r="AL457" t="s">
        <v>107</v>
      </c>
      <c r="AM457" t="s">
        <v>74</v>
      </c>
      <c r="AR457" t="s">
        <v>97</v>
      </c>
      <c r="AS457" t="s">
        <v>76</v>
      </c>
      <c r="AT457" t="s">
        <v>107</v>
      </c>
      <c r="AU457">
        <v>0</v>
      </c>
      <c r="AV457">
        <v>0</v>
      </c>
      <c r="AW457">
        <v>0</v>
      </c>
      <c r="AX457">
        <v>1</v>
      </c>
      <c r="AY457">
        <v>0</v>
      </c>
      <c r="AZ457" t="s">
        <v>581</v>
      </c>
    </row>
    <row r="458" spans="1:52" x14ac:dyDescent="0.2">
      <c r="A458">
        <v>0</v>
      </c>
      <c r="B458">
        <v>1</v>
      </c>
      <c r="C458">
        <v>0</v>
      </c>
      <c r="D458">
        <v>0</v>
      </c>
      <c r="E458">
        <v>1</v>
      </c>
      <c r="F458">
        <v>0</v>
      </c>
      <c r="G458">
        <v>0</v>
      </c>
      <c r="H458">
        <v>0</v>
      </c>
      <c r="I458">
        <v>0</v>
      </c>
      <c r="L458">
        <v>0</v>
      </c>
      <c r="M458">
        <v>0</v>
      </c>
      <c r="N458">
        <v>0</v>
      </c>
      <c r="O458">
        <v>1</v>
      </c>
      <c r="P458">
        <v>0</v>
      </c>
      <c r="Q458" t="s">
        <v>584</v>
      </c>
      <c r="AA458" t="s">
        <v>83</v>
      </c>
      <c r="AB458" t="s">
        <v>82</v>
      </c>
      <c r="AC458" t="s">
        <v>81</v>
      </c>
      <c r="AD458" t="s">
        <v>81</v>
      </c>
      <c r="AE458" t="s">
        <v>81</v>
      </c>
      <c r="AF458" t="s">
        <v>83</v>
      </c>
      <c r="AG458" t="s">
        <v>83</v>
      </c>
      <c r="AH458" t="s">
        <v>83</v>
      </c>
      <c r="AI458" t="s">
        <v>88</v>
      </c>
      <c r="AJ458" t="s">
        <v>89</v>
      </c>
      <c r="AK458" t="s">
        <v>100</v>
      </c>
      <c r="AL458" t="s">
        <v>96</v>
      </c>
      <c r="AM458" t="s">
        <v>86</v>
      </c>
      <c r="AN458" t="s">
        <v>86</v>
      </c>
      <c r="AO458" t="s">
        <v>87</v>
      </c>
      <c r="AP458" t="s">
        <v>87</v>
      </c>
      <c r="AQ458" t="s">
        <v>86</v>
      </c>
      <c r="AR458" t="s">
        <v>75</v>
      </c>
      <c r="AS458" t="s">
        <v>92</v>
      </c>
      <c r="AT458" t="s">
        <v>96</v>
      </c>
      <c r="AU458">
        <v>0</v>
      </c>
      <c r="AV458">
        <v>0</v>
      </c>
      <c r="AW458">
        <v>0</v>
      </c>
      <c r="AX458">
        <v>1</v>
      </c>
      <c r="AY458">
        <v>0</v>
      </c>
      <c r="AZ458" t="s">
        <v>580</v>
      </c>
    </row>
    <row r="459" spans="1:52" x14ac:dyDescent="0.2">
      <c r="A459">
        <v>0</v>
      </c>
      <c r="B459">
        <v>1</v>
      </c>
      <c r="C459">
        <v>0</v>
      </c>
      <c r="D459">
        <v>0</v>
      </c>
      <c r="E459">
        <v>1</v>
      </c>
      <c r="F459">
        <v>0</v>
      </c>
      <c r="G459">
        <v>0</v>
      </c>
      <c r="H459">
        <v>0</v>
      </c>
      <c r="I459">
        <v>0</v>
      </c>
      <c r="L459">
        <v>1</v>
      </c>
      <c r="M459">
        <v>0</v>
      </c>
      <c r="N459">
        <v>0</v>
      </c>
      <c r="O459">
        <v>0</v>
      </c>
      <c r="P459">
        <v>0</v>
      </c>
      <c r="Q459" t="s">
        <v>584</v>
      </c>
      <c r="R459">
        <v>1</v>
      </c>
      <c r="S459">
        <v>0</v>
      </c>
      <c r="T459">
        <v>0</v>
      </c>
      <c r="U459">
        <v>0</v>
      </c>
      <c r="V459">
        <v>0</v>
      </c>
      <c r="W459">
        <v>0</v>
      </c>
      <c r="X459">
        <v>0</v>
      </c>
      <c r="Y459">
        <v>0</v>
      </c>
      <c r="Z459">
        <v>0</v>
      </c>
      <c r="AL459" t="s">
        <v>107</v>
      </c>
      <c r="AM459" t="s">
        <v>87</v>
      </c>
      <c r="AN459" t="s">
        <v>87</v>
      </c>
      <c r="AO459" t="s">
        <v>87</v>
      </c>
      <c r="AP459" t="s">
        <v>87</v>
      </c>
      <c r="AQ459" t="s">
        <v>86</v>
      </c>
      <c r="AR459" t="s">
        <v>97</v>
      </c>
      <c r="AS459" t="s">
        <v>92</v>
      </c>
      <c r="AT459" t="s">
        <v>107</v>
      </c>
      <c r="AU459">
        <v>0</v>
      </c>
      <c r="AV459">
        <v>0</v>
      </c>
      <c r="AW459">
        <v>0</v>
      </c>
      <c r="AX459">
        <v>1</v>
      </c>
      <c r="AY459">
        <v>0</v>
      </c>
      <c r="AZ459" t="s">
        <v>580</v>
      </c>
    </row>
    <row r="460" spans="1:52" x14ac:dyDescent="0.2">
      <c r="A460">
        <v>0</v>
      </c>
      <c r="B460">
        <v>1</v>
      </c>
      <c r="C460">
        <v>0</v>
      </c>
      <c r="D460">
        <v>0</v>
      </c>
      <c r="E460">
        <v>0</v>
      </c>
      <c r="F460">
        <v>0</v>
      </c>
      <c r="G460">
        <v>0</v>
      </c>
      <c r="H460">
        <v>0</v>
      </c>
      <c r="I460">
        <v>1</v>
      </c>
      <c r="J460" t="s">
        <v>88</v>
      </c>
      <c r="K460" t="s">
        <v>89</v>
      </c>
      <c r="L460">
        <v>1</v>
      </c>
      <c r="M460">
        <v>0</v>
      </c>
      <c r="N460">
        <v>0</v>
      </c>
      <c r="O460">
        <v>0</v>
      </c>
      <c r="P460">
        <v>0</v>
      </c>
      <c r="Q460" t="s">
        <v>584</v>
      </c>
      <c r="R460">
        <v>0</v>
      </c>
      <c r="S460">
        <v>1</v>
      </c>
      <c r="T460">
        <v>0</v>
      </c>
      <c r="U460">
        <v>0</v>
      </c>
      <c r="V460">
        <v>0</v>
      </c>
      <c r="W460">
        <v>0</v>
      </c>
      <c r="X460">
        <v>0</v>
      </c>
      <c r="Y460">
        <v>0</v>
      </c>
      <c r="Z460">
        <v>0</v>
      </c>
      <c r="AL460" t="s">
        <v>73</v>
      </c>
      <c r="AM460" t="s">
        <v>87</v>
      </c>
      <c r="AN460" t="s">
        <v>74</v>
      </c>
      <c r="AO460" t="s">
        <v>74</v>
      </c>
      <c r="AP460" t="s">
        <v>74</v>
      </c>
      <c r="AQ460" t="s">
        <v>86</v>
      </c>
      <c r="AR460" t="s">
        <v>97</v>
      </c>
      <c r="AS460" t="s">
        <v>92</v>
      </c>
      <c r="AT460" t="s">
        <v>73</v>
      </c>
      <c r="AU460">
        <v>0</v>
      </c>
      <c r="AV460">
        <v>0</v>
      </c>
      <c r="AW460">
        <v>0</v>
      </c>
      <c r="AX460">
        <v>1</v>
      </c>
      <c r="AY460">
        <v>0</v>
      </c>
      <c r="AZ460" t="s">
        <v>580</v>
      </c>
    </row>
    <row r="461" spans="1:52" x14ac:dyDescent="0.2">
      <c r="A461">
        <v>1</v>
      </c>
      <c r="B461">
        <v>1</v>
      </c>
      <c r="C461">
        <v>0</v>
      </c>
      <c r="D461">
        <v>0</v>
      </c>
      <c r="E461">
        <v>0</v>
      </c>
      <c r="F461">
        <v>1</v>
      </c>
      <c r="G461">
        <v>0</v>
      </c>
      <c r="H461">
        <v>0</v>
      </c>
      <c r="I461">
        <v>0</v>
      </c>
      <c r="J461" t="s">
        <v>135</v>
      </c>
      <c r="K461" t="s">
        <v>127</v>
      </c>
      <c r="L461">
        <v>0</v>
      </c>
      <c r="M461">
        <v>0</v>
      </c>
      <c r="N461">
        <v>0</v>
      </c>
      <c r="O461">
        <v>0</v>
      </c>
      <c r="P461">
        <v>1</v>
      </c>
      <c r="Q461" t="s">
        <v>584</v>
      </c>
      <c r="AA461" t="s">
        <v>83</v>
      </c>
      <c r="AB461" t="s">
        <v>82</v>
      </c>
      <c r="AC461" t="s">
        <v>81</v>
      </c>
      <c r="AD461" t="s">
        <v>82</v>
      </c>
      <c r="AE461" t="s">
        <v>81</v>
      </c>
      <c r="AF461" t="s">
        <v>83</v>
      </c>
      <c r="AG461" t="s">
        <v>90</v>
      </c>
      <c r="AH461" t="s">
        <v>83</v>
      </c>
      <c r="AI461" t="s">
        <v>88</v>
      </c>
      <c r="AJ461" t="s">
        <v>89</v>
      </c>
      <c r="AK461" t="s">
        <v>85</v>
      </c>
      <c r="AL461" t="s">
        <v>73</v>
      </c>
      <c r="AM461" t="s">
        <v>87</v>
      </c>
      <c r="AN461" t="s">
        <v>87</v>
      </c>
      <c r="AO461" t="s">
        <v>87</v>
      </c>
      <c r="AP461" t="s">
        <v>87</v>
      </c>
      <c r="AQ461" t="s">
        <v>87</v>
      </c>
      <c r="AR461" t="s">
        <v>75</v>
      </c>
      <c r="AS461" t="s">
        <v>92</v>
      </c>
      <c r="AT461" t="s">
        <v>73</v>
      </c>
      <c r="AU461">
        <v>0</v>
      </c>
      <c r="AV461">
        <v>1</v>
      </c>
      <c r="AW461">
        <v>0</v>
      </c>
      <c r="AX461">
        <v>0</v>
      </c>
      <c r="AY461">
        <v>0</v>
      </c>
      <c r="AZ461" t="s">
        <v>578</v>
      </c>
    </row>
    <row r="462" spans="1:52" x14ac:dyDescent="0.2">
      <c r="A462">
        <v>1</v>
      </c>
      <c r="B462">
        <v>0</v>
      </c>
      <c r="C462">
        <v>0</v>
      </c>
      <c r="D462">
        <v>0</v>
      </c>
      <c r="E462">
        <v>0</v>
      </c>
      <c r="F462">
        <v>1</v>
      </c>
      <c r="G462">
        <v>0</v>
      </c>
      <c r="H462">
        <v>0</v>
      </c>
      <c r="I462">
        <v>0</v>
      </c>
      <c r="J462" t="s">
        <v>88</v>
      </c>
      <c r="K462" t="s">
        <v>89</v>
      </c>
      <c r="L462">
        <v>0</v>
      </c>
      <c r="M462">
        <v>0</v>
      </c>
      <c r="N462">
        <v>1</v>
      </c>
      <c r="O462">
        <v>0</v>
      </c>
      <c r="P462">
        <v>0</v>
      </c>
      <c r="Q462" t="s">
        <v>584</v>
      </c>
      <c r="AA462" t="s">
        <v>83</v>
      </c>
      <c r="AB462" t="s">
        <v>81</v>
      </c>
      <c r="AC462" t="s">
        <v>83</v>
      </c>
      <c r="AD462" t="s">
        <v>83</v>
      </c>
      <c r="AE462" t="s">
        <v>82</v>
      </c>
      <c r="AF462" t="s">
        <v>82</v>
      </c>
      <c r="AG462" t="s">
        <v>83</v>
      </c>
      <c r="AH462" t="s">
        <v>83</v>
      </c>
      <c r="AI462" t="s">
        <v>88</v>
      </c>
      <c r="AJ462" t="s">
        <v>89</v>
      </c>
      <c r="AK462" t="s">
        <v>85</v>
      </c>
      <c r="AL462" t="s">
        <v>73</v>
      </c>
      <c r="AM462" t="s">
        <v>86</v>
      </c>
      <c r="AN462" t="s">
        <v>87</v>
      </c>
      <c r="AO462" t="s">
        <v>87</v>
      </c>
      <c r="AP462" t="s">
        <v>74</v>
      </c>
      <c r="AQ462" t="s">
        <v>87</v>
      </c>
      <c r="AR462" t="s">
        <v>97</v>
      </c>
      <c r="AS462" t="s">
        <v>92</v>
      </c>
      <c r="AT462" t="s">
        <v>73</v>
      </c>
      <c r="AU462">
        <v>0</v>
      </c>
      <c r="AV462">
        <v>0</v>
      </c>
      <c r="AW462">
        <v>0</v>
      </c>
      <c r="AX462">
        <v>1</v>
      </c>
      <c r="AY462">
        <v>0</v>
      </c>
      <c r="AZ462" t="s">
        <v>580</v>
      </c>
    </row>
    <row r="463" spans="1:52" x14ac:dyDescent="0.2">
      <c r="A463">
        <v>1</v>
      </c>
      <c r="B463">
        <v>0</v>
      </c>
      <c r="C463">
        <v>0</v>
      </c>
      <c r="D463">
        <v>0</v>
      </c>
      <c r="E463">
        <v>1</v>
      </c>
      <c r="F463">
        <v>0</v>
      </c>
      <c r="G463">
        <v>0</v>
      </c>
      <c r="H463">
        <v>0</v>
      </c>
      <c r="I463">
        <v>0</v>
      </c>
      <c r="L463">
        <v>1</v>
      </c>
      <c r="M463">
        <v>0</v>
      </c>
      <c r="N463">
        <v>0</v>
      </c>
      <c r="O463">
        <v>0</v>
      </c>
      <c r="P463">
        <v>0</v>
      </c>
      <c r="Q463" t="s">
        <v>584</v>
      </c>
      <c r="R463">
        <v>0</v>
      </c>
      <c r="S463">
        <v>1</v>
      </c>
      <c r="T463">
        <v>0</v>
      </c>
      <c r="U463">
        <v>0</v>
      </c>
      <c r="V463">
        <v>0</v>
      </c>
      <c r="W463">
        <v>0</v>
      </c>
      <c r="X463">
        <v>0</v>
      </c>
      <c r="Y463">
        <v>0</v>
      </c>
      <c r="Z463">
        <v>0</v>
      </c>
      <c r="AL463" t="s">
        <v>96</v>
      </c>
      <c r="AM463" t="s">
        <v>86</v>
      </c>
      <c r="AN463" t="s">
        <v>86</v>
      </c>
      <c r="AO463" t="s">
        <v>86</v>
      </c>
      <c r="AP463" t="s">
        <v>86</v>
      </c>
      <c r="AQ463" t="s">
        <v>74</v>
      </c>
      <c r="AR463" t="s">
        <v>97</v>
      </c>
      <c r="AS463" t="s">
        <v>92</v>
      </c>
      <c r="AT463" t="s">
        <v>96</v>
      </c>
      <c r="AU463">
        <v>0</v>
      </c>
      <c r="AV463">
        <v>0</v>
      </c>
      <c r="AW463">
        <v>0</v>
      </c>
      <c r="AX463">
        <v>1</v>
      </c>
      <c r="AY463">
        <v>0</v>
      </c>
      <c r="AZ463" t="s">
        <v>581</v>
      </c>
    </row>
    <row r="464" spans="1:52" x14ac:dyDescent="0.2">
      <c r="A464">
        <v>1</v>
      </c>
      <c r="B464">
        <v>0</v>
      </c>
      <c r="C464">
        <v>0</v>
      </c>
      <c r="D464">
        <v>0</v>
      </c>
      <c r="E464">
        <v>1</v>
      </c>
      <c r="F464">
        <v>0</v>
      </c>
      <c r="G464">
        <v>0</v>
      </c>
      <c r="H464">
        <v>0</v>
      </c>
      <c r="I464">
        <v>0</v>
      </c>
      <c r="L464">
        <v>1</v>
      </c>
      <c r="M464">
        <v>0</v>
      </c>
      <c r="N464">
        <v>0</v>
      </c>
      <c r="O464">
        <v>0</v>
      </c>
      <c r="P464">
        <v>0</v>
      </c>
      <c r="Q464" t="s">
        <v>584</v>
      </c>
      <c r="R464">
        <v>0</v>
      </c>
      <c r="S464">
        <v>0</v>
      </c>
      <c r="T464">
        <v>0</v>
      </c>
      <c r="U464">
        <v>0</v>
      </c>
      <c r="V464">
        <v>0</v>
      </c>
      <c r="W464">
        <v>0</v>
      </c>
      <c r="X464">
        <v>0</v>
      </c>
      <c r="Y464">
        <v>0</v>
      </c>
      <c r="Z464">
        <v>1</v>
      </c>
      <c r="AL464" t="s">
        <v>120</v>
      </c>
      <c r="AM464" t="s">
        <v>87</v>
      </c>
      <c r="AN464" t="s">
        <v>87</v>
      </c>
      <c r="AO464" t="s">
        <v>87</v>
      </c>
      <c r="AP464" t="s">
        <v>87</v>
      </c>
      <c r="AQ464" t="s">
        <v>87</v>
      </c>
      <c r="AR464" t="s">
        <v>101</v>
      </c>
      <c r="AS464" t="s">
        <v>92</v>
      </c>
      <c r="AT464" t="s">
        <v>120</v>
      </c>
      <c r="AU464">
        <v>0</v>
      </c>
      <c r="AV464">
        <v>0</v>
      </c>
      <c r="AW464">
        <v>0</v>
      </c>
      <c r="AX464">
        <v>1</v>
      </c>
      <c r="AY464">
        <v>0</v>
      </c>
      <c r="AZ464" t="s">
        <v>579</v>
      </c>
    </row>
    <row r="465" spans="1:52" x14ac:dyDescent="0.2">
      <c r="A465">
        <v>0</v>
      </c>
      <c r="B465">
        <v>1</v>
      </c>
      <c r="C465">
        <v>0</v>
      </c>
      <c r="D465">
        <v>0</v>
      </c>
      <c r="E465">
        <v>1</v>
      </c>
      <c r="F465">
        <v>0</v>
      </c>
      <c r="G465">
        <v>0</v>
      </c>
      <c r="H465">
        <v>0</v>
      </c>
      <c r="I465">
        <v>0</v>
      </c>
      <c r="L465">
        <v>1</v>
      </c>
      <c r="M465">
        <v>0</v>
      </c>
      <c r="N465">
        <v>0</v>
      </c>
      <c r="O465">
        <v>0</v>
      </c>
      <c r="P465">
        <v>0</v>
      </c>
      <c r="Q465" t="s">
        <v>584</v>
      </c>
      <c r="R465">
        <v>1</v>
      </c>
      <c r="S465">
        <v>0</v>
      </c>
      <c r="T465">
        <v>0</v>
      </c>
      <c r="U465">
        <v>0</v>
      </c>
      <c r="V465">
        <v>0</v>
      </c>
      <c r="W465">
        <v>0</v>
      </c>
      <c r="X465">
        <v>0</v>
      </c>
      <c r="Y465">
        <v>0</v>
      </c>
      <c r="Z465">
        <v>0</v>
      </c>
      <c r="AL465" t="s">
        <v>107</v>
      </c>
      <c r="AM465" t="s">
        <v>86</v>
      </c>
      <c r="AN465" t="s">
        <v>87</v>
      </c>
      <c r="AO465" t="s">
        <v>87</v>
      </c>
      <c r="AP465" t="s">
        <v>87</v>
      </c>
      <c r="AQ465" t="s">
        <v>86</v>
      </c>
      <c r="AR465" t="s">
        <v>97</v>
      </c>
      <c r="AS465" t="s">
        <v>92</v>
      </c>
      <c r="AT465" t="s">
        <v>107</v>
      </c>
      <c r="AU465">
        <v>0</v>
      </c>
      <c r="AV465">
        <v>0</v>
      </c>
      <c r="AW465">
        <v>0</v>
      </c>
      <c r="AX465">
        <v>1</v>
      </c>
      <c r="AY465">
        <v>0</v>
      </c>
      <c r="AZ465" t="s">
        <v>581</v>
      </c>
    </row>
    <row r="466" spans="1:52" x14ac:dyDescent="0.2">
      <c r="A466">
        <v>0</v>
      </c>
      <c r="B466">
        <v>1</v>
      </c>
      <c r="C466">
        <v>0</v>
      </c>
      <c r="D466">
        <v>0</v>
      </c>
      <c r="E466">
        <v>0</v>
      </c>
      <c r="F466">
        <v>1</v>
      </c>
      <c r="G466">
        <v>0</v>
      </c>
      <c r="H466">
        <v>0</v>
      </c>
      <c r="I466">
        <v>0</v>
      </c>
      <c r="J466" t="s">
        <v>88</v>
      </c>
      <c r="K466" t="s">
        <v>80</v>
      </c>
      <c r="L466">
        <v>0</v>
      </c>
      <c r="M466">
        <v>1</v>
      </c>
      <c r="N466">
        <v>0</v>
      </c>
      <c r="O466">
        <v>0</v>
      </c>
      <c r="P466">
        <v>0</v>
      </c>
      <c r="Q466" t="s">
        <v>584</v>
      </c>
      <c r="AA466" t="s">
        <v>83</v>
      </c>
      <c r="AB466" t="s">
        <v>82</v>
      </c>
      <c r="AC466" t="s">
        <v>90</v>
      </c>
      <c r="AD466" t="s">
        <v>83</v>
      </c>
      <c r="AE466" t="s">
        <v>81</v>
      </c>
      <c r="AF466" t="s">
        <v>83</v>
      </c>
      <c r="AG466" t="s">
        <v>83</v>
      </c>
      <c r="AH466" t="s">
        <v>90</v>
      </c>
      <c r="AI466" t="s">
        <v>135</v>
      </c>
      <c r="AJ466" t="s">
        <v>80</v>
      </c>
      <c r="AK466" t="s">
        <v>85</v>
      </c>
      <c r="AL466" t="s">
        <v>73</v>
      </c>
      <c r="AM466" t="s">
        <v>87</v>
      </c>
      <c r="AN466" t="s">
        <v>87</v>
      </c>
      <c r="AO466" t="s">
        <v>87</v>
      </c>
      <c r="AP466" t="s">
        <v>86</v>
      </c>
      <c r="AQ466" t="s">
        <v>87</v>
      </c>
      <c r="AR466" t="s">
        <v>97</v>
      </c>
      <c r="AS466" t="s">
        <v>92</v>
      </c>
      <c r="AT466" t="s">
        <v>73</v>
      </c>
      <c r="AU466">
        <v>0</v>
      </c>
      <c r="AV466">
        <v>0</v>
      </c>
      <c r="AW466">
        <v>1</v>
      </c>
      <c r="AX466">
        <v>0</v>
      </c>
      <c r="AY466">
        <v>0</v>
      </c>
      <c r="AZ466" t="s">
        <v>580</v>
      </c>
    </row>
    <row r="467" spans="1:52" x14ac:dyDescent="0.2">
      <c r="A467">
        <v>0</v>
      </c>
      <c r="B467">
        <v>1</v>
      </c>
      <c r="C467">
        <v>0</v>
      </c>
      <c r="D467">
        <v>0</v>
      </c>
      <c r="E467">
        <v>1</v>
      </c>
      <c r="F467">
        <v>0</v>
      </c>
      <c r="G467">
        <v>0</v>
      </c>
      <c r="H467">
        <v>0</v>
      </c>
      <c r="I467">
        <v>0</v>
      </c>
      <c r="L467">
        <v>1</v>
      </c>
      <c r="M467">
        <v>0</v>
      </c>
      <c r="N467">
        <v>0</v>
      </c>
      <c r="O467">
        <v>0</v>
      </c>
      <c r="P467">
        <v>0</v>
      </c>
      <c r="Q467" t="s">
        <v>584</v>
      </c>
      <c r="R467">
        <v>0</v>
      </c>
      <c r="S467">
        <v>0</v>
      </c>
      <c r="T467">
        <v>1</v>
      </c>
      <c r="U467">
        <v>0</v>
      </c>
      <c r="V467">
        <v>0</v>
      </c>
      <c r="W467">
        <v>0</v>
      </c>
      <c r="X467">
        <v>0</v>
      </c>
      <c r="Y467">
        <v>0</v>
      </c>
      <c r="Z467">
        <v>0</v>
      </c>
      <c r="AL467" t="s">
        <v>96</v>
      </c>
      <c r="AM467" t="s">
        <v>86</v>
      </c>
      <c r="AN467" t="s">
        <v>87</v>
      </c>
      <c r="AO467" t="s">
        <v>87</v>
      </c>
      <c r="AP467" t="s">
        <v>87</v>
      </c>
      <c r="AQ467" t="s">
        <v>74</v>
      </c>
      <c r="AR467" t="s">
        <v>97</v>
      </c>
      <c r="AS467" t="s">
        <v>92</v>
      </c>
      <c r="AT467" t="s">
        <v>96</v>
      </c>
      <c r="AU467">
        <v>0</v>
      </c>
      <c r="AV467">
        <v>0</v>
      </c>
      <c r="AW467">
        <v>0</v>
      </c>
      <c r="AX467">
        <v>1</v>
      </c>
      <c r="AY467">
        <v>0</v>
      </c>
      <c r="AZ467" t="s">
        <v>580</v>
      </c>
    </row>
    <row r="468" spans="1:52" x14ac:dyDescent="0.2">
      <c r="A468">
        <v>1</v>
      </c>
      <c r="B468">
        <v>0</v>
      </c>
      <c r="C468">
        <v>0</v>
      </c>
      <c r="D468">
        <v>0</v>
      </c>
      <c r="E468">
        <v>1</v>
      </c>
      <c r="F468">
        <v>0</v>
      </c>
      <c r="G468">
        <v>0</v>
      </c>
      <c r="H468">
        <v>0</v>
      </c>
      <c r="I468">
        <v>0</v>
      </c>
      <c r="L468">
        <v>1</v>
      </c>
      <c r="M468">
        <v>0</v>
      </c>
      <c r="N468">
        <v>0</v>
      </c>
      <c r="O468">
        <v>0</v>
      </c>
      <c r="P468">
        <v>0</v>
      </c>
      <c r="Q468" t="s">
        <v>584</v>
      </c>
      <c r="R468">
        <v>0</v>
      </c>
      <c r="S468">
        <v>0</v>
      </c>
      <c r="T468">
        <v>0</v>
      </c>
      <c r="U468">
        <v>0</v>
      </c>
      <c r="V468">
        <v>0</v>
      </c>
      <c r="W468">
        <v>0</v>
      </c>
      <c r="X468">
        <v>1</v>
      </c>
      <c r="Y468">
        <v>0</v>
      </c>
      <c r="Z468">
        <v>0</v>
      </c>
      <c r="AL468" t="s">
        <v>107</v>
      </c>
      <c r="AM468" t="s">
        <v>87</v>
      </c>
      <c r="AN468" t="s">
        <v>74</v>
      </c>
      <c r="AO468" t="s">
        <v>74</v>
      </c>
      <c r="AP468" t="s">
        <v>74</v>
      </c>
      <c r="AQ468" t="s">
        <v>74</v>
      </c>
      <c r="AR468" t="s">
        <v>75</v>
      </c>
      <c r="AS468" t="s">
        <v>92</v>
      </c>
      <c r="AT468" t="s">
        <v>107</v>
      </c>
      <c r="AU468">
        <v>0</v>
      </c>
      <c r="AV468">
        <v>0</v>
      </c>
      <c r="AW468">
        <v>0</v>
      </c>
      <c r="AX468">
        <v>1</v>
      </c>
      <c r="AY468">
        <v>0</v>
      </c>
      <c r="AZ468" t="s">
        <v>580</v>
      </c>
    </row>
    <row r="469" spans="1:52" x14ac:dyDescent="0.2">
      <c r="A469">
        <v>0</v>
      </c>
      <c r="B469">
        <v>1</v>
      </c>
      <c r="C469">
        <v>0</v>
      </c>
      <c r="D469">
        <v>0</v>
      </c>
      <c r="E469">
        <v>1</v>
      </c>
      <c r="F469">
        <v>0</v>
      </c>
      <c r="G469">
        <v>0</v>
      </c>
      <c r="H469">
        <v>0</v>
      </c>
      <c r="I469">
        <v>0</v>
      </c>
      <c r="L469">
        <v>1</v>
      </c>
      <c r="M469">
        <v>0</v>
      </c>
      <c r="N469">
        <v>0</v>
      </c>
      <c r="O469">
        <v>0</v>
      </c>
      <c r="P469">
        <v>0</v>
      </c>
      <c r="Q469" t="s">
        <v>584</v>
      </c>
      <c r="R469">
        <v>0</v>
      </c>
      <c r="S469">
        <v>0</v>
      </c>
      <c r="T469">
        <v>0</v>
      </c>
      <c r="U469">
        <v>0</v>
      </c>
      <c r="V469">
        <v>0</v>
      </c>
      <c r="W469">
        <v>0</v>
      </c>
      <c r="X469">
        <v>0</v>
      </c>
      <c r="Y469">
        <v>1</v>
      </c>
      <c r="Z469">
        <v>0</v>
      </c>
      <c r="AL469" t="s">
        <v>73</v>
      </c>
      <c r="AM469" t="s">
        <v>87</v>
      </c>
      <c r="AN469" t="s">
        <v>87</v>
      </c>
      <c r="AO469" t="s">
        <v>86</v>
      </c>
      <c r="AP469" t="s">
        <v>87</v>
      </c>
      <c r="AQ469" t="s">
        <v>87</v>
      </c>
      <c r="AR469" t="s">
        <v>75</v>
      </c>
      <c r="AS469" t="s">
        <v>92</v>
      </c>
      <c r="AT469" t="s">
        <v>73</v>
      </c>
      <c r="AU469">
        <v>0</v>
      </c>
      <c r="AV469">
        <v>0</v>
      </c>
      <c r="AW469">
        <v>0</v>
      </c>
      <c r="AX469">
        <v>1</v>
      </c>
      <c r="AY469">
        <v>0</v>
      </c>
      <c r="AZ469" t="s">
        <v>578</v>
      </c>
    </row>
    <row r="470" spans="1:52" x14ac:dyDescent="0.2">
      <c r="A470">
        <v>1</v>
      </c>
      <c r="B470">
        <v>0</v>
      </c>
      <c r="C470">
        <v>0</v>
      </c>
      <c r="D470">
        <v>0</v>
      </c>
      <c r="E470">
        <v>0</v>
      </c>
      <c r="F470">
        <v>1</v>
      </c>
      <c r="G470">
        <v>0</v>
      </c>
      <c r="H470">
        <v>1</v>
      </c>
      <c r="I470">
        <v>0</v>
      </c>
      <c r="J470" t="s">
        <v>79</v>
      </c>
      <c r="K470" t="s">
        <v>80</v>
      </c>
      <c r="L470">
        <v>0</v>
      </c>
      <c r="M470">
        <v>1</v>
      </c>
      <c r="N470">
        <v>1</v>
      </c>
      <c r="O470">
        <v>1</v>
      </c>
      <c r="P470">
        <v>0</v>
      </c>
      <c r="Q470" t="s">
        <v>584</v>
      </c>
      <c r="AA470" t="s">
        <v>83</v>
      </c>
      <c r="AB470" t="s">
        <v>82</v>
      </c>
      <c r="AC470" t="s">
        <v>82</v>
      </c>
      <c r="AD470" t="s">
        <v>83</v>
      </c>
      <c r="AE470" t="s">
        <v>81</v>
      </c>
      <c r="AF470" t="s">
        <v>83</v>
      </c>
      <c r="AG470" t="s">
        <v>81</v>
      </c>
      <c r="AH470" t="s">
        <v>83</v>
      </c>
      <c r="AI470" t="s">
        <v>88</v>
      </c>
      <c r="AJ470" t="s">
        <v>89</v>
      </c>
      <c r="AK470" t="s">
        <v>100</v>
      </c>
      <c r="AL470" t="s">
        <v>73</v>
      </c>
      <c r="AM470" t="s">
        <v>87</v>
      </c>
      <c r="AN470" t="s">
        <v>87</v>
      </c>
      <c r="AO470" t="s">
        <v>87</v>
      </c>
      <c r="AP470" t="s">
        <v>87</v>
      </c>
      <c r="AQ470" t="s">
        <v>87</v>
      </c>
      <c r="AR470" t="s">
        <v>75</v>
      </c>
      <c r="AS470" t="s">
        <v>92</v>
      </c>
      <c r="AT470" t="s">
        <v>73</v>
      </c>
      <c r="AU470">
        <v>0</v>
      </c>
      <c r="AV470">
        <v>0</v>
      </c>
      <c r="AW470">
        <v>0</v>
      </c>
      <c r="AX470">
        <v>1</v>
      </c>
      <c r="AY470">
        <v>0</v>
      </c>
      <c r="AZ470" t="s">
        <v>579</v>
      </c>
    </row>
    <row r="471" spans="1:52" x14ac:dyDescent="0.2">
      <c r="A471">
        <v>0</v>
      </c>
      <c r="B471">
        <v>1</v>
      </c>
      <c r="C471">
        <v>0</v>
      </c>
      <c r="D471">
        <v>0</v>
      </c>
      <c r="E471">
        <v>0</v>
      </c>
      <c r="F471">
        <v>0</v>
      </c>
      <c r="G471">
        <v>1</v>
      </c>
      <c r="H471">
        <v>0</v>
      </c>
      <c r="I471">
        <v>0</v>
      </c>
      <c r="J471" t="s">
        <v>135</v>
      </c>
      <c r="K471" t="s">
        <v>80</v>
      </c>
      <c r="L471">
        <v>0</v>
      </c>
      <c r="M471">
        <v>0</v>
      </c>
      <c r="N471">
        <v>0</v>
      </c>
      <c r="O471">
        <v>0</v>
      </c>
      <c r="P471">
        <v>1</v>
      </c>
      <c r="Q471" t="s">
        <v>584</v>
      </c>
      <c r="AA471" t="s">
        <v>83</v>
      </c>
      <c r="AB471" t="s">
        <v>81</v>
      </c>
      <c r="AC471" t="s">
        <v>83</v>
      </c>
      <c r="AD471" t="s">
        <v>81</v>
      </c>
      <c r="AE471" t="s">
        <v>82</v>
      </c>
      <c r="AF471" t="s">
        <v>83</v>
      </c>
      <c r="AG471" t="s">
        <v>83</v>
      </c>
      <c r="AH471" t="s">
        <v>83</v>
      </c>
      <c r="AI471" t="s">
        <v>88</v>
      </c>
      <c r="AJ471" t="s">
        <v>89</v>
      </c>
      <c r="AK471" t="s">
        <v>85</v>
      </c>
      <c r="AL471" t="s">
        <v>73</v>
      </c>
      <c r="AM471" t="s">
        <v>87</v>
      </c>
      <c r="AN471" t="s">
        <v>87</v>
      </c>
      <c r="AO471" t="s">
        <v>87</v>
      </c>
      <c r="AP471" t="s">
        <v>87</v>
      </c>
      <c r="AQ471" t="s">
        <v>87</v>
      </c>
      <c r="AR471" t="s">
        <v>97</v>
      </c>
      <c r="AS471" t="s">
        <v>92</v>
      </c>
      <c r="AT471" t="s">
        <v>73</v>
      </c>
      <c r="AU471">
        <v>0</v>
      </c>
      <c r="AV471">
        <v>0</v>
      </c>
      <c r="AW471">
        <v>0</v>
      </c>
      <c r="AX471">
        <v>1</v>
      </c>
      <c r="AY471">
        <v>0</v>
      </c>
      <c r="AZ471" t="s">
        <v>581</v>
      </c>
    </row>
    <row r="472" spans="1:52" x14ac:dyDescent="0.2">
      <c r="A472">
        <v>1</v>
      </c>
      <c r="B472">
        <v>0</v>
      </c>
      <c r="C472">
        <v>0</v>
      </c>
      <c r="D472">
        <v>0</v>
      </c>
      <c r="E472">
        <v>0</v>
      </c>
      <c r="F472">
        <v>1</v>
      </c>
      <c r="G472">
        <v>0</v>
      </c>
      <c r="H472">
        <v>0</v>
      </c>
      <c r="I472">
        <v>0</v>
      </c>
      <c r="J472" t="s">
        <v>88</v>
      </c>
      <c r="K472" t="s">
        <v>89</v>
      </c>
      <c r="L472">
        <v>1</v>
      </c>
      <c r="M472">
        <v>0</v>
      </c>
      <c r="N472">
        <v>0</v>
      </c>
      <c r="O472">
        <v>0</v>
      </c>
      <c r="P472">
        <v>0</v>
      </c>
      <c r="Q472" t="s">
        <v>584</v>
      </c>
      <c r="R472">
        <v>0</v>
      </c>
      <c r="S472">
        <v>0</v>
      </c>
      <c r="T472">
        <v>0</v>
      </c>
      <c r="U472">
        <v>0</v>
      </c>
      <c r="V472">
        <v>0</v>
      </c>
      <c r="W472">
        <v>0</v>
      </c>
      <c r="X472">
        <v>0</v>
      </c>
      <c r="Y472">
        <v>0</v>
      </c>
      <c r="Z472">
        <v>1</v>
      </c>
      <c r="AL472" t="s">
        <v>73</v>
      </c>
      <c r="AM472" t="s">
        <v>87</v>
      </c>
      <c r="AN472" t="s">
        <v>74</v>
      </c>
      <c r="AO472" t="s">
        <v>87</v>
      </c>
      <c r="AP472" t="s">
        <v>74</v>
      </c>
      <c r="AQ472" t="s">
        <v>86</v>
      </c>
      <c r="AR472" t="s">
        <v>97</v>
      </c>
      <c r="AS472" t="s">
        <v>92</v>
      </c>
      <c r="AT472" t="s">
        <v>73</v>
      </c>
      <c r="AU472">
        <v>0</v>
      </c>
      <c r="AV472">
        <v>0</v>
      </c>
      <c r="AW472">
        <v>0</v>
      </c>
      <c r="AX472">
        <v>1</v>
      </c>
      <c r="AY472">
        <v>0</v>
      </c>
      <c r="AZ472" t="s">
        <v>581</v>
      </c>
    </row>
    <row r="473" spans="1:52" x14ac:dyDescent="0.2">
      <c r="A473">
        <v>1</v>
      </c>
      <c r="B473">
        <v>0</v>
      </c>
      <c r="C473">
        <v>0</v>
      </c>
      <c r="D473">
        <v>0</v>
      </c>
      <c r="E473">
        <v>1</v>
      </c>
      <c r="F473">
        <v>0</v>
      </c>
      <c r="G473">
        <v>0</v>
      </c>
      <c r="H473">
        <v>0</v>
      </c>
      <c r="I473">
        <v>0</v>
      </c>
      <c r="L473">
        <v>1</v>
      </c>
      <c r="M473">
        <v>0</v>
      </c>
      <c r="N473">
        <v>0</v>
      </c>
      <c r="O473">
        <v>0</v>
      </c>
      <c r="P473">
        <v>0</v>
      </c>
      <c r="Q473" t="s">
        <v>584</v>
      </c>
      <c r="R473">
        <v>0</v>
      </c>
      <c r="S473">
        <v>0</v>
      </c>
      <c r="T473">
        <v>1</v>
      </c>
      <c r="U473">
        <v>0</v>
      </c>
      <c r="V473">
        <v>0</v>
      </c>
      <c r="W473">
        <v>0</v>
      </c>
      <c r="X473">
        <v>0</v>
      </c>
      <c r="Y473">
        <v>0</v>
      </c>
      <c r="Z473">
        <v>0</v>
      </c>
      <c r="AL473" t="s">
        <v>107</v>
      </c>
      <c r="AM473" t="s">
        <v>87</v>
      </c>
      <c r="AN473" t="s">
        <v>87</v>
      </c>
      <c r="AO473" t="s">
        <v>87</v>
      </c>
      <c r="AP473" t="s">
        <v>87</v>
      </c>
      <c r="AQ473" t="s">
        <v>87</v>
      </c>
      <c r="AR473" t="s">
        <v>97</v>
      </c>
      <c r="AS473" t="s">
        <v>92</v>
      </c>
      <c r="AT473" t="s">
        <v>107</v>
      </c>
      <c r="AU473">
        <v>0</v>
      </c>
      <c r="AV473">
        <v>0</v>
      </c>
      <c r="AW473">
        <v>0</v>
      </c>
      <c r="AX473">
        <v>1</v>
      </c>
      <c r="AY473">
        <v>0</v>
      </c>
      <c r="AZ473" t="s">
        <v>581</v>
      </c>
    </row>
    <row r="474" spans="1:52" x14ac:dyDescent="0.2">
      <c r="A474">
        <v>0</v>
      </c>
      <c r="B474">
        <v>1</v>
      </c>
      <c r="C474">
        <v>0</v>
      </c>
      <c r="D474">
        <v>0</v>
      </c>
      <c r="E474">
        <v>1</v>
      </c>
      <c r="F474">
        <v>0</v>
      </c>
      <c r="G474">
        <v>0</v>
      </c>
      <c r="H474">
        <v>0</v>
      </c>
      <c r="I474">
        <v>0</v>
      </c>
      <c r="L474">
        <v>1</v>
      </c>
      <c r="M474">
        <v>0</v>
      </c>
      <c r="N474">
        <v>0</v>
      </c>
      <c r="O474">
        <v>0</v>
      </c>
      <c r="P474">
        <v>0</v>
      </c>
      <c r="Q474" t="s">
        <v>584</v>
      </c>
      <c r="R474">
        <v>0</v>
      </c>
      <c r="S474">
        <v>1</v>
      </c>
      <c r="T474">
        <v>0</v>
      </c>
      <c r="U474">
        <v>0</v>
      </c>
      <c r="V474">
        <v>0</v>
      </c>
      <c r="W474">
        <v>0</v>
      </c>
      <c r="X474">
        <v>0</v>
      </c>
      <c r="Y474">
        <v>0</v>
      </c>
      <c r="Z474">
        <v>0</v>
      </c>
      <c r="AL474" t="s">
        <v>107</v>
      </c>
      <c r="AM474" t="s">
        <v>74</v>
      </c>
      <c r="AR474" t="s">
        <v>75</v>
      </c>
      <c r="AS474" t="s">
        <v>92</v>
      </c>
      <c r="AT474" t="s">
        <v>107</v>
      </c>
      <c r="AU474">
        <v>0</v>
      </c>
      <c r="AV474">
        <v>0</v>
      </c>
      <c r="AW474">
        <v>0</v>
      </c>
      <c r="AX474">
        <v>1</v>
      </c>
      <c r="AY474">
        <v>0</v>
      </c>
      <c r="AZ474" t="s">
        <v>580</v>
      </c>
    </row>
    <row r="475" spans="1:52" x14ac:dyDescent="0.2">
      <c r="A475">
        <v>1</v>
      </c>
      <c r="B475">
        <v>0</v>
      </c>
      <c r="C475">
        <v>0</v>
      </c>
      <c r="D475">
        <v>0</v>
      </c>
      <c r="E475">
        <v>0</v>
      </c>
      <c r="F475">
        <v>1</v>
      </c>
      <c r="G475">
        <v>0</v>
      </c>
      <c r="H475">
        <v>0</v>
      </c>
      <c r="I475">
        <v>1</v>
      </c>
      <c r="J475" t="s">
        <v>88</v>
      </c>
      <c r="K475" t="s">
        <v>80</v>
      </c>
      <c r="L475">
        <v>0</v>
      </c>
      <c r="M475">
        <v>0</v>
      </c>
      <c r="N475">
        <v>1</v>
      </c>
      <c r="O475">
        <v>0</v>
      </c>
      <c r="P475">
        <v>0</v>
      </c>
      <c r="Q475" t="s">
        <v>584</v>
      </c>
      <c r="AA475" t="s">
        <v>81</v>
      </c>
      <c r="AB475" t="s">
        <v>82</v>
      </c>
      <c r="AC475" t="s">
        <v>81</v>
      </c>
      <c r="AD475" t="s">
        <v>90</v>
      </c>
      <c r="AE475" t="s">
        <v>83</v>
      </c>
      <c r="AF475" t="s">
        <v>81</v>
      </c>
      <c r="AG475" t="s">
        <v>81</v>
      </c>
      <c r="AH475" t="s">
        <v>83</v>
      </c>
      <c r="AI475" t="s">
        <v>88</v>
      </c>
      <c r="AJ475" t="s">
        <v>89</v>
      </c>
      <c r="AK475" t="s">
        <v>85</v>
      </c>
      <c r="AL475" t="s">
        <v>107</v>
      </c>
      <c r="AM475" t="s">
        <v>87</v>
      </c>
      <c r="AN475" t="s">
        <v>86</v>
      </c>
      <c r="AO475" t="s">
        <v>87</v>
      </c>
      <c r="AP475" t="s">
        <v>86</v>
      </c>
      <c r="AQ475" t="s">
        <v>74</v>
      </c>
      <c r="AR475" t="s">
        <v>97</v>
      </c>
      <c r="AS475" t="s">
        <v>92</v>
      </c>
      <c r="AT475" t="s">
        <v>107</v>
      </c>
      <c r="AU475">
        <v>0</v>
      </c>
      <c r="AV475">
        <v>0</v>
      </c>
      <c r="AW475">
        <v>0</v>
      </c>
      <c r="AX475">
        <v>1</v>
      </c>
      <c r="AY475">
        <v>0</v>
      </c>
      <c r="AZ475" t="s">
        <v>580</v>
      </c>
    </row>
    <row r="476" spans="1:52" x14ac:dyDescent="0.2">
      <c r="A476">
        <v>1</v>
      </c>
      <c r="B476">
        <v>0</v>
      </c>
      <c r="C476">
        <v>0</v>
      </c>
      <c r="D476">
        <v>0</v>
      </c>
      <c r="E476">
        <v>0</v>
      </c>
      <c r="F476">
        <v>1</v>
      </c>
      <c r="G476">
        <v>0</v>
      </c>
      <c r="H476">
        <v>0</v>
      </c>
      <c r="I476">
        <v>0</v>
      </c>
      <c r="J476" t="s">
        <v>79</v>
      </c>
      <c r="K476" t="s">
        <v>89</v>
      </c>
      <c r="L476">
        <v>0</v>
      </c>
      <c r="M476">
        <v>1</v>
      </c>
      <c r="N476">
        <v>0</v>
      </c>
      <c r="O476">
        <v>0</v>
      </c>
      <c r="P476">
        <v>0</v>
      </c>
      <c r="Q476" t="s">
        <v>584</v>
      </c>
      <c r="AA476" t="s">
        <v>90</v>
      </c>
      <c r="AB476" t="s">
        <v>82</v>
      </c>
      <c r="AC476" t="s">
        <v>90</v>
      </c>
      <c r="AD476" t="s">
        <v>90</v>
      </c>
      <c r="AE476" t="s">
        <v>90</v>
      </c>
      <c r="AF476" t="s">
        <v>90</v>
      </c>
      <c r="AG476" t="s">
        <v>90</v>
      </c>
      <c r="AH476" t="s">
        <v>90</v>
      </c>
      <c r="AI476" t="s">
        <v>88</v>
      </c>
      <c r="AJ476" t="s">
        <v>89</v>
      </c>
      <c r="AK476" t="s">
        <v>100</v>
      </c>
      <c r="AL476" t="s">
        <v>107</v>
      </c>
      <c r="AM476" t="s">
        <v>87</v>
      </c>
      <c r="AN476" t="s">
        <v>74</v>
      </c>
      <c r="AO476" t="s">
        <v>87</v>
      </c>
      <c r="AP476" t="s">
        <v>74</v>
      </c>
      <c r="AQ476" t="s">
        <v>86</v>
      </c>
      <c r="AR476" t="s">
        <v>97</v>
      </c>
      <c r="AS476" t="s">
        <v>92</v>
      </c>
      <c r="AT476" t="s">
        <v>107</v>
      </c>
      <c r="AU476">
        <v>0</v>
      </c>
      <c r="AV476">
        <v>0</v>
      </c>
      <c r="AW476">
        <v>0</v>
      </c>
      <c r="AX476">
        <v>1</v>
      </c>
      <c r="AY476">
        <v>0</v>
      </c>
      <c r="AZ476" t="s">
        <v>580</v>
      </c>
    </row>
    <row r="477" spans="1:52" x14ac:dyDescent="0.2">
      <c r="A477">
        <v>1</v>
      </c>
      <c r="B477">
        <v>0</v>
      </c>
      <c r="C477">
        <v>0</v>
      </c>
      <c r="D477">
        <v>0</v>
      </c>
      <c r="E477">
        <v>1</v>
      </c>
      <c r="F477">
        <v>0</v>
      </c>
      <c r="G477">
        <v>0</v>
      </c>
      <c r="H477">
        <v>0</v>
      </c>
      <c r="I477">
        <v>0</v>
      </c>
      <c r="L477">
        <v>0</v>
      </c>
      <c r="M477">
        <v>0</v>
      </c>
      <c r="N477">
        <v>0</v>
      </c>
      <c r="O477">
        <v>0</v>
      </c>
      <c r="P477">
        <v>0</v>
      </c>
      <c r="Q477" t="s">
        <v>585</v>
      </c>
      <c r="AA477" t="s">
        <v>90</v>
      </c>
      <c r="AB477" t="s">
        <v>82</v>
      </c>
      <c r="AC477" t="s">
        <v>90</v>
      </c>
      <c r="AD477" t="s">
        <v>90</v>
      </c>
      <c r="AE477" t="s">
        <v>90</v>
      </c>
      <c r="AF477" t="s">
        <v>90</v>
      </c>
      <c r="AG477" t="s">
        <v>90</v>
      </c>
      <c r="AH477" t="s">
        <v>83</v>
      </c>
      <c r="AI477" t="s">
        <v>88</v>
      </c>
      <c r="AJ477" t="s">
        <v>89</v>
      </c>
      <c r="AK477" t="s">
        <v>100</v>
      </c>
      <c r="AL477" t="s">
        <v>73</v>
      </c>
      <c r="AM477" t="s">
        <v>87</v>
      </c>
      <c r="AN477" t="s">
        <v>87</v>
      </c>
      <c r="AO477" t="s">
        <v>87</v>
      </c>
      <c r="AP477" t="s">
        <v>87</v>
      </c>
      <c r="AQ477" t="s">
        <v>86</v>
      </c>
      <c r="AR477" t="s">
        <v>97</v>
      </c>
      <c r="AS477" t="s">
        <v>92</v>
      </c>
      <c r="AT477" t="s">
        <v>73</v>
      </c>
      <c r="AU477">
        <v>0</v>
      </c>
      <c r="AV477">
        <v>0</v>
      </c>
      <c r="AW477">
        <v>0</v>
      </c>
      <c r="AX477">
        <v>1</v>
      </c>
      <c r="AY477">
        <v>0</v>
      </c>
      <c r="AZ477" t="s">
        <v>580</v>
      </c>
    </row>
    <row r="478" spans="1:52" x14ac:dyDescent="0.2">
      <c r="A478">
        <v>1</v>
      </c>
      <c r="B478">
        <v>0</v>
      </c>
      <c r="C478">
        <v>0</v>
      </c>
      <c r="D478">
        <v>0</v>
      </c>
      <c r="E478">
        <v>0</v>
      </c>
      <c r="F478">
        <v>1</v>
      </c>
      <c r="G478">
        <v>0</v>
      </c>
      <c r="H478">
        <v>0</v>
      </c>
      <c r="I478">
        <v>0</v>
      </c>
      <c r="J478" t="s">
        <v>79</v>
      </c>
      <c r="K478" t="s">
        <v>80</v>
      </c>
      <c r="L478">
        <v>0</v>
      </c>
      <c r="M478">
        <v>1</v>
      </c>
      <c r="N478">
        <v>0</v>
      </c>
      <c r="O478">
        <v>0</v>
      </c>
      <c r="P478">
        <v>0</v>
      </c>
      <c r="Q478" t="s">
        <v>584</v>
      </c>
      <c r="AA478" t="s">
        <v>83</v>
      </c>
      <c r="AB478" t="s">
        <v>82</v>
      </c>
      <c r="AC478" t="s">
        <v>83</v>
      </c>
      <c r="AD478" t="s">
        <v>83</v>
      </c>
      <c r="AE478" t="s">
        <v>83</v>
      </c>
      <c r="AF478" t="s">
        <v>83</v>
      </c>
      <c r="AG478" t="s">
        <v>83</v>
      </c>
      <c r="AH478" t="s">
        <v>83</v>
      </c>
      <c r="AI478" t="s">
        <v>88</v>
      </c>
      <c r="AJ478" t="s">
        <v>89</v>
      </c>
      <c r="AK478" t="s">
        <v>85</v>
      </c>
      <c r="AL478" t="s">
        <v>73</v>
      </c>
      <c r="AM478" t="s">
        <v>86</v>
      </c>
      <c r="AN478" t="s">
        <v>74</v>
      </c>
      <c r="AO478" t="s">
        <v>87</v>
      </c>
      <c r="AP478" t="s">
        <v>86</v>
      </c>
      <c r="AQ478" t="s">
        <v>74</v>
      </c>
      <c r="AR478" t="s">
        <v>97</v>
      </c>
      <c r="AS478" t="s">
        <v>92</v>
      </c>
      <c r="AT478" t="s">
        <v>73</v>
      </c>
      <c r="AU478">
        <v>0</v>
      </c>
      <c r="AV478">
        <v>0</v>
      </c>
      <c r="AW478">
        <v>0</v>
      </c>
      <c r="AX478">
        <v>1</v>
      </c>
      <c r="AY478">
        <v>0</v>
      </c>
      <c r="AZ478" t="s">
        <v>581</v>
      </c>
    </row>
    <row r="479" spans="1:52" x14ac:dyDescent="0.2">
      <c r="A479">
        <v>1</v>
      </c>
      <c r="B479">
        <v>0</v>
      </c>
      <c r="C479">
        <v>0</v>
      </c>
      <c r="D479">
        <v>0</v>
      </c>
      <c r="E479">
        <v>0</v>
      </c>
      <c r="F479">
        <v>1</v>
      </c>
      <c r="G479">
        <v>0</v>
      </c>
      <c r="H479">
        <v>1</v>
      </c>
      <c r="I479">
        <v>0</v>
      </c>
      <c r="J479" t="s">
        <v>135</v>
      </c>
      <c r="K479" t="s">
        <v>80</v>
      </c>
      <c r="L479">
        <v>0</v>
      </c>
      <c r="M479">
        <v>0</v>
      </c>
      <c r="N479">
        <v>0</v>
      </c>
      <c r="O479">
        <v>1</v>
      </c>
      <c r="P479">
        <v>0</v>
      </c>
      <c r="Q479" t="s">
        <v>584</v>
      </c>
      <c r="AA479" t="s">
        <v>83</v>
      </c>
      <c r="AB479" t="s">
        <v>82</v>
      </c>
      <c r="AC479" t="s">
        <v>81</v>
      </c>
      <c r="AD479" t="s">
        <v>83</v>
      </c>
      <c r="AE479" t="s">
        <v>83</v>
      </c>
      <c r="AF479" t="s">
        <v>83</v>
      </c>
      <c r="AG479" t="s">
        <v>81</v>
      </c>
      <c r="AH479" t="s">
        <v>83</v>
      </c>
      <c r="AI479" t="s">
        <v>88</v>
      </c>
      <c r="AJ479" t="s">
        <v>89</v>
      </c>
      <c r="AK479" t="s">
        <v>100</v>
      </c>
      <c r="AL479" t="s">
        <v>73</v>
      </c>
      <c r="AM479" t="s">
        <v>87</v>
      </c>
      <c r="AN479" t="s">
        <v>74</v>
      </c>
      <c r="AO479" t="s">
        <v>87</v>
      </c>
      <c r="AP479" t="s">
        <v>87</v>
      </c>
      <c r="AQ479" t="s">
        <v>86</v>
      </c>
      <c r="AR479" t="s">
        <v>97</v>
      </c>
      <c r="AS479" t="s">
        <v>92</v>
      </c>
      <c r="AT479" t="s">
        <v>73</v>
      </c>
      <c r="AU479">
        <v>0</v>
      </c>
      <c r="AV479">
        <v>0</v>
      </c>
      <c r="AW479">
        <v>0</v>
      </c>
      <c r="AX479">
        <v>1</v>
      </c>
      <c r="AY479">
        <v>0</v>
      </c>
      <c r="AZ479" t="s">
        <v>581</v>
      </c>
    </row>
    <row r="480" spans="1:52" x14ac:dyDescent="0.2">
      <c r="A480">
        <v>0</v>
      </c>
      <c r="B480">
        <v>1</v>
      </c>
      <c r="C480">
        <v>0</v>
      </c>
      <c r="D480">
        <v>0</v>
      </c>
      <c r="E480">
        <v>1</v>
      </c>
      <c r="F480">
        <v>0</v>
      </c>
      <c r="G480">
        <v>0</v>
      </c>
      <c r="H480">
        <v>0</v>
      </c>
      <c r="I480">
        <v>0</v>
      </c>
      <c r="L480">
        <v>0</v>
      </c>
      <c r="M480">
        <v>1</v>
      </c>
      <c r="N480">
        <v>0</v>
      </c>
      <c r="O480">
        <v>0</v>
      </c>
      <c r="P480">
        <v>0</v>
      </c>
      <c r="Q480" t="s">
        <v>584</v>
      </c>
      <c r="AA480" t="s">
        <v>90</v>
      </c>
      <c r="AB480" t="s">
        <v>82</v>
      </c>
      <c r="AC480" t="s">
        <v>82</v>
      </c>
      <c r="AD480" t="s">
        <v>82</v>
      </c>
      <c r="AE480" t="s">
        <v>90</v>
      </c>
      <c r="AF480" t="s">
        <v>90</v>
      </c>
      <c r="AG480" t="s">
        <v>90</v>
      </c>
      <c r="AH480" t="s">
        <v>90</v>
      </c>
      <c r="AI480" t="s">
        <v>135</v>
      </c>
      <c r="AJ480" t="s">
        <v>80</v>
      </c>
      <c r="AK480" t="s">
        <v>85</v>
      </c>
      <c r="AL480" t="s">
        <v>96</v>
      </c>
      <c r="AM480" t="s">
        <v>86</v>
      </c>
      <c r="AN480" t="s">
        <v>86</v>
      </c>
      <c r="AO480" t="s">
        <v>86</v>
      </c>
      <c r="AP480" t="s">
        <v>86</v>
      </c>
      <c r="AQ480" t="s">
        <v>86</v>
      </c>
      <c r="AR480" t="s">
        <v>97</v>
      </c>
      <c r="AS480" t="s">
        <v>92</v>
      </c>
      <c r="AT480" t="s">
        <v>96</v>
      </c>
      <c r="AU480">
        <v>0</v>
      </c>
      <c r="AV480">
        <v>0</v>
      </c>
      <c r="AW480">
        <v>0</v>
      </c>
      <c r="AX480">
        <v>1</v>
      </c>
      <c r="AY480">
        <v>0</v>
      </c>
      <c r="AZ480" t="s">
        <v>580</v>
      </c>
    </row>
    <row r="481" spans="1:52" x14ac:dyDescent="0.2">
      <c r="A481">
        <v>1</v>
      </c>
      <c r="B481">
        <v>0</v>
      </c>
      <c r="C481">
        <v>0</v>
      </c>
      <c r="D481">
        <v>0</v>
      </c>
      <c r="E481">
        <v>0</v>
      </c>
      <c r="F481">
        <v>1</v>
      </c>
      <c r="G481">
        <v>1</v>
      </c>
      <c r="H481">
        <v>0</v>
      </c>
      <c r="I481">
        <v>0</v>
      </c>
      <c r="J481" t="s">
        <v>88</v>
      </c>
      <c r="K481" t="s">
        <v>89</v>
      </c>
      <c r="L481">
        <v>0</v>
      </c>
      <c r="M481">
        <v>0</v>
      </c>
      <c r="N481">
        <v>1</v>
      </c>
      <c r="O481">
        <v>0</v>
      </c>
      <c r="P481">
        <v>0</v>
      </c>
      <c r="Q481" t="s">
        <v>584</v>
      </c>
      <c r="AA481" t="s">
        <v>83</v>
      </c>
      <c r="AB481" t="s">
        <v>82</v>
      </c>
      <c r="AC481" t="s">
        <v>83</v>
      </c>
      <c r="AD481" t="s">
        <v>82</v>
      </c>
      <c r="AE481" t="s">
        <v>81</v>
      </c>
      <c r="AF481" t="s">
        <v>83</v>
      </c>
      <c r="AG481" t="s">
        <v>83</v>
      </c>
      <c r="AH481" t="s">
        <v>83</v>
      </c>
      <c r="AI481" t="s">
        <v>88</v>
      </c>
      <c r="AJ481" t="s">
        <v>89</v>
      </c>
      <c r="AK481" t="s">
        <v>85</v>
      </c>
      <c r="AL481" t="s">
        <v>107</v>
      </c>
      <c r="AM481" t="s">
        <v>87</v>
      </c>
      <c r="AN481" t="s">
        <v>87</v>
      </c>
      <c r="AO481" t="s">
        <v>87</v>
      </c>
      <c r="AP481" t="s">
        <v>87</v>
      </c>
      <c r="AQ481" t="s">
        <v>87</v>
      </c>
      <c r="AR481" t="s">
        <v>97</v>
      </c>
      <c r="AS481" t="s">
        <v>92</v>
      </c>
      <c r="AT481" t="s">
        <v>107</v>
      </c>
      <c r="AU481">
        <v>0</v>
      </c>
      <c r="AV481">
        <v>0</v>
      </c>
      <c r="AW481">
        <v>0</v>
      </c>
      <c r="AX481">
        <v>1</v>
      </c>
      <c r="AY481">
        <v>0</v>
      </c>
      <c r="AZ481" t="s">
        <v>580</v>
      </c>
    </row>
    <row r="482" spans="1:52" x14ac:dyDescent="0.2">
      <c r="A482">
        <v>1</v>
      </c>
      <c r="B482">
        <v>0</v>
      </c>
      <c r="C482">
        <v>0</v>
      </c>
      <c r="D482">
        <v>0</v>
      </c>
      <c r="E482">
        <v>1</v>
      </c>
      <c r="F482">
        <v>0</v>
      </c>
      <c r="G482">
        <v>0</v>
      </c>
      <c r="H482">
        <v>0</v>
      </c>
      <c r="I482">
        <v>0</v>
      </c>
      <c r="L482">
        <v>1</v>
      </c>
      <c r="M482">
        <v>0</v>
      </c>
      <c r="N482">
        <v>0</v>
      </c>
      <c r="O482">
        <v>0</v>
      </c>
      <c r="P482">
        <v>0</v>
      </c>
      <c r="Q482" t="s">
        <v>584</v>
      </c>
      <c r="R482">
        <v>0</v>
      </c>
      <c r="S482">
        <v>0</v>
      </c>
      <c r="T482">
        <v>0</v>
      </c>
      <c r="U482">
        <v>0</v>
      </c>
      <c r="V482">
        <v>0</v>
      </c>
      <c r="W482">
        <v>0</v>
      </c>
      <c r="X482">
        <v>0</v>
      </c>
      <c r="Y482">
        <v>0</v>
      </c>
      <c r="Z482">
        <v>1</v>
      </c>
      <c r="AL482" t="s">
        <v>73</v>
      </c>
      <c r="AM482" t="s">
        <v>87</v>
      </c>
      <c r="AN482" t="s">
        <v>87</v>
      </c>
      <c r="AO482" t="s">
        <v>87</v>
      </c>
      <c r="AP482" t="s">
        <v>87</v>
      </c>
      <c r="AQ482" t="s">
        <v>86</v>
      </c>
      <c r="AR482" t="s">
        <v>97</v>
      </c>
      <c r="AS482" t="s">
        <v>92</v>
      </c>
      <c r="AT482" t="s">
        <v>73</v>
      </c>
      <c r="AU482">
        <v>0</v>
      </c>
      <c r="AV482">
        <v>0</v>
      </c>
      <c r="AW482">
        <v>0</v>
      </c>
      <c r="AX482">
        <v>1</v>
      </c>
      <c r="AY482">
        <v>0</v>
      </c>
      <c r="AZ482" t="s">
        <v>580</v>
      </c>
    </row>
    <row r="483" spans="1:52" x14ac:dyDescent="0.2">
      <c r="A483">
        <v>1</v>
      </c>
      <c r="B483">
        <v>0</v>
      </c>
      <c r="C483">
        <v>0</v>
      </c>
      <c r="D483">
        <v>0</v>
      </c>
      <c r="E483">
        <v>1</v>
      </c>
      <c r="F483">
        <v>0</v>
      </c>
      <c r="G483">
        <v>0</v>
      </c>
      <c r="H483">
        <v>0</v>
      </c>
      <c r="I483">
        <v>0</v>
      </c>
      <c r="L483">
        <v>1</v>
      </c>
      <c r="M483">
        <v>0</v>
      </c>
      <c r="N483">
        <v>0</v>
      </c>
      <c r="O483">
        <v>0</v>
      </c>
      <c r="P483">
        <v>0</v>
      </c>
      <c r="Q483" t="s">
        <v>584</v>
      </c>
      <c r="R483">
        <v>0</v>
      </c>
      <c r="S483">
        <v>0</v>
      </c>
      <c r="T483">
        <v>0</v>
      </c>
      <c r="U483">
        <v>0</v>
      </c>
      <c r="V483">
        <v>0</v>
      </c>
      <c r="W483">
        <v>1</v>
      </c>
      <c r="X483">
        <v>0</v>
      </c>
      <c r="Y483">
        <v>0</v>
      </c>
      <c r="Z483">
        <v>0</v>
      </c>
      <c r="AL483" t="s">
        <v>107</v>
      </c>
      <c r="AM483" t="s">
        <v>86</v>
      </c>
      <c r="AN483" t="s">
        <v>74</v>
      </c>
      <c r="AO483" t="s">
        <v>87</v>
      </c>
      <c r="AP483" t="s">
        <v>87</v>
      </c>
      <c r="AQ483" t="s">
        <v>74</v>
      </c>
      <c r="AR483" t="s">
        <v>75</v>
      </c>
      <c r="AS483" t="s">
        <v>92</v>
      </c>
      <c r="AT483" t="s">
        <v>107</v>
      </c>
      <c r="AU483">
        <v>0</v>
      </c>
      <c r="AV483">
        <v>0</v>
      </c>
      <c r="AW483">
        <v>0</v>
      </c>
      <c r="AX483">
        <v>1</v>
      </c>
      <c r="AY483">
        <v>0</v>
      </c>
      <c r="AZ483" t="s">
        <v>580</v>
      </c>
    </row>
    <row r="484" spans="1:52" x14ac:dyDescent="0.2">
      <c r="A484">
        <v>1</v>
      </c>
      <c r="B484">
        <v>0</v>
      </c>
      <c r="C484">
        <v>0</v>
      </c>
      <c r="D484">
        <v>0</v>
      </c>
      <c r="E484">
        <v>1</v>
      </c>
      <c r="F484">
        <v>0</v>
      </c>
      <c r="G484">
        <v>0</v>
      </c>
      <c r="H484">
        <v>0</v>
      </c>
      <c r="I484">
        <v>0</v>
      </c>
      <c r="L484">
        <v>1</v>
      </c>
      <c r="M484">
        <v>0</v>
      </c>
      <c r="N484">
        <v>0</v>
      </c>
      <c r="O484">
        <v>0</v>
      </c>
      <c r="P484">
        <v>0</v>
      </c>
      <c r="Q484" t="s">
        <v>584</v>
      </c>
      <c r="R484">
        <v>0</v>
      </c>
      <c r="S484">
        <v>0</v>
      </c>
      <c r="T484">
        <v>1</v>
      </c>
      <c r="U484">
        <v>0</v>
      </c>
      <c r="V484">
        <v>0</v>
      </c>
      <c r="W484">
        <v>0</v>
      </c>
      <c r="X484">
        <v>1</v>
      </c>
      <c r="Y484">
        <v>1</v>
      </c>
      <c r="Z484">
        <v>0</v>
      </c>
      <c r="AL484" t="s">
        <v>107</v>
      </c>
      <c r="AM484" t="s">
        <v>74</v>
      </c>
      <c r="AR484" t="s">
        <v>75</v>
      </c>
      <c r="AS484" t="s">
        <v>92</v>
      </c>
      <c r="AT484" t="s">
        <v>107</v>
      </c>
      <c r="AU484">
        <v>0</v>
      </c>
      <c r="AV484">
        <v>0</v>
      </c>
      <c r="AW484">
        <v>0</v>
      </c>
      <c r="AX484">
        <v>1</v>
      </c>
      <c r="AY484">
        <v>0</v>
      </c>
      <c r="AZ484" t="s">
        <v>580</v>
      </c>
    </row>
    <row r="485" spans="1:52" x14ac:dyDescent="0.2">
      <c r="A485">
        <v>1</v>
      </c>
      <c r="B485">
        <v>0</v>
      </c>
      <c r="C485">
        <v>0</v>
      </c>
      <c r="D485">
        <v>0</v>
      </c>
      <c r="E485">
        <v>0</v>
      </c>
      <c r="F485">
        <v>1</v>
      </c>
      <c r="G485">
        <v>1</v>
      </c>
      <c r="H485">
        <v>1</v>
      </c>
      <c r="I485">
        <v>0</v>
      </c>
      <c r="J485" t="s">
        <v>79</v>
      </c>
      <c r="K485" t="s">
        <v>80</v>
      </c>
      <c r="L485">
        <v>0</v>
      </c>
      <c r="M485">
        <v>0</v>
      </c>
      <c r="N485">
        <v>1</v>
      </c>
      <c r="O485">
        <v>0</v>
      </c>
      <c r="P485">
        <v>0</v>
      </c>
      <c r="Q485" t="s">
        <v>584</v>
      </c>
      <c r="AA485" t="s">
        <v>81</v>
      </c>
      <c r="AB485" t="s">
        <v>82</v>
      </c>
      <c r="AC485" t="s">
        <v>81</v>
      </c>
      <c r="AD485" t="s">
        <v>82</v>
      </c>
      <c r="AE485" t="s">
        <v>82</v>
      </c>
      <c r="AF485" t="s">
        <v>81</v>
      </c>
      <c r="AG485" t="s">
        <v>81</v>
      </c>
      <c r="AH485" t="s">
        <v>83</v>
      </c>
      <c r="AI485" t="s">
        <v>88</v>
      </c>
      <c r="AJ485" t="s">
        <v>89</v>
      </c>
      <c r="AK485" t="s">
        <v>85</v>
      </c>
      <c r="AL485" t="s">
        <v>73</v>
      </c>
      <c r="AM485" t="s">
        <v>86</v>
      </c>
      <c r="AN485" t="s">
        <v>86</v>
      </c>
      <c r="AO485" t="s">
        <v>86</v>
      </c>
      <c r="AP485" t="s">
        <v>74</v>
      </c>
      <c r="AQ485" t="s">
        <v>74</v>
      </c>
      <c r="AR485" t="s">
        <v>97</v>
      </c>
      <c r="AS485" t="s">
        <v>92</v>
      </c>
      <c r="AT485" t="s">
        <v>73</v>
      </c>
      <c r="AU485">
        <v>0</v>
      </c>
      <c r="AV485">
        <v>0</v>
      </c>
      <c r="AW485">
        <v>0</v>
      </c>
      <c r="AX485">
        <v>1</v>
      </c>
      <c r="AY485">
        <v>0</v>
      </c>
      <c r="AZ485" t="s">
        <v>580</v>
      </c>
    </row>
    <row r="486" spans="1:52" x14ac:dyDescent="0.2">
      <c r="A486">
        <v>0</v>
      </c>
      <c r="B486">
        <v>0</v>
      </c>
      <c r="C486">
        <v>0</v>
      </c>
      <c r="D486">
        <v>1</v>
      </c>
      <c r="L486">
        <v>1</v>
      </c>
      <c r="M486">
        <v>0</v>
      </c>
      <c r="N486">
        <v>0</v>
      </c>
      <c r="O486">
        <v>0</v>
      </c>
      <c r="P486">
        <v>0</v>
      </c>
      <c r="Q486" t="s">
        <v>584</v>
      </c>
      <c r="R486">
        <v>0</v>
      </c>
      <c r="S486">
        <v>0</v>
      </c>
      <c r="T486">
        <v>0</v>
      </c>
      <c r="U486">
        <v>0</v>
      </c>
      <c r="V486">
        <v>0</v>
      </c>
      <c r="W486">
        <v>0</v>
      </c>
      <c r="X486">
        <v>1</v>
      </c>
      <c r="Y486">
        <v>1</v>
      </c>
      <c r="Z486">
        <v>0</v>
      </c>
      <c r="AL486" t="s">
        <v>107</v>
      </c>
      <c r="AR486" t="s">
        <v>97</v>
      </c>
      <c r="AS486" t="s">
        <v>92</v>
      </c>
      <c r="AT486" t="s">
        <v>107</v>
      </c>
      <c r="AU486">
        <v>0</v>
      </c>
      <c r="AV486">
        <v>0</v>
      </c>
      <c r="AW486">
        <v>0</v>
      </c>
      <c r="AX486">
        <v>1</v>
      </c>
      <c r="AY486">
        <v>0</v>
      </c>
      <c r="AZ486" t="s">
        <v>581</v>
      </c>
    </row>
    <row r="487" spans="1:52" x14ac:dyDescent="0.2">
      <c r="A487">
        <v>1</v>
      </c>
      <c r="B487">
        <v>0</v>
      </c>
      <c r="C487">
        <v>0</v>
      </c>
      <c r="D487">
        <v>0</v>
      </c>
      <c r="E487">
        <v>0</v>
      </c>
      <c r="F487">
        <v>1</v>
      </c>
      <c r="G487">
        <v>0</v>
      </c>
      <c r="H487">
        <v>0</v>
      </c>
      <c r="I487">
        <v>0</v>
      </c>
      <c r="J487" t="s">
        <v>79</v>
      </c>
      <c r="K487" t="s">
        <v>80</v>
      </c>
      <c r="L487">
        <v>0</v>
      </c>
      <c r="M487">
        <v>0</v>
      </c>
      <c r="N487">
        <v>1</v>
      </c>
      <c r="O487">
        <v>0</v>
      </c>
      <c r="P487">
        <v>0</v>
      </c>
      <c r="Q487" t="s">
        <v>584</v>
      </c>
      <c r="AA487" t="s">
        <v>81</v>
      </c>
      <c r="AB487" t="s">
        <v>82</v>
      </c>
      <c r="AC487" t="s">
        <v>83</v>
      </c>
      <c r="AD487" t="s">
        <v>82</v>
      </c>
      <c r="AE487" t="s">
        <v>81</v>
      </c>
      <c r="AF487" t="s">
        <v>81</v>
      </c>
      <c r="AG487" t="s">
        <v>83</v>
      </c>
      <c r="AH487" t="s">
        <v>83</v>
      </c>
      <c r="AI487" t="s">
        <v>84</v>
      </c>
      <c r="AJ487" t="s">
        <v>80</v>
      </c>
      <c r="AK487" t="s">
        <v>85</v>
      </c>
      <c r="AL487" t="s">
        <v>107</v>
      </c>
      <c r="AM487" t="s">
        <v>74</v>
      </c>
      <c r="AR487" t="s">
        <v>97</v>
      </c>
      <c r="AS487" t="s">
        <v>92</v>
      </c>
      <c r="AT487" t="s">
        <v>107</v>
      </c>
      <c r="AU487">
        <v>0</v>
      </c>
      <c r="AV487">
        <v>0</v>
      </c>
      <c r="AW487">
        <v>0</v>
      </c>
      <c r="AX487">
        <v>1</v>
      </c>
      <c r="AY487">
        <v>0</v>
      </c>
      <c r="AZ487" t="s">
        <v>580</v>
      </c>
    </row>
    <row r="488" spans="1:52" x14ac:dyDescent="0.2">
      <c r="A488">
        <v>1</v>
      </c>
      <c r="B488">
        <v>0</v>
      </c>
      <c r="C488">
        <v>0</v>
      </c>
      <c r="D488">
        <v>0</v>
      </c>
      <c r="E488">
        <v>0</v>
      </c>
      <c r="F488">
        <v>1</v>
      </c>
      <c r="G488">
        <v>0</v>
      </c>
      <c r="H488">
        <v>0</v>
      </c>
      <c r="I488">
        <v>0</v>
      </c>
      <c r="J488" t="s">
        <v>79</v>
      </c>
      <c r="K488" t="s">
        <v>80</v>
      </c>
      <c r="L488">
        <v>0</v>
      </c>
      <c r="M488">
        <v>0</v>
      </c>
      <c r="N488">
        <v>1</v>
      </c>
      <c r="O488">
        <v>0</v>
      </c>
      <c r="P488">
        <v>0</v>
      </c>
      <c r="Q488" t="s">
        <v>585</v>
      </c>
      <c r="AA488" t="s">
        <v>83</v>
      </c>
      <c r="AB488" t="s">
        <v>82</v>
      </c>
      <c r="AC488" t="s">
        <v>83</v>
      </c>
      <c r="AD488" t="s">
        <v>82</v>
      </c>
      <c r="AE488" t="s">
        <v>82</v>
      </c>
      <c r="AF488" t="s">
        <v>81</v>
      </c>
      <c r="AG488" t="s">
        <v>83</v>
      </c>
      <c r="AH488" t="s">
        <v>83</v>
      </c>
      <c r="AI488" t="s">
        <v>84</v>
      </c>
      <c r="AJ488" t="s">
        <v>80</v>
      </c>
      <c r="AK488" t="s">
        <v>85</v>
      </c>
      <c r="AL488" t="s">
        <v>107</v>
      </c>
      <c r="AM488" t="s">
        <v>86</v>
      </c>
      <c r="AN488" t="s">
        <v>87</v>
      </c>
      <c r="AO488" t="s">
        <v>87</v>
      </c>
      <c r="AP488" t="s">
        <v>74</v>
      </c>
      <c r="AQ488" t="s">
        <v>74</v>
      </c>
      <c r="AR488" t="s">
        <v>101</v>
      </c>
      <c r="AS488" t="s">
        <v>92</v>
      </c>
      <c r="AT488" t="s">
        <v>107</v>
      </c>
      <c r="AU488">
        <v>0</v>
      </c>
      <c r="AV488">
        <v>0</v>
      </c>
      <c r="AW488">
        <v>0</v>
      </c>
      <c r="AX488">
        <v>1</v>
      </c>
      <c r="AY488">
        <v>0</v>
      </c>
      <c r="AZ488" t="s">
        <v>580</v>
      </c>
    </row>
    <row r="489" spans="1:52" x14ac:dyDescent="0.2">
      <c r="A489">
        <v>0</v>
      </c>
      <c r="B489">
        <v>1</v>
      </c>
      <c r="C489">
        <v>0</v>
      </c>
      <c r="D489">
        <v>0</v>
      </c>
      <c r="E489">
        <v>0</v>
      </c>
      <c r="F489">
        <v>1</v>
      </c>
      <c r="G489">
        <v>1</v>
      </c>
      <c r="H489">
        <v>1</v>
      </c>
      <c r="I489">
        <v>0</v>
      </c>
      <c r="J489" t="s">
        <v>88</v>
      </c>
      <c r="K489" t="s">
        <v>89</v>
      </c>
      <c r="L489">
        <v>0</v>
      </c>
      <c r="M489">
        <v>0</v>
      </c>
      <c r="N489">
        <v>0</v>
      </c>
      <c r="O489">
        <v>0</v>
      </c>
      <c r="P489">
        <v>0</v>
      </c>
      <c r="Q489" t="s">
        <v>585</v>
      </c>
      <c r="AA489" t="s">
        <v>83</v>
      </c>
      <c r="AB489" t="s">
        <v>82</v>
      </c>
      <c r="AC489" t="s">
        <v>82</v>
      </c>
      <c r="AD489" t="s">
        <v>82</v>
      </c>
      <c r="AE489" t="s">
        <v>81</v>
      </c>
      <c r="AF489" t="s">
        <v>83</v>
      </c>
      <c r="AG489" t="s">
        <v>83</v>
      </c>
      <c r="AH489" t="s">
        <v>83</v>
      </c>
      <c r="AI489" t="s">
        <v>88</v>
      </c>
      <c r="AJ489" t="s">
        <v>89</v>
      </c>
      <c r="AK489" t="s">
        <v>100</v>
      </c>
      <c r="AL489" t="s">
        <v>107</v>
      </c>
      <c r="AM489" t="s">
        <v>87</v>
      </c>
      <c r="AN489" t="s">
        <v>87</v>
      </c>
      <c r="AO489" t="s">
        <v>87</v>
      </c>
      <c r="AP489" t="s">
        <v>87</v>
      </c>
      <c r="AQ489" t="s">
        <v>74</v>
      </c>
      <c r="AR489" t="s">
        <v>97</v>
      </c>
      <c r="AS489" t="s">
        <v>92</v>
      </c>
      <c r="AT489" t="s">
        <v>107</v>
      </c>
      <c r="AU489">
        <v>0</v>
      </c>
      <c r="AV489">
        <v>0</v>
      </c>
      <c r="AW489">
        <v>0</v>
      </c>
      <c r="AX489">
        <v>1</v>
      </c>
      <c r="AY489">
        <v>0</v>
      </c>
      <c r="AZ489" t="s">
        <v>580</v>
      </c>
    </row>
    <row r="490" spans="1:52" x14ac:dyDescent="0.2">
      <c r="A490">
        <v>1</v>
      </c>
      <c r="B490">
        <v>0</v>
      </c>
      <c r="C490">
        <v>0</v>
      </c>
      <c r="D490">
        <v>0</v>
      </c>
      <c r="E490">
        <v>1</v>
      </c>
      <c r="F490">
        <v>0</v>
      </c>
      <c r="G490">
        <v>0</v>
      </c>
      <c r="H490">
        <v>0</v>
      </c>
      <c r="I490">
        <v>0</v>
      </c>
      <c r="L490">
        <v>0</v>
      </c>
      <c r="M490">
        <v>1</v>
      </c>
      <c r="N490">
        <v>0</v>
      </c>
      <c r="O490">
        <v>0</v>
      </c>
      <c r="P490">
        <v>0</v>
      </c>
      <c r="Q490" t="s">
        <v>584</v>
      </c>
      <c r="AA490" t="s">
        <v>90</v>
      </c>
      <c r="AB490" t="s">
        <v>82</v>
      </c>
      <c r="AC490" t="s">
        <v>83</v>
      </c>
      <c r="AD490" t="s">
        <v>81</v>
      </c>
      <c r="AE490" t="s">
        <v>90</v>
      </c>
      <c r="AF490" t="s">
        <v>90</v>
      </c>
      <c r="AG490" t="s">
        <v>90</v>
      </c>
      <c r="AH490" t="s">
        <v>90</v>
      </c>
      <c r="AI490" t="s">
        <v>88</v>
      </c>
      <c r="AJ490" t="s">
        <v>89</v>
      </c>
      <c r="AK490" t="s">
        <v>100</v>
      </c>
      <c r="AL490" t="s">
        <v>73</v>
      </c>
      <c r="AM490" t="s">
        <v>86</v>
      </c>
      <c r="AN490" t="s">
        <v>87</v>
      </c>
      <c r="AO490" t="s">
        <v>87</v>
      </c>
      <c r="AP490" t="s">
        <v>74</v>
      </c>
      <c r="AQ490" t="s">
        <v>74</v>
      </c>
      <c r="AR490" t="s">
        <v>75</v>
      </c>
      <c r="AS490" t="s">
        <v>92</v>
      </c>
      <c r="AT490" t="s">
        <v>73</v>
      </c>
      <c r="AU490">
        <v>0</v>
      </c>
      <c r="AV490">
        <v>0</v>
      </c>
      <c r="AW490">
        <v>0</v>
      </c>
      <c r="AX490">
        <v>1</v>
      </c>
      <c r="AY490">
        <v>0</v>
      </c>
      <c r="AZ490" t="s">
        <v>580</v>
      </c>
    </row>
    <row r="491" spans="1:52" x14ac:dyDescent="0.2">
      <c r="A491">
        <v>1</v>
      </c>
      <c r="B491">
        <v>0</v>
      </c>
      <c r="C491">
        <v>0</v>
      </c>
      <c r="D491">
        <v>0</v>
      </c>
      <c r="E491">
        <v>0</v>
      </c>
      <c r="F491">
        <v>1</v>
      </c>
      <c r="G491">
        <v>0</v>
      </c>
      <c r="H491">
        <v>0</v>
      </c>
      <c r="I491">
        <v>0</v>
      </c>
      <c r="J491" t="s">
        <v>79</v>
      </c>
      <c r="K491" t="s">
        <v>80</v>
      </c>
      <c r="L491">
        <v>0</v>
      </c>
      <c r="M491">
        <v>0</v>
      </c>
      <c r="N491">
        <v>1</v>
      </c>
      <c r="O491">
        <v>0</v>
      </c>
      <c r="P491">
        <v>0</v>
      </c>
      <c r="Q491" t="s">
        <v>584</v>
      </c>
      <c r="AA491" t="s">
        <v>81</v>
      </c>
      <c r="AB491" t="s">
        <v>81</v>
      </c>
      <c r="AC491" t="s">
        <v>83</v>
      </c>
      <c r="AD491" t="s">
        <v>83</v>
      </c>
      <c r="AE491" t="s">
        <v>83</v>
      </c>
      <c r="AF491" t="s">
        <v>83</v>
      </c>
      <c r="AG491" t="s">
        <v>83</v>
      </c>
      <c r="AH491" t="s">
        <v>83</v>
      </c>
      <c r="AI491" t="s">
        <v>84</v>
      </c>
      <c r="AJ491" t="s">
        <v>80</v>
      </c>
      <c r="AK491" t="s">
        <v>117</v>
      </c>
      <c r="AL491" t="s">
        <v>107</v>
      </c>
      <c r="AM491" t="s">
        <v>87</v>
      </c>
      <c r="AN491" t="s">
        <v>86</v>
      </c>
      <c r="AO491" t="s">
        <v>86</v>
      </c>
      <c r="AP491" t="s">
        <v>86</v>
      </c>
      <c r="AQ491" t="s">
        <v>86</v>
      </c>
      <c r="AR491" t="s">
        <v>97</v>
      </c>
      <c r="AS491" t="s">
        <v>92</v>
      </c>
      <c r="AT491" t="s">
        <v>107</v>
      </c>
      <c r="AU491">
        <v>0</v>
      </c>
      <c r="AV491">
        <v>0</v>
      </c>
      <c r="AW491">
        <v>1</v>
      </c>
      <c r="AX491">
        <v>0</v>
      </c>
      <c r="AY491">
        <v>0</v>
      </c>
      <c r="AZ491" t="s">
        <v>580</v>
      </c>
    </row>
    <row r="492" spans="1:52" x14ac:dyDescent="0.2">
      <c r="A492">
        <v>1</v>
      </c>
      <c r="B492">
        <v>0</v>
      </c>
      <c r="C492">
        <v>0</v>
      </c>
      <c r="D492">
        <v>0</v>
      </c>
      <c r="E492">
        <v>1</v>
      </c>
      <c r="F492">
        <v>0</v>
      </c>
      <c r="G492">
        <v>0</v>
      </c>
      <c r="H492">
        <v>0</v>
      </c>
      <c r="I492">
        <v>0</v>
      </c>
      <c r="L492">
        <v>1</v>
      </c>
      <c r="M492">
        <v>0</v>
      </c>
      <c r="N492">
        <v>0</v>
      </c>
      <c r="O492">
        <v>0</v>
      </c>
      <c r="P492">
        <v>0</v>
      </c>
      <c r="Q492" t="s">
        <v>584</v>
      </c>
      <c r="R492">
        <v>0</v>
      </c>
      <c r="S492">
        <v>1</v>
      </c>
      <c r="T492">
        <v>0</v>
      </c>
      <c r="U492">
        <v>0</v>
      </c>
      <c r="V492">
        <v>0</v>
      </c>
      <c r="W492">
        <v>0</v>
      </c>
      <c r="X492">
        <v>0</v>
      </c>
      <c r="Y492">
        <v>0</v>
      </c>
      <c r="Z492">
        <v>0</v>
      </c>
      <c r="AL492" t="s">
        <v>73</v>
      </c>
      <c r="AM492" t="s">
        <v>86</v>
      </c>
      <c r="AN492" t="s">
        <v>86</v>
      </c>
      <c r="AO492" t="s">
        <v>86</v>
      </c>
      <c r="AP492" t="s">
        <v>86</v>
      </c>
      <c r="AQ492" t="s">
        <v>86</v>
      </c>
      <c r="AR492" t="s">
        <v>97</v>
      </c>
      <c r="AS492" t="s">
        <v>92</v>
      </c>
      <c r="AT492" t="s">
        <v>73</v>
      </c>
      <c r="AU492">
        <v>0</v>
      </c>
      <c r="AV492">
        <v>0</v>
      </c>
      <c r="AW492">
        <v>0</v>
      </c>
      <c r="AX492">
        <v>1</v>
      </c>
      <c r="AY492">
        <v>0</v>
      </c>
      <c r="AZ492" t="s">
        <v>581</v>
      </c>
    </row>
    <row r="493" spans="1:52" x14ac:dyDescent="0.2">
      <c r="A493">
        <v>1</v>
      </c>
      <c r="B493">
        <v>0</v>
      </c>
      <c r="C493">
        <v>0</v>
      </c>
      <c r="D493">
        <v>0</v>
      </c>
      <c r="E493">
        <v>0</v>
      </c>
      <c r="F493">
        <v>0</v>
      </c>
      <c r="G493">
        <v>0</v>
      </c>
      <c r="H493">
        <v>0</v>
      </c>
      <c r="I493">
        <v>1</v>
      </c>
      <c r="J493" t="s">
        <v>88</v>
      </c>
      <c r="K493" t="s">
        <v>89</v>
      </c>
      <c r="L493">
        <v>1</v>
      </c>
      <c r="M493">
        <v>0</v>
      </c>
      <c r="N493">
        <v>0</v>
      </c>
      <c r="O493">
        <v>0</v>
      </c>
      <c r="P493">
        <v>0</v>
      </c>
      <c r="Q493" t="s">
        <v>584</v>
      </c>
      <c r="R493">
        <v>0</v>
      </c>
      <c r="S493">
        <v>0</v>
      </c>
      <c r="T493">
        <v>0</v>
      </c>
      <c r="U493">
        <v>0</v>
      </c>
      <c r="V493">
        <v>0</v>
      </c>
      <c r="W493">
        <v>0</v>
      </c>
      <c r="X493">
        <v>1</v>
      </c>
      <c r="Y493">
        <v>0</v>
      </c>
      <c r="Z493">
        <v>0</v>
      </c>
      <c r="AL493" t="s">
        <v>107</v>
      </c>
      <c r="AM493" t="s">
        <v>74</v>
      </c>
      <c r="AR493" t="s">
        <v>75</v>
      </c>
      <c r="AS493" t="s">
        <v>92</v>
      </c>
      <c r="AT493" t="s">
        <v>107</v>
      </c>
      <c r="AU493">
        <v>0</v>
      </c>
      <c r="AV493">
        <v>0</v>
      </c>
      <c r="AW493">
        <v>0</v>
      </c>
      <c r="AX493">
        <v>1</v>
      </c>
      <c r="AY493">
        <v>0</v>
      </c>
      <c r="AZ493" t="s">
        <v>580</v>
      </c>
    </row>
    <row r="494" spans="1:52" x14ac:dyDescent="0.2">
      <c r="A494">
        <v>1</v>
      </c>
      <c r="B494">
        <v>0</v>
      </c>
      <c r="C494">
        <v>0</v>
      </c>
      <c r="D494">
        <v>0</v>
      </c>
      <c r="E494">
        <v>0</v>
      </c>
      <c r="F494">
        <v>0</v>
      </c>
      <c r="G494">
        <v>1</v>
      </c>
      <c r="H494">
        <v>0</v>
      </c>
      <c r="I494">
        <v>0</v>
      </c>
      <c r="J494" t="s">
        <v>135</v>
      </c>
      <c r="K494" t="s">
        <v>80</v>
      </c>
      <c r="L494">
        <v>0</v>
      </c>
      <c r="M494">
        <v>0</v>
      </c>
      <c r="N494">
        <v>1</v>
      </c>
      <c r="O494">
        <v>0</v>
      </c>
      <c r="P494">
        <v>0</v>
      </c>
      <c r="Q494" t="s">
        <v>584</v>
      </c>
      <c r="AA494" t="s">
        <v>81</v>
      </c>
      <c r="AB494" t="s">
        <v>81</v>
      </c>
      <c r="AC494" t="s">
        <v>83</v>
      </c>
      <c r="AD494" t="s">
        <v>82</v>
      </c>
      <c r="AE494" t="s">
        <v>81</v>
      </c>
      <c r="AF494" t="s">
        <v>81</v>
      </c>
      <c r="AG494" t="s">
        <v>81</v>
      </c>
      <c r="AH494" t="s">
        <v>83</v>
      </c>
      <c r="AI494" t="s">
        <v>84</v>
      </c>
      <c r="AJ494" t="s">
        <v>80</v>
      </c>
      <c r="AK494" t="s">
        <v>117</v>
      </c>
      <c r="AL494" t="s">
        <v>107</v>
      </c>
      <c r="AM494" t="s">
        <v>87</v>
      </c>
      <c r="AN494" t="s">
        <v>87</v>
      </c>
      <c r="AO494" t="s">
        <v>87</v>
      </c>
      <c r="AP494" t="s">
        <v>87</v>
      </c>
      <c r="AQ494" t="s">
        <v>87</v>
      </c>
      <c r="AR494" t="s">
        <v>75</v>
      </c>
      <c r="AS494" t="s">
        <v>92</v>
      </c>
      <c r="AT494" t="s">
        <v>107</v>
      </c>
      <c r="AU494">
        <v>0</v>
      </c>
      <c r="AV494">
        <v>0</v>
      </c>
      <c r="AW494">
        <v>0</v>
      </c>
      <c r="AX494">
        <v>1</v>
      </c>
      <c r="AY494">
        <v>0</v>
      </c>
      <c r="AZ494" t="s">
        <v>580</v>
      </c>
    </row>
    <row r="495" spans="1:52" x14ac:dyDescent="0.2">
      <c r="A495">
        <v>0</v>
      </c>
      <c r="B495">
        <v>1</v>
      </c>
      <c r="C495">
        <v>0</v>
      </c>
      <c r="D495">
        <v>0</v>
      </c>
      <c r="E495">
        <v>1</v>
      </c>
      <c r="F495">
        <v>0</v>
      </c>
      <c r="G495">
        <v>0</v>
      </c>
      <c r="H495">
        <v>0</v>
      </c>
      <c r="I495">
        <v>0</v>
      </c>
      <c r="L495">
        <v>1</v>
      </c>
      <c r="M495">
        <v>0</v>
      </c>
      <c r="N495">
        <v>0</v>
      </c>
      <c r="O495">
        <v>0</v>
      </c>
      <c r="P495">
        <v>0</v>
      </c>
      <c r="Q495" t="s">
        <v>584</v>
      </c>
      <c r="R495">
        <v>0</v>
      </c>
      <c r="S495">
        <v>0</v>
      </c>
      <c r="T495">
        <v>1</v>
      </c>
      <c r="U495">
        <v>0</v>
      </c>
      <c r="V495">
        <v>0</v>
      </c>
      <c r="W495">
        <v>0</v>
      </c>
      <c r="X495">
        <v>0</v>
      </c>
      <c r="Y495">
        <v>0</v>
      </c>
      <c r="Z495">
        <v>0</v>
      </c>
      <c r="AL495" t="s">
        <v>120</v>
      </c>
      <c r="AM495" t="s">
        <v>86</v>
      </c>
      <c r="AN495" t="s">
        <v>74</v>
      </c>
      <c r="AO495" t="s">
        <v>74</v>
      </c>
      <c r="AP495" t="s">
        <v>86</v>
      </c>
      <c r="AQ495" t="s">
        <v>87</v>
      </c>
      <c r="AR495" t="s">
        <v>101</v>
      </c>
      <c r="AS495" t="s">
        <v>92</v>
      </c>
      <c r="AT495" t="s">
        <v>120</v>
      </c>
      <c r="AU495">
        <v>0</v>
      </c>
      <c r="AV495">
        <v>0</v>
      </c>
      <c r="AW495">
        <v>0</v>
      </c>
      <c r="AX495">
        <v>1</v>
      </c>
      <c r="AY495">
        <v>0</v>
      </c>
      <c r="AZ495" t="s">
        <v>580</v>
      </c>
    </row>
    <row r="496" spans="1:52" x14ac:dyDescent="0.2">
      <c r="A496">
        <v>1</v>
      </c>
      <c r="B496">
        <v>0</v>
      </c>
      <c r="C496">
        <v>0</v>
      </c>
      <c r="D496">
        <v>0</v>
      </c>
      <c r="E496">
        <v>1</v>
      </c>
      <c r="F496">
        <v>0</v>
      </c>
      <c r="G496">
        <v>0</v>
      </c>
      <c r="H496">
        <v>0</v>
      </c>
      <c r="I496">
        <v>0</v>
      </c>
      <c r="L496">
        <v>1</v>
      </c>
      <c r="M496">
        <v>0</v>
      </c>
      <c r="N496">
        <v>0</v>
      </c>
      <c r="O496">
        <v>0</v>
      </c>
      <c r="P496">
        <v>0</v>
      </c>
      <c r="Q496" t="s">
        <v>584</v>
      </c>
      <c r="R496">
        <v>0</v>
      </c>
      <c r="S496">
        <v>0</v>
      </c>
      <c r="T496">
        <v>1</v>
      </c>
      <c r="U496">
        <v>0</v>
      </c>
      <c r="V496">
        <v>0</v>
      </c>
      <c r="W496">
        <v>1</v>
      </c>
      <c r="X496">
        <v>0</v>
      </c>
      <c r="Y496">
        <v>0</v>
      </c>
      <c r="Z496">
        <v>0</v>
      </c>
      <c r="AL496" t="s">
        <v>73</v>
      </c>
      <c r="AM496" t="s">
        <v>87</v>
      </c>
      <c r="AN496" t="s">
        <v>87</v>
      </c>
      <c r="AO496" t="s">
        <v>87</v>
      </c>
      <c r="AP496" t="s">
        <v>87</v>
      </c>
      <c r="AQ496" t="s">
        <v>87</v>
      </c>
      <c r="AR496" t="s">
        <v>108</v>
      </c>
      <c r="AS496" t="s">
        <v>92</v>
      </c>
      <c r="AT496" t="s">
        <v>73</v>
      </c>
      <c r="AU496">
        <v>0</v>
      </c>
      <c r="AV496">
        <v>0</v>
      </c>
      <c r="AW496">
        <v>0</v>
      </c>
      <c r="AX496">
        <v>1</v>
      </c>
      <c r="AY496">
        <v>0</v>
      </c>
      <c r="AZ496" t="s">
        <v>580</v>
      </c>
    </row>
    <row r="497" spans="1:52" x14ac:dyDescent="0.2">
      <c r="A497">
        <v>0</v>
      </c>
      <c r="B497">
        <v>1</v>
      </c>
      <c r="C497">
        <v>0</v>
      </c>
      <c r="D497">
        <v>0</v>
      </c>
      <c r="E497">
        <v>1</v>
      </c>
      <c r="F497">
        <v>0</v>
      </c>
      <c r="G497">
        <v>0</v>
      </c>
      <c r="H497">
        <v>0</v>
      </c>
      <c r="I497">
        <v>0</v>
      </c>
      <c r="L497">
        <v>1</v>
      </c>
      <c r="M497">
        <v>0</v>
      </c>
      <c r="N497">
        <v>0</v>
      </c>
      <c r="O497">
        <v>0</v>
      </c>
      <c r="P497">
        <v>0</v>
      </c>
      <c r="Q497" t="s">
        <v>584</v>
      </c>
      <c r="R497">
        <v>0</v>
      </c>
      <c r="S497">
        <v>1</v>
      </c>
      <c r="T497">
        <v>0</v>
      </c>
      <c r="U497">
        <v>0</v>
      </c>
      <c r="V497">
        <v>0</v>
      </c>
      <c r="W497">
        <v>0</v>
      </c>
      <c r="X497">
        <v>0</v>
      </c>
      <c r="Y497">
        <v>0</v>
      </c>
      <c r="Z497">
        <v>0</v>
      </c>
      <c r="AL497" t="s">
        <v>73</v>
      </c>
      <c r="AM497" t="s">
        <v>74</v>
      </c>
      <c r="AR497" t="s">
        <v>97</v>
      </c>
      <c r="AS497" t="s">
        <v>92</v>
      </c>
      <c r="AT497" t="s">
        <v>73</v>
      </c>
      <c r="AU497">
        <v>0</v>
      </c>
      <c r="AV497">
        <v>0</v>
      </c>
      <c r="AW497">
        <v>0</v>
      </c>
      <c r="AX497">
        <v>1</v>
      </c>
      <c r="AY497">
        <v>0</v>
      </c>
      <c r="AZ497" t="s">
        <v>580</v>
      </c>
    </row>
    <row r="498" spans="1:52" x14ac:dyDescent="0.2">
      <c r="A498">
        <v>0</v>
      </c>
      <c r="B498">
        <v>1</v>
      </c>
      <c r="C498">
        <v>0</v>
      </c>
      <c r="D498">
        <v>0</v>
      </c>
      <c r="E498">
        <v>1</v>
      </c>
      <c r="F498">
        <v>0</v>
      </c>
      <c r="G498">
        <v>0</v>
      </c>
      <c r="H498">
        <v>0</v>
      </c>
      <c r="I498">
        <v>0</v>
      </c>
      <c r="L498">
        <v>1</v>
      </c>
      <c r="M498">
        <v>0</v>
      </c>
      <c r="N498">
        <v>0</v>
      </c>
      <c r="O498">
        <v>0</v>
      </c>
      <c r="P498">
        <v>0</v>
      </c>
      <c r="Q498" t="s">
        <v>584</v>
      </c>
      <c r="R498">
        <v>0</v>
      </c>
      <c r="S498">
        <v>1</v>
      </c>
      <c r="T498">
        <v>0</v>
      </c>
      <c r="U498">
        <v>0</v>
      </c>
      <c r="V498">
        <v>0</v>
      </c>
      <c r="W498">
        <v>0</v>
      </c>
      <c r="X498">
        <v>0</v>
      </c>
      <c r="Y498">
        <v>0</v>
      </c>
      <c r="Z498">
        <v>0</v>
      </c>
      <c r="AL498" t="s">
        <v>120</v>
      </c>
      <c r="AM498" t="s">
        <v>87</v>
      </c>
      <c r="AN498" t="s">
        <v>87</v>
      </c>
      <c r="AO498" t="s">
        <v>87</v>
      </c>
      <c r="AP498" t="s">
        <v>87</v>
      </c>
      <c r="AQ498" t="s">
        <v>87</v>
      </c>
      <c r="AR498" t="s">
        <v>97</v>
      </c>
      <c r="AS498" t="s">
        <v>92</v>
      </c>
      <c r="AT498" t="s">
        <v>120</v>
      </c>
      <c r="AU498">
        <v>0</v>
      </c>
      <c r="AV498">
        <v>0</v>
      </c>
      <c r="AW498">
        <v>0</v>
      </c>
      <c r="AX498">
        <v>1</v>
      </c>
      <c r="AY498">
        <v>0</v>
      </c>
      <c r="AZ498" t="s">
        <v>580</v>
      </c>
    </row>
    <row r="499" spans="1:52" x14ac:dyDescent="0.2">
      <c r="A499">
        <v>1</v>
      </c>
      <c r="B499">
        <v>0</v>
      </c>
      <c r="C499">
        <v>0</v>
      </c>
      <c r="D499">
        <v>0</v>
      </c>
      <c r="E499">
        <v>0</v>
      </c>
      <c r="F499">
        <v>1</v>
      </c>
      <c r="G499">
        <v>1</v>
      </c>
      <c r="H499">
        <v>1</v>
      </c>
      <c r="I499">
        <v>1</v>
      </c>
      <c r="J499" t="s">
        <v>88</v>
      </c>
      <c r="K499" t="s">
        <v>89</v>
      </c>
      <c r="L499">
        <v>0</v>
      </c>
      <c r="M499">
        <v>0</v>
      </c>
      <c r="N499">
        <v>1</v>
      </c>
      <c r="O499">
        <v>0</v>
      </c>
      <c r="P499">
        <v>0</v>
      </c>
      <c r="Q499" t="s">
        <v>584</v>
      </c>
      <c r="AA499" t="s">
        <v>81</v>
      </c>
      <c r="AB499" t="s">
        <v>82</v>
      </c>
      <c r="AC499" t="s">
        <v>82</v>
      </c>
      <c r="AD499" t="s">
        <v>82</v>
      </c>
      <c r="AE499" t="s">
        <v>83</v>
      </c>
      <c r="AF499" t="s">
        <v>81</v>
      </c>
      <c r="AG499" t="s">
        <v>81</v>
      </c>
      <c r="AH499" t="s">
        <v>83</v>
      </c>
      <c r="AI499" t="s">
        <v>88</v>
      </c>
      <c r="AJ499" t="s">
        <v>89</v>
      </c>
      <c r="AK499" t="s">
        <v>100</v>
      </c>
      <c r="AL499" t="s">
        <v>96</v>
      </c>
      <c r="AM499" t="s">
        <v>87</v>
      </c>
      <c r="AN499" t="s">
        <v>87</v>
      </c>
      <c r="AO499" t="s">
        <v>87</v>
      </c>
      <c r="AP499" t="s">
        <v>87</v>
      </c>
      <c r="AQ499" t="s">
        <v>87</v>
      </c>
      <c r="AR499" t="s">
        <v>97</v>
      </c>
      <c r="AS499" t="s">
        <v>92</v>
      </c>
      <c r="AT499" t="s">
        <v>96</v>
      </c>
      <c r="AU499">
        <v>0</v>
      </c>
      <c r="AV499">
        <v>0</v>
      </c>
      <c r="AW499">
        <v>0</v>
      </c>
      <c r="AX499">
        <v>1</v>
      </c>
      <c r="AY499">
        <v>0</v>
      </c>
      <c r="AZ499" t="s">
        <v>580</v>
      </c>
    </row>
    <row r="500" spans="1:52" x14ac:dyDescent="0.2">
      <c r="A500">
        <v>1</v>
      </c>
      <c r="B500">
        <v>0</v>
      </c>
      <c r="C500">
        <v>0</v>
      </c>
      <c r="D500">
        <v>0</v>
      </c>
      <c r="E500">
        <v>1</v>
      </c>
      <c r="F500">
        <v>0</v>
      </c>
      <c r="G500">
        <v>0</v>
      </c>
      <c r="H500">
        <v>0</v>
      </c>
      <c r="I500">
        <v>0</v>
      </c>
      <c r="L500">
        <v>0</v>
      </c>
      <c r="M500">
        <v>1</v>
      </c>
      <c r="N500">
        <v>0</v>
      </c>
      <c r="O500">
        <v>1</v>
      </c>
      <c r="P500">
        <v>1</v>
      </c>
      <c r="Q500" t="s">
        <v>584</v>
      </c>
      <c r="AA500" t="s">
        <v>83</v>
      </c>
      <c r="AB500" t="s">
        <v>83</v>
      </c>
      <c r="AC500" t="s">
        <v>83</v>
      </c>
      <c r="AD500" t="s">
        <v>83</v>
      </c>
      <c r="AE500" t="s">
        <v>82</v>
      </c>
      <c r="AF500" t="s">
        <v>83</v>
      </c>
      <c r="AG500" t="s">
        <v>83</v>
      </c>
      <c r="AH500" t="s">
        <v>83</v>
      </c>
      <c r="AI500" t="s">
        <v>135</v>
      </c>
      <c r="AJ500" t="s">
        <v>80</v>
      </c>
      <c r="AK500" t="s">
        <v>85</v>
      </c>
      <c r="AL500" t="s">
        <v>73</v>
      </c>
      <c r="AM500" t="s">
        <v>74</v>
      </c>
      <c r="AR500" t="s">
        <v>97</v>
      </c>
      <c r="AS500" t="s">
        <v>92</v>
      </c>
      <c r="AT500" t="s">
        <v>73</v>
      </c>
      <c r="AU500">
        <v>0</v>
      </c>
      <c r="AV500">
        <v>0</v>
      </c>
      <c r="AW500">
        <v>0</v>
      </c>
      <c r="AX500">
        <v>1</v>
      </c>
      <c r="AY500">
        <v>0</v>
      </c>
      <c r="AZ500" t="s">
        <v>581</v>
      </c>
    </row>
    <row r="501" spans="1:52" x14ac:dyDescent="0.2">
      <c r="A501">
        <v>1</v>
      </c>
      <c r="B501">
        <v>0</v>
      </c>
      <c r="C501">
        <v>0</v>
      </c>
      <c r="D501">
        <v>0</v>
      </c>
      <c r="E501">
        <v>1</v>
      </c>
      <c r="F501">
        <v>0</v>
      </c>
      <c r="G501">
        <v>0</v>
      </c>
      <c r="H501">
        <v>0</v>
      </c>
      <c r="I501">
        <v>0</v>
      </c>
      <c r="L501">
        <v>1</v>
      </c>
      <c r="M501">
        <v>0</v>
      </c>
      <c r="N501">
        <v>0</v>
      </c>
      <c r="O501">
        <v>0</v>
      </c>
      <c r="P501">
        <v>0</v>
      </c>
      <c r="Q501" t="s">
        <v>584</v>
      </c>
      <c r="R501">
        <v>0</v>
      </c>
      <c r="S501">
        <v>0</v>
      </c>
      <c r="T501">
        <v>0</v>
      </c>
      <c r="U501">
        <v>0</v>
      </c>
      <c r="V501">
        <v>0</v>
      </c>
      <c r="W501">
        <v>0</v>
      </c>
      <c r="X501">
        <v>1</v>
      </c>
      <c r="Y501">
        <v>1</v>
      </c>
      <c r="Z501">
        <v>1</v>
      </c>
      <c r="AL501" t="s">
        <v>96</v>
      </c>
      <c r="AM501" t="s">
        <v>86</v>
      </c>
      <c r="AN501" t="s">
        <v>86</v>
      </c>
      <c r="AO501" t="s">
        <v>74</v>
      </c>
      <c r="AP501" t="s">
        <v>86</v>
      </c>
      <c r="AQ501" t="s">
        <v>74</v>
      </c>
      <c r="AR501" t="s">
        <v>108</v>
      </c>
      <c r="AS501" t="s">
        <v>76</v>
      </c>
      <c r="AT501" t="s">
        <v>96</v>
      </c>
      <c r="AU501">
        <v>0</v>
      </c>
      <c r="AV501">
        <v>0</v>
      </c>
      <c r="AW501">
        <v>0</v>
      </c>
      <c r="AX501">
        <v>1</v>
      </c>
      <c r="AY501">
        <v>0</v>
      </c>
      <c r="AZ501" t="s">
        <v>579</v>
      </c>
    </row>
    <row r="502" spans="1:52" x14ac:dyDescent="0.2">
      <c r="A502">
        <v>1</v>
      </c>
      <c r="B502">
        <v>0</v>
      </c>
      <c r="C502">
        <v>0</v>
      </c>
      <c r="D502">
        <v>0</v>
      </c>
      <c r="E502">
        <v>1</v>
      </c>
      <c r="F502">
        <v>0</v>
      </c>
      <c r="G502">
        <v>0</v>
      </c>
      <c r="H502">
        <v>0</v>
      </c>
      <c r="I502">
        <v>0</v>
      </c>
      <c r="L502">
        <v>0</v>
      </c>
      <c r="M502">
        <v>0</v>
      </c>
      <c r="N502">
        <v>1</v>
      </c>
      <c r="O502">
        <v>0</v>
      </c>
      <c r="P502">
        <v>0</v>
      </c>
      <c r="Q502" t="s">
        <v>584</v>
      </c>
      <c r="AA502" t="s">
        <v>82</v>
      </c>
      <c r="AB502" t="s">
        <v>81</v>
      </c>
      <c r="AC502" t="s">
        <v>83</v>
      </c>
      <c r="AD502" t="s">
        <v>83</v>
      </c>
      <c r="AE502" t="s">
        <v>82</v>
      </c>
      <c r="AF502" t="s">
        <v>83</v>
      </c>
      <c r="AG502" t="s">
        <v>82</v>
      </c>
      <c r="AH502" t="s">
        <v>83</v>
      </c>
      <c r="AI502" t="s">
        <v>127</v>
      </c>
      <c r="AJ502" t="s">
        <v>127</v>
      </c>
      <c r="AL502" t="s">
        <v>73</v>
      </c>
      <c r="AM502" t="s">
        <v>87</v>
      </c>
      <c r="AN502" t="s">
        <v>74</v>
      </c>
      <c r="AO502" t="s">
        <v>87</v>
      </c>
      <c r="AP502" t="s">
        <v>74</v>
      </c>
      <c r="AQ502" t="s">
        <v>74</v>
      </c>
      <c r="AR502" t="s">
        <v>97</v>
      </c>
      <c r="AS502" t="s">
        <v>92</v>
      </c>
      <c r="AT502" t="s">
        <v>73</v>
      </c>
      <c r="AU502">
        <v>0</v>
      </c>
      <c r="AV502">
        <v>0</v>
      </c>
      <c r="AW502">
        <v>0</v>
      </c>
      <c r="AX502">
        <v>1</v>
      </c>
      <c r="AY502">
        <v>0</v>
      </c>
      <c r="AZ502" t="s">
        <v>580</v>
      </c>
    </row>
    <row r="503" spans="1:52" x14ac:dyDescent="0.2">
      <c r="A503">
        <v>1</v>
      </c>
      <c r="B503">
        <v>0</v>
      </c>
      <c r="C503">
        <v>0</v>
      </c>
      <c r="D503">
        <v>0</v>
      </c>
      <c r="E503">
        <v>0</v>
      </c>
      <c r="F503">
        <v>0</v>
      </c>
      <c r="G503">
        <v>0</v>
      </c>
      <c r="H503">
        <v>0</v>
      </c>
      <c r="I503">
        <v>1</v>
      </c>
      <c r="J503" t="s">
        <v>79</v>
      </c>
      <c r="K503" t="s">
        <v>80</v>
      </c>
      <c r="L503">
        <v>1</v>
      </c>
      <c r="M503">
        <v>0</v>
      </c>
      <c r="N503">
        <v>0</v>
      </c>
      <c r="O503">
        <v>0</v>
      </c>
      <c r="P503">
        <v>0</v>
      </c>
      <c r="Q503" t="s">
        <v>584</v>
      </c>
      <c r="R503">
        <v>0</v>
      </c>
      <c r="S503">
        <v>0</v>
      </c>
      <c r="T503">
        <v>1</v>
      </c>
      <c r="U503">
        <v>0</v>
      </c>
      <c r="V503">
        <v>0</v>
      </c>
      <c r="W503">
        <v>0</v>
      </c>
      <c r="X503">
        <v>0</v>
      </c>
      <c r="Y503">
        <v>0</v>
      </c>
      <c r="Z503">
        <v>0</v>
      </c>
      <c r="AL503" t="s">
        <v>107</v>
      </c>
      <c r="AM503" t="s">
        <v>74</v>
      </c>
      <c r="AR503" t="s">
        <v>108</v>
      </c>
      <c r="AS503" t="s">
        <v>92</v>
      </c>
      <c r="AT503" t="s">
        <v>107</v>
      </c>
      <c r="AU503">
        <v>0</v>
      </c>
      <c r="AV503">
        <v>0</v>
      </c>
      <c r="AW503">
        <v>0</v>
      </c>
      <c r="AX503">
        <v>1</v>
      </c>
      <c r="AY503">
        <v>0</v>
      </c>
      <c r="AZ503" t="s">
        <v>580</v>
      </c>
    </row>
    <row r="504" spans="1:52" x14ac:dyDescent="0.2">
      <c r="A504">
        <v>1</v>
      </c>
      <c r="B504">
        <v>0</v>
      </c>
      <c r="C504">
        <v>0</v>
      </c>
      <c r="D504">
        <v>0</v>
      </c>
      <c r="E504">
        <v>1</v>
      </c>
      <c r="F504">
        <v>0</v>
      </c>
      <c r="G504">
        <v>0</v>
      </c>
      <c r="H504">
        <v>0</v>
      </c>
      <c r="I504">
        <v>0</v>
      </c>
      <c r="L504">
        <v>0</v>
      </c>
      <c r="M504">
        <v>0</v>
      </c>
      <c r="N504">
        <v>1</v>
      </c>
      <c r="O504">
        <v>0</v>
      </c>
      <c r="P504">
        <v>0</v>
      </c>
      <c r="Q504" t="s">
        <v>584</v>
      </c>
      <c r="AA504" t="s">
        <v>81</v>
      </c>
      <c r="AB504" t="s">
        <v>81</v>
      </c>
      <c r="AC504" t="s">
        <v>90</v>
      </c>
      <c r="AD504" t="s">
        <v>81</v>
      </c>
      <c r="AE504" t="s">
        <v>82</v>
      </c>
      <c r="AF504" t="s">
        <v>83</v>
      </c>
      <c r="AG504" t="s">
        <v>83</v>
      </c>
      <c r="AH504" t="s">
        <v>81</v>
      </c>
      <c r="AI504" t="s">
        <v>88</v>
      </c>
      <c r="AJ504" t="s">
        <v>89</v>
      </c>
      <c r="AK504" t="s">
        <v>117</v>
      </c>
      <c r="AL504" t="s">
        <v>107</v>
      </c>
      <c r="AM504" t="s">
        <v>87</v>
      </c>
      <c r="AN504" t="s">
        <v>74</v>
      </c>
      <c r="AO504" t="s">
        <v>87</v>
      </c>
      <c r="AP504" t="s">
        <v>74</v>
      </c>
      <c r="AQ504" t="s">
        <v>87</v>
      </c>
      <c r="AR504" t="s">
        <v>75</v>
      </c>
      <c r="AS504" t="s">
        <v>92</v>
      </c>
      <c r="AT504" t="s">
        <v>107</v>
      </c>
      <c r="AU504">
        <v>0</v>
      </c>
      <c r="AV504">
        <v>0</v>
      </c>
      <c r="AW504">
        <v>0</v>
      </c>
      <c r="AX504">
        <v>1</v>
      </c>
      <c r="AY504">
        <v>0</v>
      </c>
      <c r="AZ504" t="s">
        <v>578</v>
      </c>
    </row>
    <row r="505" spans="1:52" x14ac:dyDescent="0.2">
      <c r="A505">
        <v>0</v>
      </c>
      <c r="B505">
        <v>1</v>
      </c>
      <c r="C505">
        <v>0</v>
      </c>
      <c r="D505">
        <v>0</v>
      </c>
      <c r="E505">
        <v>1</v>
      </c>
      <c r="F505">
        <v>0</v>
      </c>
      <c r="G505">
        <v>0</v>
      </c>
      <c r="H505">
        <v>0</v>
      </c>
      <c r="I505">
        <v>0</v>
      </c>
      <c r="L505">
        <v>0</v>
      </c>
      <c r="M505">
        <v>1</v>
      </c>
      <c r="N505">
        <v>0</v>
      </c>
      <c r="O505">
        <v>0</v>
      </c>
      <c r="P505">
        <v>0</v>
      </c>
      <c r="Q505" t="s">
        <v>584</v>
      </c>
      <c r="AA505" t="s">
        <v>83</v>
      </c>
      <c r="AB505" t="s">
        <v>82</v>
      </c>
      <c r="AC505" t="s">
        <v>81</v>
      </c>
      <c r="AD505" t="s">
        <v>83</v>
      </c>
      <c r="AE505" t="s">
        <v>83</v>
      </c>
      <c r="AF505" t="s">
        <v>83</v>
      </c>
      <c r="AG505" t="s">
        <v>83</v>
      </c>
      <c r="AH505" t="s">
        <v>83</v>
      </c>
      <c r="AI505" t="s">
        <v>88</v>
      </c>
      <c r="AJ505" t="s">
        <v>89</v>
      </c>
      <c r="AK505" t="s">
        <v>100</v>
      </c>
      <c r="AL505" t="s">
        <v>73</v>
      </c>
      <c r="AM505" t="s">
        <v>87</v>
      </c>
      <c r="AN505" t="s">
        <v>86</v>
      </c>
      <c r="AO505" t="s">
        <v>87</v>
      </c>
      <c r="AP505" t="s">
        <v>87</v>
      </c>
      <c r="AQ505" t="s">
        <v>74</v>
      </c>
      <c r="AR505" t="s">
        <v>97</v>
      </c>
      <c r="AS505" t="s">
        <v>92</v>
      </c>
      <c r="AT505" t="s">
        <v>73</v>
      </c>
      <c r="AU505">
        <v>0</v>
      </c>
      <c r="AV505">
        <v>0</v>
      </c>
      <c r="AW505">
        <v>0</v>
      </c>
      <c r="AX505">
        <v>1</v>
      </c>
      <c r="AY505">
        <v>0</v>
      </c>
      <c r="AZ505" t="s">
        <v>581</v>
      </c>
    </row>
    <row r="506" spans="1:52" x14ac:dyDescent="0.2">
      <c r="A506">
        <v>0</v>
      </c>
      <c r="B506">
        <v>1</v>
      </c>
      <c r="C506">
        <v>0</v>
      </c>
      <c r="D506">
        <v>0</v>
      </c>
      <c r="E506">
        <v>1</v>
      </c>
      <c r="F506">
        <v>0</v>
      </c>
      <c r="G506">
        <v>0</v>
      </c>
      <c r="H506">
        <v>0</v>
      </c>
      <c r="I506">
        <v>0</v>
      </c>
      <c r="L506">
        <v>1</v>
      </c>
      <c r="M506">
        <v>0</v>
      </c>
      <c r="N506">
        <v>0</v>
      </c>
      <c r="O506">
        <v>0</v>
      </c>
      <c r="P506">
        <v>0</v>
      </c>
      <c r="Q506" t="s">
        <v>584</v>
      </c>
      <c r="R506">
        <v>0</v>
      </c>
      <c r="S506">
        <v>0</v>
      </c>
      <c r="T506">
        <v>0</v>
      </c>
      <c r="U506">
        <v>0</v>
      </c>
      <c r="V506">
        <v>0</v>
      </c>
      <c r="W506">
        <v>0</v>
      </c>
      <c r="X506">
        <v>1</v>
      </c>
      <c r="Y506">
        <v>0</v>
      </c>
      <c r="Z506">
        <v>0</v>
      </c>
      <c r="AL506" t="s">
        <v>73</v>
      </c>
      <c r="AM506" t="s">
        <v>74</v>
      </c>
      <c r="AR506" t="s">
        <v>97</v>
      </c>
      <c r="AS506" t="s">
        <v>92</v>
      </c>
      <c r="AT506" t="s">
        <v>73</v>
      </c>
      <c r="AU506">
        <v>0</v>
      </c>
      <c r="AV506">
        <v>0</v>
      </c>
      <c r="AW506">
        <v>0</v>
      </c>
      <c r="AX506">
        <v>1</v>
      </c>
      <c r="AY506">
        <v>0</v>
      </c>
      <c r="AZ506" t="s">
        <v>581</v>
      </c>
    </row>
    <row r="507" spans="1:52" x14ac:dyDescent="0.2">
      <c r="A507">
        <v>1</v>
      </c>
      <c r="B507">
        <v>0</v>
      </c>
      <c r="C507">
        <v>0</v>
      </c>
      <c r="D507">
        <v>0</v>
      </c>
      <c r="E507">
        <v>1</v>
      </c>
      <c r="F507">
        <v>0</v>
      </c>
      <c r="G507">
        <v>0</v>
      </c>
      <c r="H507">
        <v>0</v>
      </c>
      <c r="I507">
        <v>0</v>
      </c>
      <c r="L507">
        <v>1</v>
      </c>
      <c r="M507">
        <v>0</v>
      </c>
      <c r="N507">
        <v>0</v>
      </c>
      <c r="O507">
        <v>0</v>
      </c>
      <c r="P507">
        <v>0</v>
      </c>
      <c r="Q507" t="s">
        <v>584</v>
      </c>
      <c r="R507">
        <v>0</v>
      </c>
      <c r="S507">
        <v>0</v>
      </c>
      <c r="T507">
        <v>1</v>
      </c>
      <c r="U507">
        <v>0</v>
      </c>
      <c r="V507">
        <v>0</v>
      </c>
      <c r="W507">
        <v>1</v>
      </c>
      <c r="X507">
        <v>0</v>
      </c>
      <c r="Y507">
        <v>0</v>
      </c>
      <c r="Z507">
        <v>0</v>
      </c>
      <c r="AL507" t="s">
        <v>96</v>
      </c>
      <c r="AM507" t="s">
        <v>87</v>
      </c>
      <c r="AN507" t="s">
        <v>87</v>
      </c>
      <c r="AO507" t="s">
        <v>87</v>
      </c>
      <c r="AP507" t="s">
        <v>87</v>
      </c>
      <c r="AQ507" t="s">
        <v>87</v>
      </c>
      <c r="AR507" t="s">
        <v>75</v>
      </c>
      <c r="AS507" t="s">
        <v>92</v>
      </c>
      <c r="AT507" t="s">
        <v>96</v>
      </c>
      <c r="AU507">
        <v>0</v>
      </c>
      <c r="AV507">
        <v>0</v>
      </c>
      <c r="AW507">
        <v>0</v>
      </c>
      <c r="AX507">
        <v>1</v>
      </c>
      <c r="AY507">
        <v>0</v>
      </c>
      <c r="AZ507" t="s">
        <v>580</v>
      </c>
    </row>
    <row r="508" spans="1:52" x14ac:dyDescent="0.2">
      <c r="A508">
        <v>1</v>
      </c>
      <c r="B508">
        <v>0</v>
      </c>
      <c r="C508">
        <v>0</v>
      </c>
      <c r="D508">
        <v>0</v>
      </c>
      <c r="E508">
        <v>0</v>
      </c>
      <c r="F508">
        <v>1</v>
      </c>
      <c r="G508">
        <v>0</v>
      </c>
      <c r="H508">
        <v>0</v>
      </c>
      <c r="I508">
        <v>0</v>
      </c>
      <c r="J508" t="s">
        <v>88</v>
      </c>
      <c r="K508" t="s">
        <v>89</v>
      </c>
      <c r="L508">
        <v>1</v>
      </c>
      <c r="M508">
        <v>0</v>
      </c>
      <c r="N508">
        <v>0</v>
      </c>
      <c r="O508">
        <v>0</v>
      </c>
      <c r="P508">
        <v>0</v>
      </c>
      <c r="Q508" t="s">
        <v>584</v>
      </c>
      <c r="R508">
        <v>0</v>
      </c>
      <c r="S508">
        <v>0</v>
      </c>
      <c r="T508">
        <v>0</v>
      </c>
      <c r="U508">
        <v>0</v>
      </c>
      <c r="V508">
        <v>0</v>
      </c>
      <c r="W508">
        <v>0</v>
      </c>
      <c r="X508">
        <v>1</v>
      </c>
      <c r="Y508">
        <v>0</v>
      </c>
      <c r="Z508">
        <v>0</v>
      </c>
      <c r="AL508" t="s">
        <v>107</v>
      </c>
      <c r="AM508" t="s">
        <v>86</v>
      </c>
      <c r="AN508" t="s">
        <v>87</v>
      </c>
      <c r="AO508" t="s">
        <v>87</v>
      </c>
      <c r="AP508" t="s">
        <v>86</v>
      </c>
      <c r="AQ508" t="s">
        <v>87</v>
      </c>
      <c r="AR508" t="s">
        <v>97</v>
      </c>
      <c r="AS508" t="s">
        <v>92</v>
      </c>
      <c r="AT508" t="s">
        <v>107</v>
      </c>
      <c r="AU508">
        <v>0</v>
      </c>
      <c r="AV508">
        <v>0</v>
      </c>
      <c r="AW508">
        <v>0</v>
      </c>
      <c r="AX508">
        <v>1</v>
      </c>
      <c r="AY508">
        <v>0</v>
      </c>
      <c r="AZ508" t="s">
        <v>581</v>
      </c>
    </row>
    <row r="509" spans="1:52" x14ac:dyDescent="0.2">
      <c r="A509">
        <v>0</v>
      </c>
      <c r="B509">
        <v>1</v>
      </c>
      <c r="C509">
        <v>0</v>
      </c>
      <c r="D509">
        <v>0</v>
      </c>
      <c r="E509">
        <v>0</v>
      </c>
      <c r="F509">
        <v>0</v>
      </c>
      <c r="G509">
        <v>0</v>
      </c>
      <c r="H509">
        <v>0</v>
      </c>
      <c r="I509">
        <v>1</v>
      </c>
      <c r="J509" t="s">
        <v>88</v>
      </c>
      <c r="K509" t="s">
        <v>89</v>
      </c>
      <c r="L509">
        <v>1</v>
      </c>
      <c r="M509">
        <v>0</v>
      </c>
      <c r="N509">
        <v>0</v>
      </c>
      <c r="O509">
        <v>0</v>
      </c>
      <c r="P509">
        <v>0</v>
      </c>
      <c r="Q509" t="s">
        <v>584</v>
      </c>
      <c r="R509">
        <v>0</v>
      </c>
      <c r="S509">
        <v>0</v>
      </c>
      <c r="T509">
        <v>1</v>
      </c>
      <c r="U509">
        <v>0</v>
      </c>
      <c r="V509">
        <v>0</v>
      </c>
      <c r="W509">
        <v>0</v>
      </c>
      <c r="X509">
        <v>0</v>
      </c>
      <c r="Y509">
        <v>0</v>
      </c>
      <c r="Z509">
        <v>0</v>
      </c>
      <c r="AL509" t="s">
        <v>107</v>
      </c>
      <c r="AM509" t="s">
        <v>86</v>
      </c>
      <c r="AN509" t="s">
        <v>86</v>
      </c>
      <c r="AO509" t="s">
        <v>86</v>
      </c>
      <c r="AP509" t="s">
        <v>74</v>
      </c>
      <c r="AQ509" t="s">
        <v>87</v>
      </c>
      <c r="AR509" t="s">
        <v>75</v>
      </c>
      <c r="AS509" t="s">
        <v>92</v>
      </c>
      <c r="AT509" t="s">
        <v>107</v>
      </c>
      <c r="AU509">
        <v>0</v>
      </c>
      <c r="AV509">
        <v>0</v>
      </c>
      <c r="AW509">
        <v>0</v>
      </c>
      <c r="AX509">
        <v>0</v>
      </c>
      <c r="AY509">
        <v>1</v>
      </c>
      <c r="AZ509" t="s">
        <v>579</v>
      </c>
    </row>
    <row r="510" spans="1:52" x14ac:dyDescent="0.2">
      <c r="A510">
        <v>1</v>
      </c>
      <c r="B510">
        <v>0</v>
      </c>
      <c r="C510">
        <v>0</v>
      </c>
      <c r="D510">
        <v>0</v>
      </c>
      <c r="E510">
        <v>0</v>
      </c>
      <c r="F510">
        <v>0</v>
      </c>
      <c r="G510">
        <v>1</v>
      </c>
      <c r="H510">
        <v>0</v>
      </c>
      <c r="I510">
        <v>0</v>
      </c>
      <c r="J510" t="s">
        <v>79</v>
      </c>
      <c r="K510" t="s">
        <v>223</v>
      </c>
      <c r="L510">
        <v>0</v>
      </c>
      <c r="M510">
        <v>0</v>
      </c>
      <c r="N510">
        <v>1</v>
      </c>
      <c r="O510">
        <v>0</v>
      </c>
      <c r="P510">
        <v>0</v>
      </c>
      <c r="Q510" t="s">
        <v>584</v>
      </c>
      <c r="AA510" t="s">
        <v>82</v>
      </c>
      <c r="AB510" t="s">
        <v>81</v>
      </c>
      <c r="AC510" t="s">
        <v>83</v>
      </c>
      <c r="AD510" t="s">
        <v>82</v>
      </c>
      <c r="AE510" t="s">
        <v>82</v>
      </c>
      <c r="AF510" t="s">
        <v>81</v>
      </c>
      <c r="AG510" t="s">
        <v>81</v>
      </c>
      <c r="AH510" t="s">
        <v>83</v>
      </c>
      <c r="AI510" t="s">
        <v>88</v>
      </c>
      <c r="AJ510" t="s">
        <v>89</v>
      </c>
      <c r="AK510" t="s">
        <v>117</v>
      </c>
      <c r="AL510" t="s">
        <v>73</v>
      </c>
      <c r="AM510" t="s">
        <v>86</v>
      </c>
      <c r="AN510" t="s">
        <v>87</v>
      </c>
      <c r="AO510" t="s">
        <v>87</v>
      </c>
      <c r="AP510" t="s">
        <v>86</v>
      </c>
      <c r="AQ510" t="s">
        <v>87</v>
      </c>
      <c r="AR510" t="s">
        <v>113</v>
      </c>
      <c r="AS510" t="s">
        <v>92</v>
      </c>
      <c r="AT510" t="s">
        <v>73</v>
      </c>
      <c r="AU510">
        <v>0</v>
      </c>
      <c r="AV510">
        <v>0</v>
      </c>
      <c r="AW510">
        <v>0</v>
      </c>
      <c r="AX510">
        <v>1</v>
      </c>
      <c r="AY510">
        <v>0</v>
      </c>
      <c r="AZ510" t="s">
        <v>580</v>
      </c>
    </row>
    <row r="511" spans="1:52" x14ac:dyDescent="0.2">
      <c r="A511">
        <v>0</v>
      </c>
      <c r="B511">
        <v>1</v>
      </c>
      <c r="C511">
        <v>0</v>
      </c>
      <c r="D511">
        <v>0</v>
      </c>
      <c r="E511">
        <v>1</v>
      </c>
      <c r="F511">
        <v>0</v>
      </c>
      <c r="G511">
        <v>0</v>
      </c>
      <c r="H511">
        <v>0</v>
      </c>
      <c r="I511">
        <v>0</v>
      </c>
      <c r="L511">
        <v>1</v>
      </c>
      <c r="M511">
        <v>0</v>
      </c>
      <c r="N511">
        <v>0</v>
      </c>
      <c r="O511">
        <v>0</v>
      </c>
      <c r="P511">
        <v>0</v>
      </c>
      <c r="Q511" t="s">
        <v>584</v>
      </c>
      <c r="R511">
        <v>0</v>
      </c>
      <c r="S511">
        <v>0</v>
      </c>
      <c r="T511">
        <v>0</v>
      </c>
      <c r="U511">
        <v>0</v>
      </c>
      <c r="V511">
        <v>0</v>
      </c>
      <c r="W511">
        <v>0</v>
      </c>
      <c r="X511">
        <v>1</v>
      </c>
      <c r="Y511">
        <v>0</v>
      </c>
      <c r="Z511">
        <v>0</v>
      </c>
      <c r="AL511" t="s">
        <v>96</v>
      </c>
      <c r="AM511" t="s">
        <v>86</v>
      </c>
      <c r="AN511" t="s">
        <v>74</v>
      </c>
      <c r="AO511" t="s">
        <v>74</v>
      </c>
      <c r="AP511" t="s">
        <v>74</v>
      </c>
      <c r="AQ511" t="s">
        <v>74</v>
      </c>
      <c r="AR511" t="s">
        <v>97</v>
      </c>
      <c r="AS511" t="s">
        <v>92</v>
      </c>
      <c r="AT511" t="s">
        <v>96</v>
      </c>
      <c r="AU511">
        <v>0</v>
      </c>
      <c r="AV511">
        <v>0</v>
      </c>
      <c r="AW511">
        <v>0</v>
      </c>
      <c r="AX511">
        <v>1</v>
      </c>
      <c r="AY511">
        <v>0</v>
      </c>
      <c r="AZ511" t="s">
        <v>580</v>
      </c>
    </row>
    <row r="512" spans="1:52" x14ac:dyDescent="0.2">
      <c r="A512">
        <v>1</v>
      </c>
      <c r="B512">
        <v>0</v>
      </c>
      <c r="C512">
        <v>0</v>
      </c>
      <c r="D512">
        <v>0</v>
      </c>
      <c r="E512">
        <v>0</v>
      </c>
      <c r="F512">
        <v>1</v>
      </c>
      <c r="G512">
        <v>0</v>
      </c>
      <c r="H512">
        <v>0</v>
      </c>
      <c r="I512">
        <v>0</v>
      </c>
      <c r="J512" t="s">
        <v>79</v>
      </c>
      <c r="K512" t="s">
        <v>80</v>
      </c>
      <c r="L512">
        <v>0</v>
      </c>
      <c r="M512">
        <v>0</v>
      </c>
      <c r="N512">
        <v>1</v>
      </c>
      <c r="O512">
        <v>0</v>
      </c>
      <c r="P512">
        <v>0</v>
      </c>
      <c r="Q512" t="s">
        <v>584</v>
      </c>
      <c r="AA512" t="s">
        <v>83</v>
      </c>
      <c r="AB512" t="s">
        <v>81</v>
      </c>
      <c r="AC512" t="s">
        <v>83</v>
      </c>
      <c r="AD512" t="s">
        <v>83</v>
      </c>
      <c r="AE512" t="s">
        <v>82</v>
      </c>
      <c r="AF512" t="s">
        <v>83</v>
      </c>
      <c r="AG512" t="s">
        <v>83</v>
      </c>
      <c r="AH512" t="s">
        <v>83</v>
      </c>
      <c r="AI512" t="s">
        <v>88</v>
      </c>
      <c r="AJ512" t="s">
        <v>89</v>
      </c>
      <c r="AK512" t="s">
        <v>85</v>
      </c>
      <c r="AL512" t="s">
        <v>120</v>
      </c>
      <c r="AM512" t="s">
        <v>86</v>
      </c>
      <c r="AN512" t="s">
        <v>74</v>
      </c>
      <c r="AO512" t="s">
        <v>87</v>
      </c>
      <c r="AP512" t="s">
        <v>74</v>
      </c>
      <c r="AQ512" t="s">
        <v>87</v>
      </c>
      <c r="AR512" t="s">
        <v>75</v>
      </c>
      <c r="AS512" t="s">
        <v>92</v>
      </c>
      <c r="AT512" t="s">
        <v>120</v>
      </c>
      <c r="AU512">
        <v>0</v>
      </c>
      <c r="AV512">
        <v>0</v>
      </c>
      <c r="AW512">
        <v>0</v>
      </c>
      <c r="AX512">
        <v>1</v>
      </c>
      <c r="AY512">
        <v>0</v>
      </c>
      <c r="AZ512" t="s">
        <v>580</v>
      </c>
    </row>
    <row r="513" spans="1:52" x14ac:dyDescent="0.2">
      <c r="A513">
        <v>1</v>
      </c>
      <c r="B513">
        <v>0</v>
      </c>
      <c r="C513">
        <v>0</v>
      </c>
      <c r="D513">
        <v>0</v>
      </c>
      <c r="E513">
        <v>0</v>
      </c>
      <c r="F513">
        <v>1</v>
      </c>
      <c r="G513">
        <v>0</v>
      </c>
      <c r="H513">
        <v>0</v>
      </c>
      <c r="I513">
        <v>0</v>
      </c>
      <c r="J513" t="s">
        <v>88</v>
      </c>
      <c r="K513" t="s">
        <v>89</v>
      </c>
      <c r="L513">
        <v>1</v>
      </c>
      <c r="M513">
        <v>0</v>
      </c>
      <c r="N513">
        <v>0</v>
      </c>
      <c r="O513">
        <v>0</v>
      </c>
      <c r="P513">
        <v>0</v>
      </c>
      <c r="Q513" t="s">
        <v>584</v>
      </c>
      <c r="R513">
        <v>0</v>
      </c>
      <c r="S513">
        <v>1</v>
      </c>
      <c r="T513">
        <v>0</v>
      </c>
      <c r="U513">
        <v>0</v>
      </c>
      <c r="V513">
        <v>0</v>
      </c>
      <c r="W513">
        <v>0</v>
      </c>
      <c r="X513">
        <v>0</v>
      </c>
      <c r="Y513">
        <v>0</v>
      </c>
      <c r="Z513">
        <v>0</v>
      </c>
      <c r="AL513" t="s">
        <v>73</v>
      </c>
      <c r="AM513" t="s">
        <v>87</v>
      </c>
      <c r="AN513" t="s">
        <v>87</v>
      </c>
      <c r="AO513" t="s">
        <v>87</v>
      </c>
      <c r="AP513" t="s">
        <v>86</v>
      </c>
      <c r="AQ513" t="s">
        <v>87</v>
      </c>
      <c r="AR513" t="s">
        <v>75</v>
      </c>
      <c r="AS513" t="s">
        <v>92</v>
      </c>
      <c r="AT513" t="s">
        <v>73</v>
      </c>
      <c r="AU513">
        <v>0</v>
      </c>
      <c r="AV513">
        <v>0</v>
      </c>
      <c r="AW513">
        <v>0</v>
      </c>
      <c r="AX513">
        <v>1</v>
      </c>
      <c r="AY513">
        <v>0</v>
      </c>
      <c r="AZ513" t="s">
        <v>580</v>
      </c>
    </row>
    <row r="514" spans="1:52" x14ac:dyDescent="0.2">
      <c r="A514">
        <v>1</v>
      </c>
      <c r="B514">
        <v>0</v>
      </c>
      <c r="C514">
        <v>0</v>
      </c>
      <c r="D514">
        <v>0</v>
      </c>
      <c r="E514">
        <v>1</v>
      </c>
      <c r="F514">
        <v>0</v>
      </c>
      <c r="G514">
        <v>0</v>
      </c>
      <c r="H514">
        <v>0</v>
      </c>
      <c r="I514">
        <v>0</v>
      </c>
      <c r="L514">
        <v>1</v>
      </c>
      <c r="M514">
        <v>0</v>
      </c>
      <c r="N514">
        <v>0</v>
      </c>
      <c r="O514">
        <v>0</v>
      </c>
      <c r="P514">
        <v>0</v>
      </c>
      <c r="Q514" t="s">
        <v>584</v>
      </c>
      <c r="R514">
        <v>0</v>
      </c>
      <c r="S514">
        <v>1</v>
      </c>
      <c r="T514">
        <v>0</v>
      </c>
      <c r="U514">
        <v>0</v>
      </c>
      <c r="V514">
        <v>0</v>
      </c>
      <c r="W514">
        <v>0</v>
      </c>
      <c r="X514">
        <v>0</v>
      </c>
      <c r="Y514">
        <v>0</v>
      </c>
      <c r="Z514">
        <v>0</v>
      </c>
      <c r="AL514" t="s">
        <v>120</v>
      </c>
      <c r="AM514" t="s">
        <v>87</v>
      </c>
      <c r="AN514" t="s">
        <v>87</v>
      </c>
      <c r="AO514" t="s">
        <v>74</v>
      </c>
      <c r="AP514" t="s">
        <v>87</v>
      </c>
      <c r="AQ514" t="s">
        <v>74</v>
      </c>
      <c r="AR514" t="s">
        <v>97</v>
      </c>
      <c r="AS514" t="s">
        <v>92</v>
      </c>
      <c r="AT514" t="s">
        <v>120</v>
      </c>
      <c r="AU514">
        <v>0</v>
      </c>
      <c r="AV514">
        <v>0</v>
      </c>
      <c r="AW514">
        <v>0</v>
      </c>
      <c r="AX514">
        <v>1</v>
      </c>
      <c r="AY514">
        <v>0</v>
      </c>
      <c r="AZ514" t="s">
        <v>580</v>
      </c>
    </row>
    <row r="515" spans="1:52" x14ac:dyDescent="0.2">
      <c r="A515">
        <v>1</v>
      </c>
      <c r="B515">
        <v>0</v>
      </c>
      <c r="C515">
        <v>0</v>
      </c>
      <c r="D515">
        <v>0</v>
      </c>
      <c r="E515">
        <v>0</v>
      </c>
      <c r="F515">
        <v>1</v>
      </c>
      <c r="G515">
        <v>0</v>
      </c>
      <c r="H515">
        <v>0</v>
      </c>
      <c r="I515">
        <v>0</v>
      </c>
      <c r="J515" t="s">
        <v>88</v>
      </c>
      <c r="K515" t="s">
        <v>89</v>
      </c>
      <c r="L515">
        <v>0</v>
      </c>
      <c r="M515">
        <v>0</v>
      </c>
      <c r="N515">
        <v>1</v>
      </c>
      <c r="O515">
        <v>0</v>
      </c>
      <c r="P515">
        <v>0</v>
      </c>
      <c r="Q515" t="s">
        <v>584</v>
      </c>
      <c r="AA515" t="s">
        <v>83</v>
      </c>
      <c r="AB515" t="s">
        <v>82</v>
      </c>
      <c r="AC515" t="s">
        <v>83</v>
      </c>
      <c r="AD515" t="s">
        <v>81</v>
      </c>
      <c r="AE515" t="s">
        <v>83</v>
      </c>
      <c r="AF515" t="s">
        <v>81</v>
      </c>
      <c r="AG515" t="s">
        <v>83</v>
      </c>
      <c r="AH515" t="s">
        <v>83</v>
      </c>
      <c r="AI515" t="s">
        <v>88</v>
      </c>
      <c r="AJ515" t="s">
        <v>89</v>
      </c>
      <c r="AK515" t="s">
        <v>85</v>
      </c>
      <c r="AL515" t="s">
        <v>73</v>
      </c>
      <c r="AM515" t="s">
        <v>87</v>
      </c>
      <c r="AN515" t="s">
        <v>74</v>
      </c>
      <c r="AO515" t="s">
        <v>87</v>
      </c>
      <c r="AP515" t="s">
        <v>87</v>
      </c>
      <c r="AQ515" t="s">
        <v>74</v>
      </c>
      <c r="AR515" t="s">
        <v>97</v>
      </c>
      <c r="AS515" t="s">
        <v>92</v>
      </c>
      <c r="AT515" t="s">
        <v>73</v>
      </c>
      <c r="AU515">
        <v>0</v>
      </c>
      <c r="AV515">
        <v>1</v>
      </c>
      <c r="AW515">
        <v>0</v>
      </c>
      <c r="AX515">
        <v>0</v>
      </c>
      <c r="AY515">
        <v>0</v>
      </c>
      <c r="AZ515" t="s">
        <v>580</v>
      </c>
    </row>
    <row r="516" spans="1:52" x14ac:dyDescent="0.2">
      <c r="A516">
        <v>1</v>
      </c>
      <c r="B516">
        <v>0</v>
      </c>
      <c r="C516">
        <v>0</v>
      </c>
      <c r="D516">
        <v>0</v>
      </c>
      <c r="E516">
        <v>1</v>
      </c>
      <c r="F516">
        <v>0</v>
      </c>
      <c r="G516">
        <v>0</v>
      </c>
      <c r="H516">
        <v>0</v>
      </c>
      <c r="I516">
        <v>0</v>
      </c>
      <c r="L516">
        <v>1</v>
      </c>
      <c r="M516">
        <v>0</v>
      </c>
      <c r="N516">
        <v>0</v>
      </c>
      <c r="O516">
        <v>0</v>
      </c>
      <c r="P516">
        <v>0</v>
      </c>
      <c r="Q516" t="s">
        <v>584</v>
      </c>
      <c r="R516">
        <v>0</v>
      </c>
      <c r="S516">
        <v>0</v>
      </c>
      <c r="T516">
        <v>1</v>
      </c>
      <c r="U516">
        <v>0</v>
      </c>
      <c r="V516">
        <v>0</v>
      </c>
      <c r="W516">
        <v>0</v>
      </c>
      <c r="X516">
        <v>0</v>
      </c>
      <c r="Y516">
        <v>0</v>
      </c>
      <c r="Z516">
        <v>0</v>
      </c>
      <c r="AL516" t="s">
        <v>107</v>
      </c>
      <c r="AM516" t="s">
        <v>87</v>
      </c>
      <c r="AN516" t="s">
        <v>87</v>
      </c>
      <c r="AO516" t="s">
        <v>74</v>
      </c>
      <c r="AP516" t="s">
        <v>87</v>
      </c>
      <c r="AQ516" t="s">
        <v>86</v>
      </c>
      <c r="AR516" t="s">
        <v>97</v>
      </c>
      <c r="AS516" t="s">
        <v>92</v>
      </c>
      <c r="AT516" t="s">
        <v>107</v>
      </c>
      <c r="AU516">
        <v>0</v>
      </c>
      <c r="AV516">
        <v>0</v>
      </c>
      <c r="AW516">
        <v>0</v>
      </c>
      <c r="AX516">
        <v>1</v>
      </c>
      <c r="AY516">
        <v>0</v>
      </c>
      <c r="AZ516" t="s">
        <v>580</v>
      </c>
    </row>
    <row r="517" spans="1:52" x14ac:dyDescent="0.2">
      <c r="A517">
        <v>0</v>
      </c>
      <c r="B517">
        <v>1</v>
      </c>
      <c r="C517">
        <v>0</v>
      </c>
      <c r="D517">
        <v>0</v>
      </c>
      <c r="E517">
        <v>0</v>
      </c>
      <c r="F517">
        <v>1</v>
      </c>
      <c r="G517">
        <v>1</v>
      </c>
      <c r="H517">
        <v>1</v>
      </c>
      <c r="I517">
        <v>0</v>
      </c>
      <c r="J517" t="s">
        <v>135</v>
      </c>
      <c r="K517" t="s">
        <v>80</v>
      </c>
      <c r="L517">
        <v>0</v>
      </c>
      <c r="M517">
        <v>1</v>
      </c>
      <c r="N517">
        <v>0</v>
      </c>
      <c r="O517">
        <v>0</v>
      </c>
      <c r="P517">
        <v>0</v>
      </c>
      <c r="Q517" t="s">
        <v>585</v>
      </c>
      <c r="AA517" t="s">
        <v>83</v>
      </c>
      <c r="AB517" t="s">
        <v>82</v>
      </c>
      <c r="AC517" t="s">
        <v>81</v>
      </c>
      <c r="AD517" t="s">
        <v>82</v>
      </c>
      <c r="AE517" t="s">
        <v>81</v>
      </c>
      <c r="AF517" t="s">
        <v>83</v>
      </c>
      <c r="AG517" t="s">
        <v>83</v>
      </c>
      <c r="AH517" t="s">
        <v>83</v>
      </c>
      <c r="AI517" t="s">
        <v>88</v>
      </c>
      <c r="AJ517" t="s">
        <v>89</v>
      </c>
      <c r="AK517" t="s">
        <v>100</v>
      </c>
      <c r="AL517" t="s">
        <v>73</v>
      </c>
      <c r="AM517" t="s">
        <v>87</v>
      </c>
      <c r="AN517" t="s">
        <v>87</v>
      </c>
      <c r="AO517" t="s">
        <v>87</v>
      </c>
      <c r="AP517" t="s">
        <v>87</v>
      </c>
      <c r="AQ517" t="s">
        <v>87</v>
      </c>
      <c r="AR517" t="s">
        <v>75</v>
      </c>
      <c r="AS517" t="s">
        <v>92</v>
      </c>
      <c r="AT517" t="s">
        <v>73</v>
      </c>
      <c r="AU517">
        <v>0</v>
      </c>
      <c r="AV517">
        <v>0</v>
      </c>
      <c r="AW517">
        <v>0</v>
      </c>
      <c r="AX517">
        <v>1</v>
      </c>
      <c r="AY517">
        <v>0</v>
      </c>
      <c r="AZ517" t="s">
        <v>578</v>
      </c>
    </row>
    <row r="518" spans="1:52" x14ac:dyDescent="0.2">
      <c r="A518">
        <v>1</v>
      </c>
      <c r="B518">
        <v>0</v>
      </c>
      <c r="C518">
        <v>0</v>
      </c>
      <c r="D518">
        <v>0</v>
      </c>
      <c r="E518">
        <v>0</v>
      </c>
      <c r="F518">
        <v>1</v>
      </c>
      <c r="G518">
        <v>0</v>
      </c>
      <c r="H518">
        <v>0</v>
      </c>
      <c r="I518">
        <v>0</v>
      </c>
      <c r="J518" t="s">
        <v>79</v>
      </c>
      <c r="K518" t="s">
        <v>89</v>
      </c>
      <c r="L518">
        <v>0</v>
      </c>
      <c r="M518">
        <v>0</v>
      </c>
      <c r="N518">
        <v>0</v>
      </c>
      <c r="O518">
        <v>1</v>
      </c>
      <c r="P518">
        <v>0</v>
      </c>
      <c r="Q518" t="s">
        <v>584</v>
      </c>
      <c r="AA518" t="s">
        <v>81</v>
      </c>
      <c r="AB518" t="s">
        <v>82</v>
      </c>
      <c r="AC518" t="s">
        <v>90</v>
      </c>
      <c r="AD518" t="s">
        <v>81</v>
      </c>
      <c r="AE518" t="s">
        <v>82</v>
      </c>
      <c r="AF518" t="s">
        <v>83</v>
      </c>
      <c r="AG518" t="s">
        <v>81</v>
      </c>
      <c r="AH518" t="s">
        <v>83</v>
      </c>
      <c r="AI518" t="s">
        <v>88</v>
      </c>
      <c r="AJ518" t="s">
        <v>89</v>
      </c>
      <c r="AK518" t="s">
        <v>85</v>
      </c>
      <c r="AL518" t="s">
        <v>107</v>
      </c>
      <c r="AM518" t="s">
        <v>87</v>
      </c>
      <c r="AN518" t="s">
        <v>87</v>
      </c>
      <c r="AO518" t="s">
        <v>87</v>
      </c>
      <c r="AP518" t="s">
        <v>74</v>
      </c>
      <c r="AQ518" t="s">
        <v>74</v>
      </c>
      <c r="AR518" t="s">
        <v>97</v>
      </c>
      <c r="AS518" t="s">
        <v>92</v>
      </c>
      <c r="AT518" t="s">
        <v>107</v>
      </c>
      <c r="AU518">
        <v>0</v>
      </c>
      <c r="AV518">
        <v>0</v>
      </c>
      <c r="AW518">
        <v>0</v>
      </c>
      <c r="AX518">
        <v>1</v>
      </c>
      <c r="AY518">
        <v>0</v>
      </c>
      <c r="AZ518" t="s">
        <v>580</v>
      </c>
    </row>
    <row r="519" spans="1:52" x14ac:dyDescent="0.2">
      <c r="A519">
        <v>0</v>
      </c>
      <c r="B519">
        <v>1</v>
      </c>
      <c r="C519">
        <v>0</v>
      </c>
      <c r="D519">
        <v>0</v>
      </c>
      <c r="E519">
        <v>0</v>
      </c>
      <c r="F519">
        <v>1</v>
      </c>
      <c r="G519">
        <v>1</v>
      </c>
      <c r="H519">
        <v>1</v>
      </c>
      <c r="I519">
        <v>0</v>
      </c>
      <c r="J519" t="s">
        <v>79</v>
      </c>
      <c r="K519" t="s">
        <v>80</v>
      </c>
      <c r="L519">
        <v>0</v>
      </c>
      <c r="M519">
        <v>0</v>
      </c>
      <c r="N519">
        <v>0</v>
      </c>
      <c r="O519">
        <v>0</v>
      </c>
      <c r="P519">
        <v>1</v>
      </c>
      <c r="Q519" t="s">
        <v>584</v>
      </c>
      <c r="AA519" t="s">
        <v>90</v>
      </c>
      <c r="AB519" t="s">
        <v>81</v>
      </c>
      <c r="AC519" t="s">
        <v>81</v>
      </c>
      <c r="AD519" t="s">
        <v>81</v>
      </c>
      <c r="AE519" t="s">
        <v>82</v>
      </c>
      <c r="AF519" t="s">
        <v>82</v>
      </c>
      <c r="AG519" t="s">
        <v>90</v>
      </c>
      <c r="AH519" t="s">
        <v>90</v>
      </c>
      <c r="AI519" t="s">
        <v>88</v>
      </c>
      <c r="AJ519" t="s">
        <v>89</v>
      </c>
      <c r="AK519" t="s">
        <v>85</v>
      </c>
      <c r="AL519" t="s">
        <v>107</v>
      </c>
      <c r="AM519" t="s">
        <v>87</v>
      </c>
      <c r="AN519" t="s">
        <v>87</v>
      </c>
      <c r="AO519" t="s">
        <v>87</v>
      </c>
      <c r="AP519" t="s">
        <v>87</v>
      </c>
      <c r="AQ519" t="s">
        <v>74</v>
      </c>
      <c r="AR519" t="s">
        <v>75</v>
      </c>
      <c r="AS519" t="s">
        <v>92</v>
      </c>
      <c r="AT519" t="s">
        <v>107</v>
      </c>
      <c r="AU519">
        <v>0</v>
      </c>
      <c r="AV519">
        <v>0</v>
      </c>
      <c r="AW519">
        <v>0</v>
      </c>
      <c r="AX519">
        <v>1</v>
      </c>
      <c r="AY519">
        <v>0</v>
      </c>
      <c r="AZ519" t="s">
        <v>580</v>
      </c>
    </row>
    <row r="520" spans="1:52" x14ac:dyDescent="0.2">
      <c r="A520">
        <v>1</v>
      </c>
      <c r="B520">
        <v>0</v>
      </c>
      <c r="C520">
        <v>0</v>
      </c>
      <c r="D520">
        <v>0</v>
      </c>
      <c r="E520">
        <v>1</v>
      </c>
      <c r="F520">
        <v>0</v>
      </c>
      <c r="G520">
        <v>0</v>
      </c>
      <c r="H520">
        <v>0</v>
      </c>
      <c r="I520">
        <v>0</v>
      </c>
      <c r="L520">
        <v>1</v>
      </c>
      <c r="M520">
        <v>0</v>
      </c>
      <c r="N520">
        <v>0</v>
      </c>
      <c r="O520">
        <v>0</v>
      </c>
      <c r="P520">
        <v>0</v>
      </c>
      <c r="Q520" t="s">
        <v>584</v>
      </c>
      <c r="R520">
        <v>0</v>
      </c>
      <c r="S520">
        <v>0</v>
      </c>
      <c r="T520">
        <v>1</v>
      </c>
      <c r="U520">
        <v>1</v>
      </c>
      <c r="V520">
        <v>0</v>
      </c>
      <c r="W520">
        <v>0</v>
      </c>
      <c r="X520">
        <v>0</v>
      </c>
      <c r="Y520">
        <v>0</v>
      </c>
      <c r="Z520">
        <v>0</v>
      </c>
      <c r="AL520" t="s">
        <v>73</v>
      </c>
      <c r="AM520" t="s">
        <v>87</v>
      </c>
      <c r="AN520" t="s">
        <v>87</v>
      </c>
      <c r="AO520" t="s">
        <v>87</v>
      </c>
      <c r="AP520" t="s">
        <v>87</v>
      </c>
      <c r="AQ520" t="s">
        <v>86</v>
      </c>
      <c r="AR520" t="s">
        <v>97</v>
      </c>
      <c r="AS520" t="s">
        <v>92</v>
      </c>
      <c r="AT520" t="s">
        <v>73</v>
      </c>
      <c r="AU520">
        <v>0</v>
      </c>
      <c r="AV520">
        <v>0</v>
      </c>
      <c r="AW520">
        <v>0</v>
      </c>
      <c r="AX520">
        <v>1</v>
      </c>
      <c r="AY520">
        <v>0</v>
      </c>
      <c r="AZ520" t="s">
        <v>580</v>
      </c>
    </row>
    <row r="521" spans="1:52" x14ac:dyDescent="0.2">
      <c r="A521">
        <v>0</v>
      </c>
      <c r="B521">
        <v>1</v>
      </c>
      <c r="C521">
        <v>0</v>
      </c>
      <c r="D521">
        <v>0</v>
      </c>
      <c r="E521">
        <v>0</v>
      </c>
      <c r="F521">
        <v>0</v>
      </c>
      <c r="G521">
        <v>1</v>
      </c>
      <c r="H521">
        <v>0</v>
      </c>
      <c r="I521">
        <v>0</v>
      </c>
      <c r="J521" t="s">
        <v>79</v>
      </c>
      <c r="K521" t="s">
        <v>80</v>
      </c>
      <c r="L521">
        <v>1</v>
      </c>
      <c r="M521">
        <v>0</v>
      </c>
      <c r="N521">
        <v>0</v>
      </c>
      <c r="O521">
        <v>0</v>
      </c>
      <c r="P521">
        <v>0</v>
      </c>
      <c r="Q521" t="s">
        <v>584</v>
      </c>
      <c r="R521">
        <v>0</v>
      </c>
      <c r="S521">
        <v>0</v>
      </c>
      <c r="T521">
        <v>0</v>
      </c>
      <c r="U521">
        <v>0</v>
      </c>
      <c r="V521">
        <v>0</v>
      </c>
      <c r="W521">
        <v>0</v>
      </c>
      <c r="X521">
        <v>0</v>
      </c>
      <c r="Y521">
        <v>0</v>
      </c>
      <c r="Z521">
        <v>1</v>
      </c>
      <c r="AL521" t="s">
        <v>96</v>
      </c>
      <c r="AM521" t="s">
        <v>86</v>
      </c>
      <c r="AN521" t="s">
        <v>86</v>
      </c>
      <c r="AO521" t="s">
        <v>74</v>
      </c>
      <c r="AP521" t="s">
        <v>86</v>
      </c>
      <c r="AQ521" t="s">
        <v>74</v>
      </c>
      <c r="AR521" t="s">
        <v>97</v>
      </c>
      <c r="AS521" t="s">
        <v>92</v>
      </c>
      <c r="AT521" t="s">
        <v>96</v>
      </c>
      <c r="AU521">
        <v>0</v>
      </c>
      <c r="AV521">
        <v>0</v>
      </c>
      <c r="AW521">
        <v>0</v>
      </c>
      <c r="AX521">
        <v>1</v>
      </c>
      <c r="AY521">
        <v>0</v>
      </c>
      <c r="AZ521" t="s">
        <v>580</v>
      </c>
    </row>
    <row r="522" spans="1:52" x14ac:dyDescent="0.2">
      <c r="A522">
        <v>1</v>
      </c>
      <c r="B522">
        <v>0</v>
      </c>
      <c r="C522">
        <v>0</v>
      </c>
      <c r="D522">
        <v>0</v>
      </c>
      <c r="E522">
        <v>0</v>
      </c>
      <c r="F522">
        <v>1</v>
      </c>
      <c r="G522">
        <v>1</v>
      </c>
      <c r="H522">
        <v>1</v>
      </c>
      <c r="I522">
        <v>0</v>
      </c>
      <c r="J522" t="s">
        <v>88</v>
      </c>
      <c r="K522" t="s">
        <v>89</v>
      </c>
      <c r="L522">
        <v>0</v>
      </c>
      <c r="M522">
        <v>1</v>
      </c>
      <c r="N522">
        <v>0</v>
      </c>
      <c r="O522">
        <v>0</v>
      </c>
      <c r="P522">
        <v>0</v>
      </c>
      <c r="Q522" t="s">
        <v>584</v>
      </c>
      <c r="AA522" t="s">
        <v>83</v>
      </c>
      <c r="AB522" t="s">
        <v>82</v>
      </c>
      <c r="AC522" t="s">
        <v>81</v>
      </c>
      <c r="AD522" t="s">
        <v>81</v>
      </c>
      <c r="AE522" t="s">
        <v>83</v>
      </c>
      <c r="AF522" t="s">
        <v>83</v>
      </c>
      <c r="AG522" t="s">
        <v>83</v>
      </c>
      <c r="AH522" t="s">
        <v>83</v>
      </c>
      <c r="AI522" t="s">
        <v>88</v>
      </c>
      <c r="AJ522" t="s">
        <v>89</v>
      </c>
      <c r="AK522" t="s">
        <v>100</v>
      </c>
      <c r="AL522" t="s">
        <v>107</v>
      </c>
      <c r="AM522" t="s">
        <v>87</v>
      </c>
      <c r="AN522" t="s">
        <v>87</v>
      </c>
      <c r="AO522" t="s">
        <v>87</v>
      </c>
      <c r="AP522" t="s">
        <v>87</v>
      </c>
      <c r="AQ522" t="s">
        <v>86</v>
      </c>
      <c r="AR522" t="s">
        <v>97</v>
      </c>
      <c r="AS522" t="s">
        <v>92</v>
      </c>
      <c r="AT522" t="s">
        <v>107</v>
      </c>
      <c r="AU522">
        <v>0</v>
      </c>
      <c r="AV522">
        <v>0</v>
      </c>
      <c r="AW522">
        <v>0</v>
      </c>
      <c r="AX522">
        <v>1</v>
      </c>
      <c r="AY522">
        <v>0</v>
      </c>
      <c r="AZ522" t="s">
        <v>580</v>
      </c>
    </row>
    <row r="523" spans="1:52" x14ac:dyDescent="0.2">
      <c r="A523">
        <v>1</v>
      </c>
      <c r="B523">
        <v>0</v>
      </c>
      <c r="C523">
        <v>0</v>
      </c>
      <c r="D523">
        <v>0</v>
      </c>
      <c r="E523">
        <v>0</v>
      </c>
      <c r="F523">
        <v>0</v>
      </c>
      <c r="G523">
        <v>0</v>
      </c>
      <c r="H523">
        <v>0</v>
      </c>
      <c r="I523">
        <v>1</v>
      </c>
      <c r="J523" t="s">
        <v>79</v>
      </c>
      <c r="K523" t="s">
        <v>127</v>
      </c>
      <c r="L523">
        <v>1</v>
      </c>
      <c r="M523">
        <v>0</v>
      </c>
      <c r="N523">
        <v>0</v>
      </c>
      <c r="O523">
        <v>0</v>
      </c>
      <c r="P523">
        <v>0</v>
      </c>
      <c r="Q523" t="s">
        <v>584</v>
      </c>
      <c r="R523">
        <v>1</v>
      </c>
      <c r="S523">
        <v>0</v>
      </c>
      <c r="T523">
        <v>0</v>
      </c>
      <c r="U523">
        <v>0</v>
      </c>
      <c r="V523">
        <v>0</v>
      </c>
      <c r="W523">
        <v>0</v>
      </c>
      <c r="X523">
        <v>0</v>
      </c>
      <c r="Y523">
        <v>0</v>
      </c>
      <c r="Z523">
        <v>0</v>
      </c>
      <c r="AL523" t="s">
        <v>107</v>
      </c>
      <c r="AM523" t="s">
        <v>87</v>
      </c>
      <c r="AN523" t="s">
        <v>87</v>
      </c>
      <c r="AO523" t="s">
        <v>87</v>
      </c>
      <c r="AP523" t="s">
        <v>87</v>
      </c>
      <c r="AQ523" t="s">
        <v>87</v>
      </c>
      <c r="AR523" t="s">
        <v>101</v>
      </c>
      <c r="AS523" t="s">
        <v>92</v>
      </c>
      <c r="AT523" t="s">
        <v>107</v>
      </c>
      <c r="AU523">
        <v>0</v>
      </c>
      <c r="AV523">
        <v>0</v>
      </c>
      <c r="AW523">
        <v>0</v>
      </c>
      <c r="AX523">
        <v>1</v>
      </c>
      <c r="AY523">
        <v>0</v>
      </c>
      <c r="AZ523" t="s">
        <v>580</v>
      </c>
    </row>
    <row r="524" spans="1:52" x14ac:dyDescent="0.2">
      <c r="A524">
        <v>1</v>
      </c>
      <c r="B524">
        <v>0</v>
      </c>
      <c r="C524">
        <v>0</v>
      </c>
      <c r="D524">
        <v>0</v>
      </c>
      <c r="E524">
        <v>0</v>
      </c>
      <c r="F524">
        <v>1</v>
      </c>
      <c r="G524">
        <v>0</v>
      </c>
      <c r="H524">
        <v>1</v>
      </c>
      <c r="I524">
        <v>0</v>
      </c>
      <c r="J524" t="s">
        <v>88</v>
      </c>
      <c r="K524" t="s">
        <v>89</v>
      </c>
      <c r="L524">
        <v>0</v>
      </c>
      <c r="M524">
        <v>1</v>
      </c>
      <c r="N524">
        <v>0</v>
      </c>
      <c r="O524">
        <v>0</v>
      </c>
      <c r="P524">
        <v>0</v>
      </c>
      <c r="Q524" t="s">
        <v>584</v>
      </c>
      <c r="AA524" t="s">
        <v>83</v>
      </c>
      <c r="AB524" t="s">
        <v>82</v>
      </c>
      <c r="AC524" t="s">
        <v>81</v>
      </c>
      <c r="AD524" t="s">
        <v>81</v>
      </c>
      <c r="AE524" t="s">
        <v>81</v>
      </c>
      <c r="AF524" t="s">
        <v>83</v>
      </c>
      <c r="AG524" t="s">
        <v>81</v>
      </c>
      <c r="AH524" t="s">
        <v>83</v>
      </c>
      <c r="AI524" t="s">
        <v>88</v>
      </c>
      <c r="AJ524" t="s">
        <v>89</v>
      </c>
      <c r="AK524" t="s">
        <v>100</v>
      </c>
      <c r="AL524" t="s">
        <v>73</v>
      </c>
      <c r="AM524" t="s">
        <v>86</v>
      </c>
      <c r="AN524" t="s">
        <v>87</v>
      </c>
      <c r="AO524" t="s">
        <v>87</v>
      </c>
      <c r="AP524" t="s">
        <v>87</v>
      </c>
      <c r="AQ524" t="s">
        <v>87</v>
      </c>
      <c r="AR524" t="s">
        <v>97</v>
      </c>
      <c r="AS524" t="s">
        <v>92</v>
      </c>
      <c r="AT524" t="s">
        <v>73</v>
      </c>
      <c r="AU524">
        <v>0</v>
      </c>
      <c r="AV524">
        <v>0</v>
      </c>
      <c r="AW524">
        <v>0</v>
      </c>
      <c r="AX524">
        <v>1</v>
      </c>
      <c r="AY524">
        <v>0</v>
      </c>
      <c r="AZ524" t="s">
        <v>580</v>
      </c>
    </row>
    <row r="525" spans="1:52" x14ac:dyDescent="0.2">
      <c r="A525">
        <v>0</v>
      </c>
      <c r="B525">
        <v>1</v>
      </c>
      <c r="C525">
        <v>0</v>
      </c>
      <c r="D525">
        <v>0</v>
      </c>
      <c r="E525">
        <v>1</v>
      </c>
      <c r="F525">
        <v>0</v>
      </c>
      <c r="G525">
        <v>0</v>
      </c>
      <c r="H525">
        <v>0</v>
      </c>
      <c r="I525">
        <v>0</v>
      </c>
      <c r="L525">
        <v>1</v>
      </c>
      <c r="M525">
        <v>0</v>
      </c>
      <c r="N525">
        <v>0</v>
      </c>
      <c r="O525">
        <v>0</v>
      </c>
      <c r="P525">
        <v>0</v>
      </c>
      <c r="Q525" t="s">
        <v>584</v>
      </c>
      <c r="R525">
        <v>1</v>
      </c>
      <c r="S525">
        <v>0</v>
      </c>
      <c r="T525">
        <v>0</v>
      </c>
      <c r="U525">
        <v>0</v>
      </c>
      <c r="V525">
        <v>0</v>
      </c>
      <c r="W525">
        <v>0</v>
      </c>
      <c r="X525">
        <v>0</v>
      </c>
      <c r="Y525">
        <v>0</v>
      </c>
      <c r="Z525">
        <v>0</v>
      </c>
      <c r="AL525" t="s">
        <v>120</v>
      </c>
      <c r="AM525" t="s">
        <v>86</v>
      </c>
      <c r="AN525" t="s">
        <v>87</v>
      </c>
      <c r="AO525" t="s">
        <v>87</v>
      </c>
      <c r="AP525" t="s">
        <v>87</v>
      </c>
      <c r="AQ525" t="s">
        <v>87</v>
      </c>
      <c r="AR525" t="s">
        <v>97</v>
      </c>
      <c r="AS525" t="s">
        <v>76</v>
      </c>
      <c r="AT525" t="s">
        <v>120</v>
      </c>
      <c r="AU525">
        <v>0</v>
      </c>
      <c r="AV525">
        <v>0</v>
      </c>
      <c r="AW525">
        <v>0</v>
      </c>
      <c r="AX525">
        <v>1</v>
      </c>
      <c r="AY525">
        <v>0</v>
      </c>
      <c r="AZ525" t="s">
        <v>580</v>
      </c>
    </row>
    <row r="526" spans="1:52" x14ac:dyDescent="0.2">
      <c r="A526">
        <v>0</v>
      </c>
      <c r="B526">
        <v>1</v>
      </c>
      <c r="C526">
        <v>0</v>
      </c>
      <c r="D526">
        <v>0</v>
      </c>
      <c r="E526">
        <v>1</v>
      </c>
      <c r="F526">
        <v>0</v>
      </c>
      <c r="G526">
        <v>0</v>
      </c>
      <c r="H526">
        <v>0</v>
      </c>
      <c r="I526">
        <v>0</v>
      </c>
      <c r="L526">
        <v>1</v>
      </c>
      <c r="M526">
        <v>0</v>
      </c>
      <c r="N526">
        <v>0</v>
      </c>
      <c r="O526">
        <v>0</v>
      </c>
      <c r="P526">
        <v>0</v>
      </c>
      <c r="Q526" t="s">
        <v>584</v>
      </c>
      <c r="R526">
        <v>0</v>
      </c>
      <c r="S526">
        <v>0</v>
      </c>
      <c r="T526">
        <v>0</v>
      </c>
      <c r="U526">
        <v>0</v>
      </c>
      <c r="V526">
        <v>0</v>
      </c>
      <c r="W526">
        <v>0</v>
      </c>
      <c r="X526">
        <v>1</v>
      </c>
      <c r="Y526">
        <v>0</v>
      </c>
      <c r="Z526">
        <v>0</v>
      </c>
      <c r="AL526" t="s">
        <v>96</v>
      </c>
      <c r="AM526" t="s">
        <v>74</v>
      </c>
      <c r="AR526" t="s">
        <v>108</v>
      </c>
      <c r="AS526" t="s">
        <v>92</v>
      </c>
      <c r="AT526" t="s">
        <v>96</v>
      </c>
      <c r="AU526">
        <v>0</v>
      </c>
      <c r="AV526">
        <v>0</v>
      </c>
      <c r="AW526">
        <v>0</v>
      </c>
      <c r="AX526">
        <v>1</v>
      </c>
      <c r="AY526">
        <v>0</v>
      </c>
      <c r="AZ526" t="s">
        <v>581</v>
      </c>
    </row>
    <row r="527" spans="1:52" x14ac:dyDescent="0.2">
      <c r="A527">
        <v>0</v>
      </c>
      <c r="B527">
        <v>1</v>
      </c>
      <c r="C527">
        <v>0</v>
      </c>
      <c r="D527">
        <v>0</v>
      </c>
      <c r="E527">
        <v>1</v>
      </c>
      <c r="F527">
        <v>0</v>
      </c>
      <c r="G527">
        <v>0</v>
      </c>
      <c r="H527">
        <v>0</v>
      </c>
      <c r="I527">
        <v>0</v>
      </c>
      <c r="L527">
        <v>1</v>
      </c>
      <c r="M527">
        <v>0</v>
      </c>
      <c r="N527">
        <v>0</v>
      </c>
      <c r="O527">
        <v>0</v>
      </c>
      <c r="P527">
        <v>0</v>
      </c>
      <c r="Q527" t="s">
        <v>584</v>
      </c>
      <c r="R527">
        <v>0</v>
      </c>
      <c r="S527">
        <v>1</v>
      </c>
      <c r="T527">
        <v>0</v>
      </c>
      <c r="U527">
        <v>0</v>
      </c>
      <c r="V527">
        <v>0</v>
      </c>
      <c r="W527">
        <v>0</v>
      </c>
      <c r="X527">
        <v>0</v>
      </c>
      <c r="Y527">
        <v>0</v>
      </c>
      <c r="Z527">
        <v>0</v>
      </c>
      <c r="AL527" t="s">
        <v>96</v>
      </c>
      <c r="AM527" t="s">
        <v>86</v>
      </c>
      <c r="AN527" t="s">
        <v>87</v>
      </c>
      <c r="AO527" t="s">
        <v>87</v>
      </c>
      <c r="AP527" t="s">
        <v>87</v>
      </c>
      <c r="AQ527" t="s">
        <v>87</v>
      </c>
      <c r="AR527" t="s">
        <v>101</v>
      </c>
      <c r="AS527" t="s">
        <v>92</v>
      </c>
      <c r="AT527" t="s">
        <v>96</v>
      </c>
      <c r="AU527">
        <v>0</v>
      </c>
      <c r="AV527">
        <v>0</v>
      </c>
      <c r="AW527">
        <v>0</v>
      </c>
      <c r="AX527">
        <v>1</v>
      </c>
      <c r="AY527">
        <v>0</v>
      </c>
      <c r="AZ527" t="s">
        <v>580</v>
      </c>
    </row>
    <row r="528" spans="1:52" x14ac:dyDescent="0.2">
      <c r="A528">
        <v>1</v>
      </c>
      <c r="B528">
        <v>0</v>
      </c>
      <c r="C528">
        <v>0</v>
      </c>
      <c r="D528">
        <v>0</v>
      </c>
      <c r="E528">
        <v>1</v>
      </c>
      <c r="F528">
        <v>0</v>
      </c>
      <c r="G528">
        <v>0</v>
      </c>
      <c r="H528">
        <v>0</v>
      </c>
      <c r="I528">
        <v>0</v>
      </c>
      <c r="L528">
        <v>1</v>
      </c>
      <c r="M528">
        <v>0</v>
      </c>
      <c r="N528">
        <v>0</v>
      </c>
      <c r="O528">
        <v>0</v>
      </c>
      <c r="P528">
        <v>0</v>
      </c>
      <c r="Q528" t="s">
        <v>584</v>
      </c>
      <c r="R528">
        <v>0</v>
      </c>
      <c r="S528">
        <v>0</v>
      </c>
      <c r="T528">
        <v>0</v>
      </c>
      <c r="U528">
        <v>1</v>
      </c>
      <c r="V528">
        <v>1</v>
      </c>
      <c r="W528">
        <v>0</v>
      </c>
      <c r="X528">
        <v>0</v>
      </c>
      <c r="Y528">
        <v>0</v>
      </c>
      <c r="Z528">
        <v>0</v>
      </c>
      <c r="AL528" t="s">
        <v>73</v>
      </c>
      <c r="AM528" t="s">
        <v>86</v>
      </c>
      <c r="AN528" t="s">
        <v>74</v>
      </c>
      <c r="AO528" t="s">
        <v>74</v>
      </c>
      <c r="AP528" t="s">
        <v>74</v>
      </c>
      <c r="AQ528" t="s">
        <v>74</v>
      </c>
      <c r="AR528" t="s">
        <v>97</v>
      </c>
      <c r="AS528" t="s">
        <v>92</v>
      </c>
      <c r="AT528" t="s">
        <v>73</v>
      </c>
      <c r="AU528">
        <v>0</v>
      </c>
      <c r="AV528">
        <v>0</v>
      </c>
      <c r="AW528">
        <v>0</v>
      </c>
      <c r="AX528">
        <v>1</v>
      </c>
      <c r="AY528">
        <v>0</v>
      </c>
      <c r="AZ528" t="s">
        <v>581</v>
      </c>
    </row>
    <row r="529" spans="1:52" x14ac:dyDescent="0.2">
      <c r="A529">
        <v>0</v>
      </c>
      <c r="B529">
        <v>1</v>
      </c>
      <c r="C529">
        <v>0</v>
      </c>
      <c r="D529">
        <v>0</v>
      </c>
      <c r="E529">
        <v>1</v>
      </c>
      <c r="F529">
        <v>0</v>
      </c>
      <c r="G529">
        <v>0</v>
      </c>
      <c r="H529">
        <v>0</v>
      </c>
      <c r="I529">
        <v>0</v>
      </c>
      <c r="L529">
        <v>1</v>
      </c>
      <c r="M529">
        <v>0</v>
      </c>
      <c r="N529">
        <v>0</v>
      </c>
      <c r="O529">
        <v>0</v>
      </c>
      <c r="P529">
        <v>0</v>
      </c>
      <c r="Q529" t="s">
        <v>584</v>
      </c>
      <c r="R529">
        <v>0</v>
      </c>
      <c r="S529">
        <v>1</v>
      </c>
      <c r="T529">
        <v>0</v>
      </c>
      <c r="U529">
        <v>0</v>
      </c>
      <c r="V529">
        <v>0</v>
      </c>
      <c r="W529">
        <v>0</v>
      </c>
      <c r="X529">
        <v>0</v>
      </c>
      <c r="Y529">
        <v>0</v>
      </c>
      <c r="Z529">
        <v>0</v>
      </c>
      <c r="AL529" t="s">
        <v>107</v>
      </c>
      <c r="AM529" t="s">
        <v>86</v>
      </c>
      <c r="AN529" t="s">
        <v>86</v>
      </c>
      <c r="AO529" t="s">
        <v>86</v>
      </c>
      <c r="AP529" t="s">
        <v>87</v>
      </c>
      <c r="AQ529" t="s">
        <v>86</v>
      </c>
      <c r="AR529" t="s">
        <v>75</v>
      </c>
      <c r="AS529" t="s">
        <v>92</v>
      </c>
      <c r="AT529" t="s">
        <v>107</v>
      </c>
      <c r="AU529">
        <v>0</v>
      </c>
      <c r="AV529">
        <v>0</v>
      </c>
      <c r="AW529">
        <v>0</v>
      </c>
      <c r="AX529">
        <v>1</v>
      </c>
      <c r="AY529">
        <v>0</v>
      </c>
      <c r="AZ529" t="s">
        <v>581</v>
      </c>
    </row>
    <row r="530" spans="1:52" x14ac:dyDescent="0.2">
      <c r="A530">
        <v>1</v>
      </c>
      <c r="B530">
        <v>0</v>
      </c>
      <c r="C530">
        <v>0</v>
      </c>
      <c r="D530">
        <v>0</v>
      </c>
      <c r="E530">
        <v>0</v>
      </c>
      <c r="F530">
        <v>1</v>
      </c>
      <c r="G530">
        <v>1</v>
      </c>
      <c r="H530">
        <v>1</v>
      </c>
      <c r="I530">
        <v>0</v>
      </c>
      <c r="J530" t="s">
        <v>88</v>
      </c>
      <c r="K530" t="s">
        <v>89</v>
      </c>
      <c r="L530">
        <v>0</v>
      </c>
      <c r="M530">
        <v>1</v>
      </c>
      <c r="N530">
        <v>0</v>
      </c>
      <c r="O530">
        <v>1</v>
      </c>
      <c r="P530">
        <v>0</v>
      </c>
      <c r="Q530" t="s">
        <v>585</v>
      </c>
      <c r="AA530" t="s">
        <v>83</v>
      </c>
      <c r="AB530" t="s">
        <v>82</v>
      </c>
      <c r="AC530" t="s">
        <v>81</v>
      </c>
      <c r="AD530" t="s">
        <v>81</v>
      </c>
      <c r="AE530" t="s">
        <v>83</v>
      </c>
      <c r="AF530" t="s">
        <v>83</v>
      </c>
      <c r="AG530" t="s">
        <v>83</v>
      </c>
      <c r="AH530" t="s">
        <v>90</v>
      </c>
      <c r="AI530" t="s">
        <v>88</v>
      </c>
      <c r="AJ530" t="s">
        <v>89</v>
      </c>
      <c r="AK530" t="s">
        <v>100</v>
      </c>
      <c r="AL530" t="s">
        <v>107</v>
      </c>
      <c r="AM530" t="s">
        <v>87</v>
      </c>
      <c r="AN530" t="s">
        <v>86</v>
      </c>
      <c r="AO530" t="s">
        <v>86</v>
      </c>
      <c r="AP530" t="s">
        <v>86</v>
      </c>
      <c r="AQ530" t="s">
        <v>86</v>
      </c>
      <c r="AR530" t="s">
        <v>97</v>
      </c>
      <c r="AS530" t="s">
        <v>92</v>
      </c>
      <c r="AT530" t="s">
        <v>107</v>
      </c>
      <c r="AU530">
        <v>0</v>
      </c>
      <c r="AV530">
        <v>0</v>
      </c>
      <c r="AW530">
        <v>0</v>
      </c>
      <c r="AX530">
        <v>1</v>
      </c>
      <c r="AY530">
        <v>0</v>
      </c>
      <c r="AZ530" t="s">
        <v>580</v>
      </c>
    </row>
    <row r="531" spans="1:52" x14ac:dyDescent="0.2">
      <c r="A531">
        <v>0</v>
      </c>
      <c r="B531">
        <v>1</v>
      </c>
      <c r="C531">
        <v>0</v>
      </c>
      <c r="D531">
        <v>0</v>
      </c>
      <c r="E531">
        <v>0</v>
      </c>
      <c r="F531">
        <v>1</v>
      </c>
      <c r="G531">
        <v>0</v>
      </c>
      <c r="H531">
        <v>0</v>
      </c>
      <c r="I531">
        <v>0</v>
      </c>
      <c r="J531" t="s">
        <v>88</v>
      </c>
      <c r="K531" t="s">
        <v>80</v>
      </c>
      <c r="L531">
        <v>1</v>
      </c>
      <c r="M531">
        <v>0</v>
      </c>
      <c r="N531">
        <v>0</v>
      </c>
      <c r="O531">
        <v>0</v>
      </c>
      <c r="P531">
        <v>0</v>
      </c>
      <c r="Q531" t="s">
        <v>584</v>
      </c>
      <c r="R531">
        <v>1</v>
      </c>
      <c r="S531">
        <v>0</v>
      </c>
      <c r="T531">
        <v>0</v>
      </c>
      <c r="U531">
        <v>0</v>
      </c>
      <c r="V531">
        <v>0</v>
      </c>
      <c r="W531">
        <v>0</v>
      </c>
      <c r="X531">
        <v>0</v>
      </c>
      <c r="Y531">
        <v>0</v>
      </c>
      <c r="Z531">
        <v>0</v>
      </c>
      <c r="AL531" t="s">
        <v>107</v>
      </c>
      <c r="AM531" t="s">
        <v>87</v>
      </c>
      <c r="AN531" t="s">
        <v>87</v>
      </c>
      <c r="AO531" t="s">
        <v>86</v>
      </c>
      <c r="AP531" t="s">
        <v>87</v>
      </c>
      <c r="AQ531" t="s">
        <v>87</v>
      </c>
      <c r="AR531" t="s">
        <v>101</v>
      </c>
      <c r="AS531" t="s">
        <v>92</v>
      </c>
      <c r="AT531" t="s">
        <v>107</v>
      </c>
      <c r="AU531">
        <v>0</v>
      </c>
      <c r="AV531">
        <v>0</v>
      </c>
      <c r="AW531">
        <v>0</v>
      </c>
      <c r="AX531">
        <v>1</v>
      </c>
      <c r="AY531">
        <v>0</v>
      </c>
      <c r="AZ531" t="s">
        <v>579</v>
      </c>
    </row>
    <row r="532" spans="1:52" x14ac:dyDescent="0.2">
      <c r="A532">
        <v>0</v>
      </c>
      <c r="B532">
        <v>1</v>
      </c>
      <c r="C532">
        <v>0</v>
      </c>
      <c r="D532">
        <v>0</v>
      </c>
      <c r="E532">
        <v>0</v>
      </c>
      <c r="F532">
        <v>1</v>
      </c>
      <c r="G532">
        <v>1</v>
      </c>
      <c r="H532">
        <v>1</v>
      </c>
      <c r="I532">
        <v>0</v>
      </c>
      <c r="J532" t="s">
        <v>88</v>
      </c>
      <c r="K532" t="s">
        <v>89</v>
      </c>
      <c r="L532">
        <v>0</v>
      </c>
      <c r="M532">
        <v>1</v>
      </c>
      <c r="N532">
        <v>0</v>
      </c>
      <c r="O532">
        <v>0</v>
      </c>
      <c r="P532">
        <v>0</v>
      </c>
      <c r="Q532" t="s">
        <v>585</v>
      </c>
      <c r="AA532" t="s">
        <v>81</v>
      </c>
      <c r="AB532" t="s">
        <v>82</v>
      </c>
      <c r="AC532" t="s">
        <v>81</v>
      </c>
      <c r="AD532" t="s">
        <v>90</v>
      </c>
      <c r="AE532" t="s">
        <v>82</v>
      </c>
      <c r="AF532" t="s">
        <v>83</v>
      </c>
      <c r="AG532" t="s">
        <v>81</v>
      </c>
      <c r="AH532" t="s">
        <v>90</v>
      </c>
      <c r="AI532" t="s">
        <v>88</v>
      </c>
      <c r="AJ532" t="s">
        <v>89</v>
      </c>
      <c r="AK532" t="s">
        <v>100</v>
      </c>
      <c r="AL532" t="s">
        <v>107</v>
      </c>
      <c r="AM532" t="s">
        <v>87</v>
      </c>
      <c r="AN532" t="s">
        <v>86</v>
      </c>
      <c r="AO532" t="s">
        <v>87</v>
      </c>
      <c r="AP532" t="s">
        <v>87</v>
      </c>
      <c r="AQ532" t="s">
        <v>87</v>
      </c>
      <c r="AR532" t="s">
        <v>97</v>
      </c>
      <c r="AS532" t="s">
        <v>92</v>
      </c>
      <c r="AT532" t="s">
        <v>107</v>
      </c>
      <c r="AU532">
        <v>0</v>
      </c>
      <c r="AV532">
        <v>0</v>
      </c>
      <c r="AW532">
        <v>0</v>
      </c>
      <c r="AX532">
        <v>1</v>
      </c>
      <c r="AY532">
        <v>0</v>
      </c>
      <c r="AZ532" t="s">
        <v>580</v>
      </c>
    </row>
    <row r="533" spans="1:52" x14ac:dyDescent="0.2">
      <c r="A533">
        <v>1</v>
      </c>
      <c r="B533">
        <v>0</v>
      </c>
      <c r="C533">
        <v>0</v>
      </c>
      <c r="D533">
        <v>0</v>
      </c>
      <c r="E533">
        <v>1</v>
      </c>
      <c r="F533">
        <v>0</v>
      </c>
      <c r="G533">
        <v>0</v>
      </c>
      <c r="H533">
        <v>0</v>
      </c>
      <c r="I533">
        <v>0</v>
      </c>
      <c r="L533">
        <v>0</v>
      </c>
      <c r="M533">
        <v>1</v>
      </c>
      <c r="N533">
        <v>1</v>
      </c>
      <c r="O533">
        <v>0</v>
      </c>
      <c r="P533">
        <v>0</v>
      </c>
      <c r="Q533" t="s">
        <v>584</v>
      </c>
      <c r="AA533" t="s">
        <v>83</v>
      </c>
      <c r="AB533" t="s">
        <v>82</v>
      </c>
      <c r="AC533" t="s">
        <v>83</v>
      </c>
      <c r="AD533" t="s">
        <v>83</v>
      </c>
      <c r="AE533" t="s">
        <v>83</v>
      </c>
      <c r="AF533" t="s">
        <v>83</v>
      </c>
      <c r="AG533" t="s">
        <v>81</v>
      </c>
      <c r="AH533" t="s">
        <v>83</v>
      </c>
      <c r="AI533" t="s">
        <v>127</v>
      </c>
      <c r="AJ533" t="s">
        <v>127</v>
      </c>
      <c r="AL533" t="s">
        <v>107</v>
      </c>
      <c r="AM533" t="s">
        <v>74</v>
      </c>
      <c r="AR533" t="s">
        <v>97</v>
      </c>
      <c r="AS533" t="s">
        <v>92</v>
      </c>
      <c r="AT533" t="s">
        <v>107</v>
      </c>
      <c r="AU533">
        <v>0</v>
      </c>
      <c r="AV533">
        <v>0</v>
      </c>
      <c r="AW533">
        <v>0</v>
      </c>
      <c r="AX533">
        <v>1</v>
      </c>
      <c r="AY533">
        <v>0</v>
      </c>
      <c r="AZ533" t="s">
        <v>581</v>
      </c>
    </row>
    <row r="534" spans="1:52" x14ac:dyDescent="0.2">
      <c r="A534">
        <v>1</v>
      </c>
      <c r="B534">
        <v>0</v>
      </c>
      <c r="C534">
        <v>0</v>
      </c>
      <c r="D534">
        <v>0</v>
      </c>
      <c r="E534">
        <v>0</v>
      </c>
      <c r="F534">
        <v>1</v>
      </c>
      <c r="G534">
        <v>0</v>
      </c>
      <c r="H534">
        <v>1</v>
      </c>
      <c r="I534">
        <v>0</v>
      </c>
      <c r="J534" t="s">
        <v>88</v>
      </c>
      <c r="K534" t="s">
        <v>89</v>
      </c>
      <c r="L534">
        <v>0</v>
      </c>
      <c r="M534">
        <v>1</v>
      </c>
      <c r="N534">
        <v>0</v>
      </c>
      <c r="O534">
        <v>0</v>
      </c>
      <c r="P534">
        <v>0</v>
      </c>
      <c r="Q534" t="s">
        <v>584</v>
      </c>
      <c r="AA534" t="s">
        <v>90</v>
      </c>
      <c r="AB534" t="s">
        <v>82</v>
      </c>
      <c r="AC534" t="s">
        <v>81</v>
      </c>
      <c r="AD534" t="s">
        <v>81</v>
      </c>
      <c r="AE534" t="s">
        <v>90</v>
      </c>
      <c r="AF534" t="s">
        <v>90</v>
      </c>
      <c r="AG534" t="s">
        <v>90</v>
      </c>
      <c r="AH534" t="s">
        <v>83</v>
      </c>
      <c r="AI534" t="s">
        <v>88</v>
      </c>
      <c r="AJ534" t="s">
        <v>89</v>
      </c>
      <c r="AK534" t="s">
        <v>100</v>
      </c>
      <c r="AL534" t="s">
        <v>73</v>
      </c>
      <c r="AM534" t="s">
        <v>87</v>
      </c>
      <c r="AN534" t="s">
        <v>87</v>
      </c>
      <c r="AO534" t="s">
        <v>87</v>
      </c>
      <c r="AP534" t="s">
        <v>87</v>
      </c>
      <c r="AQ534" t="s">
        <v>86</v>
      </c>
      <c r="AR534" t="s">
        <v>97</v>
      </c>
      <c r="AS534" t="s">
        <v>92</v>
      </c>
      <c r="AT534" t="s">
        <v>73</v>
      </c>
      <c r="AU534">
        <v>0</v>
      </c>
      <c r="AV534">
        <v>0</v>
      </c>
      <c r="AW534">
        <v>0</v>
      </c>
      <c r="AX534">
        <v>1</v>
      </c>
      <c r="AY534">
        <v>0</v>
      </c>
      <c r="AZ534" t="s">
        <v>580</v>
      </c>
    </row>
    <row r="535" spans="1:52" x14ac:dyDescent="0.2">
      <c r="A535">
        <v>0</v>
      </c>
      <c r="B535">
        <v>1</v>
      </c>
      <c r="C535">
        <v>0</v>
      </c>
      <c r="D535">
        <v>0</v>
      </c>
      <c r="E535">
        <v>1</v>
      </c>
      <c r="F535">
        <v>0</v>
      </c>
      <c r="G535">
        <v>0</v>
      </c>
      <c r="H535">
        <v>0</v>
      </c>
      <c r="I535">
        <v>0</v>
      </c>
      <c r="L535">
        <v>1</v>
      </c>
      <c r="M535">
        <v>0</v>
      </c>
      <c r="N535">
        <v>0</v>
      </c>
      <c r="O535">
        <v>0</v>
      </c>
      <c r="P535">
        <v>0</v>
      </c>
      <c r="Q535" t="s">
        <v>584</v>
      </c>
      <c r="R535">
        <v>0</v>
      </c>
      <c r="S535">
        <v>0</v>
      </c>
      <c r="T535">
        <v>1</v>
      </c>
      <c r="U535">
        <v>0</v>
      </c>
      <c r="V535">
        <v>0</v>
      </c>
      <c r="W535">
        <v>1</v>
      </c>
      <c r="X535">
        <v>1</v>
      </c>
      <c r="Y535">
        <v>0</v>
      </c>
      <c r="Z535">
        <v>0</v>
      </c>
      <c r="AL535" t="s">
        <v>73</v>
      </c>
      <c r="AM535" t="s">
        <v>74</v>
      </c>
      <c r="AR535" t="s">
        <v>97</v>
      </c>
      <c r="AS535" t="s">
        <v>92</v>
      </c>
      <c r="AT535" t="s">
        <v>73</v>
      </c>
      <c r="AU535">
        <v>0</v>
      </c>
      <c r="AV535">
        <v>0</v>
      </c>
      <c r="AW535">
        <v>0</v>
      </c>
      <c r="AX535">
        <v>1</v>
      </c>
      <c r="AY535">
        <v>0</v>
      </c>
      <c r="AZ535" t="s">
        <v>580</v>
      </c>
    </row>
    <row r="536" spans="1:52" x14ac:dyDescent="0.2">
      <c r="A536">
        <v>0</v>
      </c>
      <c r="B536">
        <v>1</v>
      </c>
      <c r="C536">
        <v>0</v>
      </c>
      <c r="D536">
        <v>0</v>
      </c>
      <c r="E536">
        <v>0</v>
      </c>
      <c r="F536">
        <v>1</v>
      </c>
      <c r="G536">
        <v>0</v>
      </c>
      <c r="H536">
        <v>1</v>
      </c>
      <c r="I536">
        <v>0</v>
      </c>
      <c r="J536" t="s">
        <v>88</v>
      </c>
      <c r="K536" t="s">
        <v>89</v>
      </c>
      <c r="L536">
        <v>0</v>
      </c>
      <c r="M536">
        <v>1</v>
      </c>
      <c r="N536">
        <v>0</v>
      </c>
      <c r="O536">
        <v>1</v>
      </c>
      <c r="P536">
        <v>1</v>
      </c>
      <c r="Q536" t="s">
        <v>584</v>
      </c>
      <c r="AA536" t="s">
        <v>83</v>
      </c>
      <c r="AB536" t="s">
        <v>82</v>
      </c>
      <c r="AC536" t="s">
        <v>81</v>
      </c>
      <c r="AD536" t="s">
        <v>82</v>
      </c>
      <c r="AE536" t="s">
        <v>81</v>
      </c>
      <c r="AF536" t="s">
        <v>83</v>
      </c>
      <c r="AG536" t="s">
        <v>82</v>
      </c>
      <c r="AH536" t="s">
        <v>83</v>
      </c>
      <c r="AI536" t="s">
        <v>88</v>
      </c>
      <c r="AJ536" t="s">
        <v>89</v>
      </c>
      <c r="AK536" t="s">
        <v>100</v>
      </c>
      <c r="AL536" t="s">
        <v>96</v>
      </c>
      <c r="AM536" t="s">
        <v>86</v>
      </c>
      <c r="AN536" t="s">
        <v>86</v>
      </c>
      <c r="AO536" t="s">
        <v>87</v>
      </c>
      <c r="AP536" t="s">
        <v>86</v>
      </c>
      <c r="AQ536" t="s">
        <v>86</v>
      </c>
      <c r="AR536" t="s">
        <v>97</v>
      </c>
      <c r="AS536" t="s">
        <v>92</v>
      </c>
      <c r="AT536" t="s">
        <v>96</v>
      </c>
      <c r="AU536">
        <v>0</v>
      </c>
      <c r="AV536">
        <v>0</v>
      </c>
      <c r="AW536">
        <v>0</v>
      </c>
      <c r="AX536">
        <v>1</v>
      </c>
      <c r="AY536">
        <v>0</v>
      </c>
      <c r="AZ536" t="s">
        <v>581</v>
      </c>
    </row>
    <row r="537" spans="1:52" x14ac:dyDescent="0.2">
      <c r="A537">
        <v>1</v>
      </c>
      <c r="B537">
        <v>0</v>
      </c>
      <c r="C537">
        <v>0</v>
      </c>
      <c r="D537">
        <v>0</v>
      </c>
      <c r="E537">
        <v>1</v>
      </c>
      <c r="F537">
        <v>0</v>
      </c>
      <c r="G537">
        <v>0</v>
      </c>
      <c r="H537">
        <v>0</v>
      </c>
      <c r="I537">
        <v>0</v>
      </c>
      <c r="L537">
        <v>1</v>
      </c>
      <c r="M537">
        <v>0</v>
      </c>
      <c r="N537">
        <v>0</v>
      </c>
      <c r="O537">
        <v>0</v>
      </c>
      <c r="P537">
        <v>0</v>
      </c>
      <c r="Q537" t="s">
        <v>584</v>
      </c>
      <c r="R537">
        <v>0</v>
      </c>
      <c r="S537">
        <v>1</v>
      </c>
      <c r="T537">
        <v>0</v>
      </c>
      <c r="U537">
        <v>0</v>
      </c>
      <c r="V537">
        <v>0</v>
      </c>
      <c r="W537">
        <v>0</v>
      </c>
      <c r="X537">
        <v>0</v>
      </c>
      <c r="Y537">
        <v>0</v>
      </c>
      <c r="Z537">
        <v>0</v>
      </c>
      <c r="AL537" t="s">
        <v>96</v>
      </c>
      <c r="AM537" t="s">
        <v>87</v>
      </c>
      <c r="AN537" t="s">
        <v>74</v>
      </c>
      <c r="AO537" t="s">
        <v>74</v>
      </c>
      <c r="AP537" t="s">
        <v>74</v>
      </c>
      <c r="AQ537" t="s">
        <v>74</v>
      </c>
      <c r="AR537" t="s">
        <v>97</v>
      </c>
      <c r="AS537" t="s">
        <v>92</v>
      </c>
      <c r="AT537" t="s">
        <v>96</v>
      </c>
      <c r="AU537">
        <v>0</v>
      </c>
      <c r="AV537">
        <v>0</v>
      </c>
      <c r="AW537">
        <v>0</v>
      </c>
      <c r="AX537">
        <v>1</v>
      </c>
      <c r="AY537">
        <v>0</v>
      </c>
      <c r="AZ537" t="s">
        <v>580</v>
      </c>
    </row>
    <row r="538" spans="1:52" x14ac:dyDescent="0.2">
      <c r="A538">
        <v>1</v>
      </c>
      <c r="B538">
        <v>0</v>
      </c>
      <c r="C538">
        <v>0</v>
      </c>
      <c r="D538">
        <v>0</v>
      </c>
      <c r="E538">
        <v>1</v>
      </c>
      <c r="F538">
        <v>0</v>
      </c>
      <c r="G538">
        <v>0</v>
      </c>
      <c r="H538">
        <v>0</v>
      </c>
      <c r="I538">
        <v>0</v>
      </c>
      <c r="L538">
        <v>1</v>
      </c>
      <c r="M538">
        <v>0</v>
      </c>
      <c r="N538">
        <v>0</v>
      </c>
      <c r="O538">
        <v>0</v>
      </c>
      <c r="P538">
        <v>0</v>
      </c>
      <c r="Q538" t="s">
        <v>584</v>
      </c>
      <c r="R538">
        <v>0</v>
      </c>
      <c r="S538">
        <v>0</v>
      </c>
      <c r="T538">
        <v>1</v>
      </c>
      <c r="U538">
        <v>0</v>
      </c>
      <c r="V538">
        <v>1</v>
      </c>
      <c r="W538">
        <v>0</v>
      </c>
      <c r="X538">
        <v>0</v>
      </c>
      <c r="Y538">
        <v>0</v>
      </c>
      <c r="Z538">
        <v>1</v>
      </c>
      <c r="AL538" t="s">
        <v>73</v>
      </c>
      <c r="AM538" t="s">
        <v>74</v>
      </c>
      <c r="AR538" t="s">
        <v>97</v>
      </c>
      <c r="AS538" t="s">
        <v>92</v>
      </c>
      <c r="AT538" t="s">
        <v>73</v>
      </c>
      <c r="AU538">
        <v>0</v>
      </c>
      <c r="AV538">
        <v>0</v>
      </c>
      <c r="AW538">
        <v>0</v>
      </c>
      <c r="AX538">
        <v>1</v>
      </c>
      <c r="AY538">
        <v>0</v>
      </c>
      <c r="AZ538" t="s">
        <v>580</v>
      </c>
    </row>
    <row r="539" spans="1:52" x14ac:dyDescent="0.2">
      <c r="A539">
        <v>1</v>
      </c>
      <c r="B539">
        <v>0</v>
      </c>
      <c r="C539">
        <v>0</v>
      </c>
      <c r="D539">
        <v>0</v>
      </c>
      <c r="E539">
        <v>0</v>
      </c>
      <c r="F539">
        <v>1</v>
      </c>
      <c r="G539">
        <v>0</v>
      </c>
      <c r="H539">
        <v>0</v>
      </c>
      <c r="I539">
        <v>0</v>
      </c>
      <c r="J539" t="s">
        <v>88</v>
      </c>
      <c r="K539" t="s">
        <v>89</v>
      </c>
      <c r="L539">
        <v>0</v>
      </c>
      <c r="M539">
        <v>1</v>
      </c>
      <c r="N539">
        <v>0</v>
      </c>
      <c r="O539">
        <v>0</v>
      </c>
      <c r="P539">
        <v>0</v>
      </c>
      <c r="Q539" t="s">
        <v>584</v>
      </c>
      <c r="AA539" t="s">
        <v>90</v>
      </c>
      <c r="AB539" t="s">
        <v>82</v>
      </c>
      <c r="AC539" t="s">
        <v>90</v>
      </c>
      <c r="AD539" t="s">
        <v>81</v>
      </c>
      <c r="AE539" t="s">
        <v>90</v>
      </c>
      <c r="AF539" t="s">
        <v>90</v>
      </c>
      <c r="AG539" t="s">
        <v>90</v>
      </c>
      <c r="AH539" t="s">
        <v>90</v>
      </c>
      <c r="AI539" t="s">
        <v>88</v>
      </c>
      <c r="AJ539" t="s">
        <v>89</v>
      </c>
      <c r="AK539" t="s">
        <v>100</v>
      </c>
      <c r="AL539" t="s">
        <v>107</v>
      </c>
      <c r="AM539" t="s">
        <v>87</v>
      </c>
      <c r="AN539" t="s">
        <v>74</v>
      </c>
      <c r="AO539" t="s">
        <v>87</v>
      </c>
      <c r="AP539" t="s">
        <v>86</v>
      </c>
      <c r="AQ539" t="s">
        <v>74</v>
      </c>
      <c r="AR539" t="s">
        <v>97</v>
      </c>
      <c r="AS539" t="s">
        <v>92</v>
      </c>
      <c r="AT539" t="s">
        <v>107</v>
      </c>
      <c r="AU539">
        <v>0</v>
      </c>
      <c r="AV539">
        <v>0</v>
      </c>
      <c r="AW539">
        <v>0</v>
      </c>
      <c r="AX539">
        <v>1</v>
      </c>
      <c r="AY539">
        <v>0</v>
      </c>
      <c r="AZ539" t="s">
        <v>580</v>
      </c>
    </row>
    <row r="540" spans="1:52" x14ac:dyDescent="0.2">
      <c r="A540">
        <v>0</v>
      </c>
      <c r="B540">
        <v>1</v>
      </c>
      <c r="C540">
        <v>0</v>
      </c>
      <c r="D540">
        <v>0</v>
      </c>
      <c r="E540">
        <v>1</v>
      </c>
      <c r="F540">
        <v>0</v>
      </c>
      <c r="G540">
        <v>0</v>
      </c>
      <c r="H540">
        <v>0</v>
      </c>
      <c r="I540">
        <v>0</v>
      </c>
      <c r="L540">
        <v>1</v>
      </c>
      <c r="M540">
        <v>0</v>
      </c>
      <c r="N540">
        <v>0</v>
      </c>
      <c r="O540">
        <v>0</v>
      </c>
      <c r="P540">
        <v>0</v>
      </c>
      <c r="Q540" t="s">
        <v>584</v>
      </c>
      <c r="R540">
        <v>0</v>
      </c>
      <c r="S540">
        <v>0</v>
      </c>
      <c r="T540">
        <v>0</v>
      </c>
      <c r="U540">
        <v>0</v>
      </c>
      <c r="V540">
        <v>0</v>
      </c>
      <c r="W540">
        <v>0</v>
      </c>
      <c r="X540">
        <v>1</v>
      </c>
      <c r="Y540">
        <v>0</v>
      </c>
      <c r="Z540">
        <v>0</v>
      </c>
      <c r="AL540" t="s">
        <v>96</v>
      </c>
      <c r="AM540" t="s">
        <v>74</v>
      </c>
      <c r="AR540" t="s">
        <v>97</v>
      </c>
      <c r="AS540" t="s">
        <v>92</v>
      </c>
      <c r="AT540" t="s">
        <v>96</v>
      </c>
      <c r="AU540">
        <v>0</v>
      </c>
      <c r="AV540">
        <v>0</v>
      </c>
      <c r="AW540">
        <v>0</v>
      </c>
      <c r="AX540">
        <v>1</v>
      </c>
      <c r="AY540">
        <v>0</v>
      </c>
      <c r="AZ540" t="s">
        <v>581</v>
      </c>
    </row>
    <row r="541" spans="1:52" x14ac:dyDescent="0.2">
      <c r="A541">
        <v>1</v>
      </c>
      <c r="B541">
        <v>0</v>
      </c>
      <c r="C541">
        <v>0</v>
      </c>
      <c r="D541">
        <v>0</v>
      </c>
      <c r="E541">
        <v>0</v>
      </c>
      <c r="F541">
        <v>1</v>
      </c>
      <c r="G541">
        <v>0</v>
      </c>
      <c r="H541">
        <v>0</v>
      </c>
      <c r="I541">
        <v>0</v>
      </c>
      <c r="J541" t="s">
        <v>88</v>
      </c>
      <c r="K541" t="s">
        <v>89</v>
      </c>
      <c r="L541">
        <v>1</v>
      </c>
      <c r="M541">
        <v>0</v>
      </c>
      <c r="N541">
        <v>0</v>
      </c>
      <c r="O541">
        <v>0</v>
      </c>
      <c r="P541">
        <v>0</v>
      </c>
      <c r="Q541" t="s">
        <v>584</v>
      </c>
      <c r="R541">
        <v>0</v>
      </c>
      <c r="S541">
        <v>1</v>
      </c>
      <c r="T541">
        <v>0</v>
      </c>
      <c r="U541">
        <v>0</v>
      </c>
      <c r="V541">
        <v>0</v>
      </c>
      <c r="W541">
        <v>0</v>
      </c>
      <c r="X541">
        <v>0</v>
      </c>
      <c r="Y541">
        <v>0</v>
      </c>
      <c r="Z541">
        <v>0</v>
      </c>
      <c r="AL541" t="s">
        <v>73</v>
      </c>
      <c r="AM541" t="s">
        <v>87</v>
      </c>
      <c r="AN541" t="s">
        <v>74</v>
      </c>
      <c r="AO541" t="s">
        <v>87</v>
      </c>
      <c r="AP541" t="s">
        <v>74</v>
      </c>
      <c r="AQ541" t="s">
        <v>74</v>
      </c>
      <c r="AR541" t="s">
        <v>97</v>
      </c>
      <c r="AS541" t="s">
        <v>92</v>
      </c>
      <c r="AT541" t="s">
        <v>73</v>
      </c>
      <c r="AU541">
        <v>0</v>
      </c>
      <c r="AV541">
        <v>0</v>
      </c>
      <c r="AW541">
        <v>0</v>
      </c>
      <c r="AX541">
        <v>1</v>
      </c>
      <c r="AY541">
        <v>0</v>
      </c>
      <c r="AZ541" t="s">
        <v>580</v>
      </c>
    </row>
    <row r="542" spans="1:52" x14ac:dyDescent="0.2">
      <c r="A542">
        <v>1</v>
      </c>
      <c r="B542">
        <v>0</v>
      </c>
      <c r="C542">
        <v>0</v>
      </c>
      <c r="D542">
        <v>0</v>
      </c>
      <c r="E542">
        <v>0</v>
      </c>
      <c r="F542">
        <v>1</v>
      </c>
      <c r="G542">
        <v>0</v>
      </c>
      <c r="H542">
        <v>0</v>
      </c>
      <c r="I542">
        <v>0</v>
      </c>
      <c r="J542" t="s">
        <v>135</v>
      </c>
      <c r="K542" t="s">
        <v>80</v>
      </c>
      <c r="L542">
        <v>1</v>
      </c>
      <c r="M542">
        <v>0</v>
      </c>
      <c r="N542">
        <v>0</v>
      </c>
      <c r="O542">
        <v>0</v>
      </c>
      <c r="P542">
        <v>0</v>
      </c>
      <c r="Q542" t="s">
        <v>584</v>
      </c>
      <c r="R542">
        <v>0</v>
      </c>
      <c r="S542">
        <v>0</v>
      </c>
      <c r="T542">
        <v>0</v>
      </c>
      <c r="U542">
        <v>0</v>
      </c>
      <c r="V542">
        <v>0</v>
      </c>
      <c r="W542">
        <v>0</v>
      </c>
      <c r="X542">
        <v>0</v>
      </c>
      <c r="Y542">
        <v>0</v>
      </c>
      <c r="Z542">
        <v>1</v>
      </c>
      <c r="AL542" t="s">
        <v>73</v>
      </c>
      <c r="AM542" t="s">
        <v>87</v>
      </c>
      <c r="AN542" t="s">
        <v>86</v>
      </c>
      <c r="AO542" t="s">
        <v>87</v>
      </c>
      <c r="AP542" t="s">
        <v>74</v>
      </c>
      <c r="AQ542" t="s">
        <v>74</v>
      </c>
      <c r="AR542" t="s">
        <v>97</v>
      </c>
      <c r="AS542" t="s">
        <v>92</v>
      </c>
      <c r="AT542" t="s">
        <v>73</v>
      </c>
      <c r="AU542">
        <v>0</v>
      </c>
      <c r="AV542">
        <v>0</v>
      </c>
      <c r="AW542">
        <v>0</v>
      </c>
      <c r="AX542">
        <v>1</v>
      </c>
      <c r="AY542">
        <v>0</v>
      </c>
      <c r="AZ542" t="s">
        <v>580</v>
      </c>
    </row>
    <row r="543" spans="1:52" x14ac:dyDescent="0.2">
      <c r="A543">
        <v>0</v>
      </c>
      <c r="B543">
        <v>1</v>
      </c>
      <c r="C543">
        <v>0</v>
      </c>
      <c r="D543">
        <v>0</v>
      </c>
      <c r="E543">
        <v>0</v>
      </c>
      <c r="F543">
        <v>1</v>
      </c>
      <c r="G543">
        <v>0</v>
      </c>
      <c r="H543">
        <v>0</v>
      </c>
      <c r="I543">
        <v>0</v>
      </c>
      <c r="J543" t="s">
        <v>88</v>
      </c>
      <c r="K543" t="s">
        <v>89</v>
      </c>
      <c r="L543">
        <v>0</v>
      </c>
      <c r="M543">
        <v>1</v>
      </c>
      <c r="N543">
        <v>0</v>
      </c>
      <c r="O543">
        <v>0</v>
      </c>
      <c r="P543">
        <v>1</v>
      </c>
      <c r="Q543" t="s">
        <v>584</v>
      </c>
      <c r="AA543" t="s">
        <v>83</v>
      </c>
      <c r="AB543" t="s">
        <v>81</v>
      </c>
      <c r="AC543" t="s">
        <v>83</v>
      </c>
      <c r="AD543" t="s">
        <v>81</v>
      </c>
      <c r="AE543" t="s">
        <v>82</v>
      </c>
      <c r="AF543" t="s">
        <v>82</v>
      </c>
      <c r="AG543" t="s">
        <v>81</v>
      </c>
      <c r="AH543" t="s">
        <v>83</v>
      </c>
      <c r="AI543" t="s">
        <v>88</v>
      </c>
      <c r="AJ543" t="s">
        <v>89</v>
      </c>
      <c r="AK543" t="s">
        <v>100</v>
      </c>
      <c r="AL543" t="s">
        <v>107</v>
      </c>
      <c r="AM543" t="s">
        <v>86</v>
      </c>
      <c r="AN543" t="s">
        <v>87</v>
      </c>
      <c r="AO543" t="s">
        <v>87</v>
      </c>
      <c r="AP543" t="s">
        <v>87</v>
      </c>
      <c r="AQ543" t="s">
        <v>87</v>
      </c>
      <c r="AR543" t="s">
        <v>97</v>
      </c>
      <c r="AS543" t="s">
        <v>92</v>
      </c>
      <c r="AT543" t="s">
        <v>107</v>
      </c>
      <c r="AU543">
        <v>0</v>
      </c>
      <c r="AV543">
        <v>0</v>
      </c>
      <c r="AW543">
        <v>0</v>
      </c>
      <c r="AX543">
        <v>1</v>
      </c>
      <c r="AY543">
        <v>0</v>
      </c>
      <c r="AZ543" t="s">
        <v>580</v>
      </c>
    </row>
    <row r="544" spans="1:52" x14ac:dyDescent="0.2">
      <c r="A544">
        <v>1</v>
      </c>
      <c r="B544">
        <v>0</v>
      </c>
      <c r="C544">
        <v>0</v>
      </c>
      <c r="D544">
        <v>0</v>
      </c>
      <c r="E544">
        <v>0</v>
      </c>
      <c r="F544">
        <v>1</v>
      </c>
      <c r="G544">
        <v>0</v>
      </c>
      <c r="H544">
        <v>0</v>
      </c>
      <c r="I544">
        <v>0</v>
      </c>
      <c r="J544" t="s">
        <v>88</v>
      </c>
      <c r="K544" t="s">
        <v>89</v>
      </c>
      <c r="L544">
        <v>1</v>
      </c>
      <c r="M544">
        <v>0</v>
      </c>
      <c r="N544">
        <v>0</v>
      </c>
      <c r="O544">
        <v>0</v>
      </c>
      <c r="P544">
        <v>0</v>
      </c>
      <c r="Q544" t="s">
        <v>584</v>
      </c>
      <c r="R544">
        <v>0</v>
      </c>
      <c r="S544">
        <v>0</v>
      </c>
      <c r="T544">
        <v>0</v>
      </c>
      <c r="U544">
        <v>0</v>
      </c>
      <c r="V544">
        <v>0</v>
      </c>
      <c r="W544">
        <v>0</v>
      </c>
      <c r="X544">
        <v>0</v>
      </c>
      <c r="Y544">
        <v>1</v>
      </c>
      <c r="Z544">
        <v>0</v>
      </c>
      <c r="AL544" t="s">
        <v>73</v>
      </c>
      <c r="AM544" t="s">
        <v>87</v>
      </c>
      <c r="AN544" t="s">
        <v>74</v>
      </c>
      <c r="AO544" t="s">
        <v>87</v>
      </c>
      <c r="AP544" t="s">
        <v>74</v>
      </c>
      <c r="AQ544" t="s">
        <v>74</v>
      </c>
      <c r="AR544" t="s">
        <v>75</v>
      </c>
      <c r="AS544" t="s">
        <v>92</v>
      </c>
      <c r="AT544" t="s">
        <v>73</v>
      </c>
      <c r="AU544">
        <v>0</v>
      </c>
      <c r="AV544">
        <v>0</v>
      </c>
      <c r="AW544">
        <v>0</v>
      </c>
      <c r="AX544">
        <v>1</v>
      </c>
      <c r="AY544">
        <v>0</v>
      </c>
      <c r="AZ544" t="s">
        <v>580</v>
      </c>
    </row>
    <row r="545" spans="1:52" x14ac:dyDescent="0.2">
      <c r="A545">
        <v>1</v>
      </c>
      <c r="B545">
        <v>0</v>
      </c>
      <c r="C545">
        <v>0</v>
      </c>
      <c r="D545">
        <v>0</v>
      </c>
      <c r="E545">
        <v>0</v>
      </c>
      <c r="F545">
        <v>1</v>
      </c>
      <c r="G545">
        <v>0</v>
      </c>
      <c r="H545">
        <v>0</v>
      </c>
      <c r="I545">
        <v>0</v>
      </c>
      <c r="J545" t="s">
        <v>135</v>
      </c>
      <c r="K545" t="s">
        <v>80</v>
      </c>
      <c r="L545">
        <v>1</v>
      </c>
      <c r="M545">
        <v>0</v>
      </c>
      <c r="N545">
        <v>0</v>
      </c>
      <c r="O545">
        <v>0</v>
      </c>
      <c r="P545">
        <v>0</v>
      </c>
      <c r="Q545" t="s">
        <v>584</v>
      </c>
      <c r="R545">
        <v>0</v>
      </c>
      <c r="S545">
        <v>0</v>
      </c>
      <c r="T545">
        <v>1</v>
      </c>
      <c r="U545">
        <v>0</v>
      </c>
      <c r="V545">
        <v>0</v>
      </c>
      <c r="W545">
        <v>0</v>
      </c>
      <c r="X545">
        <v>0</v>
      </c>
      <c r="Y545">
        <v>0</v>
      </c>
      <c r="Z545">
        <v>0</v>
      </c>
      <c r="AL545" t="s">
        <v>107</v>
      </c>
      <c r="AM545" t="s">
        <v>87</v>
      </c>
      <c r="AN545" t="s">
        <v>87</v>
      </c>
      <c r="AO545" t="s">
        <v>87</v>
      </c>
      <c r="AP545" t="s">
        <v>87</v>
      </c>
      <c r="AQ545" t="s">
        <v>87</v>
      </c>
      <c r="AR545" t="s">
        <v>75</v>
      </c>
      <c r="AS545" t="s">
        <v>92</v>
      </c>
      <c r="AT545" t="s">
        <v>107</v>
      </c>
      <c r="AU545">
        <v>0</v>
      </c>
      <c r="AV545">
        <v>0</v>
      </c>
      <c r="AW545">
        <v>0</v>
      </c>
      <c r="AX545">
        <v>1</v>
      </c>
      <c r="AY545">
        <v>0</v>
      </c>
      <c r="AZ545" t="s">
        <v>580</v>
      </c>
    </row>
    <row r="546" spans="1:52" x14ac:dyDescent="0.2">
      <c r="A546">
        <v>1</v>
      </c>
      <c r="B546">
        <v>0</v>
      </c>
      <c r="C546">
        <v>0</v>
      </c>
      <c r="D546">
        <v>0</v>
      </c>
      <c r="E546">
        <v>0</v>
      </c>
      <c r="F546">
        <v>1</v>
      </c>
      <c r="G546">
        <v>0</v>
      </c>
      <c r="H546">
        <v>0</v>
      </c>
      <c r="I546">
        <v>0</v>
      </c>
      <c r="J546" t="s">
        <v>88</v>
      </c>
      <c r="K546" t="s">
        <v>89</v>
      </c>
      <c r="L546">
        <v>0</v>
      </c>
      <c r="M546">
        <v>0</v>
      </c>
      <c r="N546">
        <v>1</v>
      </c>
      <c r="O546">
        <v>0</v>
      </c>
      <c r="P546">
        <v>0</v>
      </c>
      <c r="Q546" t="s">
        <v>584</v>
      </c>
      <c r="AA546" t="s">
        <v>81</v>
      </c>
      <c r="AB546" t="s">
        <v>82</v>
      </c>
      <c r="AC546" t="s">
        <v>83</v>
      </c>
      <c r="AD546" t="s">
        <v>83</v>
      </c>
      <c r="AE546" t="s">
        <v>81</v>
      </c>
      <c r="AF546" t="s">
        <v>81</v>
      </c>
      <c r="AG546" t="s">
        <v>83</v>
      </c>
      <c r="AH546" t="s">
        <v>83</v>
      </c>
      <c r="AI546" t="s">
        <v>88</v>
      </c>
      <c r="AJ546" t="s">
        <v>89</v>
      </c>
      <c r="AK546" t="s">
        <v>100</v>
      </c>
      <c r="AL546" t="s">
        <v>73</v>
      </c>
      <c r="AM546" t="s">
        <v>87</v>
      </c>
      <c r="AN546" t="s">
        <v>87</v>
      </c>
      <c r="AO546" t="s">
        <v>87</v>
      </c>
      <c r="AP546" t="s">
        <v>86</v>
      </c>
      <c r="AQ546" t="s">
        <v>87</v>
      </c>
      <c r="AR546" t="s">
        <v>97</v>
      </c>
      <c r="AS546" t="s">
        <v>92</v>
      </c>
      <c r="AT546" t="s">
        <v>73</v>
      </c>
      <c r="AU546">
        <v>0</v>
      </c>
      <c r="AV546">
        <v>0</v>
      </c>
      <c r="AW546">
        <v>0</v>
      </c>
      <c r="AX546">
        <v>1</v>
      </c>
      <c r="AY546">
        <v>0</v>
      </c>
      <c r="AZ546" t="s">
        <v>581</v>
      </c>
    </row>
    <row r="547" spans="1:52" x14ac:dyDescent="0.2">
      <c r="A547">
        <v>0</v>
      </c>
      <c r="B547">
        <v>1</v>
      </c>
      <c r="C547">
        <v>0</v>
      </c>
      <c r="D547">
        <v>0</v>
      </c>
      <c r="E547">
        <v>1</v>
      </c>
      <c r="F547">
        <v>0</v>
      </c>
      <c r="G547">
        <v>0</v>
      </c>
      <c r="H547">
        <v>0</v>
      </c>
      <c r="I547">
        <v>0</v>
      </c>
      <c r="L547">
        <v>1</v>
      </c>
      <c r="M547">
        <v>0</v>
      </c>
      <c r="N547">
        <v>0</v>
      </c>
      <c r="O547">
        <v>0</v>
      </c>
      <c r="P547">
        <v>0</v>
      </c>
      <c r="Q547" t="s">
        <v>584</v>
      </c>
      <c r="R547">
        <v>0</v>
      </c>
      <c r="S547">
        <v>1</v>
      </c>
      <c r="T547">
        <v>0</v>
      </c>
      <c r="U547">
        <v>0</v>
      </c>
      <c r="V547">
        <v>0</v>
      </c>
      <c r="W547">
        <v>0</v>
      </c>
      <c r="X547">
        <v>0</v>
      </c>
      <c r="Y547">
        <v>0</v>
      </c>
      <c r="Z547">
        <v>0</v>
      </c>
      <c r="AL547" t="s">
        <v>96</v>
      </c>
      <c r="AM547" t="s">
        <v>86</v>
      </c>
      <c r="AN547" t="s">
        <v>74</v>
      </c>
      <c r="AO547" t="s">
        <v>86</v>
      </c>
      <c r="AP547" t="s">
        <v>86</v>
      </c>
      <c r="AQ547" t="s">
        <v>86</v>
      </c>
      <c r="AR547" t="s">
        <v>97</v>
      </c>
      <c r="AS547" t="s">
        <v>92</v>
      </c>
      <c r="AT547" t="s">
        <v>96</v>
      </c>
      <c r="AU547">
        <v>0</v>
      </c>
      <c r="AV547">
        <v>0</v>
      </c>
      <c r="AW547">
        <v>0</v>
      </c>
      <c r="AX547">
        <v>1</v>
      </c>
      <c r="AY547">
        <v>0</v>
      </c>
      <c r="AZ547" t="s">
        <v>580</v>
      </c>
    </row>
    <row r="548" spans="1:52" x14ac:dyDescent="0.2">
      <c r="A548">
        <v>0</v>
      </c>
      <c r="B548">
        <v>1</v>
      </c>
      <c r="C548">
        <v>0</v>
      </c>
      <c r="D548">
        <v>0</v>
      </c>
      <c r="E548">
        <v>0</v>
      </c>
      <c r="F548">
        <v>0</v>
      </c>
      <c r="G548">
        <v>0</v>
      </c>
      <c r="H548">
        <v>1</v>
      </c>
      <c r="I548">
        <v>1</v>
      </c>
      <c r="J548" t="s">
        <v>88</v>
      </c>
      <c r="K548" t="s">
        <v>89</v>
      </c>
      <c r="L548">
        <v>0</v>
      </c>
      <c r="M548">
        <v>1</v>
      </c>
      <c r="N548">
        <v>0</v>
      </c>
      <c r="O548">
        <v>1</v>
      </c>
      <c r="P548">
        <v>0</v>
      </c>
      <c r="Q548" t="s">
        <v>584</v>
      </c>
      <c r="AA548" t="s">
        <v>83</v>
      </c>
      <c r="AB548" t="s">
        <v>81</v>
      </c>
      <c r="AC548" t="s">
        <v>81</v>
      </c>
      <c r="AD548" t="s">
        <v>81</v>
      </c>
      <c r="AE548" t="s">
        <v>82</v>
      </c>
      <c r="AF548" t="s">
        <v>81</v>
      </c>
      <c r="AG548" t="s">
        <v>83</v>
      </c>
      <c r="AH548" t="s">
        <v>83</v>
      </c>
      <c r="AI548" t="s">
        <v>84</v>
      </c>
      <c r="AJ548" t="s">
        <v>80</v>
      </c>
      <c r="AK548" t="s">
        <v>100</v>
      </c>
      <c r="AL548" t="s">
        <v>73</v>
      </c>
      <c r="AM548" t="s">
        <v>86</v>
      </c>
      <c r="AN548" t="s">
        <v>87</v>
      </c>
      <c r="AO548" t="s">
        <v>87</v>
      </c>
      <c r="AP548" t="s">
        <v>87</v>
      </c>
      <c r="AQ548" t="s">
        <v>86</v>
      </c>
      <c r="AR548" t="s">
        <v>97</v>
      </c>
      <c r="AS548" t="s">
        <v>92</v>
      </c>
      <c r="AT548" t="s">
        <v>73</v>
      </c>
      <c r="AU548">
        <v>0</v>
      </c>
      <c r="AV548">
        <v>0</v>
      </c>
      <c r="AW548">
        <v>0</v>
      </c>
      <c r="AX548">
        <v>1</v>
      </c>
      <c r="AY548">
        <v>0</v>
      </c>
      <c r="AZ548" t="s">
        <v>581</v>
      </c>
    </row>
    <row r="549" spans="1:52" x14ac:dyDescent="0.2">
      <c r="A549">
        <v>1</v>
      </c>
      <c r="B549">
        <v>0</v>
      </c>
      <c r="C549">
        <v>0</v>
      </c>
      <c r="D549">
        <v>0</v>
      </c>
      <c r="E549">
        <v>1</v>
      </c>
      <c r="F549">
        <v>0</v>
      </c>
      <c r="G549">
        <v>0</v>
      </c>
      <c r="H549">
        <v>0</v>
      </c>
      <c r="I549">
        <v>0</v>
      </c>
      <c r="L549">
        <v>1</v>
      </c>
      <c r="M549">
        <v>0</v>
      </c>
      <c r="N549">
        <v>0</v>
      </c>
      <c r="O549">
        <v>0</v>
      </c>
      <c r="P549">
        <v>0</v>
      </c>
      <c r="Q549" t="s">
        <v>584</v>
      </c>
      <c r="R549">
        <v>0</v>
      </c>
      <c r="S549">
        <v>1</v>
      </c>
      <c r="T549">
        <v>0</v>
      </c>
      <c r="U549">
        <v>0</v>
      </c>
      <c r="V549">
        <v>0</v>
      </c>
      <c r="W549">
        <v>0</v>
      </c>
      <c r="X549">
        <v>0</v>
      </c>
      <c r="Y549">
        <v>0</v>
      </c>
      <c r="Z549">
        <v>0</v>
      </c>
      <c r="AL549" t="s">
        <v>120</v>
      </c>
      <c r="AM549" t="s">
        <v>74</v>
      </c>
      <c r="AR549" t="s">
        <v>75</v>
      </c>
      <c r="AS549" t="s">
        <v>92</v>
      </c>
      <c r="AT549" t="s">
        <v>120</v>
      </c>
      <c r="AU549">
        <v>0</v>
      </c>
      <c r="AV549">
        <v>0</v>
      </c>
      <c r="AW549">
        <v>0</v>
      </c>
      <c r="AX549">
        <v>1</v>
      </c>
      <c r="AY549">
        <v>0</v>
      </c>
      <c r="AZ549" t="s">
        <v>580</v>
      </c>
    </row>
    <row r="550" spans="1:52" x14ac:dyDescent="0.2">
      <c r="A550">
        <v>1</v>
      </c>
      <c r="B550">
        <v>0</v>
      </c>
      <c r="C550">
        <v>0</v>
      </c>
      <c r="D550">
        <v>0</v>
      </c>
      <c r="E550">
        <v>0</v>
      </c>
      <c r="F550">
        <v>1</v>
      </c>
      <c r="G550">
        <v>1</v>
      </c>
      <c r="H550">
        <v>1</v>
      </c>
      <c r="I550">
        <v>1</v>
      </c>
      <c r="J550" t="s">
        <v>88</v>
      </c>
      <c r="K550" t="s">
        <v>89</v>
      </c>
      <c r="L550">
        <v>0</v>
      </c>
      <c r="M550">
        <v>1</v>
      </c>
      <c r="N550">
        <v>1</v>
      </c>
      <c r="O550">
        <v>0</v>
      </c>
      <c r="P550">
        <v>0</v>
      </c>
      <c r="Q550" t="s">
        <v>584</v>
      </c>
      <c r="AA550" t="s">
        <v>82</v>
      </c>
      <c r="AB550" t="s">
        <v>82</v>
      </c>
      <c r="AC550" t="s">
        <v>81</v>
      </c>
      <c r="AD550" t="s">
        <v>81</v>
      </c>
      <c r="AE550" t="s">
        <v>82</v>
      </c>
      <c r="AF550" t="s">
        <v>82</v>
      </c>
      <c r="AG550" t="s">
        <v>82</v>
      </c>
      <c r="AH550" t="s">
        <v>83</v>
      </c>
      <c r="AI550" t="s">
        <v>88</v>
      </c>
      <c r="AJ550" t="s">
        <v>89</v>
      </c>
      <c r="AK550" t="s">
        <v>100</v>
      </c>
      <c r="AL550" t="s">
        <v>73</v>
      </c>
      <c r="AM550" t="s">
        <v>87</v>
      </c>
      <c r="AN550" t="s">
        <v>87</v>
      </c>
      <c r="AO550" t="s">
        <v>87</v>
      </c>
      <c r="AP550" t="s">
        <v>87</v>
      </c>
      <c r="AQ550" t="s">
        <v>87</v>
      </c>
      <c r="AR550" t="s">
        <v>97</v>
      </c>
      <c r="AS550" t="s">
        <v>92</v>
      </c>
      <c r="AT550" t="s">
        <v>73</v>
      </c>
      <c r="AU550">
        <v>0</v>
      </c>
      <c r="AV550">
        <v>0</v>
      </c>
      <c r="AW550">
        <v>0</v>
      </c>
      <c r="AX550">
        <v>1</v>
      </c>
      <c r="AY550">
        <v>0</v>
      </c>
      <c r="AZ550" t="s">
        <v>580</v>
      </c>
    </row>
    <row r="551" spans="1:52" x14ac:dyDescent="0.2">
      <c r="A551">
        <v>1</v>
      </c>
      <c r="B551">
        <v>0</v>
      </c>
      <c r="C551">
        <v>0</v>
      </c>
      <c r="D551">
        <v>0</v>
      </c>
      <c r="E551">
        <v>1</v>
      </c>
      <c r="F551">
        <v>0</v>
      </c>
      <c r="G551">
        <v>0</v>
      </c>
      <c r="H551">
        <v>0</v>
      </c>
      <c r="I551">
        <v>0</v>
      </c>
      <c r="L551">
        <v>1</v>
      </c>
      <c r="M551">
        <v>0</v>
      </c>
      <c r="N551">
        <v>0</v>
      </c>
      <c r="O551">
        <v>0</v>
      </c>
      <c r="P551">
        <v>0</v>
      </c>
      <c r="Q551" t="s">
        <v>584</v>
      </c>
      <c r="R551">
        <v>0</v>
      </c>
      <c r="S551">
        <v>0</v>
      </c>
      <c r="T551">
        <v>1</v>
      </c>
      <c r="U551">
        <v>0</v>
      </c>
      <c r="V551">
        <v>0</v>
      </c>
      <c r="W551">
        <v>0</v>
      </c>
      <c r="X551">
        <v>0</v>
      </c>
      <c r="Y551">
        <v>0</v>
      </c>
      <c r="Z551">
        <v>0</v>
      </c>
      <c r="AL551" t="s">
        <v>96</v>
      </c>
      <c r="AM551" t="s">
        <v>86</v>
      </c>
      <c r="AN551" t="s">
        <v>87</v>
      </c>
      <c r="AO551" t="s">
        <v>74</v>
      </c>
      <c r="AP551" t="s">
        <v>87</v>
      </c>
      <c r="AQ551" t="s">
        <v>74</v>
      </c>
      <c r="AR551" t="s">
        <v>97</v>
      </c>
      <c r="AS551" t="s">
        <v>92</v>
      </c>
      <c r="AT551" t="s">
        <v>96</v>
      </c>
      <c r="AU551">
        <v>0</v>
      </c>
      <c r="AV551">
        <v>0</v>
      </c>
      <c r="AW551">
        <v>0</v>
      </c>
      <c r="AX551">
        <v>1</v>
      </c>
      <c r="AY551">
        <v>0</v>
      </c>
      <c r="AZ551" t="s">
        <v>580</v>
      </c>
    </row>
    <row r="552" spans="1:52" x14ac:dyDescent="0.2">
      <c r="A552">
        <v>1</v>
      </c>
      <c r="B552">
        <v>0</v>
      </c>
      <c r="C552">
        <v>0</v>
      </c>
      <c r="D552">
        <v>0</v>
      </c>
      <c r="E552">
        <v>0</v>
      </c>
      <c r="F552">
        <v>1</v>
      </c>
      <c r="G552">
        <v>1</v>
      </c>
      <c r="H552">
        <v>1</v>
      </c>
      <c r="I552">
        <v>0</v>
      </c>
      <c r="J552" t="s">
        <v>88</v>
      </c>
      <c r="K552" t="s">
        <v>89</v>
      </c>
      <c r="L552">
        <v>0</v>
      </c>
      <c r="M552">
        <v>0</v>
      </c>
      <c r="N552">
        <v>1</v>
      </c>
      <c r="O552">
        <v>0</v>
      </c>
      <c r="P552">
        <v>0</v>
      </c>
      <c r="Q552" t="s">
        <v>584</v>
      </c>
      <c r="AA552" t="s">
        <v>83</v>
      </c>
      <c r="AB552" t="s">
        <v>82</v>
      </c>
      <c r="AC552" t="s">
        <v>81</v>
      </c>
      <c r="AD552" t="s">
        <v>82</v>
      </c>
      <c r="AE552" t="s">
        <v>81</v>
      </c>
      <c r="AF552" t="s">
        <v>81</v>
      </c>
      <c r="AG552" t="s">
        <v>81</v>
      </c>
      <c r="AH552" t="s">
        <v>83</v>
      </c>
      <c r="AI552" t="s">
        <v>88</v>
      </c>
      <c r="AJ552" t="s">
        <v>89</v>
      </c>
      <c r="AK552" t="s">
        <v>100</v>
      </c>
      <c r="AL552" t="s">
        <v>107</v>
      </c>
      <c r="AM552" t="s">
        <v>87</v>
      </c>
      <c r="AN552" t="s">
        <v>87</v>
      </c>
      <c r="AO552" t="s">
        <v>87</v>
      </c>
      <c r="AP552" t="s">
        <v>87</v>
      </c>
      <c r="AQ552" t="s">
        <v>87</v>
      </c>
      <c r="AR552" t="s">
        <v>75</v>
      </c>
      <c r="AS552" t="s">
        <v>92</v>
      </c>
      <c r="AT552" t="s">
        <v>107</v>
      </c>
      <c r="AU552">
        <v>0</v>
      </c>
      <c r="AV552">
        <v>0</v>
      </c>
      <c r="AW552">
        <v>1</v>
      </c>
      <c r="AX552">
        <v>0</v>
      </c>
      <c r="AY552">
        <v>0</v>
      </c>
      <c r="AZ552" t="s">
        <v>579</v>
      </c>
    </row>
    <row r="553" spans="1:52" x14ac:dyDescent="0.2">
      <c r="A553">
        <v>0</v>
      </c>
      <c r="B553">
        <v>0</v>
      </c>
      <c r="C553">
        <v>0</v>
      </c>
      <c r="D553">
        <v>1</v>
      </c>
      <c r="L553">
        <v>1</v>
      </c>
      <c r="M553">
        <v>0</v>
      </c>
      <c r="N553">
        <v>0</v>
      </c>
      <c r="O553">
        <v>0</v>
      </c>
      <c r="P553">
        <v>0</v>
      </c>
      <c r="Q553" t="s">
        <v>584</v>
      </c>
      <c r="R553">
        <v>0</v>
      </c>
      <c r="S553">
        <v>1</v>
      </c>
      <c r="T553">
        <v>0</v>
      </c>
      <c r="U553">
        <v>0</v>
      </c>
      <c r="V553">
        <v>0</v>
      </c>
      <c r="W553">
        <v>0</v>
      </c>
      <c r="X553">
        <v>0</v>
      </c>
      <c r="Y553">
        <v>0</v>
      </c>
      <c r="Z553">
        <v>0</v>
      </c>
      <c r="AL553" t="s">
        <v>107</v>
      </c>
      <c r="AR553" t="s">
        <v>97</v>
      </c>
      <c r="AS553" t="s">
        <v>92</v>
      </c>
      <c r="AT553" t="s">
        <v>107</v>
      </c>
      <c r="AU553">
        <v>0</v>
      </c>
      <c r="AV553">
        <v>0</v>
      </c>
      <c r="AW553">
        <v>0</v>
      </c>
      <c r="AX553">
        <v>1</v>
      </c>
      <c r="AY553">
        <v>0</v>
      </c>
      <c r="AZ553" t="s">
        <v>581</v>
      </c>
    </row>
    <row r="554" spans="1:52" x14ac:dyDescent="0.2">
      <c r="A554">
        <v>0</v>
      </c>
      <c r="B554">
        <v>1</v>
      </c>
      <c r="C554">
        <v>0</v>
      </c>
      <c r="D554">
        <v>0</v>
      </c>
      <c r="E554">
        <v>1</v>
      </c>
      <c r="F554">
        <v>0</v>
      </c>
      <c r="G554">
        <v>0</v>
      </c>
      <c r="H554">
        <v>0</v>
      </c>
      <c r="I554">
        <v>0</v>
      </c>
      <c r="L554">
        <v>1</v>
      </c>
      <c r="M554">
        <v>0</v>
      </c>
      <c r="N554">
        <v>0</v>
      </c>
      <c r="O554">
        <v>0</v>
      </c>
      <c r="P554">
        <v>0</v>
      </c>
      <c r="Q554" t="s">
        <v>584</v>
      </c>
      <c r="R554">
        <v>0</v>
      </c>
      <c r="S554">
        <v>0</v>
      </c>
      <c r="T554">
        <v>1</v>
      </c>
      <c r="U554">
        <v>0</v>
      </c>
      <c r="V554">
        <v>0</v>
      </c>
      <c r="W554">
        <v>0</v>
      </c>
      <c r="X554">
        <v>0</v>
      </c>
      <c r="Y554">
        <v>0</v>
      </c>
      <c r="Z554">
        <v>0</v>
      </c>
      <c r="AL554" t="s">
        <v>252</v>
      </c>
      <c r="AM554" t="s">
        <v>87</v>
      </c>
      <c r="AN554" t="s">
        <v>74</v>
      </c>
      <c r="AO554" t="s">
        <v>74</v>
      </c>
      <c r="AP554" t="s">
        <v>86</v>
      </c>
      <c r="AQ554" t="s">
        <v>74</v>
      </c>
      <c r="AR554" t="s">
        <v>101</v>
      </c>
      <c r="AS554" t="s">
        <v>92</v>
      </c>
      <c r="AT554" t="s">
        <v>252</v>
      </c>
      <c r="AU554">
        <v>0</v>
      </c>
      <c r="AV554">
        <v>0</v>
      </c>
      <c r="AW554">
        <v>0</v>
      </c>
      <c r="AX554">
        <v>1</v>
      </c>
      <c r="AY554">
        <v>0</v>
      </c>
      <c r="AZ554" t="s">
        <v>580</v>
      </c>
    </row>
    <row r="555" spans="1:52" x14ac:dyDescent="0.2">
      <c r="A555">
        <v>1</v>
      </c>
      <c r="B555">
        <v>0</v>
      </c>
      <c r="C555">
        <v>0</v>
      </c>
      <c r="D555">
        <v>0</v>
      </c>
      <c r="E555">
        <v>1</v>
      </c>
      <c r="F555">
        <v>0</v>
      </c>
      <c r="G555">
        <v>0</v>
      </c>
      <c r="H555">
        <v>0</v>
      </c>
      <c r="I555">
        <v>0</v>
      </c>
      <c r="L555">
        <v>1</v>
      </c>
      <c r="M555">
        <v>0</v>
      </c>
      <c r="N555">
        <v>0</v>
      </c>
      <c r="O555">
        <v>0</v>
      </c>
      <c r="P555">
        <v>0</v>
      </c>
      <c r="Q555" t="s">
        <v>584</v>
      </c>
      <c r="R555">
        <v>0</v>
      </c>
      <c r="S555">
        <v>1</v>
      </c>
      <c r="T555">
        <v>0</v>
      </c>
      <c r="U555">
        <v>0</v>
      </c>
      <c r="V555">
        <v>0</v>
      </c>
      <c r="W555">
        <v>0</v>
      </c>
      <c r="X555">
        <v>0</v>
      </c>
      <c r="Y555">
        <v>0</v>
      </c>
      <c r="Z555">
        <v>0</v>
      </c>
      <c r="AL555" t="s">
        <v>73</v>
      </c>
      <c r="AM555" t="s">
        <v>74</v>
      </c>
      <c r="AR555" t="s">
        <v>97</v>
      </c>
      <c r="AS555" t="s">
        <v>92</v>
      </c>
      <c r="AT555" t="s">
        <v>73</v>
      </c>
      <c r="AU555">
        <v>0</v>
      </c>
      <c r="AV555">
        <v>0</v>
      </c>
      <c r="AW555">
        <v>0</v>
      </c>
      <c r="AX555">
        <v>1</v>
      </c>
      <c r="AY555">
        <v>0</v>
      </c>
      <c r="AZ555" t="s">
        <v>580</v>
      </c>
    </row>
    <row r="556" spans="1:52" x14ac:dyDescent="0.2">
      <c r="A556">
        <v>1</v>
      </c>
      <c r="B556">
        <v>0</v>
      </c>
      <c r="C556">
        <v>0</v>
      </c>
      <c r="D556">
        <v>0</v>
      </c>
      <c r="E556">
        <v>0</v>
      </c>
      <c r="F556">
        <v>0</v>
      </c>
      <c r="G556">
        <v>1</v>
      </c>
      <c r="H556">
        <v>0</v>
      </c>
      <c r="I556">
        <v>0</v>
      </c>
      <c r="J556" t="s">
        <v>79</v>
      </c>
      <c r="K556" t="s">
        <v>80</v>
      </c>
      <c r="L556">
        <v>0</v>
      </c>
      <c r="M556">
        <v>0</v>
      </c>
      <c r="N556">
        <v>1</v>
      </c>
      <c r="O556">
        <v>0</v>
      </c>
      <c r="P556">
        <v>0</v>
      </c>
      <c r="Q556" t="s">
        <v>584</v>
      </c>
      <c r="AA556" t="s">
        <v>82</v>
      </c>
      <c r="AB556" t="s">
        <v>82</v>
      </c>
      <c r="AC556" t="s">
        <v>83</v>
      </c>
      <c r="AD556" t="s">
        <v>82</v>
      </c>
      <c r="AE556" t="s">
        <v>81</v>
      </c>
      <c r="AF556" t="s">
        <v>83</v>
      </c>
      <c r="AG556" t="s">
        <v>81</v>
      </c>
      <c r="AH556" t="s">
        <v>83</v>
      </c>
      <c r="AI556" t="s">
        <v>88</v>
      </c>
      <c r="AJ556" t="s">
        <v>89</v>
      </c>
      <c r="AK556" t="s">
        <v>85</v>
      </c>
      <c r="AL556" t="s">
        <v>73</v>
      </c>
      <c r="AM556" t="s">
        <v>87</v>
      </c>
      <c r="AN556" t="s">
        <v>87</v>
      </c>
      <c r="AO556" t="s">
        <v>87</v>
      </c>
      <c r="AP556" t="s">
        <v>86</v>
      </c>
      <c r="AQ556" t="s">
        <v>86</v>
      </c>
      <c r="AR556" t="s">
        <v>97</v>
      </c>
      <c r="AS556" t="s">
        <v>92</v>
      </c>
      <c r="AT556" t="s">
        <v>73</v>
      </c>
      <c r="AU556">
        <v>0</v>
      </c>
      <c r="AV556">
        <v>0</v>
      </c>
      <c r="AW556">
        <v>0</v>
      </c>
      <c r="AX556">
        <v>1</v>
      </c>
      <c r="AY556">
        <v>0</v>
      </c>
      <c r="AZ556" t="s">
        <v>581</v>
      </c>
    </row>
    <row r="557" spans="1:52" x14ac:dyDescent="0.2">
      <c r="A557">
        <v>1</v>
      </c>
      <c r="B557">
        <v>0</v>
      </c>
      <c r="C557">
        <v>0</v>
      </c>
      <c r="D557">
        <v>0</v>
      </c>
      <c r="E557">
        <v>0</v>
      </c>
      <c r="F557">
        <v>1</v>
      </c>
      <c r="G557">
        <v>1</v>
      </c>
      <c r="H557">
        <v>0</v>
      </c>
      <c r="I557">
        <v>0</v>
      </c>
      <c r="J557" t="s">
        <v>88</v>
      </c>
      <c r="K557" t="s">
        <v>89</v>
      </c>
      <c r="L557">
        <v>0</v>
      </c>
      <c r="M557">
        <v>0</v>
      </c>
      <c r="N557">
        <v>1</v>
      </c>
      <c r="O557">
        <v>0</v>
      </c>
      <c r="P557">
        <v>0</v>
      </c>
      <c r="Q557" t="s">
        <v>584</v>
      </c>
      <c r="AA557" t="s">
        <v>83</v>
      </c>
      <c r="AB557" t="s">
        <v>82</v>
      </c>
      <c r="AC557" t="s">
        <v>83</v>
      </c>
      <c r="AD557" t="s">
        <v>82</v>
      </c>
      <c r="AE557" t="s">
        <v>81</v>
      </c>
      <c r="AF557" t="s">
        <v>81</v>
      </c>
      <c r="AG557" t="s">
        <v>81</v>
      </c>
      <c r="AH557" t="s">
        <v>81</v>
      </c>
      <c r="AI557" t="s">
        <v>88</v>
      </c>
      <c r="AJ557" t="s">
        <v>89</v>
      </c>
      <c r="AK557" t="s">
        <v>85</v>
      </c>
      <c r="AL557" t="s">
        <v>107</v>
      </c>
      <c r="AM557" t="s">
        <v>87</v>
      </c>
      <c r="AN557" t="s">
        <v>87</v>
      </c>
      <c r="AO557" t="s">
        <v>87</v>
      </c>
      <c r="AP557" t="s">
        <v>87</v>
      </c>
      <c r="AQ557" t="s">
        <v>87</v>
      </c>
      <c r="AR557" t="s">
        <v>97</v>
      </c>
      <c r="AS557" t="s">
        <v>92</v>
      </c>
      <c r="AT557" t="s">
        <v>107</v>
      </c>
      <c r="AU557">
        <v>0</v>
      </c>
      <c r="AV557">
        <v>0</v>
      </c>
      <c r="AW557">
        <v>0</v>
      </c>
      <c r="AX557">
        <v>1</v>
      </c>
      <c r="AY557">
        <v>0</v>
      </c>
      <c r="AZ557" t="s">
        <v>580</v>
      </c>
    </row>
    <row r="558" spans="1:52" x14ac:dyDescent="0.2">
      <c r="A558">
        <v>0</v>
      </c>
      <c r="B558">
        <v>1</v>
      </c>
      <c r="C558">
        <v>0</v>
      </c>
      <c r="D558">
        <v>0</v>
      </c>
      <c r="E558">
        <v>1</v>
      </c>
      <c r="F558">
        <v>0</v>
      </c>
      <c r="G558">
        <v>0</v>
      </c>
      <c r="H558">
        <v>0</v>
      </c>
      <c r="I558">
        <v>0</v>
      </c>
      <c r="L558">
        <v>1</v>
      </c>
      <c r="M558">
        <v>0</v>
      </c>
      <c r="N558">
        <v>0</v>
      </c>
      <c r="O558">
        <v>0</v>
      </c>
      <c r="P558">
        <v>0</v>
      </c>
      <c r="Q558" t="s">
        <v>584</v>
      </c>
      <c r="R558">
        <v>0</v>
      </c>
      <c r="S558">
        <v>1</v>
      </c>
      <c r="T558">
        <v>0</v>
      </c>
      <c r="U558">
        <v>0</v>
      </c>
      <c r="V558">
        <v>0</v>
      </c>
      <c r="W558">
        <v>0</v>
      </c>
      <c r="X558">
        <v>0</v>
      </c>
      <c r="Y558">
        <v>0</v>
      </c>
      <c r="Z558">
        <v>0</v>
      </c>
      <c r="AL558" t="s">
        <v>96</v>
      </c>
      <c r="AM558" t="s">
        <v>86</v>
      </c>
      <c r="AN558" t="s">
        <v>86</v>
      </c>
      <c r="AO558" t="s">
        <v>86</v>
      </c>
      <c r="AP558" t="s">
        <v>86</v>
      </c>
      <c r="AQ558" t="s">
        <v>86</v>
      </c>
      <c r="AR558" t="s">
        <v>75</v>
      </c>
      <c r="AS558" t="s">
        <v>92</v>
      </c>
      <c r="AT558" t="s">
        <v>96</v>
      </c>
      <c r="AU558">
        <v>0</v>
      </c>
      <c r="AV558">
        <v>0</v>
      </c>
      <c r="AW558">
        <v>0</v>
      </c>
      <c r="AX558">
        <v>1</v>
      </c>
      <c r="AY558">
        <v>0</v>
      </c>
      <c r="AZ558" t="s">
        <v>580</v>
      </c>
    </row>
    <row r="559" spans="1:52" x14ac:dyDescent="0.2">
      <c r="A559">
        <v>1</v>
      </c>
      <c r="B559">
        <v>0</v>
      </c>
      <c r="C559">
        <v>0</v>
      </c>
      <c r="D559">
        <v>0</v>
      </c>
      <c r="E559">
        <v>1</v>
      </c>
      <c r="F559">
        <v>0</v>
      </c>
      <c r="G559">
        <v>0</v>
      </c>
      <c r="H559">
        <v>0</v>
      </c>
      <c r="I559">
        <v>0</v>
      </c>
      <c r="L559">
        <v>0</v>
      </c>
      <c r="M559">
        <v>0</v>
      </c>
      <c r="N559">
        <v>1</v>
      </c>
      <c r="O559">
        <v>0</v>
      </c>
      <c r="P559">
        <v>0</v>
      </c>
      <c r="Q559" t="s">
        <v>584</v>
      </c>
      <c r="AA559" t="s">
        <v>82</v>
      </c>
      <c r="AB559" t="s">
        <v>81</v>
      </c>
      <c r="AC559" t="s">
        <v>83</v>
      </c>
      <c r="AD559" t="s">
        <v>83</v>
      </c>
      <c r="AE559" t="s">
        <v>82</v>
      </c>
      <c r="AF559" t="s">
        <v>81</v>
      </c>
      <c r="AG559" t="s">
        <v>81</v>
      </c>
      <c r="AH559" t="s">
        <v>83</v>
      </c>
      <c r="AI559" t="s">
        <v>88</v>
      </c>
      <c r="AJ559" t="s">
        <v>89</v>
      </c>
      <c r="AK559" t="s">
        <v>85</v>
      </c>
      <c r="AL559" t="s">
        <v>73</v>
      </c>
      <c r="AM559" t="s">
        <v>87</v>
      </c>
      <c r="AN559" t="s">
        <v>87</v>
      </c>
      <c r="AO559" t="s">
        <v>87</v>
      </c>
      <c r="AP559" t="s">
        <v>87</v>
      </c>
      <c r="AQ559" t="s">
        <v>87</v>
      </c>
      <c r="AR559" t="s">
        <v>108</v>
      </c>
      <c r="AS559" t="s">
        <v>92</v>
      </c>
      <c r="AT559" t="s">
        <v>73</v>
      </c>
      <c r="AU559">
        <v>0</v>
      </c>
      <c r="AV559">
        <v>0</v>
      </c>
      <c r="AW559">
        <v>0</v>
      </c>
      <c r="AX559">
        <v>1</v>
      </c>
      <c r="AY559">
        <v>0</v>
      </c>
      <c r="AZ559" t="s">
        <v>581</v>
      </c>
    </row>
    <row r="560" spans="1:52" x14ac:dyDescent="0.2">
      <c r="A560">
        <v>1</v>
      </c>
      <c r="B560">
        <v>0</v>
      </c>
      <c r="C560">
        <v>0</v>
      </c>
      <c r="D560">
        <v>0</v>
      </c>
      <c r="E560">
        <v>0</v>
      </c>
      <c r="F560">
        <v>1</v>
      </c>
      <c r="G560">
        <v>1</v>
      </c>
      <c r="H560">
        <v>1</v>
      </c>
      <c r="I560">
        <v>0</v>
      </c>
      <c r="J560" t="s">
        <v>79</v>
      </c>
      <c r="K560" t="s">
        <v>80</v>
      </c>
      <c r="L560">
        <v>0</v>
      </c>
      <c r="M560">
        <v>1</v>
      </c>
      <c r="N560">
        <v>0</v>
      </c>
      <c r="O560">
        <v>0</v>
      </c>
      <c r="P560">
        <v>0</v>
      </c>
      <c r="Q560" t="s">
        <v>584</v>
      </c>
      <c r="AA560" t="s">
        <v>90</v>
      </c>
      <c r="AB560" t="s">
        <v>82</v>
      </c>
      <c r="AC560" t="s">
        <v>82</v>
      </c>
      <c r="AD560" t="s">
        <v>90</v>
      </c>
      <c r="AE560" t="s">
        <v>81</v>
      </c>
      <c r="AF560" t="s">
        <v>90</v>
      </c>
      <c r="AG560" t="s">
        <v>90</v>
      </c>
      <c r="AH560" t="s">
        <v>90</v>
      </c>
      <c r="AI560" t="s">
        <v>88</v>
      </c>
      <c r="AJ560" t="s">
        <v>89</v>
      </c>
      <c r="AK560" t="s">
        <v>100</v>
      </c>
      <c r="AL560" t="s">
        <v>107</v>
      </c>
      <c r="AM560" t="s">
        <v>87</v>
      </c>
      <c r="AN560" t="s">
        <v>87</v>
      </c>
      <c r="AO560" t="s">
        <v>87</v>
      </c>
      <c r="AP560" t="s">
        <v>87</v>
      </c>
      <c r="AQ560" t="s">
        <v>87</v>
      </c>
      <c r="AR560" t="s">
        <v>97</v>
      </c>
      <c r="AS560" t="s">
        <v>92</v>
      </c>
      <c r="AT560" t="s">
        <v>107</v>
      </c>
      <c r="AU560">
        <v>0</v>
      </c>
      <c r="AV560">
        <v>0</v>
      </c>
      <c r="AW560">
        <v>0</v>
      </c>
      <c r="AX560">
        <v>1</v>
      </c>
      <c r="AY560">
        <v>0</v>
      </c>
      <c r="AZ560" t="s">
        <v>580</v>
      </c>
    </row>
    <row r="561" spans="1:52" x14ac:dyDescent="0.2">
      <c r="A561">
        <v>0</v>
      </c>
      <c r="B561">
        <v>1</v>
      </c>
      <c r="C561">
        <v>0</v>
      </c>
      <c r="D561">
        <v>0</v>
      </c>
      <c r="E561">
        <v>1</v>
      </c>
      <c r="F561">
        <v>0</v>
      </c>
      <c r="G561">
        <v>0</v>
      </c>
      <c r="H561">
        <v>0</v>
      </c>
      <c r="I561">
        <v>0</v>
      </c>
      <c r="L561">
        <v>0</v>
      </c>
      <c r="M561">
        <v>0</v>
      </c>
      <c r="N561">
        <v>0</v>
      </c>
      <c r="O561">
        <v>0</v>
      </c>
      <c r="P561">
        <v>0</v>
      </c>
      <c r="Q561" t="s">
        <v>585</v>
      </c>
      <c r="AA561" t="s">
        <v>83</v>
      </c>
      <c r="AB561" t="s">
        <v>82</v>
      </c>
      <c r="AC561" t="s">
        <v>83</v>
      </c>
      <c r="AD561" t="s">
        <v>81</v>
      </c>
      <c r="AE561" t="s">
        <v>83</v>
      </c>
      <c r="AF561" t="s">
        <v>83</v>
      </c>
      <c r="AG561" t="s">
        <v>83</v>
      </c>
      <c r="AH561" t="s">
        <v>83</v>
      </c>
      <c r="AI561" t="s">
        <v>88</v>
      </c>
      <c r="AJ561" t="s">
        <v>89</v>
      </c>
      <c r="AK561" t="s">
        <v>85</v>
      </c>
      <c r="AL561" t="s">
        <v>73</v>
      </c>
      <c r="AM561" t="s">
        <v>86</v>
      </c>
      <c r="AN561" t="s">
        <v>87</v>
      </c>
      <c r="AO561" t="s">
        <v>87</v>
      </c>
      <c r="AP561" t="s">
        <v>87</v>
      </c>
      <c r="AQ561" t="s">
        <v>74</v>
      </c>
      <c r="AR561" t="s">
        <v>97</v>
      </c>
      <c r="AS561" t="s">
        <v>92</v>
      </c>
      <c r="AT561" t="s">
        <v>73</v>
      </c>
      <c r="AU561">
        <v>0</v>
      </c>
      <c r="AV561">
        <v>0</v>
      </c>
      <c r="AW561">
        <v>0</v>
      </c>
      <c r="AX561">
        <v>1</v>
      </c>
      <c r="AY561">
        <v>0</v>
      </c>
      <c r="AZ561" t="s">
        <v>581</v>
      </c>
    </row>
    <row r="562" spans="1:52" x14ac:dyDescent="0.2">
      <c r="A562">
        <v>0</v>
      </c>
      <c r="B562">
        <v>0</v>
      </c>
      <c r="C562">
        <v>0</v>
      </c>
      <c r="D562">
        <v>1</v>
      </c>
      <c r="L562">
        <v>1</v>
      </c>
      <c r="M562">
        <v>0</v>
      </c>
      <c r="N562">
        <v>0</v>
      </c>
      <c r="O562">
        <v>0</v>
      </c>
      <c r="P562">
        <v>0</v>
      </c>
      <c r="Q562" t="s">
        <v>584</v>
      </c>
      <c r="R562">
        <v>0</v>
      </c>
      <c r="S562">
        <v>0</v>
      </c>
      <c r="T562">
        <v>0</v>
      </c>
      <c r="U562">
        <v>0</v>
      </c>
      <c r="V562">
        <v>0</v>
      </c>
      <c r="W562">
        <v>0</v>
      </c>
      <c r="X562">
        <v>1</v>
      </c>
      <c r="Y562">
        <v>0</v>
      </c>
      <c r="Z562">
        <v>0</v>
      </c>
      <c r="AL562" t="s">
        <v>96</v>
      </c>
      <c r="AR562" t="s">
        <v>97</v>
      </c>
      <c r="AS562" t="s">
        <v>92</v>
      </c>
      <c r="AT562" t="s">
        <v>96</v>
      </c>
      <c r="AU562">
        <v>0</v>
      </c>
      <c r="AV562">
        <v>0</v>
      </c>
      <c r="AW562">
        <v>0</v>
      </c>
      <c r="AX562">
        <v>1</v>
      </c>
      <c r="AY562">
        <v>0</v>
      </c>
      <c r="AZ562" t="s">
        <v>581</v>
      </c>
    </row>
    <row r="563" spans="1:52" x14ac:dyDescent="0.2">
      <c r="A563">
        <v>1</v>
      </c>
      <c r="B563">
        <v>0</v>
      </c>
      <c r="C563">
        <v>0</v>
      </c>
      <c r="D563">
        <v>0</v>
      </c>
      <c r="E563">
        <v>1</v>
      </c>
      <c r="F563">
        <v>0</v>
      </c>
      <c r="G563">
        <v>0</v>
      </c>
      <c r="H563">
        <v>0</v>
      </c>
      <c r="I563">
        <v>0</v>
      </c>
      <c r="L563">
        <v>1</v>
      </c>
      <c r="M563">
        <v>0</v>
      </c>
      <c r="N563">
        <v>0</v>
      </c>
      <c r="O563">
        <v>0</v>
      </c>
      <c r="P563">
        <v>0</v>
      </c>
      <c r="Q563" t="s">
        <v>584</v>
      </c>
      <c r="R563">
        <v>0</v>
      </c>
      <c r="S563">
        <v>1</v>
      </c>
      <c r="T563">
        <v>0</v>
      </c>
      <c r="U563">
        <v>0</v>
      </c>
      <c r="V563">
        <v>0</v>
      </c>
      <c r="W563">
        <v>0</v>
      </c>
      <c r="X563">
        <v>0</v>
      </c>
      <c r="Y563">
        <v>0</v>
      </c>
      <c r="Z563">
        <v>0</v>
      </c>
      <c r="AL563" t="s">
        <v>107</v>
      </c>
      <c r="AM563" t="s">
        <v>74</v>
      </c>
      <c r="AR563" t="s">
        <v>108</v>
      </c>
      <c r="AS563" t="s">
        <v>76</v>
      </c>
      <c r="AT563" t="s">
        <v>107</v>
      </c>
      <c r="AU563">
        <v>0</v>
      </c>
      <c r="AV563">
        <v>0</v>
      </c>
      <c r="AW563">
        <v>0</v>
      </c>
      <c r="AX563">
        <v>1</v>
      </c>
      <c r="AY563">
        <v>0</v>
      </c>
      <c r="AZ563" t="s">
        <v>580</v>
      </c>
    </row>
    <row r="564" spans="1:52" x14ac:dyDescent="0.2">
      <c r="A564">
        <v>0</v>
      </c>
      <c r="B564">
        <v>1</v>
      </c>
      <c r="C564">
        <v>0</v>
      </c>
      <c r="D564">
        <v>0</v>
      </c>
      <c r="E564">
        <v>0</v>
      </c>
      <c r="F564">
        <v>1</v>
      </c>
      <c r="G564">
        <v>0</v>
      </c>
      <c r="H564">
        <v>1</v>
      </c>
      <c r="I564">
        <v>0</v>
      </c>
      <c r="J564" t="s">
        <v>79</v>
      </c>
      <c r="K564" t="s">
        <v>80</v>
      </c>
      <c r="L564">
        <v>0</v>
      </c>
      <c r="M564">
        <v>1</v>
      </c>
      <c r="N564">
        <v>0</v>
      </c>
      <c r="O564">
        <v>0</v>
      </c>
      <c r="P564">
        <v>0</v>
      </c>
      <c r="Q564" t="s">
        <v>584</v>
      </c>
      <c r="AA564" t="s">
        <v>83</v>
      </c>
      <c r="AB564" t="s">
        <v>82</v>
      </c>
      <c r="AC564" t="s">
        <v>90</v>
      </c>
      <c r="AD564" t="s">
        <v>83</v>
      </c>
      <c r="AE564" t="s">
        <v>81</v>
      </c>
      <c r="AF564" t="s">
        <v>83</v>
      </c>
      <c r="AG564" t="s">
        <v>83</v>
      </c>
      <c r="AH564" t="s">
        <v>83</v>
      </c>
      <c r="AI564" t="s">
        <v>88</v>
      </c>
      <c r="AJ564" t="s">
        <v>89</v>
      </c>
      <c r="AK564" t="s">
        <v>100</v>
      </c>
      <c r="AL564" t="s">
        <v>107</v>
      </c>
      <c r="AM564" t="s">
        <v>86</v>
      </c>
      <c r="AN564" t="s">
        <v>86</v>
      </c>
      <c r="AO564" t="s">
        <v>86</v>
      </c>
      <c r="AP564" t="s">
        <v>86</v>
      </c>
      <c r="AQ564" t="s">
        <v>86</v>
      </c>
      <c r="AR564" t="s">
        <v>97</v>
      </c>
      <c r="AS564" t="s">
        <v>92</v>
      </c>
      <c r="AT564" t="s">
        <v>107</v>
      </c>
      <c r="AU564">
        <v>0</v>
      </c>
      <c r="AV564">
        <v>0</v>
      </c>
      <c r="AW564">
        <v>0</v>
      </c>
      <c r="AX564">
        <v>1</v>
      </c>
      <c r="AY564">
        <v>0</v>
      </c>
      <c r="AZ564" t="s">
        <v>580</v>
      </c>
    </row>
    <row r="565" spans="1:52" x14ac:dyDescent="0.2">
      <c r="A565">
        <v>1</v>
      </c>
      <c r="B565">
        <v>0</v>
      </c>
      <c r="C565">
        <v>0</v>
      </c>
      <c r="D565">
        <v>0</v>
      </c>
      <c r="E565">
        <v>0</v>
      </c>
      <c r="F565">
        <v>1</v>
      </c>
      <c r="G565">
        <v>1</v>
      </c>
      <c r="H565">
        <v>1</v>
      </c>
      <c r="I565">
        <v>0</v>
      </c>
      <c r="J565" t="s">
        <v>88</v>
      </c>
      <c r="K565" t="s">
        <v>89</v>
      </c>
      <c r="L565">
        <v>0</v>
      </c>
      <c r="M565">
        <v>0</v>
      </c>
      <c r="N565">
        <v>1</v>
      </c>
      <c r="O565">
        <v>0</v>
      </c>
      <c r="P565">
        <v>0</v>
      </c>
      <c r="Q565" t="s">
        <v>584</v>
      </c>
      <c r="AA565" t="s">
        <v>83</v>
      </c>
      <c r="AB565" t="s">
        <v>81</v>
      </c>
      <c r="AC565" t="s">
        <v>83</v>
      </c>
      <c r="AD565" t="s">
        <v>81</v>
      </c>
      <c r="AE565" t="s">
        <v>82</v>
      </c>
      <c r="AF565" t="s">
        <v>83</v>
      </c>
      <c r="AG565" t="s">
        <v>83</v>
      </c>
      <c r="AH565" t="s">
        <v>83</v>
      </c>
      <c r="AI565" t="s">
        <v>88</v>
      </c>
      <c r="AJ565" t="s">
        <v>89</v>
      </c>
      <c r="AK565" t="s">
        <v>85</v>
      </c>
      <c r="AL565" t="s">
        <v>107</v>
      </c>
      <c r="AM565" t="s">
        <v>87</v>
      </c>
      <c r="AN565" t="s">
        <v>87</v>
      </c>
      <c r="AO565" t="s">
        <v>87</v>
      </c>
      <c r="AP565" t="s">
        <v>86</v>
      </c>
      <c r="AQ565" t="s">
        <v>86</v>
      </c>
      <c r="AR565" t="s">
        <v>75</v>
      </c>
      <c r="AS565" t="s">
        <v>92</v>
      </c>
      <c r="AT565" t="s">
        <v>107</v>
      </c>
      <c r="AU565">
        <v>0</v>
      </c>
      <c r="AV565">
        <v>0</v>
      </c>
      <c r="AW565">
        <v>0</v>
      </c>
      <c r="AX565">
        <v>1</v>
      </c>
      <c r="AY565">
        <v>0</v>
      </c>
      <c r="AZ565" t="s">
        <v>579</v>
      </c>
    </row>
    <row r="566" spans="1:52" x14ac:dyDescent="0.2">
      <c r="A566">
        <v>1</v>
      </c>
      <c r="B566">
        <v>0</v>
      </c>
      <c r="C566">
        <v>0</v>
      </c>
      <c r="D566">
        <v>0</v>
      </c>
      <c r="E566">
        <v>1</v>
      </c>
      <c r="F566">
        <v>0</v>
      </c>
      <c r="G566">
        <v>0</v>
      </c>
      <c r="H566">
        <v>0</v>
      </c>
      <c r="I566">
        <v>0</v>
      </c>
      <c r="L566">
        <v>1</v>
      </c>
      <c r="M566">
        <v>0</v>
      </c>
      <c r="N566">
        <v>0</v>
      </c>
      <c r="O566">
        <v>0</v>
      </c>
      <c r="P566">
        <v>0</v>
      </c>
      <c r="Q566" t="s">
        <v>584</v>
      </c>
      <c r="R566">
        <v>0</v>
      </c>
      <c r="S566">
        <v>0</v>
      </c>
      <c r="T566">
        <v>0</v>
      </c>
      <c r="U566">
        <v>0</v>
      </c>
      <c r="V566">
        <v>0</v>
      </c>
      <c r="W566">
        <v>0</v>
      </c>
      <c r="X566">
        <v>1</v>
      </c>
      <c r="Y566">
        <v>0</v>
      </c>
      <c r="Z566">
        <v>0</v>
      </c>
      <c r="AL566" t="s">
        <v>73</v>
      </c>
      <c r="AM566" t="s">
        <v>74</v>
      </c>
      <c r="AR566" t="s">
        <v>75</v>
      </c>
      <c r="AS566" t="s">
        <v>92</v>
      </c>
      <c r="AT566" t="s">
        <v>73</v>
      </c>
      <c r="AU566">
        <v>0</v>
      </c>
      <c r="AV566">
        <v>0</v>
      </c>
      <c r="AW566">
        <v>0</v>
      </c>
      <c r="AX566">
        <v>1</v>
      </c>
      <c r="AY566">
        <v>0</v>
      </c>
      <c r="AZ566" t="s">
        <v>580</v>
      </c>
    </row>
    <row r="567" spans="1:52" x14ac:dyDescent="0.2">
      <c r="A567">
        <v>0</v>
      </c>
      <c r="B567">
        <v>1</v>
      </c>
      <c r="C567">
        <v>0</v>
      </c>
      <c r="D567">
        <v>0</v>
      </c>
      <c r="E567">
        <v>0</v>
      </c>
      <c r="F567">
        <v>1</v>
      </c>
      <c r="G567">
        <v>1</v>
      </c>
      <c r="H567">
        <v>1</v>
      </c>
      <c r="I567">
        <v>0</v>
      </c>
      <c r="J567" t="s">
        <v>88</v>
      </c>
      <c r="K567" t="s">
        <v>89</v>
      </c>
      <c r="L567">
        <v>0</v>
      </c>
      <c r="M567">
        <v>0</v>
      </c>
      <c r="N567">
        <v>0</v>
      </c>
      <c r="O567">
        <v>0</v>
      </c>
      <c r="P567">
        <v>1</v>
      </c>
      <c r="Q567" t="s">
        <v>584</v>
      </c>
      <c r="AA567" t="s">
        <v>82</v>
      </c>
      <c r="AB567" t="s">
        <v>82</v>
      </c>
      <c r="AC567" t="s">
        <v>81</v>
      </c>
      <c r="AD567" t="s">
        <v>83</v>
      </c>
      <c r="AE567" t="s">
        <v>82</v>
      </c>
      <c r="AF567" t="s">
        <v>83</v>
      </c>
      <c r="AG567" t="s">
        <v>81</v>
      </c>
      <c r="AH567" t="s">
        <v>83</v>
      </c>
      <c r="AI567" t="s">
        <v>88</v>
      </c>
      <c r="AJ567" t="s">
        <v>89</v>
      </c>
      <c r="AK567" t="s">
        <v>100</v>
      </c>
      <c r="AL567" t="s">
        <v>107</v>
      </c>
      <c r="AM567" t="s">
        <v>87</v>
      </c>
      <c r="AN567" t="s">
        <v>86</v>
      </c>
      <c r="AO567" t="s">
        <v>87</v>
      </c>
      <c r="AP567" t="s">
        <v>87</v>
      </c>
      <c r="AQ567" t="s">
        <v>86</v>
      </c>
      <c r="AR567" t="s">
        <v>75</v>
      </c>
      <c r="AS567" t="s">
        <v>92</v>
      </c>
      <c r="AT567" t="s">
        <v>107</v>
      </c>
      <c r="AU567">
        <v>0</v>
      </c>
      <c r="AV567">
        <v>0</v>
      </c>
      <c r="AW567">
        <v>0</v>
      </c>
      <c r="AX567">
        <v>1</v>
      </c>
      <c r="AY567">
        <v>0</v>
      </c>
      <c r="AZ567" t="s">
        <v>580</v>
      </c>
    </row>
    <row r="568" spans="1:52" x14ac:dyDescent="0.2">
      <c r="A568">
        <v>0</v>
      </c>
      <c r="B568">
        <v>1</v>
      </c>
      <c r="C568">
        <v>0</v>
      </c>
      <c r="D568">
        <v>0</v>
      </c>
      <c r="E568">
        <v>0</v>
      </c>
      <c r="F568">
        <v>1</v>
      </c>
      <c r="G568">
        <v>1</v>
      </c>
      <c r="H568">
        <v>1</v>
      </c>
      <c r="I568">
        <v>0</v>
      </c>
      <c r="J568" t="s">
        <v>88</v>
      </c>
      <c r="K568" t="s">
        <v>89</v>
      </c>
      <c r="L568">
        <v>0</v>
      </c>
      <c r="M568">
        <v>0</v>
      </c>
      <c r="N568">
        <v>0</v>
      </c>
      <c r="O568">
        <v>0</v>
      </c>
      <c r="P568">
        <v>1</v>
      </c>
      <c r="Q568" t="s">
        <v>584</v>
      </c>
      <c r="AA568" t="s">
        <v>83</v>
      </c>
      <c r="AB568" t="s">
        <v>81</v>
      </c>
      <c r="AC568" t="s">
        <v>82</v>
      </c>
      <c r="AD568" t="s">
        <v>82</v>
      </c>
      <c r="AE568" t="s">
        <v>81</v>
      </c>
      <c r="AF568" t="s">
        <v>83</v>
      </c>
      <c r="AG568" t="s">
        <v>83</v>
      </c>
      <c r="AH568" t="s">
        <v>83</v>
      </c>
      <c r="AI568" t="s">
        <v>88</v>
      </c>
      <c r="AJ568" t="s">
        <v>89</v>
      </c>
      <c r="AK568" t="s">
        <v>100</v>
      </c>
      <c r="AL568" t="s">
        <v>96</v>
      </c>
      <c r="AM568" t="s">
        <v>87</v>
      </c>
      <c r="AN568" t="s">
        <v>87</v>
      </c>
      <c r="AO568" t="s">
        <v>87</v>
      </c>
      <c r="AP568" t="s">
        <v>87</v>
      </c>
      <c r="AQ568" t="s">
        <v>87</v>
      </c>
      <c r="AR568" t="s">
        <v>101</v>
      </c>
      <c r="AS568" t="s">
        <v>92</v>
      </c>
      <c r="AT568" t="s">
        <v>96</v>
      </c>
      <c r="AU568">
        <v>0</v>
      </c>
      <c r="AV568">
        <v>0</v>
      </c>
      <c r="AW568">
        <v>0</v>
      </c>
      <c r="AX568">
        <v>1</v>
      </c>
      <c r="AY568">
        <v>0</v>
      </c>
      <c r="AZ568" t="s">
        <v>580</v>
      </c>
    </row>
    <row r="569" spans="1:52" x14ac:dyDescent="0.2">
      <c r="A569">
        <v>1</v>
      </c>
      <c r="B569">
        <v>0</v>
      </c>
      <c r="C569">
        <v>0</v>
      </c>
      <c r="D569">
        <v>0</v>
      </c>
      <c r="E569">
        <v>0</v>
      </c>
      <c r="F569">
        <v>1</v>
      </c>
      <c r="G569">
        <v>1</v>
      </c>
      <c r="H569">
        <v>0</v>
      </c>
      <c r="I569">
        <v>0</v>
      </c>
      <c r="J569" t="s">
        <v>135</v>
      </c>
      <c r="K569" t="s">
        <v>89</v>
      </c>
      <c r="L569">
        <v>0</v>
      </c>
      <c r="M569">
        <v>1</v>
      </c>
      <c r="N569">
        <v>1</v>
      </c>
      <c r="O569">
        <v>0</v>
      </c>
      <c r="P569">
        <v>0</v>
      </c>
      <c r="Q569" t="s">
        <v>584</v>
      </c>
      <c r="AA569" t="s">
        <v>82</v>
      </c>
      <c r="AB569" t="s">
        <v>83</v>
      </c>
      <c r="AC569" t="s">
        <v>83</v>
      </c>
      <c r="AD569" t="s">
        <v>81</v>
      </c>
      <c r="AE569" t="s">
        <v>82</v>
      </c>
      <c r="AF569" t="s">
        <v>81</v>
      </c>
      <c r="AG569" t="s">
        <v>81</v>
      </c>
      <c r="AH569" t="s">
        <v>81</v>
      </c>
      <c r="AI569" t="s">
        <v>135</v>
      </c>
      <c r="AJ569" t="s">
        <v>89</v>
      </c>
      <c r="AK569" t="s">
        <v>100</v>
      </c>
      <c r="AL569" t="s">
        <v>73</v>
      </c>
      <c r="AM569" t="s">
        <v>74</v>
      </c>
      <c r="AR569" t="s">
        <v>108</v>
      </c>
      <c r="AS569" t="s">
        <v>76</v>
      </c>
      <c r="AT569" t="s">
        <v>73</v>
      </c>
      <c r="AU569">
        <v>1</v>
      </c>
      <c r="AV569">
        <v>0</v>
      </c>
      <c r="AW569">
        <v>0</v>
      </c>
      <c r="AX569">
        <v>0</v>
      </c>
      <c r="AY569">
        <v>0</v>
      </c>
      <c r="AZ569" t="s">
        <v>580</v>
      </c>
    </row>
    <row r="570" spans="1:52" x14ac:dyDescent="0.2">
      <c r="A570">
        <v>1</v>
      </c>
      <c r="B570">
        <v>0</v>
      </c>
      <c r="C570">
        <v>0</v>
      </c>
      <c r="D570">
        <v>0</v>
      </c>
      <c r="E570">
        <v>1</v>
      </c>
      <c r="F570">
        <v>0</v>
      </c>
      <c r="G570">
        <v>0</v>
      </c>
      <c r="H570">
        <v>0</v>
      </c>
      <c r="I570">
        <v>0</v>
      </c>
      <c r="L570">
        <v>0</v>
      </c>
      <c r="M570">
        <v>1</v>
      </c>
      <c r="N570">
        <v>0</v>
      </c>
      <c r="O570">
        <v>0</v>
      </c>
      <c r="P570">
        <v>0</v>
      </c>
      <c r="Q570" t="s">
        <v>584</v>
      </c>
      <c r="AA570" t="s">
        <v>83</v>
      </c>
      <c r="AB570" t="s">
        <v>82</v>
      </c>
      <c r="AC570" t="s">
        <v>83</v>
      </c>
      <c r="AD570" t="s">
        <v>83</v>
      </c>
      <c r="AE570" t="s">
        <v>83</v>
      </c>
      <c r="AF570" t="s">
        <v>83</v>
      </c>
      <c r="AG570" t="s">
        <v>83</v>
      </c>
      <c r="AH570" t="s">
        <v>83</v>
      </c>
      <c r="AI570" t="s">
        <v>88</v>
      </c>
      <c r="AJ570" t="s">
        <v>89</v>
      </c>
      <c r="AK570" t="s">
        <v>100</v>
      </c>
      <c r="AL570" t="s">
        <v>73</v>
      </c>
      <c r="AM570" t="s">
        <v>86</v>
      </c>
      <c r="AN570" t="s">
        <v>86</v>
      </c>
      <c r="AO570" t="s">
        <v>86</v>
      </c>
      <c r="AP570" t="s">
        <v>86</v>
      </c>
      <c r="AQ570" t="s">
        <v>86</v>
      </c>
      <c r="AR570" t="s">
        <v>97</v>
      </c>
      <c r="AS570" t="s">
        <v>92</v>
      </c>
      <c r="AT570" t="s">
        <v>73</v>
      </c>
      <c r="AU570">
        <v>0</v>
      </c>
      <c r="AV570">
        <v>0</v>
      </c>
      <c r="AW570">
        <v>0</v>
      </c>
      <c r="AX570">
        <v>1</v>
      </c>
      <c r="AY570">
        <v>0</v>
      </c>
      <c r="AZ570" t="s">
        <v>581</v>
      </c>
    </row>
    <row r="571" spans="1:52" x14ac:dyDescent="0.2">
      <c r="A571">
        <v>1</v>
      </c>
      <c r="B571">
        <v>0</v>
      </c>
      <c r="C571">
        <v>0</v>
      </c>
      <c r="D571">
        <v>0</v>
      </c>
      <c r="E571">
        <v>0</v>
      </c>
      <c r="F571">
        <v>1</v>
      </c>
      <c r="G571">
        <v>0</v>
      </c>
      <c r="H571">
        <v>0</v>
      </c>
      <c r="I571">
        <v>0</v>
      </c>
      <c r="J571" t="s">
        <v>88</v>
      </c>
      <c r="K571" t="s">
        <v>89</v>
      </c>
      <c r="L571">
        <v>0</v>
      </c>
      <c r="M571">
        <v>0</v>
      </c>
      <c r="N571">
        <v>1</v>
      </c>
      <c r="O571">
        <v>0</v>
      </c>
      <c r="P571">
        <v>0</v>
      </c>
      <c r="Q571" t="s">
        <v>584</v>
      </c>
      <c r="AA571" t="s">
        <v>81</v>
      </c>
      <c r="AB571" t="s">
        <v>82</v>
      </c>
      <c r="AC571" t="s">
        <v>83</v>
      </c>
      <c r="AD571" t="s">
        <v>83</v>
      </c>
      <c r="AE571" t="s">
        <v>81</v>
      </c>
      <c r="AF571" t="s">
        <v>83</v>
      </c>
      <c r="AG571" t="s">
        <v>81</v>
      </c>
      <c r="AH571" t="s">
        <v>90</v>
      </c>
      <c r="AI571" t="s">
        <v>88</v>
      </c>
      <c r="AJ571" t="s">
        <v>89</v>
      </c>
      <c r="AK571" t="s">
        <v>85</v>
      </c>
      <c r="AL571" t="s">
        <v>73</v>
      </c>
      <c r="AM571" t="s">
        <v>86</v>
      </c>
      <c r="AN571" t="s">
        <v>74</v>
      </c>
      <c r="AO571" t="s">
        <v>87</v>
      </c>
      <c r="AP571" t="s">
        <v>74</v>
      </c>
      <c r="AQ571" t="s">
        <v>86</v>
      </c>
      <c r="AR571" t="s">
        <v>97</v>
      </c>
      <c r="AS571" t="s">
        <v>92</v>
      </c>
      <c r="AT571" t="s">
        <v>73</v>
      </c>
      <c r="AU571">
        <v>0</v>
      </c>
      <c r="AV571">
        <v>0</v>
      </c>
      <c r="AW571">
        <v>0</v>
      </c>
      <c r="AX571">
        <v>1</v>
      </c>
      <c r="AY571">
        <v>0</v>
      </c>
      <c r="AZ571" t="s">
        <v>581</v>
      </c>
    </row>
    <row r="572" spans="1:52" x14ac:dyDescent="0.2">
      <c r="A572">
        <v>1</v>
      </c>
      <c r="B572">
        <v>0</v>
      </c>
      <c r="C572">
        <v>0</v>
      </c>
      <c r="D572">
        <v>0</v>
      </c>
      <c r="E572">
        <v>0</v>
      </c>
      <c r="F572">
        <v>1</v>
      </c>
      <c r="G572">
        <v>0</v>
      </c>
      <c r="H572">
        <v>0</v>
      </c>
      <c r="I572">
        <v>0</v>
      </c>
      <c r="J572" t="s">
        <v>88</v>
      </c>
      <c r="K572" t="s">
        <v>89</v>
      </c>
      <c r="L572">
        <v>0</v>
      </c>
      <c r="M572">
        <v>0</v>
      </c>
      <c r="N572">
        <v>1</v>
      </c>
      <c r="O572">
        <v>0</v>
      </c>
      <c r="P572">
        <v>0</v>
      </c>
      <c r="Q572" t="s">
        <v>584</v>
      </c>
      <c r="AA572" t="s">
        <v>82</v>
      </c>
      <c r="AB572" t="s">
        <v>82</v>
      </c>
      <c r="AC572" t="s">
        <v>83</v>
      </c>
      <c r="AD572" t="s">
        <v>82</v>
      </c>
      <c r="AE572" t="s">
        <v>82</v>
      </c>
      <c r="AF572" t="s">
        <v>90</v>
      </c>
      <c r="AG572" t="s">
        <v>83</v>
      </c>
      <c r="AH572" t="s">
        <v>90</v>
      </c>
      <c r="AI572" t="s">
        <v>88</v>
      </c>
      <c r="AJ572" t="s">
        <v>89</v>
      </c>
      <c r="AK572" t="s">
        <v>100</v>
      </c>
      <c r="AL572" t="s">
        <v>107</v>
      </c>
      <c r="AM572" t="s">
        <v>87</v>
      </c>
      <c r="AN572" t="s">
        <v>87</v>
      </c>
      <c r="AO572" t="s">
        <v>87</v>
      </c>
      <c r="AP572" t="s">
        <v>86</v>
      </c>
      <c r="AQ572" t="s">
        <v>87</v>
      </c>
      <c r="AR572" t="s">
        <v>97</v>
      </c>
      <c r="AS572" t="s">
        <v>92</v>
      </c>
      <c r="AT572" t="s">
        <v>107</v>
      </c>
      <c r="AU572">
        <v>0</v>
      </c>
      <c r="AV572">
        <v>0</v>
      </c>
      <c r="AW572">
        <v>0</v>
      </c>
      <c r="AX572">
        <v>1</v>
      </c>
      <c r="AY572">
        <v>0</v>
      </c>
      <c r="AZ572" t="s">
        <v>580</v>
      </c>
    </row>
    <row r="573" spans="1:52" x14ac:dyDescent="0.2">
      <c r="A573">
        <v>1</v>
      </c>
      <c r="B573">
        <v>0</v>
      </c>
      <c r="C573">
        <v>0</v>
      </c>
      <c r="D573">
        <v>0</v>
      </c>
      <c r="E573">
        <v>1</v>
      </c>
      <c r="F573">
        <v>0</v>
      </c>
      <c r="G573">
        <v>0</v>
      </c>
      <c r="H573">
        <v>0</v>
      </c>
      <c r="I573">
        <v>0</v>
      </c>
      <c r="L573">
        <v>0</v>
      </c>
      <c r="M573">
        <v>1</v>
      </c>
      <c r="N573">
        <v>0</v>
      </c>
      <c r="O573">
        <v>0</v>
      </c>
      <c r="P573">
        <v>0</v>
      </c>
      <c r="Q573" t="s">
        <v>584</v>
      </c>
      <c r="AA573" t="s">
        <v>83</v>
      </c>
      <c r="AB573" t="s">
        <v>81</v>
      </c>
      <c r="AC573" t="s">
        <v>83</v>
      </c>
      <c r="AD573" t="s">
        <v>83</v>
      </c>
      <c r="AE573" t="s">
        <v>83</v>
      </c>
      <c r="AF573" t="s">
        <v>83</v>
      </c>
      <c r="AG573" t="s">
        <v>83</v>
      </c>
      <c r="AH573" t="s">
        <v>83</v>
      </c>
      <c r="AI573" t="s">
        <v>135</v>
      </c>
      <c r="AJ573" t="s">
        <v>127</v>
      </c>
      <c r="AK573" t="s">
        <v>85</v>
      </c>
      <c r="AL573" t="s">
        <v>73</v>
      </c>
      <c r="AM573" t="s">
        <v>74</v>
      </c>
      <c r="AR573" t="s">
        <v>97</v>
      </c>
      <c r="AS573" t="s">
        <v>92</v>
      </c>
      <c r="AT573" t="s">
        <v>73</v>
      </c>
      <c r="AU573">
        <v>0</v>
      </c>
      <c r="AV573">
        <v>0</v>
      </c>
      <c r="AW573">
        <v>0</v>
      </c>
      <c r="AX573">
        <v>1</v>
      </c>
      <c r="AY573">
        <v>0</v>
      </c>
      <c r="AZ573" t="s">
        <v>580</v>
      </c>
    </row>
    <row r="574" spans="1:52" x14ac:dyDescent="0.2">
      <c r="A574">
        <v>0</v>
      </c>
      <c r="B574">
        <v>1</v>
      </c>
      <c r="C574">
        <v>0</v>
      </c>
      <c r="D574">
        <v>0</v>
      </c>
      <c r="E574">
        <v>0</v>
      </c>
      <c r="F574">
        <v>0</v>
      </c>
      <c r="G574">
        <v>1</v>
      </c>
      <c r="H574">
        <v>0</v>
      </c>
      <c r="I574">
        <v>0</v>
      </c>
      <c r="J574" t="s">
        <v>88</v>
      </c>
      <c r="K574" t="s">
        <v>89</v>
      </c>
      <c r="L574">
        <v>0</v>
      </c>
      <c r="M574">
        <v>0</v>
      </c>
      <c r="N574">
        <v>0</v>
      </c>
      <c r="O574">
        <v>0</v>
      </c>
      <c r="P574">
        <v>0</v>
      </c>
      <c r="Q574" t="s">
        <v>585</v>
      </c>
      <c r="AA574" t="s">
        <v>90</v>
      </c>
      <c r="AB574" t="s">
        <v>82</v>
      </c>
      <c r="AC574" t="s">
        <v>82</v>
      </c>
      <c r="AD574" t="s">
        <v>81</v>
      </c>
      <c r="AE574" t="s">
        <v>83</v>
      </c>
      <c r="AF574" t="s">
        <v>90</v>
      </c>
      <c r="AG574" t="s">
        <v>83</v>
      </c>
      <c r="AH574" t="s">
        <v>90</v>
      </c>
      <c r="AI574" t="s">
        <v>88</v>
      </c>
      <c r="AJ574" t="s">
        <v>89</v>
      </c>
      <c r="AK574" t="s">
        <v>100</v>
      </c>
      <c r="AL574" t="s">
        <v>107</v>
      </c>
      <c r="AM574" t="s">
        <v>86</v>
      </c>
      <c r="AN574" t="s">
        <v>87</v>
      </c>
      <c r="AO574" t="s">
        <v>87</v>
      </c>
      <c r="AP574" t="s">
        <v>87</v>
      </c>
      <c r="AQ574" t="s">
        <v>87</v>
      </c>
      <c r="AR574" t="s">
        <v>75</v>
      </c>
      <c r="AS574" t="s">
        <v>76</v>
      </c>
      <c r="AT574" t="s">
        <v>107</v>
      </c>
      <c r="AU574">
        <v>0</v>
      </c>
      <c r="AV574">
        <v>0</v>
      </c>
      <c r="AW574">
        <v>0</v>
      </c>
      <c r="AX574">
        <v>1</v>
      </c>
      <c r="AY574">
        <v>0</v>
      </c>
      <c r="AZ574" t="s">
        <v>579</v>
      </c>
    </row>
    <row r="575" spans="1:52" x14ac:dyDescent="0.2">
      <c r="A575">
        <v>0</v>
      </c>
      <c r="B575">
        <v>1</v>
      </c>
      <c r="C575">
        <v>0</v>
      </c>
      <c r="D575">
        <v>0</v>
      </c>
      <c r="E575">
        <v>0</v>
      </c>
      <c r="F575">
        <v>1</v>
      </c>
      <c r="G575">
        <v>0</v>
      </c>
      <c r="H575">
        <v>1</v>
      </c>
      <c r="I575">
        <v>0</v>
      </c>
      <c r="J575" t="s">
        <v>88</v>
      </c>
      <c r="K575" t="s">
        <v>89</v>
      </c>
      <c r="L575">
        <v>0</v>
      </c>
      <c r="M575">
        <v>1</v>
      </c>
      <c r="N575">
        <v>0</v>
      </c>
      <c r="O575">
        <v>0</v>
      </c>
      <c r="P575">
        <v>0</v>
      </c>
      <c r="Q575" t="s">
        <v>584</v>
      </c>
      <c r="AA575" t="s">
        <v>81</v>
      </c>
      <c r="AB575" t="s">
        <v>81</v>
      </c>
      <c r="AC575" t="s">
        <v>82</v>
      </c>
      <c r="AD575" t="s">
        <v>81</v>
      </c>
      <c r="AE575" t="s">
        <v>82</v>
      </c>
      <c r="AF575" t="s">
        <v>90</v>
      </c>
      <c r="AG575" t="s">
        <v>81</v>
      </c>
      <c r="AH575" t="s">
        <v>81</v>
      </c>
      <c r="AI575" t="s">
        <v>88</v>
      </c>
      <c r="AJ575" t="s">
        <v>89</v>
      </c>
      <c r="AK575" t="s">
        <v>100</v>
      </c>
      <c r="AL575" t="s">
        <v>120</v>
      </c>
      <c r="AM575" t="s">
        <v>87</v>
      </c>
      <c r="AN575" t="s">
        <v>86</v>
      </c>
      <c r="AO575" t="s">
        <v>86</v>
      </c>
      <c r="AP575" t="s">
        <v>87</v>
      </c>
      <c r="AQ575" t="s">
        <v>86</v>
      </c>
      <c r="AR575" t="s">
        <v>97</v>
      </c>
      <c r="AS575" t="s">
        <v>92</v>
      </c>
      <c r="AT575" t="s">
        <v>120</v>
      </c>
      <c r="AU575">
        <v>0</v>
      </c>
      <c r="AV575">
        <v>0</v>
      </c>
      <c r="AW575">
        <v>0</v>
      </c>
      <c r="AX575">
        <v>1</v>
      </c>
      <c r="AY575">
        <v>0</v>
      </c>
      <c r="AZ575" t="s">
        <v>580</v>
      </c>
    </row>
    <row r="576" spans="1:52" x14ac:dyDescent="0.2">
      <c r="A576">
        <v>0</v>
      </c>
      <c r="B576">
        <v>0</v>
      </c>
      <c r="C576">
        <v>0</v>
      </c>
      <c r="D576">
        <v>1</v>
      </c>
      <c r="L576">
        <v>1</v>
      </c>
      <c r="M576">
        <v>0</v>
      </c>
      <c r="N576">
        <v>0</v>
      </c>
      <c r="O576">
        <v>0</v>
      </c>
      <c r="P576">
        <v>0</v>
      </c>
      <c r="Q576" t="s">
        <v>584</v>
      </c>
      <c r="R576">
        <v>0</v>
      </c>
      <c r="S576">
        <v>0</v>
      </c>
      <c r="T576">
        <v>0</v>
      </c>
      <c r="U576">
        <v>0</v>
      </c>
      <c r="V576">
        <v>0</v>
      </c>
      <c r="W576">
        <v>0</v>
      </c>
      <c r="X576">
        <v>1</v>
      </c>
      <c r="Y576">
        <v>0</v>
      </c>
      <c r="Z576">
        <v>0</v>
      </c>
      <c r="AL576" t="s">
        <v>107</v>
      </c>
      <c r="AR576" t="s">
        <v>75</v>
      </c>
      <c r="AS576" t="s">
        <v>92</v>
      </c>
      <c r="AT576" t="s">
        <v>107</v>
      </c>
      <c r="AU576">
        <v>0</v>
      </c>
      <c r="AV576">
        <v>0</v>
      </c>
      <c r="AW576">
        <v>0</v>
      </c>
      <c r="AX576">
        <v>1</v>
      </c>
      <c r="AY576">
        <v>0</v>
      </c>
      <c r="AZ576" t="s">
        <v>580</v>
      </c>
    </row>
    <row r="577" spans="1:52" x14ac:dyDescent="0.2">
      <c r="A577">
        <v>0</v>
      </c>
      <c r="B577">
        <v>0</v>
      </c>
      <c r="C577">
        <v>0</v>
      </c>
      <c r="D577">
        <v>1</v>
      </c>
      <c r="L577">
        <v>1</v>
      </c>
      <c r="M577">
        <v>0</v>
      </c>
      <c r="N577">
        <v>0</v>
      </c>
      <c r="O577">
        <v>0</v>
      </c>
      <c r="P577">
        <v>0</v>
      </c>
      <c r="Q577" t="s">
        <v>584</v>
      </c>
      <c r="R577">
        <v>0</v>
      </c>
      <c r="S577">
        <v>0</v>
      </c>
      <c r="T577">
        <v>0</v>
      </c>
      <c r="U577">
        <v>0</v>
      </c>
      <c r="V577">
        <v>0</v>
      </c>
      <c r="W577">
        <v>0</v>
      </c>
      <c r="X577">
        <v>1</v>
      </c>
      <c r="Y577">
        <v>1</v>
      </c>
      <c r="Z577">
        <v>0</v>
      </c>
      <c r="AL577" t="s">
        <v>107</v>
      </c>
      <c r="AR577" t="s">
        <v>97</v>
      </c>
      <c r="AS577" t="s">
        <v>92</v>
      </c>
      <c r="AT577" t="s">
        <v>107</v>
      </c>
      <c r="AU577">
        <v>0</v>
      </c>
      <c r="AV577">
        <v>0</v>
      </c>
      <c r="AW577">
        <v>0</v>
      </c>
      <c r="AX577">
        <v>1</v>
      </c>
      <c r="AY577">
        <v>0</v>
      </c>
      <c r="AZ577" t="s">
        <v>581</v>
      </c>
    </row>
    <row r="578" spans="1:52" x14ac:dyDescent="0.2">
      <c r="A578">
        <v>0</v>
      </c>
      <c r="B578">
        <v>1</v>
      </c>
      <c r="C578">
        <v>0</v>
      </c>
      <c r="D578">
        <v>0</v>
      </c>
      <c r="E578">
        <v>1</v>
      </c>
      <c r="F578">
        <v>0</v>
      </c>
      <c r="G578">
        <v>0</v>
      </c>
      <c r="H578">
        <v>0</v>
      </c>
      <c r="I578">
        <v>0</v>
      </c>
      <c r="L578">
        <v>1</v>
      </c>
      <c r="M578">
        <v>0</v>
      </c>
      <c r="N578">
        <v>0</v>
      </c>
      <c r="O578">
        <v>0</v>
      </c>
      <c r="P578">
        <v>0</v>
      </c>
      <c r="Q578" t="s">
        <v>584</v>
      </c>
      <c r="R578">
        <v>0</v>
      </c>
      <c r="S578">
        <v>0</v>
      </c>
      <c r="T578">
        <v>0</v>
      </c>
      <c r="U578">
        <v>1</v>
      </c>
      <c r="V578">
        <v>0</v>
      </c>
      <c r="W578">
        <v>0</v>
      </c>
      <c r="X578">
        <v>0</v>
      </c>
      <c r="Y578">
        <v>0</v>
      </c>
      <c r="Z578">
        <v>0</v>
      </c>
      <c r="AL578" t="s">
        <v>107</v>
      </c>
      <c r="AM578" t="s">
        <v>86</v>
      </c>
      <c r="AN578" t="s">
        <v>87</v>
      </c>
      <c r="AO578" t="s">
        <v>87</v>
      </c>
      <c r="AP578" t="s">
        <v>87</v>
      </c>
      <c r="AQ578" t="s">
        <v>87</v>
      </c>
      <c r="AR578" t="s">
        <v>97</v>
      </c>
      <c r="AS578" t="s">
        <v>92</v>
      </c>
      <c r="AT578" t="s">
        <v>107</v>
      </c>
      <c r="AU578">
        <v>0</v>
      </c>
      <c r="AV578">
        <v>0</v>
      </c>
      <c r="AW578">
        <v>0</v>
      </c>
      <c r="AX578">
        <v>1</v>
      </c>
      <c r="AY578">
        <v>0</v>
      </c>
      <c r="AZ578" t="s">
        <v>580</v>
      </c>
    </row>
    <row r="579" spans="1:52" x14ac:dyDescent="0.2">
      <c r="A579">
        <v>1</v>
      </c>
      <c r="B579">
        <v>0</v>
      </c>
      <c r="C579">
        <v>0</v>
      </c>
      <c r="D579">
        <v>0</v>
      </c>
      <c r="E579">
        <v>0</v>
      </c>
      <c r="F579">
        <v>0</v>
      </c>
      <c r="G579">
        <v>1</v>
      </c>
      <c r="H579">
        <v>0</v>
      </c>
      <c r="I579">
        <v>0</v>
      </c>
      <c r="J579" t="s">
        <v>79</v>
      </c>
      <c r="K579" t="s">
        <v>80</v>
      </c>
      <c r="L579">
        <v>0</v>
      </c>
      <c r="M579">
        <v>0</v>
      </c>
      <c r="N579">
        <v>1</v>
      </c>
      <c r="O579">
        <v>0</v>
      </c>
      <c r="P579">
        <v>0</v>
      </c>
      <c r="Q579" t="s">
        <v>584</v>
      </c>
      <c r="AA579" t="s">
        <v>81</v>
      </c>
      <c r="AB579" t="s">
        <v>81</v>
      </c>
      <c r="AC579" t="s">
        <v>83</v>
      </c>
      <c r="AD579" t="s">
        <v>81</v>
      </c>
      <c r="AE579" t="s">
        <v>82</v>
      </c>
      <c r="AF579" t="s">
        <v>82</v>
      </c>
      <c r="AG579" t="s">
        <v>82</v>
      </c>
      <c r="AH579" t="s">
        <v>83</v>
      </c>
      <c r="AI579" t="s">
        <v>88</v>
      </c>
      <c r="AJ579" t="s">
        <v>89</v>
      </c>
      <c r="AK579" t="s">
        <v>85</v>
      </c>
      <c r="AL579" t="s">
        <v>107</v>
      </c>
      <c r="AM579" t="s">
        <v>87</v>
      </c>
      <c r="AN579" t="s">
        <v>86</v>
      </c>
      <c r="AO579" t="s">
        <v>74</v>
      </c>
      <c r="AP579" t="s">
        <v>74</v>
      </c>
      <c r="AQ579" t="s">
        <v>74</v>
      </c>
      <c r="AR579" t="s">
        <v>97</v>
      </c>
      <c r="AS579" t="s">
        <v>92</v>
      </c>
      <c r="AT579" t="s">
        <v>107</v>
      </c>
      <c r="AU579">
        <v>0</v>
      </c>
      <c r="AV579">
        <v>0</v>
      </c>
      <c r="AW579">
        <v>0</v>
      </c>
      <c r="AX579">
        <v>1</v>
      </c>
      <c r="AY579">
        <v>0</v>
      </c>
      <c r="AZ579" t="s">
        <v>580</v>
      </c>
    </row>
    <row r="580" spans="1:52" x14ac:dyDescent="0.2">
      <c r="A580">
        <v>1</v>
      </c>
      <c r="B580">
        <v>0</v>
      </c>
      <c r="C580">
        <v>0</v>
      </c>
      <c r="D580">
        <v>0</v>
      </c>
      <c r="E580">
        <v>1</v>
      </c>
      <c r="F580">
        <v>0</v>
      </c>
      <c r="G580">
        <v>0</v>
      </c>
      <c r="H580">
        <v>0</v>
      </c>
      <c r="I580">
        <v>0</v>
      </c>
      <c r="L580">
        <v>1</v>
      </c>
      <c r="M580">
        <v>0</v>
      </c>
      <c r="N580">
        <v>0</v>
      </c>
      <c r="O580">
        <v>0</v>
      </c>
      <c r="P580">
        <v>0</v>
      </c>
      <c r="Q580" t="s">
        <v>584</v>
      </c>
      <c r="R580">
        <v>0</v>
      </c>
      <c r="S580">
        <v>0</v>
      </c>
      <c r="T580">
        <v>0</v>
      </c>
      <c r="U580">
        <v>1</v>
      </c>
      <c r="V580">
        <v>0</v>
      </c>
      <c r="W580">
        <v>0</v>
      </c>
      <c r="X580">
        <v>0</v>
      </c>
      <c r="Y580">
        <v>0</v>
      </c>
      <c r="Z580">
        <v>0</v>
      </c>
      <c r="AL580" t="s">
        <v>107</v>
      </c>
      <c r="AM580" t="s">
        <v>87</v>
      </c>
      <c r="AN580" t="s">
        <v>87</v>
      </c>
      <c r="AO580" t="s">
        <v>86</v>
      </c>
      <c r="AP580" t="s">
        <v>87</v>
      </c>
      <c r="AQ580" t="s">
        <v>86</v>
      </c>
      <c r="AR580" t="s">
        <v>108</v>
      </c>
      <c r="AS580" t="s">
        <v>92</v>
      </c>
      <c r="AT580" t="s">
        <v>107</v>
      </c>
      <c r="AU580">
        <v>0</v>
      </c>
      <c r="AV580">
        <v>0</v>
      </c>
      <c r="AW580">
        <v>0</v>
      </c>
      <c r="AX580">
        <v>1</v>
      </c>
      <c r="AY580">
        <v>0</v>
      </c>
      <c r="AZ580" t="s">
        <v>581</v>
      </c>
    </row>
    <row r="581" spans="1:52" x14ac:dyDescent="0.2">
      <c r="A581">
        <v>1</v>
      </c>
      <c r="B581">
        <v>0</v>
      </c>
      <c r="C581">
        <v>0</v>
      </c>
      <c r="D581">
        <v>0</v>
      </c>
      <c r="E581">
        <v>0</v>
      </c>
      <c r="F581">
        <v>0</v>
      </c>
      <c r="G581">
        <v>1</v>
      </c>
      <c r="H581">
        <v>1</v>
      </c>
      <c r="I581">
        <v>0</v>
      </c>
      <c r="J581" t="s">
        <v>135</v>
      </c>
      <c r="K581" t="s">
        <v>127</v>
      </c>
      <c r="L581">
        <v>0</v>
      </c>
      <c r="M581">
        <v>0</v>
      </c>
      <c r="N581">
        <v>1</v>
      </c>
      <c r="O581">
        <v>0</v>
      </c>
      <c r="P581">
        <v>0</v>
      </c>
      <c r="Q581" t="s">
        <v>584</v>
      </c>
      <c r="AA581" t="s">
        <v>83</v>
      </c>
      <c r="AB581" t="s">
        <v>82</v>
      </c>
      <c r="AC581" t="s">
        <v>83</v>
      </c>
      <c r="AD581" t="s">
        <v>83</v>
      </c>
      <c r="AE581" t="s">
        <v>81</v>
      </c>
      <c r="AF581" t="s">
        <v>83</v>
      </c>
      <c r="AG581" t="s">
        <v>81</v>
      </c>
      <c r="AH581" t="s">
        <v>81</v>
      </c>
      <c r="AI581" t="s">
        <v>127</v>
      </c>
      <c r="AJ581" t="s">
        <v>127</v>
      </c>
      <c r="AL581" t="s">
        <v>73</v>
      </c>
      <c r="AM581" t="s">
        <v>74</v>
      </c>
      <c r="AR581" t="s">
        <v>75</v>
      </c>
      <c r="AS581" t="s">
        <v>76</v>
      </c>
      <c r="AT581" t="s">
        <v>73</v>
      </c>
      <c r="AU581">
        <v>0</v>
      </c>
      <c r="AV581">
        <v>0</v>
      </c>
      <c r="AW581">
        <v>0</v>
      </c>
      <c r="AX581">
        <v>1</v>
      </c>
      <c r="AY581">
        <v>0</v>
      </c>
      <c r="AZ581" t="s">
        <v>578</v>
      </c>
    </row>
    <row r="582" spans="1:52" x14ac:dyDescent="0.2">
      <c r="A582">
        <v>0</v>
      </c>
      <c r="B582">
        <v>0</v>
      </c>
      <c r="C582">
        <v>0</v>
      </c>
      <c r="D582">
        <v>1</v>
      </c>
      <c r="L582">
        <v>1</v>
      </c>
      <c r="M582">
        <v>0</v>
      </c>
      <c r="N582">
        <v>0</v>
      </c>
      <c r="O582">
        <v>0</v>
      </c>
      <c r="P582">
        <v>0</v>
      </c>
      <c r="Q582" t="s">
        <v>584</v>
      </c>
      <c r="R582">
        <v>0</v>
      </c>
      <c r="S582">
        <v>0</v>
      </c>
      <c r="T582">
        <v>1</v>
      </c>
      <c r="U582">
        <v>0</v>
      </c>
      <c r="V582">
        <v>1</v>
      </c>
      <c r="W582">
        <v>0</v>
      </c>
      <c r="X582">
        <v>1</v>
      </c>
      <c r="Y582">
        <v>1</v>
      </c>
      <c r="Z582">
        <v>0</v>
      </c>
      <c r="AL582" t="s">
        <v>73</v>
      </c>
      <c r="AR582" t="s">
        <v>97</v>
      </c>
      <c r="AS582" t="s">
        <v>92</v>
      </c>
      <c r="AT582" t="s">
        <v>73</v>
      </c>
      <c r="AU582">
        <v>0</v>
      </c>
      <c r="AV582">
        <v>0</v>
      </c>
      <c r="AW582">
        <v>0</v>
      </c>
      <c r="AX582">
        <v>1</v>
      </c>
      <c r="AY582">
        <v>0</v>
      </c>
      <c r="AZ582" t="s">
        <v>581</v>
      </c>
    </row>
    <row r="583" spans="1:52" x14ac:dyDescent="0.2">
      <c r="A583">
        <v>1</v>
      </c>
      <c r="B583">
        <v>0</v>
      </c>
      <c r="C583">
        <v>0</v>
      </c>
      <c r="D583">
        <v>0</v>
      </c>
      <c r="E583">
        <v>0</v>
      </c>
      <c r="F583">
        <v>1</v>
      </c>
      <c r="G583">
        <v>0</v>
      </c>
      <c r="H583">
        <v>0</v>
      </c>
      <c r="I583">
        <v>0</v>
      </c>
      <c r="J583" t="s">
        <v>88</v>
      </c>
      <c r="K583" t="s">
        <v>89</v>
      </c>
      <c r="L583">
        <v>0</v>
      </c>
      <c r="M583">
        <v>0</v>
      </c>
      <c r="N583">
        <v>1</v>
      </c>
      <c r="O583">
        <v>0</v>
      </c>
      <c r="P583">
        <v>0</v>
      </c>
      <c r="Q583" t="s">
        <v>584</v>
      </c>
      <c r="AA583" t="s">
        <v>83</v>
      </c>
      <c r="AB583" t="s">
        <v>82</v>
      </c>
      <c r="AC583" t="s">
        <v>82</v>
      </c>
      <c r="AD583" t="s">
        <v>82</v>
      </c>
      <c r="AE583" t="s">
        <v>83</v>
      </c>
      <c r="AF583" t="s">
        <v>83</v>
      </c>
      <c r="AG583" t="s">
        <v>83</v>
      </c>
      <c r="AH583" t="s">
        <v>81</v>
      </c>
      <c r="AI583" t="s">
        <v>88</v>
      </c>
      <c r="AJ583" t="s">
        <v>89</v>
      </c>
      <c r="AK583" t="s">
        <v>100</v>
      </c>
      <c r="AL583" t="s">
        <v>73</v>
      </c>
      <c r="AM583" t="s">
        <v>87</v>
      </c>
      <c r="AN583" t="s">
        <v>86</v>
      </c>
      <c r="AO583" t="s">
        <v>86</v>
      </c>
      <c r="AP583" t="s">
        <v>86</v>
      </c>
      <c r="AQ583" t="s">
        <v>86</v>
      </c>
      <c r="AR583" t="s">
        <v>75</v>
      </c>
      <c r="AS583" t="s">
        <v>92</v>
      </c>
      <c r="AT583" t="s">
        <v>73</v>
      </c>
      <c r="AU583">
        <v>0</v>
      </c>
      <c r="AV583">
        <v>1</v>
      </c>
      <c r="AW583">
        <v>0</v>
      </c>
      <c r="AX583">
        <v>0</v>
      </c>
      <c r="AY583">
        <v>0</v>
      </c>
      <c r="AZ583" t="s">
        <v>579</v>
      </c>
    </row>
    <row r="584" spans="1:52" x14ac:dyDescent="0.2">
      <c r="A584">
        <v>1</v>
      </c>
      <c r="B584">
        <v>0</v>
      </c>
      <c r="C584">
        <v>0</v>
      </c>
      <c r="D584">
        <v>0</v>
      </c>
      <c r="E584">
        <v>1</v>
      </c>
      <c r="F584">
        <v>0</v>
      </c>
      <c r="G584">
        <v>0</v>
      </c>
      <c r="H584">
        <v>0</v>
      </c>
      <c r="I584">
        <v>0</v>
      </c>
      <c r="L584">
        <v>0</v>
      </c>
      <c r="M584">
        <v>1</v>
      </c>
      <c r="N584">
        <v>1</v>
      </c>
      <c r="O584">
        <v>0</v>
      </c>
      <c r="P584">
        <v>0</v>
      </c>
      <c r="Q584" t="s">
        <v>584</v>
      </c>
      <c r="AA584" t="s">
        <v>81</v>
      </c>
      <c r="AB584" t="s">
        <v>83</v>
      </c>
      <c r="AC584" t="s">
        <v>83</v>
      </c>
      <c r="AD584" t="s">
        <v>81</v>
      </c>
      <c r="AE584" t="s">
        <v>82</v>
      </c>
      <c r="AF584" t="s">
        <v>83</v>
      </c>
      <c r="AG584" t="s">
        <v>81</v>
      </c>
      <c r="AH584" t="s">
        <v>81</v>
      </c>
      <c r="AI584" t="s">
        <v>88</v>
      </c>
      <c r="AJ584" t="s">
        <v>89</v>
      </c>
      <c r="AK584" t="s">
        <v>85</v>
      </c>
      <c r="AL584" t="s">
        <v>107</v>
      </c>
      <c r="AM584" t="s">
        <v>87</v>
      </c>
      <c r="AN584" t="s">
        <v>87</v>
      </c>
      <c r="AO584" t="s">
        <v>87</v>
      </c>
      <c r="AP584" t="s">
        <v>87</v>
      </c>
      <c r="AQ584" t="s">
        <v>87</v>
      </c>
      <c r="AR584" t="s">
        <v>75</v>
      </c>
      <c r="AS584" t="s">
        <v>76</v>
      </c>
      <c r="AT584" t="s">
        <v>107</v>
      </c>
      <c r="AU584">
        <v>0</v>
      </c>
      <c r="AV584">
        <v>0</v>
      </c>
      <c r="AW584">
        <v>0</v>
      </c>
      <c r="AX584">
        <v>1</v>
      </c>
      <c r="AY584">
        <v>0</v>
      </c>
      <c r="AZ584" t="s">
        <v>579</v>
      </c>
    </row>
    <row r="585" spans="1:52" x14ac:dyDescent="0.2">
      <c r="A585">
        <v>0</v>
      </c>
      <c r="B585">
        <v>1</v>
      </c>
      <c r="C585">
        <v>0</v>
      </c>
      <c r="D585">
        <v>0</v>
      </c>
      <c r="E585">
        <v>1</v>
      </c>
      <c r="F585">
        <v>0</v>
      </c>
      <c r="G585">
        <v>0</v>
      </c>
      <c r="H585">
        <v>0</v>
      </c>
      <c r="I585">
        <v>0</v>
      </c>
      <c r="L585">
        <v>1</v>
      </c>
      <c r="M585">
        <v>0</v>
      </c>
      <c r="N585">
        <v>0</v>
      </c>
      <c r="O585">
        <v>0</v>
      </c>
      <c r="P585">
        <v>0</v>
      </c>
      <c r="Q585" t="s">
        <v>584</v>
      </c>
      <c r="R585">
        <v>0</v>
      </c>
      <c r="S585">
        <v>0</v>
      </c>
      <c r="T585">
        <v>0</v>
      </c>
      <c r="U585">
        <v>0</v>
      </c>
      <c r="V585">
        <v>0</v>
      </c>
      <c r="W585">
        <v>1</v>
      </c>
      <c r="X585">
        <v>0</v>
      </c>
      <c r="Y585">
        <v>0</v>
      </c>
      <c r="Z585">
        <v>0</v>
      </c>
      <c r="AL585" t="s">
        <v>107</v>
      </c>
      <c r="AM585" t="s">
        <v>74</v>
      </c>
      <c r="AR585" t="s">
        <v>97</v>
      </c>
      <c r="AS585" t="s">
        <v>92</v>
      </c>
      <c r="AT585" t="s">
        <v>107</v>
      </c>
      <c r="AU585">
        <v>0</v>
      </c>
      <c r="AV585">
        <v>0</v>
      </c>
      <c r="AW585">
        <v>0</v>
      </c>
      <c r="AX585">
        <v>1</v>
      </c>
      <c r="AY585">
        <v>0</v>
      </c>
      <c r="AZ585" t="s">
        <v>580</v>
      </c>
    </row>
    <row r="586" spans="1:52" x14ac:dyDescent="0.2">
      <c r="A586">
        <v>1</v>
      </c>
      <c r="B586">
        <v>0</v>
      </c>
      <c r="C586">
        <v>0</v>
      </c>
      <c r="D586">
        <v>0</v>
      </c>
      <c r="E586">
        <v>0</v>
      </c>
      <c r="F586">
        <v>0</v>
      </c>
      <c r="G586">
        <v>0</v>
      </c>
      <c r="H586">
        <v>0</v>
      </c>
      <c r="I586">
        <v>1</v>
      </c>
      <c r="J586" t="s">
        <v>88</v>
      </c>
      <c r="K586" t="s">
        <v>89</v>
      </c>
      <c r="L586">
        <v>0</v>
      </c>
      <c r="M586">
        <v>1</v>
      </c>
      <c r="N586">
        <v>0</v>
      </c>
      <c r="O586">
        <v>0</v>
      </c>
      <c r="P586">
        <v>0</v>
      </c>
      <c r="Q586" t="s">
        <v>584</v>
      </c>
      <c r="AA586" t="s">
        <v>83</v>
      </c>
      <c r="AB586" t="s">
        <v>82</v>
      </c>
      <c r="AC586" t="s">
        <v>81</v>
      </c>
      <c r="AD586" t="s">
        <v>83</v>
      </c>
      <c r="AE586" t="s">
        <v>81</v>
      </c>
      <c r="AF586" t="s">
        <v>83</v>
      </c>
      <c r="AG586" t="s">
        <v>90</v>
      </c>
      <c r="AH586" t="s">
        <v>83</v>
      </c>
      <c r="AI586" t="s">
        <v>88</v>
      </c>
      <c r="AJ586" t="s">
        <v>89</v>
      </c>
      <c r="AK586" t="s">
        <v>100</v>
      </c>
      <c r="AL586" t="s">
        <v>107</v>
      </c>
      <c r="AM586" t="s">
        <v>87</v>
      </c>
      <c r="AN586" t="s">
        <v>86</v>
      </c>
      <c r="AO586" t="s">
        <v>87</v>
      </c>
      <c r="AP586" t="s">
        <v>87</v>
      </c>
      <c r="AQ586" t="s">
        <v>86</v>
      </c>
      <c r="AR586" t="s">
        <v>97</v>
      </c>
      <c r="AS586" t="s">
        <v>92</v>
      </c>
      <c r="AT586" t="s">
        <v>107</v>
      </c>
      <c r="AU586">
        <v>0</v>
      </c>
      <c r="AV586">
        <v>0</v>
      </c>
      <c r="AW586">
        <v>0</v>
      </c>
      <c r="AX586">
        <v>1</v>
      </c>
      <c r="AY586">
        <v>0</v>
      </c>
      <c r="AZ586" t="s">
        <v>580</v>
      </c>
    </row>
    <row r="587" spans="1:52" x14ac:dyDescent="0.2">
      <c r="A587">
        <v>0</v>
      </c>
      <c r="B587">
        <v>0</v>
      </c>
      <c r="C587">
        <v>1</v>
      </c>
      <c r="D587">
        <v>0</v>
      </c>
      <c r="E587">
        <v>0</v>
      </c>
      <c r="F587">
        <v>0</v>
      </c>
      <c r="G587">
        <v>0</v>
      </c>
      <c r="H587">
        <v>0</v>
      </c>
      <c r="I587">
        <v>1</v>
      </c>
      <c r="J587" t="s">
        <v>79</v>
      </c>
      <c r="K587" t="s">
        <v>127</v>
      </c>
      <c r="L587">
        <v>1</v>
      </c>
      <c r="M587">
        <v>0</v>
      </c>
      <c r="N587">
        <v>0</v>
      </c>
      <c r="O587">
        <v>0</v>
      </c>
      <c r="P587">
        <v>0</v>
      </c>
      <c r="Q587" t="s">
        <v>584</v>
      </c>
      <c r="R587">
        <v>0</v>
      </c>
      <c r="S587">
        <v>0</v>
      </c>
      <c r="T587">
        <v>0</v>
      </c>
      <c r="U587">
        <v>0</v>
      </c>
      <c r="V587">
        <v>0</v>
      </c>
      <c r="W587">
        <v>0</v>
      </c>
      <c r="X587">
        <v>0</v>
      </c>
      <c r="Y587">
        <v>0</v>
      </c>
      <c r="Z587">
        <v>1</v>
      </c>
      <c r="AL587" t="s">
        <v>73</v>
      </c>
      <c r="AM587" t="s">
        <v>86</v>
      </c>
      <c r="AN587" t="s">
        <v>87</v>
      </c>
      <c r="AO587" t="s">
        <v>87</v>
      </c>
      <c r="AP587" t="s">
        <v>87</v>
      </c>
      <c r="AQ587" t="s">
        <v>87</v>
      </c>
      <c r="AR587" t="s">
        <v>97</v>
      </c>
      <c r="AS587" t="s">
        <v>92</v>
      </c>
      <c r="AT587" t="s">
        <v>73</v>
      </c>
      <c r="AU587">
        <v>0</v>
      </c>
      <c r="AV587">
        <v>0</v>
      </c>
      <c r="AW587">
        <v>0</v>
      </c>
      <c r="AX587">
        <v>1</v>
      </c>
      <c r="AY587">
        <v>0</v>
      </c>
      <c r="AZ587" t="s">
        <v>581</v>
      </c>
    </row>
    <row r="588" spans="1:52" x14ac:dyDescent="0.2">
      <c r="A588">
        <v>1</v>
      </c>
      <c r="B588">
        <v>0</v>
      </c>
      <c r="C588">
        <v>0</v>
      </c>
      <c r="D588">
        <v>0</v>
      </c>
      <c r="E588">
        <v>0</v>
      </c>
      <c r="F588">
        <v>0</v>
      </c>
      <c r="G588">
        <v>0</v>
      </c>
      <c r="H588">
        <v>0</v>
      </c>
      <c r="I588">
        <v>1</v>
      </c>
      <c r="J588" t="s">
        <v>135</v>
      </c>
      <c r="K588" t="s">
        <v>80</v>
      </c>
      <c r="L588">
        <v>1</v>
      </c>
      <c r="M588">
        <v>0</v>
      </c>
      <c r="N588">
        <v>0</v>
      </c>
      <c r="O588">
        <v>0</v>
      </c>
      <c r="P588">
        <v>0</v>
      </c>
      <c r="Q588" t="s">
        <v>584</v>
      </c>
      <c r="R588">
        <v>0</v>
      </c>
      <c r="S588">
        <v>0</v>
      </c>
      <c r="T588">
        <v>0</v>
      </c>
      <c r="U588">
        <v>1</v>
      </c>
      <c r="V588">
        <v>0</v>
      </c>
      <c r="W588">
        <v>0</v>
      </c>
      <c r="X588">
        <v>0</v>
      </c>
      <c r="Y588">
        <v>0</v>
      </c>
      <c r="Z588">
        <v>0</v>
      </c>
      <c r="AL588" t="s">
        <v>73</v>
      </c>
      <c r="AM588" t="s">
        <v>74</v>
      </c>
      <c r="AR588" t="s">
        <v>97</v>
      </c>
      <c r="AS588" t="s">
        <v>92</v>
      </c>
      <c r="AT588" t="s">
        <v>73</v>
      </c>
      <c r="AU588">
        <v>0</v>
      </c>
      <c r="AV588">
        <v>0</v>
      </c>
      <c r="AW588">
        <v>0</v>
      </c>
      <c r="AX588">
        <v>1</v>
      </c>
      <c r="AY588">
        <v>0</v>
      </c>
      <c r="AZ588" t="s">
        <v>580</v>
      </c>
    </row>
    <row r="589" spans="1:52" x14ac:dyDescent="0.2">
      <c r="A589">
        <v>1</v>
      </c>
      <c r="B589">
        <v>0</v>
      </c>
      <c r="C589">
        <v>0</v>
      </c>
      <c r="D589">
        <v>0</v>
      </c>
      <c r="E589">
        <v>1</v>
      </c>
      <c r="F589">
        <v>0</v>
      </c>
      <c r="G589">
        <v>0</v>
      </c>
      <c r="H589">
        <v>0</v>
      </c>
      <c r="I589">
        <v>0</v>
      </c>
      <c r="L589">
        <v>1</v>
      </c>
      <c r="M589">
        <v>0</v>
      </c>
      <c r="N589">
        <v>0</v>
      </c>
      <c r="O589">
        <v>0</v>
      </c>
      <c r="P589">
        <v>0</v>
      </c>
      <c r="Q589" t="s">
        <v>584</v>
      </c>
      <c r="R589">
        <v>0</v>
      </c>
      <c r="S589">
        <v>1</v>
      </c>
      <c r="T589">
        <v>0</v>
      </c>
      <c r="U589">
        <v>0</v>
      </c>
      <c r="V589">
        <v>0</v>
      </c>
      <c r="W589">
        <v>0</v>
      </c>
      <c r="X589">
        <v>0</v>
      </c>
      <c r="Y589">
        <v>0</v>
      </c>
      <c r="Z589">
        <v>0</v>
      </c>
      <c r="AL589" t="s">
        <v>107</v>
      </c>
      <c r="AM589" t="s">
        <v>86</v>
      </c>
      <c r="AN589" t="s">
        <v>74</v>
      </c>
      <c r="AO589" t="s">
        <v>74</v>
      </c>
      <c r="AP589" t="s">
        <v>87</v>
      </c>
      <c r="AQ589" t="s">
        <v>74</v>
      </c>
      <c r="AR589" t="s">
        <v>97</v>
      </c>
      <c r="AS589" t="s">
        <v>92</v>
      </c>
      <c r="AT589" t="s">
        <v>107</v>
      </c>
      <c r="AU589">
        <v>0</v>
      </c>
      <c r="AV589">
        <v>0</v>
      </c>
      <c r="AW589">
        <v>0</v>
      </c>
      <c r="AX589">
        <v>1</v>
      </c>
      <c r="AY589">
        <v>0</v>
      </c>
      <c r="AZ589" t="s">
        <v>580</v>
      </c>
    </row>
    <row r="590" spans="1:52" x14ac:dyDescent="0.2">
      <c r="A590">
        <v>1</v>
      </c>
      <c r="B590">
        <v>0</v>
      </c>
      <c r="C590">
        <v>0</v>
      </c>
      <c r="D590">
        <v>0</v>
      </c>
      <c r="E590">
        <v>0</v>
      </c>
      <c r="F590">
        <v>1</v>
      </c>
      <c r="G590">
        <v>0</v>
      </c>
      <c r="H590">
        <v>0</v>
      </c>
      <c r="I590">
        <v>0</v>
      </c>
      <c r="J590" t="s">
        <v>88</v>
      </c>
      <c r="K590" t="s">
        <v>89</v>
      </c>
      <c r="L590">
        <v>0</v>
      </c>
      <c r="M590">
        <v>1</v>
      </c>
      <c r="N590">
        <v>0</v>
      </c>
      <c r="O590">
        <v>0</v>
      </c>
      <c r="P590">
        <v>0</v>
      </c>
      <c r="Q590" t="s">
        <v>584</v>
      </c>
      <c r="AA590" t="s">
        <v>83</v>
      </c>
      <c r="AB590" t="s">
        <v>82</v>
      </c>
      <c r="AC590" t="s">
        <v>82</v>
      </c>
      <c r="AD590" t="s">
        <v>83</v>
      </c>
      <c r="AE590" t="s">
        <v>83</v>
      </c>
      <c r="AF590" t="s">
        <v>83</v>
      </c>
      <c r="AG590" t="s">
        <v>83</v>
      </c>
      <c r="AH590" t="s">
        <v>83</v>
      </c>
      <c r="AI590" t="s">
        <v>88</v>
      </c>
      <c r="AJ590" t="s">
        <v>89</v>
      </c>
      <c r="AK590" t="s">
        <v>100</v>
      </c>
      <c r="AL590" t="s">
        <v>96</v>
      </c>
      <c r="AM590" t="s">
        <v>87</v>
      </c>
      <c r="AN590" t="s">
        <v>74</v>
      </c>
      <c r="AO590" t="s">
        <v>87</v>
      </c>
      <c r="AP590" t="s">
        <v>87</v>
      </c>
      <c r="AQ590" t="s">
        <v>74</v>
      </c>
      <c r="AR590" t="s">
        <v>101</v>
      </c>
      <c r="AS590" t="s">
        <v>92</v>
      </c>
      <c r="AT590" t="s">
        <v>96</v>
      </c>
      <c r="AU590">
        <v>1</v>
      </c>
      <c r="AV590">
        <v>0</v>
      </c>
      <c r="AW590">
        <v>0</v>
      </c>
      <c r="AX590">
        <v>0</v>
      </c>
      <c r="AY590">
        <v>0</v>
      </c>
      <c r="AZ590" t="s">
        <v>580</v>
      </c>
    </row>
    <row r="591" spans="1:52" x14ac:dyDescent="0.2">
      <c r="A591">
        <v>1</v>
      </c>
      <c r="B591">
        <v>0</v>
      </c>
      <c r="C591">
        <v>0</v>
      </c>
      <c r="D591">
        <v>0</v>
      </c>
      <c r="E591">
        <v>0</v>
      </c>
      <c r="F591">
        <v>1</v>
      </c>
      <c r="G591">
        <v>0</v>
      </c>
      <c r="H591">
        <v>0</v>
      </c>
      <c r="I591">
        <v>0</v>
      </c>
      <c r="J591" t="s">
        <v>88</v>
      </c>
      <c r="K591" t="s">
        <v>89</v>
      </c>
      <c r="L591">
        <v>0</v>
      </c>
      <c r="M591">
        <v>0</v>
      </c>
      <c r="N591">
        <v>1</v>
      </c>
      <c r="O591">
        <v>0</v>
      </c>
      <c r="P591">
        <v>0</v>
      </c>
      <c r="Q591" t="s">
        <v>584</v>
      </c>
      <c r="AA591" t="s">
        <v>81</v>
      </c>
      <c r="AB591" t="s">
        <v>82</v>
      </c>
      <c r="AC591" t="s">
        <v>81</v>
      </c>
      <c r="AD591" t="s">
        <v>81</v>
      </c>
      <c r="AE591" t="s">
        <v>82</v>
      </c>
      <c r="AF591" t="s">
        <v>81</v>
      </c>
      <c r="AG591" t="s">
        <v>81</v>
      </c>
      <c r="AH591" t="s">
        <v>83</v>
      </c>
      <c r="AI591" t="s">
        <v>88</v>
      </c>
      <c r="AJ591" t="s">
        <v>89</v>
      </c>
      <c r="AK591" t="s">
        <v>85</v>
      </c>
      <c r="AL591" t="s">
        <v>107</v>
      </c>
      <c r="AM591" t="s">
        <v>87</v>
      </c>
      <c r="AN591" t="s">
        <v>87</v>
      </c>
      <c r="AO591" t="s">
        <v>87</v>
      </c>
      <c r="AP591" t="s">
        <v>74</v>
      </c>
      <c r="AQ591" t="s">
        <v>87</v>
      </c>
      <c r="AR591" t="s">
        <v>97</v>
      </c>
      <c r="AS591" t="s">
        <v>92</v>
      </c>
      <c r="AT591" t="s">
        <v>107</v>
      </c>
      <c r="AU591">
        <v>0</v>
      </c>
      <c r="AV591">
        <v>0</v>
      </c>
      <c r="AW591">
        <v>0</v>
      </c>
      <c r="AX591">
        <v>1</v>
      </c>
      <c r="AY591">
        <v>0</v>
      </c>
      <c r="AZ591" t="s">
        <v>580</v>
      </c>
    </row>
    <row r="592" spans="1:52" x14ac:dyDescent="0.2">
      <c r="A592">
        <v>0</v>
      </c>
      <c r="B592">
        <v>1</v>
      </c>
      <c r="C592">
        <v>0</v>
      </c>
      <c r="D592">
        <v>0</v>
      </c>
      <c r="E592">
        <v>1</v>
      </c>
      <c r="F592">
        <v>0</v>
      </c>
      <c r="G592">
        <v>0</v>
      </c>
      <c r="H592">
        <v>0</v>
      </c>
      <c r="I592">
        <v>0</v>
      </c>
      <c r="L592">
        <v>1</v>
      </c>
      <c r="M592">
        <v>0</v>
      </c>
      <c r="N592">
        <v>0</v>
      </c>
      <c r="O592">
        <v>0</v>
      </c>
      <c r="P592">
        <v>0</v>
      </c>
      <c r="Q592" t="s">
        <v>584</v>
      </c>
      <c r="R592">
        <v>0</v>
      </c>
      <c r="S592">
        <v>1</v>
      </c>
      <c r="T592">
        <v>0</v>
      </c>
      <c r="U592">
        <v>0</v>
      </c>
      <c r="V592">
        <v>0</v>
      </c>
      <c r="W592">
        <v>0</v>
      </c>
      <c r="X592">
        <v>0</v>
      </c>
      <c r="Y592">
        <v>0</v>
      </c>
      <c r="Z592">
        <v>0</v>
      </c>
      <c r="AL592" t="s">
        <v>73</v>
      </c>
      <c r="AM592" t="s">
        <v>86</v>
      </c>
      <c r="AN592" t="s">
        <v>74</v>
      </c>
      <c r="AO592" t="s">
        <v>86</v>
      </c>
      <c r="AP592" t="s">
        <v>86</v>
      </c>
      <c r="AQ592" t="s">
        <v>74</v>
      </c>
      <c r="AR592" t="s">
        <v>97</v>
      </c>
      <c r="AS592" t="s">
        <v>92</v>
      </c>
      <c r="AT592" t="s">
        <v>73</v>
      </c>
      <c r="AU592">
        <v>0</v>
      </c>
      <c r="AV592">
        <v>0</v>
      </c>
      <c r="AW592">
        <v>0</v>
      </c>
      <c r="AX592">
        <v>1</v>
      </c>
      <c r="AY592">
        <v>0</v>
      </c>
      <c r="AZ592" t="s">
        <v>581</v>
      </c>
    </row>
    <row r="593" spans="1:52" x14ac:dyDescent="0.2">
      <c r="A593">
        <v>1</v>
      </c>
      <c r="B593">
        <v>0</v>
      </c>
      <c r="C593">
        <v>0</v>
      </c>
      <c r="D593">
        <v>0</v>
      </c>
      <c r="E593">
        <v>1</v>
      </c>
      <c r="F593">
        <v>0</v>
      </c>
      <c r="G593">
        <v>0</v>
      </c>
      <c r="H593">
        <v>0</v>
      </c>
      <c r="I593">
        <v>0</v>
      </c>
      <c r="L593">
        <v>1</v>
      </c>
      <c r="M593">
        <v>0</v>
      </c>
      <c r="N593">
        <v>0</v>
      </c>
      <c r="O593">
        <v>0</v>
      </c>
      <c r="P593">
        <v>0</v>
      </c>
      <c r="Q593" t="s">
        <v>584</v>
      </c>
      <c r="R593">
        <v>0</v>
      </c>
      <c r="S593">
        <v>0</v>
      </c>
      <c r="T593">
        <v>0</v>
      </c>
      <c r="U593">
        <v>0</v>
      </c>
      <c r="V593">
        <v>0</v>
      </c>
      <c r="W593">
        <v>0</v>
      </c>
      <c r="X593">
        <v>0</v>
      </c>
      <c r="Y593">
        <v>1</v>
      </c>
      <c r="Z593">
        <v>0</v>
      </c>
      <c r="AL593" t="s">
        <v>107</v>
      </c>
      <c r="AM593" t="s">
        <v>87</v>
      </c>
      <c r="AN593" t="s">
        <v>87</v>
      </c>
      <c r="AO593" t="s">
        <v>74</v>
      </c>
      <c r="AP593" t="s">
        <v>87</v>
      </c>
      <c r="AQ593" t="s">
        <v>74</v>
      </c>
      <c r="AR593" t="s">
        <v>97</v>
      </c>
      <c r="AS593" t="s">
        <v>76</v>
      </c>
      <c r="AT593" t="s">
        <v>107</v>
      </c>
      <c r="AU593">
        <v>0</v>
      </c>
      <c r="AV593">
        <v>0</v>
      </c>
      <c r="AW593">
        <v>0</v>
      </c>
      <c r="AX593">
        <v>1</v>
      </c>
      <c r="AY593">
        <v>0</v>
      </c>
      <c r="AZ593" t="s">
        <v>581</v>
      </c>
    </row>
    <row r="594" spans="1:52" x14ac:dyDescent="0.2">
      <c r="A594">
        <v>1</v>
      </c>
      <c r="B594">
        <v>0</v>
      </c>
      <c r="C594">
        <v>0</v>
      </c>
      <c r="D594">
        <v>0</v>
      </c>
      <c r="E594">
        <v>0</v>
      </c>
      <c r="F594">
        <v>1</v>
      </c>
      <c r="G594">
        <v>1</v>
      </c>
      <c r="H594">
        <v>1</v>
      </c>
      <c r="I594">
        <v>0</v>
      </c>
      <c r="J594" t="s">
        <v>88</v>
      </c>
      <c r="K594" t="s">
        <v>89</v>
      </c>
      <c r="L594">
        <v>0</v>
      </c>
      <c r="M594">
        <v>0</v>
      </c>
      <c r="N594">
        <v>1</v>
      </c>
      <c r="O594">
        <v>0</v>
      </c>
      <c r="P594">
        <v>0</v>
      </c>
      <c r="Q594" t="s">
        <v>584</v>
      </c>
      <c r="AA594" t="s">
        <v>83</v>
      </c>
      <c r="AB594" t="s">
        <v>82</v>
      </c>
      <c r="AC594" t="s">
        <v>81</v>
      </c>
      <c r="AD594" t="s">
        <v>82</v>
      </c>
      <c r="AE594" t="s">
        <v>81</v>
      </c>
      <c r="AF594" t="s">
        <v>83</v>
      </c>
      <c r="AG594" t="s">
        <v>83</v>
      </c>
      <c r="AH594" t="s">
        <v>83</v>
      </c>
      <c r="AI594" t="s">
        <v>88</v>
      </c>
      <c r="AJ594" t="s">
        <v>89</v>
      </c>
      <c r="AK594" t="s">
        <v>100</v>
      </c>
      <c r="AL594" t="s">
        <v>120</v>
      </c>
      <c r="AM594" t="s">
        <v>87</v>
      </c>
      <c r="AN594" t="s">
        <v>87</v>
      </c>
      <c r="AO594" t="s">
        <v>87</v>
      </c>
      <c r="AP594" t="s">
        <v>74</v>
      </c>
      <c r="AQ594" t="s">
        <v>74</v>
      </c>
      <c r="AR594" t="s">
        <v>97</v>
      </c>
      <c r="AS594" t="s">
        <v>92</v>
      </c>
      <c r="AT594" t="s">
        <v>120</v>
      </c>
      <c r="AU594">
        <v>0</v>
      </c>
      <c r="AV594">
        <v>0</v>
      </c>
      <c r="AW594">
        <v>0</v>
      </c>
      <c r="AX594">
        <v>1</v>
      </c>
      <c r="AY594">
        <v>0</v>
      </c>
      <c r="AZ594" t="s">
        <v>580</v>
      </c>
    </row>
    <row r="595" spans="1:52" x14ac:dyDescent="0.2">
      <c r="A595">
        <v>1</v>
      </c>
      <c r="B595">
        <v>0</v>
      </c>
      <c r="C595">
        <v>0</v>
      </c>
      <c r="D595">
        <v>0</v>
      </c>
      <c r="E595">
        <v>1</v>
      </c>
      <c r="F595">
        <v>0</v>
      </c>
      <c r="G595">
        <v>0</v>
      </c>
      <c r="H595">
        <v>0</v>
      </c>
      <c r="I595">
        <v>0</v>
      </c>
      <c r="L595">
        <v>1</v>
      </c>
      <c r="M595">
        <v>0</v>
      </c>
      <c r="N595">
        <v>0</v>
      </c>
      <c r="O595">
        <v>0</v>
      </c>
      <c r="P595">
        <v>0</v>
      </c>
      <c r="Q595" t="s">
        <v>584</v>
      </c>
      <c r="R595">
        <v>0</v>
      </c>
      <c r="S595">
        <v>0</v>
      </c>
      <c r="T595">
        <v>1</v>
      </c>
      <c r="U595">
        <v>0</v>
      </c>
      <c r="V595">
        <v>0</v>
      </c>
      <c r="W595">
        <v>0</v>
      </c>
      <c r="X595">
        <v>1</v>
      </c>
      <c r="Y595">
        <v>1</v>
      </c>
      <c r="Z595">
        <v>0</v>
      </c>
      <c r="AL595" t="s">
        <v>107</v>
      </c>
      <c r="AM595" t="s">
        <v>86</v>
      </c>
      <c r="AN595" t="s">
        <v>86</v>
      </c>
      <c r="AO595" t="s">
        <v>74</v>
      </c>
      <c r="AP595" t="s">
        <v>74</v>
      </c>
      <c r="AQ595" t="s">
        <v>74</v>
      </c>
      <c r="AR595" t="s">
        <v>75</v>
      </c>
      <c r="AS595" t="s">
        <v>92</v>
      </c>
      <c r="AT595" t="s">
        <v>107</v>
      </c>
      <c r="AU595">
        <v>0</v>
      </c>
      <c r="AV595">
        <v>0</v>
      </c>
      <c r="AW595">
        <v>0</v>
      </c>
      <c r="AX595">
        <v>1</v>
      </c>
      <c r="AY595">
        <v>0</v>
      </c>
      <c r="AZ595" t="s">
        <v>579</v>
      </c>
    </row>
    <row r="596" spans="1:52" x14ac:dyDescent="0.2">
      <c r="A596">
        <v>0</v>
      </c>
      <c r="B596">
        <v>1</v>
      </c>
      <c r="C596">
        <v>0</v>
      </c>
      <c r="D596">
        <v>0</v>
      </c>
      <c r="E596">
        <v>1</v>
      </c>
      <c r="F596">
        <v>0</v>
      </c>
      <c r="G596">
        <v>0</v>
      </c>
      <c r="H596">
        <v>0</v>
      </c>
      <c r="I596">
        <v>0</v>
      </c>
      <c r="L596">
        <v>1</v>
      </c>
      <c r="M596">
        <v>0</v>
      </c>
      <c r="N596">
        <v>0</v>
      </c>
      <c r="O596">
        <v>0</v>
      </c>
      <c r="P596">
        <v>0</v>
      </c>
      <c r="Q596" t="s">
        <v>584</v>
      </c>
      <c r="R596">
        <v>0</v>
      </c>
      <c r="S596">
        <v>0</v>
      </c>
      <c r="T596">
        <v>0</v>
      </c>
      <c r="U596">
        <v>0</v>
      </c>
      <c r="V596">
        <v>0</v>
      </c>
      <c r="W596">
        <v>0</v>
      </c>
      <c r="X596">
        <v>1</v>
      </c>
      <c r="Y596">
        <v>1</v>
      </c>
      <c r="Z596">
        <v>0</v>
      </c>
      <c r="AL596" t="s">
        <v>107</v>
      </c>
      <c r="AM596" t="s">
        <v>74</v>
      </c>
      <c r="AR596" t="s">
        <v>75</v>
      </c>
      <c r="AS596" t="s">
        <v>92</v>
      </c>
      <c r="AT596" t="s">
        <v>107</v>
      </c>
      <c r="AU596">
        <v>0</v>
      </c>
      <c r="AV596">
        <v>0</v>
      </c>
      <c r="AW596">
        <v>1</v>
      </c>
      <c r="AX596">
        <v>1</v>
      </c>
      <c r="AY596">
        <v>0</v>
      </c>
      <c r="AZ596" t="s">
        <v>579</v>
      </c>
    </row>
    <row r="597" spans="1:52" x14ac:dyDescent="0.2">
      <c r="A597">
        <v>0</v>
      </c>
      <c r="B597">
        <v>1</v>
      </c>
      <c r="C597">
        <v>0</v>
      </c>
      <c r="D597">
        <v>0</v>
      </c>
      <c r="E597">
        <v>0</v>
      </c>
      <c r="F597">
        <v>1</v>
      </c>
      <c r="G597">
        <v>0</v>
      </c>
      <c r="H597">
        <v>0</v>
      </c>
      <c r="I597">
        <v>0</v>
      </c>
      <c r="J597" t="s">
        <v>135</v>
      </c>
      <c r="K597" t="s">
        <v>127</v>
      </c>
      <c r="L597">
        <v>0</v>
      </c>
      <c r="M597">
        <v>0</v>
      </c>
      <c r="N597">
        <v>0</v>
      </c>
      <c r="O597">
        <v>0</v>
      </c>
      <c r="P597">
        <v>0</v>
      </c>
      <c r="Q597" t="s">
        <v>585</v>
      </c>
      <c r="AA597" t="s">
        <v>90</v>
      </c>
      <c r="AB597" t="s">
        <v>90</v>
      </c>
      <c r="AC597" t="s">
        <v>90</v>
      </c>
      <c r="AD597" t="s">
        <v>90</v>
      </c>
      <c r="AE597" t="s">
        <v>90</v>
      </c>
      <c r="AF597" t="s">
        <v>82</v>
      </c>
      <c r="AG597" t="s">
        <v>90</v>
      </c>
      <c r="AH597" t="s">
        <v>90</v>
      </c>
      <c r="AI597" t="s">
        <v>88</v>
      </c>
      <c r="AJ597" t="s">
        <v>127</v>
      </c>
      <c r="AK597" t="s">
        <v>153</v>
      </c>
      <c r="AL597" t="s">
        <v>107</v>
      </c>
      <c r="AM597" t="s">
        <v>87</v>
      </c>
      <c r="AN597" t="s">
        <v>87</v>
      </c>
      <c r="AO597" t="s">
        <v>87</v>
      </c>
      <c r="AP597" t="s">
        <v>87</v>
      </c>
      <c r="AQ597" t="s">
        <v>87</v>
      </c>
      <c r="AR597" t="s">
        <v>97</v>
      </c>
      <c r="AS597" t="s">
        <v>92</v>
      </c>
      <c r="AT597" t="s">
        <v>107</v>
      </c>
      <c r="AU597">
        <v>0</v>
      </c>
      <c r="AV597">
        <v>0</v>
      </c>
      <c r="AW597">
        <v>0</v>
      </c>
      <c r="AX597">
        <v>1</v>
      </c>
      <c r="AY597">
        <v>0</v>
      </c>
      <c r="AZ597" t="s">
        <v>580</v>
      </c>
    </row>
    <row r="598" spans="1:52" x14ac:dyDescent="0.2">
      <c r="A598">
        <v>0</v>
      </c>
      <c r="B598">
        <v>1</v>
      </c>
      <c r="C598">
        <v>0</v>
      </c>
      <c r="D598">
        <v>0</v>
      </c>
      <c r="E598">
        <v>0</v>
      </c>
      <c r="F598">
        <v>1</v>
      </c>
      <c r="G598">
        <v>1</v>
      </c>
      <c r="H598">
        <v>1</v>
      </c>
      <c r="I598">
        <v>0</v>
      </c>
      <c r="J598" t="s">
        <v>88</v>
      </c>
      <c r="K598" t="s">
        <v>89</v>
      </c>
      <c r="L598">
        <v>0</v>
      </c>
      <c r="M598">
        <v>0</v>
      </c>
      <c r="N598">
        <v>0</v>
      </c>
      <c r="O598">
        <v>0</v>
      </c>
      <c r="P598">
        <v>1</v>
      </c>
      <c r="Q598" t="s">
        <v>584</v>
      </c>
      <c r="AA598" t="s">
        <v>83</v>
      </c>
      <c r="AB598" t="s">
        <v>82</v>
      </c>
      <c r="AC598" t="s">
        <v>82</v>
      </c>
      <c r="AD598" t="s">
        <v>82</v>
      </c>
      <c r="AE598" t="s">
        <v>81</v>
      </c>
      <c r="AF598" t="s">
        <v>83</v>
      </c>
      <c r="AG598" t="s">
        <v>83</v>
      </c>
      <c r="AH598" t="s">
        <v>81</v>
      </c>
      <c r="AI598" t="s">
        <v>88</v>
      </c>
      <c r="AJ598" t="s">
        <v>89</v>
      </c>
      <c r="AK598" t="s">
        <v>100</v>
      </c>
      <c r="AL598" t="s">
        <v>73</v>
      </c>
      <c r="AM598" t="s">
        <v>87</v>
      </c>
      <c r="AN598" t="s">
        <v>87</v>
      </c>
      <c r="AO598" t="s">
        <v>87</v>
      </c>
      <c r="AP598" t="s">
        <v>87</v>
      </c>
      <c r="AQ598" t="s">
        <v>87</v>
      </c>
      <c r="AR598" t="s">
        <v>108</v>
      </c>
      <c r="AS598" t="s">
        <v>92</v>
      </c>
      <c r="AT598" t="s">
        <v>73</v>
      </c>
      <c r="AU598">
        <v>0</v>
      </c>
      <c r="AV598">
        <v>0</v>
      </c>
      <c r="AW598">
        <v>0</v>
      </c>
      <c r="AX598">
        <v>1</v>
      </c>
      <c r="AY598">
        <v>0</v>
      </c>
      <c r="AZ598" t="s">
        <v>580</v>
      </c>
    </row>
    <row r="599" spans="1:52" x14ac:dyDescent="0.2">
      <c r="A599">
        <v>0</v>
      </c>
      <c r="B599">
        <v>1</v>
      </c>
      <c r="C599">
        <v>0</v>
      </c>
      <c r="D599">
        <v>0</v>
      </c>
      <c r="E599">
        <v>1</v>
      </c>
      <c r="F599">
        <v>0</v>
      </c>
      <c r="G599">
        <v>0</v>
      </c>
      <c r="H599">
        <v>0</v>
      </c>
      <c r="I599">
        <v>0</v>
      </c>
      <c r="L599">
        <v>0</v>
      </c>
      <c r="M599">
        <v>0</v>
      </c>
      <c r="N599">
        <v>0</v>
      </c>
      <c r="O599">
        <v>0</v>
      </c>
      <c r="P599">
        <v>1</v>
      </c>
      <c r="Q599" t="s">
        <v>584</v>
      </c>
      <c r="AA599" t="s">
        <v>81</v>
      </c>
      <c r="AB599" t="s">
        <v>90</v>
      </c>
      <c r="AC599" t="s">
        <v>83</v>
      </c>
      <c r="AD599" t="s">
        <v>83</v>
      </c>
      <c r="AE599" t="s">
        <v>82</v>
      </c>
      <c r="AF599" t="s">
        <v>81</v>
      </c>
      <c r="AG599" t="s">
        <v>82</v>
      </c>
      <c r="AH599" t="s">
        <v>83</v>
      </c>
      <c r="AI599" t="s">
        <v>127</v>
      </c>
      <c r="AJ599" t="s">
        <v>127</v>
      </c>
      <c r="AL599" t="s">
        <v>120</v>
      </c>
      <c r="AM599" t="s">
        <v>74</v>
      </c>
      <c r="AR599" t="s">
        <v>97</v>
      </c>
      <c r="AS599" t="s">
        <v>76</v>
      </c>
      <c r="AT599" t="s">
        <v>120</v>
      </c>
      <c r="AU599">
        <v>1</v>
      </c>
      <c r="AV599">
        <v>0</v>
      </c>
      <c r="AW599">
        <v>0</v>
      </c>
      <c r="AX599">
        <v>0</v>
      </c>
      <c r="AY599">
        <v>0</v>
      </c>
      <c r="AZ599" t="s">
        <v>580</v>
      </c>
    </row>
    <row r="600" spans="1:52" x14ac:dyDescent="0.2">
      <c r="A600">
        <v>0</v>
      </c>
      <c r="B600">
        <v>1</v>
      </c>
      <c r="C600">
        <v>0</v>
      </c>
      <c r="D600">
        <v>0</v>
      </c>
      <c r="E600">
        <v>0</v>
      </c>
      <c r="F600">
        <v>1</v>
      </c>
      <c r="G600">
        <v>0</v>
      </c>
      <c r="H600">
        <v>0</v>
      </c>
      <c r="I600">
        <v>0</v>
      </c>
      <c r="J600" t="s">
        <v>88</v>
      </c>
      <c r="K600" t="s">
        <v>89</v>
      </c>
      <c r="L600">
        <v>0</v>
      </c>
      <c r="M600">
        <v>0</v>
      </c>
      <c r="N600">
        <v>0</v>
      </c>
      <c r="O600">
        <v>1</v>
      </c>
      <c r="P600">
        <v>0</v>
      </c>
      <c r="Q600" t="s">
        <v>584</v>
      </c>
      <c r="AA600" t="s">
        <v>83</v>
      </c>
      <c r="AB600" t="s">
        <v>82</v>
      </c>
      <c r="AC600" t="s">
        <v>81</v>
      </c>
      <c r="AD600" t="s">
        <v>90</v>
      </c>
      <c r="AE600" t="s">
        <v>82</v>
      </c>
      <c r="AF600" t="s">
        <v>83</v>
      </c>
      <c r="AG600" t="s">
        <v>90</v>
      </c>
      <c r="AH600" t="s">
        <v>83</v>
      </c>
      <c r="AI600" t="s">
        <v>88</v>
      </c>
      <c r="AJ600" t="s">
        <v>89</v>
      </c>
      <c r="AK600" t="s">
        <v>85</v>
      </c>
      <c r="AL600" t="s">
        <v>73</v>
      </c>
      <c r="AM600" t="s">
        <v>86</v>
      </c>
      <c r="AN600" t="s">
        <v>86</v>
      </c>
      <c r="AO600" t="s">
        <v>87</v>
      </c>
      <c r="AP600" t="s">
        <v>86</v>
      </c>
      <c r="AQ600" t="s">
        <v>74</v>
      </c>
      <c r="AR600" t="s">
        <v>97</v>
      </c>
      <c r="AS600" t="s">
        <v>92</v>
      </c>
      <c r="AT600" t="s">
        <v>73</v>
      </c>
      <c r="AU600">
        <v>1</v>
      </c>
      <c r="AV600">
        <v>0</v>
      </c>
      <c r="AW600">
        <v>0</v>
      </c>
      <c r="AX600">
        <v>0</v>
      </c>
      <c r="AY600">
        <v>0</v>
      </c>
      <c r="AZ600" t="s">
        <v>580</v>
      </c>
    </row>
    <row r="601" spans="1:52" x14ac:dyDescent="0.2">
      <c r="A601">
        <v>1</v>
      </c>
      <c r="B601">
        <v>0</v>
      </c>
      <c r="C601">
        <v>0</v>
      </c>
      <c r="D601">
        <v>0</v>
      </c>
      <c r="E601">
        <v>0</v>
      </c>
      <c r="F601">
        <v>1</v>
      </c>
      <c r="G601">
        <v>0</v>
      </c>
      <c r="H601">
        <v>0</v>
      </c>
      <c r="I601">
        <v>0</v>
      </c>
      <c r="J601" t="s">
        <v>79</v>
      </c>
      <c r="K601" t="s">
        <v>80</v>
      </c>
      <c r="L601">
        <v>1</v>
      </c>
      <c r="M601">
        <v>0</v>
      </c>
      <c r="N601">
        <v>0</v>
      </c>
      <c r="O601">
        <v>0</v>
      </c>
      <c r="P601">
        <v>0</v>
      </c>
      <c r="Q601" t="s">
        <v>584</v>
      </c>
      <c r="R601">
        <v>0</v>
      </c>
      <c r="S601">
        <v>0</v>
      </c>
      <c r="T601">
        <v>0</v>
      </c>
      <c r="U601">
        <v>0</v>
      </c>
      <c r="V601">
        <v>0</v>
      </c>
      <c r="W601">
        <v>0</v>
      </c>
      <c r="X601">
        <v>1</v>
      </c>
      <c r="Y601">
        <v>1</v>
      </c>
      <c r="Z601">
        <v>0</v>
      </c>
      <c r="AL601" t="s">
        <v>73</v>
      </c>
      <c r="AM601" t="s">
        <v>74</v>
      </c>
      <c r="AR601" t="s">
        <v>97</v>
      </c>
      <c r="AS601" t="s">
        <v>92</v>
      </c>
      <c r="AT601" t="s">
        <v>73</v>
      </c>
      <c r="AU601">
        <v>0</v>
      </c>
      <c r="AV601">
        <v>0</v>
      </c>
      <c r="AW601">
        <v>0</v>
      </c>
      <c r="AX601">
        <v>1</v>
      </c>
      <c r="AY601">
        <v>0</v>
      </c>
      <c r="AZ601" t="s">
        <v>581</v>
      </c>
    </row>
    <row r="602" spans="1:52" x14ac:dyDescent="0.2">
      <c r="A602">
        <v>0</v>
      </c>
      <c r="B602">
        <v>1</v>
      </c>
      <c r="C602">
        <v>0</v>
      </c>
      <c r="D602">
        <v>0</v>
      </c>
      <c r="E602">
        <v>1</v>
      </c>
      <c r="F602">
        <v>0</v>
      </c>
      <c r="G602">
        <v>0</v>
      </c>
      <c r="H602">
        <v>0</v>
      </c>
      <c r="I602">
        <v>0</v>
      </c>
      <c r="L602">
        <v>1</v>
      </c>
      <c r="M602">
        <v>0</v>
      </c>
      <c r="N602">
        <v>0</v>
      </c>
      <c r="O602">
        <v>0</v>
      </c>
      <c r="P602">
        <v>0</v>
      </c>
      <c r="Q602" t="s">
        <v>584</v>
      </c>
      <c r="R602">
        <v>0</v>
      </c>
      <c r="S602">
        <v>0</v>
      </c>
      <c r="T602">
        <v>0</v>
      </c>
      <c r="U602">
        <v>0</v>
      </c>
      <c r="V602">
        <v>0</v>
      </c>
      <c r="W602">
        <v>0</v>
      </c>
      <c r="X602">
        <v>0</v>
      </c>
      <c r="Y602">
        <v>1</v>
      </c>
      <c r="Z602">
        <v>0</v>
      </c>
      <c r="AL602" t="s">
        <v>73</v>
      </c>
      <c r="AM602" t="s">
        <v>74</v>
      </c>
      <c r="AR602" t="s">
        <v>97</v>
      </c>
      <c r="AS602" t="s">
        <v>92</v>
      </c>
      <c r="AT602" t="s">
        <v>73</v>
      </c>
      <c r="AU602">
        <v>0</v>
      </c>
      <c r="AV602">
        <v>0</v>
      </c>
      <c r="AW602">
        <v>0</v>
      </c>
      <c r="AX602">
        <v>1</v>
      </c>
      <c r="AY602">
        <v>0</v>
      </c>
      <c r="AZ602" t="s">
        <v>580</v>
      </c>
    </row>
    <row r="603" spans="1:52" x14ac:dyDescent="0.2">
      <c r="A603">
        <v>1</v>
      </c>
      <c r="B603">
        <v>0</v>
      </c>
      <c r="C603">
        <v>0</v>
      </c>
      <c r="D603">
        <v>0</v>
      </c>
      <c r="E603">
        <v>0</v>
      </c>
      <c r="F603">
        <v>0</v>
      </c>
      <c r="G603">
        <v>0</v>
      </c>
      <c r="H603">
        <v>1</v>
      </c>
      <c r="I603">
        <v>0</v>
      </c>
      <c r="J603" t="s">
        <v>88</v>
      </c>
      <c r="K603" t="s">
        <v>89</v>
      </c>
      <c r="L603">
        <v>0</v>
      </c>
      <c r="M603">
        <v>0</v>
      </c>
      <c r="N603">
        <v>1</v>
      </c>
      <c r="O603">
        <v>0</v>
      </c>
      <c r="P603">
        <v>0</v>
      </c>
      <c r="Q603" t="s">
        <v>584</v>
      </c>
      <c r="AA603" t="s">
        <v>81</v>
      </c>
      <c r="AB603" t="s">
        <v>81</v>
      </c>
      <c r="AC603" t="s">
        <v>82</v>
      </c>
      <c r="AD603" t="s">
        <v>83</v>
      </c>
      <c r="AE603" t="s">
        <v>82</v>
      </c>
      <c r="AF603" t="s">
        <v>83</v>
      </c>
      <c r="AG603" t="s">
        <v>81</v>
      </c>
      <c r="AH603" t="s">
        <v>83</v>
      </c>
      <c r="AI603" t="s">
        <v>88</v>
      </c>
      <c r="AJ603" t="s">
        <v>89</v>
      </c>
      <c r="AK603" t="s">
        <v>100</v>
      </c>
      <c r="AL603" t="s">
        <v>120</v>
      </c>
      <c r="AM603" t="s">
        <v>74</v>
      </c>
      <c r="AR603" t="s">
        <v>101</v>
      </c>
      <c r="AS603" t="s">
        <v>92</v>
      </c>
      <c r="AT603" t="s">
        <v>120</v>
      </c>
      <c r="AU603">
        <v>0</v>
      </c>
      <c r="AV603">
        <v>0</v>
      </c>
      <c r="AW603">
        <v>0</v>
      </c>
      <c r="AX603">
        <v>1</v>
      </c>
      <c r="AY603">
        <v>0</v>
      </c>
      <c r="AZ603" t="s">
        <v>581</v>
      </c>
    </row>
    <row r="604" spans="1:52" x14ac:dyDescent="0.2">
      <c r="A604">
        <v>0</v>
      </c>
      <c r="B604">
        <v>1</v>
      </c>
      <c r="C604">
        <v>0</v>
      </c>
      <c r="D604">
        <v>0</v>
      </c>
      <c r="E604">
        <v>1</v>
      </c>
      <c r="F604">
        <v>0</v>
      </c>
      <c r="G604">
        <v>0</v>
      </c>
      <c r="H604">
        <v>0</v>
      </c>
      <c r="I604">
        <v>0</v>
      </c>
      <c r="L604">
        <v>1</v>
      </c>
      <c r="M604">
        <v>0</v>
      </c>
      <c r="N604">
        <v>0</v>
      </c>
      <c r="O604">
        <v>0</v>
      </c>
      <c r="P604">
        <v>0</v>
      </c>
      <c r="Q604" t="s">
        <v>584</v>
      </c>
      <c r="R604">
        <v>0</v>
      </c>
      <c r="S604">
        <v>0</v>
      </c>
      <c r="T604">
        <v>1</v>
      </c>
      <c r="U604">
        <v>0</v>
      </c>
      <c r="V604">
        <v>0</v>
      </c>
      <c r="W604">
        <v>1</v>
      </c>
      <c r="X604">
        <v>0</v>
      </c>
      <c r="Y604">
        <v>0</v>
      </c>
      <c r="Z604">
        <v>0</v>
      </c>
      <c r="AL604" t="s">
        <v>107</v>
      </c>
      <c r="AM604" t="s">
        <v>87</v>
      </c>
      <c r="AN604" t="s">
        <v>87</v>
      </c>
      <c r="AO604" t="s">
        <v>86</v>
      </c>
      <c r="AP604" t="s">
        <v>87</v>
      </c>
      <c r="AQ604" t="s">
        <v>74</v>
      </c>
      <c r="AR604" t="s">
        <v>97</v>
      </c>
      <c r="AS604" t="s">
        <v>92</v>
      </c>
      <c r="AT604" t="s">
        <v>107</v>
      </c>
      <c r="AU604">
        <v>0</v>
      </c>
      <c r="AV604">
        <v>0</v>
      </c>
      <c r="AW604">
        <v>0</v>
      </c>
      <c r="AX604">
        <v>1</v>
      </c>
      <c r="AY604">
        <v>0</v>
      </c>
      <c r="AZ604" t="s">
        <v>580</v>
      </c>
    </row>
    <row r="605" spans="1:52" x14ac:dyDescent="0.2">
      <c r="A605">
        <v>0</v>
      </c>
      <c r="B605">
        <v>1</v>
      </c>
      <c r="C605">
        <v>0</v>
      </c>
      <c r="D605">
        <v>0</v>
      </c>
      <c r="E605">
        <v>1</v>
      </c>
      <c r="F605">
        <v>0</v>
      </c>
      <c r="G605">
        <v>0</v>
      </c>
      <c r="H605">
        <v>0</v>
      </c>
      <c r="I605">
        <v>0</v>
      </c>
      <c r="L605">
        <v>0</v>
      </c>
      <c r="M605">
        <v>0</v>
      </c>
      <c r="N605">
        <v>0</v>
      </c>
      <c r="O605">
        <v>0</v>
      </c>
      <c r="P605">
        <v>1</v>
      </c>
      <c r="Q605" t="s">
        <v>584</v>
      </c>
      <c r="AA605" t="s">
        <v>81</v>
      </c>
      <c r="AB605" t="s">
        <v>83</v>
      </c>
      <c r="AC605" t="s">
        <v>83</v>
      </c>
      <c r="AD605" t="s">
        <v>90</v>
      </c>
      <c r="AE605" t="s">
        <v>82</v>
      </c>
      <c r="AF605" t="s">
        <v>83</v>
      </c>
      <c r="AG605" t="s">
        <v>82</v>
      </c>
      <c r="AH605" t="s">
        <v>83</v>
      </c>
      <c r="AI605" t="s">
        <v>135</v>
      </c>
      <c r="AJ605" t="s">
        <v>80</v>
      </c>
      <c r="AK605" t="s">
        <v>117</v>
      </c>
      <c r="AL605" t="s">
        <v>107</v>
      </c>
      <c r="AM605" t="s">
        <v>86</v>
      </c>
      <c r="AN605" t="s">
        <v>74</v>
      </c>
      <c r="AO605" t="s">
        <v>74</v>
      </c>
      <c r="AP605" t="s">
        <v>74</v>
      </c>
      <c r="AQ605" t="s">
        <v>74</v>
      </c>
      <c r="AR605" t="s">
        <v>113</v>
      </c>
      <c r="AS605" t="s">
        <v>92</v>
      </c>
      <c r="AT605" t="s">
        <v>107</v>
      </c>
      <c r="AU605">
        <v>0</v>
      </c>
      <c r="AV605">
        <v>0</v>
      </c>
      <c r="AW605">
        <v>0</v>
      </c>
      <c r="AX605">
        <v>1</v>
      </c>
      <c r="AY605">
        <v>0</v>
      </c>
      <c r="AZ605" t="s">
        <v>580</v>
      </c>
    </row>
    <row r="606" spans="1:52" x14ac:dyDescent="0.2">
      <c r="A606">
        <v>1</v>
      </c>
      <c r="B606">
        <v>0</v>
      </c>
      <c r="C606">
        <v>0</v>
      </c>
      <c r="D606">
        <v>0</v>
      </c>
      <c r="E606">
        <v>1</v>
      </c>
      <c r="F606">
        <v>0</v>
      </c>
      <c r="G606">
        <v>0</v>
      </c>
      <c r="H606">
        <v>0</v>
      </c>
      <c r="I606">
        <v>0</v>
      </c>
      <c r="L606">
        <v>0</v>
      </c>
      <c r="M606">
        <v>0</v>
      </c>
      <c r="N606">
        <v>1</v>
      </c>
      <c r="O606">
        <v>0</v>
      </c>
      <c r="P606">
        <v>0</v>
      </c>
      <c r="Q606" t="s">
        <v>584</v>
      </c>
      <c r="AA606" t="s">
        <v>83</v>
      </c>
      <c r="AB606" t="s">
        <v>90</v>
      </c>
      <c r="AC606" t="s">
        <v>83</v>
      </c>
      <c r="AD606" t="s">
        <v>83</v>
      </c>
      <c r="AE606" t="s">
        <v>82</v>
      </c>
      <c r="AF606" t="s">
        <v>83</v>
      </c>
      <c r="AG606" t="s">
        <v>81</v>
      </c>
      <c r="AH606" t="s">
        <v>81</v>
      </c>
      <c r="AI606" t="s">
        <v>135</v>
      </c>
      <c r="AJ606" t="s">
        <v>80</v>
      </c>
      <c r="AK606" t="s">
        <v>117</v>
      </c>
      <c r="AL606" t="s">
        <v>73</v>
      </c>
      <c r="AM606" t="s">
        <v>86</v>
      </c>
      <c r="AN606" t="s">
        <v>86</v>
      </c>
      <c r="AO606" t="s">
        <v>74</v>
      </c>
      <c r="AP606" t="s">
        <v>86</v>
      </c>
      <c r="AQ606" t="s">
        <v>86</v>
      </c>
      <c r="AR606" t="s">
        <v>75</v>
      </c>
      <c r="AS606" t="s">
        <v>92</v>
      </c>
      <c r="AT606" t="s">
        <v>73</v>
      </c>
      <c r="AU606">
        <v>1</v>
      </c>
      <c r="AV606">
        <v>0</v>
      </c>
      <c r="AW606">
        <v>0</v>
      </c>
      <c r="AX606">
        <v>0</v>
      </c>
      <c r="AY606">
        <v>0</v>
      </c>
      <c r="AZ606" t="s">
        <v>580</v>
      </c>
    </row>
    <row r="607" spans="1:52" x14ac:dyDescent="0.2">
      <c r="A607">
        <v>1</v>
      </c>
      <c r="B607">
        <v>0</v>
      </c>
      <c r="C607">
        <v>0</v>
      </c>
      <c r="D607">
        <v>0</v>
      </c>
      <c r="E607">
        <v>0</v>
      </c>
      <c r="F607">
        <v>1</v>
      </c>
      <c r="G607">
        <v>0</v>
      </c>
      <c r="H607">
        <v>1</v>
      </c>
      <c r="I607">
        <v>0</v>
      </c>
      <c r="J607" t="s">
        <v>79</v>
      </c>
      <c r="K607" t="s">
        <v>80</v>
      </c>
      <c r="L607">
        <v>0</v>
      </c>
      <c r="M607">
        <v>1</v>
      </c>
      <c r="N607">
        <v>0</v>
      </c>
      <c r="O607">
        <v>0</v>
      </c>
      <c r="P607">
        <v>0</v>
      </c>
      <c r="Q607" t="s">
        <v>584</v>
      </c>
      <c r="AA607" t="s">
        <v>90</v>
      </c>
      <c r="AB607" t="s">
        <v>82</v>
      </c>
      <c r="AC607" t="s">
        <v>81</v>
      </c>
      <c r="AD607" t="s">
        <v>82</v>
      </c>
      <c r="AE607" t="s">
        <v>83</v>
      </c>
      <c r="AF607" t="s">
        <v>90</v>
      </c>
      <c r="AG607" t="s">
        <v>90</v>
      </c>
      <c r="AH607" t="s">
        <v>83</v>
      </c>
      <c r="AI607" t="s">
        <v>84</v>
      </c>
      <c r="AJ607" t="s">
        <v>80</v>
      </c>
      <c r="AK607" t="s">
        <v>117</v>
      </c>
      <c r="AL607" t="s">
        <v>96</v>
      </c>
      <c r="AM607" t="s">
        <v>87</v>
      </c>
      <c r="AN607" t="s">
        <v>87</v>
      </c>
      <c r="AO607" t="s">
        <v>87</v>
      </c>
      <c r="AP607" t="s">
        <v>87</v>
      </c>
      <c r="AQ607" t="s">
        <v>87</v>
      </c>
      <c r="AR607" t="s">
        <v>97</v>
      </c>
      <c r="AS607" t="s">
        <v>76</v>
      </c>
      <c r="AT607" t="s">
        <v>96</v>
      </c>
      <c r="AU607">
        <v>0</v>
      </c>
      <c r="AV607">
        <v>0</v>
      </c>
      <c r="AW607">
        <v>0</v>
      </c>
      <c r="AX607">
        <v>1</v>
      </c>
      <c r="AY607">
        <v>0</v>
      </c>
      <c r="AZ607" t="s">
        <v>579</v>
      </c>
    </row>
    <row r="608" spans="1:52" x14ac:dyDescent="0.2">
      <c r="A608">
        <v>1</v>
      </c>
      <c r="B608">
        <v>0</v>
      </c>
      <c r="C608">
        <v>0</v>
      </c>
      <c r="D608">
        <v>0</v>
      </c>
      <c r="E608">
        <v>1</v>
      </c>
      <c r="F608">
        <v>0</v>
      </c>
      <c r="G608">
        <v>0</v>
      </c>
      <c r="H608">
        <v>0</v>
      </c>
      <c r="I608">
        <v>0</v>
      </c>
      <c r="L608">
        <v>1</v>
      </c>
      <c r="M608">
        <v>0</v>
      </c>
      <c r="N608">
        <v>0</v>
      </c>
      <c r="O608">
        <v>0</v>
      </c>
      <c r="P608">
        <v>0</v>
      </c>
      <c r="Q608" t="s">
        <v>584</v>
      </c>
      <c r="R608">
        <v>1</v>
      </c>
      <c r="S608">
        <v>0</v>
      </c>
      <c r="T608">
        <v>0</v>
      </c>
      <c r="U608">
        <v>0</v>
      </c>
      <c r="V608">
        <v>0</v>
      </c>
      <c r="W608">
        <v>0</v>
      </c>
      <c r="X608">
        <v>0</v>
      </c>
      <c r="Y608">
        <v>0</v>
      </c>
      <c r="Z608">
        <v>0</v>
      </c>
      <c r="AL608" t="s">
        <v>107</v>
      </c>
      <c r="AM608" t="s">
        <v>87</v>
      </c>
      <c r="AN608" t="s">
        <v>87</v>
      </c>
      <c r="AO608" t="s">
        <v>87</v>
      </c>
      <c r="AP608" t="s">
        <v>87</v>
      </c>
      <c r="AQ608" t="s">
        <v>87</v>
      </c>
      <c r="AR608" t="s">
        <v>113</v>
      </c>
      <c r="AS608" t="s">
        <v>92</v>
      </c>
      <c r="AT608" t="s">
        <v>107</v>
      </c>
      <c r="AU608">
        <v>0</v>
      </c>
      <c r="AV608">
        <v>0</v>
      </c>
      <c r="AW608">
        <v>0</v>
      </c>
      <c r="AX608">
        <v>1</v>
      </c>
      <c r="AY608">
        <v>0</v>
      </c>
      <c r="AZ608" t="s">
        <v>580</v>
      </c>
    </row>
    <row r="609" spans="1:52" x14ac:dyDescent="0.2">
      <c r="A609">
        <v>1</v>
      </c>
      <c r="B609">
        <v>0</v>
      </c>
      <c r="C609">
        <v>0</v>
      </c>
      <c r="D609">
        <v>0</v>
      </c>
      <c r="E609">
        <v>0</v>
      </c>
      <c r="F609">
        <v>0</v>
      </c>
      <c r="G609">
        <v>0</v>
      </c>
      <c r="H609">
        <v>0</v>
      </c>
      <c r="I609">
        <v>1</v>
      </c>
      <c r="J609" t="s">
        <v>135</v>
      </c>
      <c r="K609" t="s">
        <v>80</v>
      </c>
      <c r="L609">
        <v>1</v>
      </c>
      <c r="M609">
        <v>0</v>
      </c>
      <c r="N609">
        <v>0</v>
      </c>
      <c r="O609">
        <v>0</v>
      </c>
      <c r="P609">
        <v>0</v>
      </c>
      <c r="Q609" t="s">
        <v>584</v>
      </c>
      <c r="R609">
        <v>0</v>
      </c>
      <c r="S609">
        <v>0</v>
      </c>
      <c r="T609">
        <v>0</v>
      </c>
      <c r="U609">
        <v>0</v>
      </c>
      <c r="V609">
        <v>0</v>
      </c>
      <c r="W609">
        <v>0</v>
      </c>
      <c r="X609">
        <v>0</v>
      </c>
      <c r="Y609">
        <v>0</v>
      </c>
      <c r="Z609">
        <v>1</v>
      </c>
      <c r="AL609" t="s">
        <v>73</v>
      </c>
      <c r="AM609" t="s">
        <v>86</v>
      </c>
      <c r="AN609" t="s">
        <v>87</v>
      </c>
      <c r="AO609" t="s">
        <v>87</v>
      </c>
      <c r="AP609" t="s">
        <v>87</v>
      </c>
      <c r="AQ609" t="s">
        <v>86</v>
      </c>
      <c r="AR609" t="s">
        <v>97</v>
      </c>
      <c r="AS609" t="s">
        <v>92</v>
      </c>
      <c r="AT609" t="s">
        <v>73</v>
      </c>
      <c r="AU609">
        <v>0</v>
      </c>
      <c r="AV609">
        <v>0</v>
      </c>
      <c r="AW609">
        <v>0</v>
      </c>
      <c r="AX609">
        <v>1</v>
      </c>
      <c r="AY609">
        <v>0</v>
      </c>
      <c r="AZ609" t="s">
        <v>580</v>
      </c>
    </row>
    <row r="610" spans="1:52" x14ac:dyDescent="0.2">
      <c r="A610">
        <v>1</v>
      </c>
      <c r="B610">
        <v>0</v>
      </c>
      <c r="C610">
        <v>0</v>
      </c>
      <c r="D610">
        <v>0</v>
      </c>
      <c r="E610">
        <v>0</v>
      </c>
      <c r="F610">
        <v>1</v>
      </c>
      <c r="G610">
        <v>0</v>
      </c>
      <c r="H610">
        <v>0</v>
      </c>
      <c r="I610">
        <v>0</v>
      </c>
      <c r="J610" t="s">
        <v>88</v>
      </c>
      <c r="K610" t="s">
        <v>89</v>
      </c>
      <c r="L610">
        <v>0</v>
      </c>
      <c r="M610">
        <v>0</v>
      </c>
      <c r="N610">
        <v>1</v>
      </c>
      <c r="O610">
        <v>0</v>
      </c>
      <c r="P610">
        <v>0</v>
      </c>
      <c r="Q610" t="s">
        <v>584</v>
      </c>
      <c r="AA610" t="s">
        <v>82</v>
      </c>
      <c r="AB610" t="s">
        <v>81</v>
      </c>
      <c r="AC610" t="s">
        <v>83</v>
      </c>
      <c r="AD610" t="s">
        <v>81</v>
      </c>
      <c r="AE610" t="s">
        <v>82</v>
      </c>
      <c r="AF610" t="s">
        <v>81</v>
      </c>
      <c r="AG610" t="s">
        <v>81</v>
      </c>
      <c r="AH610" t="s">
        <v>83</v>
      </c>
      <c r="AI610" t="s">
        <v>88</v>
      </c>
      <c r="AJ610" t="s">
        <v>89</v>
      </c>
      <c r="AK610" t="s">
        <v>100</v>
      </c>
      <c r="AL610" t="s">
        <v>96</v>
      </c>
      <c r="AM610" t="s">
        <v>87</v>
      </c>
      <c r="AN610" t="s">
        <v>86</v>
      </c>
      <c r="AO610" t="s">
        <v>87</v>
      </c>
      <c r="AP610" t="s">
        <v>86</v>
      </c>
      <c r="AQ610" t="s">
        <v>86</v>
      </c>
      <c r="AR610" t="s">
        <v>97</v>
      </c>
      <c r="AS610" t="s">
        <v>92</v>
      </c>
      <c r="AT610" t="s">
        <v>96</v>
      </c>
      <c r="AU610">
        <v>0</v>
      </c>
      <c r="AV610">
        <v>0</v>
      </c>
      <c r="AW610">
        <v>0</v>
      </c>
      <c r="AX610">
        <v>1</v>
      </c>
      <c r="AY610">
        <v>0</v>
      </c>
      <c r="AZ610" t="s">
        <v>581</v>
      </c>
    </row>
    <row r="611" spans="1:52" x14ac:dyDescent="0.2">
      <c r="A611">
        <v>1</v>
      </c>
      <c r="B611">
        <v>0</v>
      </c>
      <c r="C611">
        <v>0</v>
      </c>
      <c r="D611">
        <v>0</v>
      </c>
      <c r="E611">
        <v>1</v>
      </c>
      <c r="F611">
        <v>0</v>
      </c>
      <c r="G611">
        <v>0</v>
      </c>
      <c r="H611">
        <v>0</v>
      </c>
      <c r="I611">
        <v>0</v>
      </c>
      <c r="L611">
        <v>0</v>
      </c>
      <c r="M611">
        <v>0</v>
      </c>
      <c r="N611">
        <v>1</v>
      </c>
      <c r="O611">
        <v>0</v>
      </c>
      <c r="P611">
        <v>0</v>
      </c>
      <c r="Q611" t="s">
        <v>584</v>
      </c>
      <c r="AA611" t="s">
        <v>81</v>
      </c>
      <c r="AB611" t="s">
        <v>83</v>
      </c>
      <c r="AC611" t="s">
        <v>83</v>
      </c>
      <c r="AD611" t="s">
        <v>81</v>
      </c>
      <c r="AE611" t="s">
        <v>81</v>
      </c>
      <c r="AF611" t="s">
        <v>83</v>
      </c>
      <c r="AG611" t="s">
        <v>83</v>
      </c>
      <c r="AH611" t="s">
        <v>81</v>
      </c>
      <c r="AI611" t="s">
        <v>88</v>
      </c>
      <c r="AJ611" t="s">
        <v>89</v>
      </c>
      <c r="AK611" t="s">
        <v>100</v>
      </c>
      <c r="AL611" t="s">
        <v>107</v>
      </c>
      <c r="AM611" t="s">
        <v>86</v>
      </c>
      <c r="AN611" t="s">
        <v>74</v>
      </c>
      <c r="AO611" t="s">
        <v>74</v>
      </c>
      <c r="AP611" t="s">
        <v>86</v>
      </c>
      <c r="AQ611" t="s">
        <v>86</v>
      </c>
      <c r="AR611" t="s">
        <v>75</v>
      </c>
      <c r="AS611" t="s">
        <v>92</v>
      </c>
      <c r="AT611" t="s">
        <v>107</v>
      </c>
      <c r="AU611">
        <v>0</v>
      </c>
      <c r="AV611">
        <v>0</v>
      </c>
      <c r="AW611">
        <v>0</v>
      </c>
      <c r="AX611">
        <v>1</v>
      </c>
      <c r="AY611">
        <v>0</v>
      </c>
      <c r="AZ611" t="s">
        <v>580</v>
      </c>
    </row>
    <row r="612" spans="1:52" x14ac:dyDescent="0.2">
      <c r="A612">
        <v>1</v>
      </c>
      <c r="B612">
        <v>1</v>
      </c>
      <c r="C612">
        <v>0</v>
      </c>
      <c r="D612">
        <v>0</v>
      </c>
      <c r="E612">
        <v>0</v>
      </c>
      <c r="F612">
        <v>1</v>
      </c>
      <c r="G612">
        <v>0</v>
      </c>
      <c r="H612">
        <v>0</v>
      </c>
      <c r="I612">
        <v>0</v>
      </c>
      <c r="J612" t="s">
        <v>88</v>
      </c>
      <c r="K612" t="s">
        <v>89</v>
      </c>
      <c r="L612">
        <v>1</v>
      </c>
      <c r="M612">
        <v>0</v>
      </c>
      <c r="N612">
        <v>0</v>
      </c>
      <c r="O612">
        <v>0</v>
      </c>
      <c r="P612">
        <v>0</v>
      </c>
      <c r="Q612" t="s">
        <v>584</v>
      </c>
      <c r="R612">
        <v>0</v>
      </c>
      <c r="S612">
        <v>1</v>
      </c>
      <c r="T612">
        <v>0</v>
      </c>
      <c r="U612">
        <v>0</v>
      </c>
      <c r="V612">
        <v>0</v>
      </c>
      <c r="W612">
        <v>0</v>
      </c>
      <c r="X612">
        <v>0</v>
      </c>
      <c r="Y612">
        <v>0</v>
      </c>
      <c r="Z612">
        <v>0</v>
      </c>
      <c r="AL612" t="s">
        <v>73</v>
      </c>
      <c r="AM612" t="s">
        <v>86</v>
      </c>
      <c r="AN612" t="s">
        <v>87</v>
      </c>
      <c r="AO612" t="s">
        <v>74</v>
      </c>
      <c r="AP612" t="s">
        <v>87</v>
      </c>
      <c r="AQ612" t="s">
        <v>74</v>
      </c>
      <c r="AR612" t="s">
        <v>97</v>
      </c>
      <c r="AS612" t="s">
        <v>76</v>
      </c>
      <c r="AT612" t="s">
        <v>73</v>
      </c>
      <c r="AU612">
        <v>0</v>
      </c>
      <c r="AV612">
        <v>0</v>
      </c>
      <c r="AW612">
        <v>0</v>
      </c>
      <c r="AX612">
        <v>1</v>
      </c>
      <c r="AY612">
        <v>0</v>
      </c>
      <c r="AZ612" t="s">
        <v>579</v>
      </c>
    </row>
    <row r="613" spans="1:52" x14ac:dyDescent="0.2">
      <c r="A613">
        <v>0</v>
      </c>
      <c r="B613">
        <v>1</v>
      </c>
      <c r="C613">
        <v>0</v>
      </c>
      <c r="D613">
        <v>0</v>
      </c>
      <c r="E613">
        <v>1</v>
      </c>
      <c r="F613">
        <v>0</v>
      </c>
      <c r="G613">
        <v>0</v>
      </c>
      <c r="H613">
        <v>0</v>
      </c>
      <c r="I613">
        <v>0</v>
      </c>
      <c r="L613">
        <v>1</v>
      </c>
      <c r="M613">
        <v>0</v>
      </c>
      <c r="N613">
        <v>0</v>
      </c>
      <c r="O613">
        <v>0</v>
      </c>
      <c r="P613">
        <v>0</v>
      </c>
      <c r="Q613" t="s">
        <v>584</v>
      </c>
      <c r="R613">
        <v>0</v>
      </c>
      <c r="S613">
        <v>0</v>
      </c>
      <c r="T613">
        <v>0</v>
      </c>
      <c r="U613">
        <v>0</v>
      </c>
      <c r="V613">
        <v>0</v>
      </c>
      <c r="W613">
        <v>1</v>
      </c>
      <c r="X613">
        <v>0</v>
      </c>
      <c r="Y613">
        <v>0</v>
      </c>
      <c r="Z613">
        <v>0</v>
      </c>
      <c r="AL613" t="s">
        <v>73</v>
      </c>
      <c r="AM613" t="s">
        <v>87</v>
      </c>
      <c r="AN613" t="s">
        <v>87</v>
      </c>
      <c r="AO613" t="s">
        <v>87</v>
      </c>
      <c r="AP613" t="s">
        <v>87</v>
      </c>
      <c r="AQ613" t="s">
        <v>86</v>
      </c>
      <c r="AR613" t="s">
        <v>97</v>
      </c>
      <c r="AS613" t="s">
        <v>76</v>
      </c>
      <c r="AT613" t="s">
        <v>73</v>
      </c>
      <c r="AU613">
        <v>0</v>
      </c>
      <c r="AV613">
        <v>0</v>
      </c>
      <c r="AW613">
        <v>0</v>
      </c>
      <c r="AX613">
        <v>1</v>
      </c>
      <c r="AY613">
        <v>0</v>
      </c>
      <c r="AZ613" t="s">
        <v>580</v>
      </c>
    </row>
    <row r="614" spans="1:52" x14ac:dyDescent="0.2">
      <c r="A614">
        <v>1</v>
      </c>
      <c r="B614">
        <v>0</v>
      </c>
      <c r="C614">
        <v>0</v>
      </c>
      <c r="D614">
        <v>0</v>
      </c>
      <c r="E614">
        <v>1</v>
      </c>
      <c r="F614">
        <v>0</v>
      </c>
      <c r="G614">
        <v>0</v>
      </c>
      <c r="H614">
        <v>0</v>
      </c>
      <c r="I614">
        <v>0</v>
      </c>
      <c r="L614">
        <v>1</v>
      </c>
      <c r="M614">
        <v>0</v>
      </c>
      <c r="N614">
        <v>0</v>
      </c>
      <c r="O614">
        <v>0</v>
      </c>
      <c r="P614">
        <v>0</v>
      </c>
      <c r="Q614" t="s">
        <v>584</v>
      </c>
      <c r="R614">
        <v>0</v>
      </c>
      <c r="S614">
        <v>0</v>
      </c>
      <c r="T614">
        <v>1</v>
      </c>
      <c r="U614">
        <v>0</v>
      </c>
      <c r="V614">
        <v>0</v>
      </c>
      <c r="W614">
        <v>0</v>
      </c>
      <c r="X614">
        <v>0</v>
      </c>
      <c r="Y614">
        <v>0</v>
      </c>
      <c r="Z614">
        <v>0</v>
      </c>
      <c r="AL614" t="s">
        <v>120</v>
      </c>
      <c r="AM614" t="s">
        <v>86</v>
      </c>
      <c r="AN614" t="s">
        <v>87</v>
      </c>
      <c r="AO614" t="s">
        <v>87</v>
      </c>
      <c r="AP614" t="s">
        <v>87</v>
      </c>
      <c r="AQ614" t="s">
        <v>86</v>
      </c>
      <c r="AR614" t="s">
        <v>97</v>
      </c>
      <c r="AS614" t="s">
        <v>76</v>
      </c>
      <c r="AT614" t="s">
        <v>120</v>
      </c>
      <c r="AU614">
        <v>1</v>
      </c>
      <c r="AV614">
        <v>0</v>
      </c>
      <c r="AW614">
        <v>0</v>
      </c>
      <c r="AX614">
        <v>0</v>
      </c>
      <c r="AY614">
        <v>0</v>
      </c>
      <c r="AZ614" t="s">
        <v>580</v>
      </c>
    </row>
    <row r="615" spans="1:52" x14ac:dyDescent="0.2">
      <c r="A615">
        <v>1</v>
      </c>
      <c r="B615">
        <v>0</v>
      </c>
      <c r="C615">
        <v>0</v>
      </c>
      <c r="D615">
        <v>0</v>
      </c>
      <c r="E615">
        <v>0</v>
      </c>
      <c r="F615">
        <v>1</v>
      </c>
      <c r="G615">
        <v>0</v>
      </c>
      <c r="H615">
        <v>0</v>
      </c>
      <c r="I615">
        <v>0</v>
      </c>
      <c r="J615" t="s">
        <v>88</v>
      </c>
      <c r="K615" t="s">
        <v>89</v>
      </c>
      <c r="L615">
        <v>0</v>
      </c>
      <c r="M615">
        <v>1</v>
      </c>
      <c r="N615">
        <v>0</v>
      </c>
      <c r="O615">
        <v>0</v>
      </c>
      <c r="P615">
        <v>0</v>
      </c>
      <c r="Q615" t="s">
        <v>584</v>
      </c>
      <c r="AA615" t="s">
        <v>82</v>
      </c>
      <c r="AB615" t="s">
        <v>82</v>
      </c>
      <c r="AC615" t="s">
        <v>83</v>
      </c>
      <c r="AD615" t="s">
        <v>90</v>
      </c>
      <c r="AE615" t="s">
        <v>82</v>
      </c>
      <c r="AF615" t="s">
        <v>83</v>
      </c>
      <c r="AG615" t="s">
        <v>82</v>
      </c>
      <c r="AH615" t="s">
        <v>83</v>
      </c>
      <c r="AI615" t="s">
        <v>88</v>
      </c>
      <c r="AJ615" t="s">
        <v>89</v>
      </c>
      <c r="AK615" t="s">
        <v>100</v>
      </c>
      <c r="AL615" t="s">
        <v>96</v>
      </c>
      <c r="AM615" t="s">
        <v>87</v>
      </c>
      <c r="AN615" t="s">
        <v>86</v>
      </c>
      <c r="AO615" t="s">
        <v>87</v>
      </c>
      <c r="AP615" t="s">
        <v>74</v>
      </c>
      <c r="AQ615" t="s">
        <v>74</v>
      </c>
      <c r="AR615" t="s">
        <v>97</v>
      </c>
      <c r="AS615" t="s">
        <v>92</v>
      </c>
      <c r="AT615" t="s">
        <v>96</v>
      </c>
      <c r="AU615">
        <v>0</v>
      </c>
      <c r="AV615">
        <v>0</v>
      </c>
      <c r="AW615">
        <v>0</v>
      </c>
      <c r="AX615">
        <v>1</v>
      </c>
      <c r="AY615">
        <v>0</v>
      </c>
      <c r="AZ615" t="s">
        <v>581</v>
      </c>
    </row>
    <row r="616" spans="1:52" x14ac:dyDescent="0.2">
      <c r="A616">
        <v>0</v>
      </c>
      <c r="B616">
        <v>1</v>
      </c>
      <c r="C616">
        <v>0</v>
      </c>
      <c r="D616">
        <v>0</v>
      </c>
      <c r="E616">
        <v>0</v>
      </c>
      <c r="F616">
        <v>1</v>
      </c>
      <c r="G616">
        <v>0</v>
      </c>
      <c r="H616">
        <v>0</v>
      </c>
      <c r="I616">
        <v>0</v>
      </c>
      <c r="J616" t="s">
        <v>135</v>
      </c>
      <c r="K616" t="s">
        <v>127</v>
      </c>
      <c r="L616">
        <v>0</v>
      </c>
      <c r="M616">
        <v>0</v>
      </c>
      <c r="N616">
        <v>0</v>
      </c>
      <c r="O616">
        <v>0</v>
      </c>
      <c r="P616">
        <v>1</v>
      </c>
      <c r="Q616" t="s">
        <v>584</v>
      </c>
      <c r="AA616" t="s">
        <v>83</v>
      </c>
      <c r="AB616" t="s">
        <v>82</v>
      </c>
      <c r="AC616" t="s">
        <v>83</v>
      </c>
      <c r="AD616" t="s">
        <v>83</v>
      </c>
      <c r="AE616" t="s">
        <v>81</v>
      </c>
      <c r="AF616" t="s">
        <v>83</v>
      </c>
      <c r="AG616" t="s">
        <v>83</v>
      </c>
      <c r="AH616" t="s">
        <v>83</v>
      </c>
      <c r="AI616" t="s">
        <v>135</v>
      </c>
      <c r="AJ616" t="s">
        <v>80</v>
      </c>
      <c r="AK616" t="s">
        <v>153</v>
      </c>
      <c r="AL616" t="s">
        <v>107</v>
      </c>
      <c r="AM616" t="s">
        <v>87</v>
      </c>
      <c r="AN616" t="s">
        <v>74</v>
      </c>
      <c r="AO616" t="s">
        <v>87</v>
      </c>
      <c r="AP616" t="s">
        <v>86</v>
      </c>
      <c r="AQ616" t="s">
        <v>74</v>
      </c>
      <c r="AR616" t="s">
        <v>97</v>
      </c>
      <c r="AS616" t="s">
        <v>92</v>
      </c>
      <c r="AT616" t="s">
        <v>107</v>
      </c>
      <c r="AU616">
        <v>0</v>
      </c>
      <c r="AV616">
        <v>0</v>
      </c>
      <c r="AW616">
        <v>0</v>
      </c>
      <c r="AX616">
        <v>1</v>
      </c>
      <c r="AY616">
        <v>0</v>
      </c>
      <c r="AZ616" t="s">
        <v>581</v>
      </c>
    </row>
    <row r="617" spans="1:52" x14ac:dyDescent="0.2">
      <c r="A617">
        <v>1</v>
      </c>
      <c r="B617">
        <v>0</v>
      </c>
      <c r="C617">
        <v>0</v>
      </c>
      <c r="D617">
        <v>0</v>
      </c>
      <c r="E617">
        <v>0</v>
      </c>
      <c r="F617">
        <v>0</v>
      </c>
      <c r="G617">
        <v>0</v>
      </c>
      <c r="H617">
        <v>0</v>
      </c>
      <c r="I617">
        <v>1</v>
      </c>
      <c r="J617" t="s">
        <v>88</v>
      </c>
      <c r="K617" t="s">
        <v>89</v>
      </c>
      <c r="L617">
        <v>0</v>
      </c>
      <c r="M617">
        <v>1</v>
      </c>
      <c r="N617">
        <v>0</v>
      </c>
      <c r="O617">
        <v>0</v>
      </c>
      <c r="P617">
        <v>0</v>
      </c>
      <c r="Q617" t="s">
        <v>584</v>
      </c>
      <c r="AA617" t="s">
        <v>90</v>
      </c>
      <c r="AB617" t="s">
        <v>90</v>
      </c>
      <c r="AC617" t="s">
        <v>90</v>
      </c>
      <c r="AD617" t="s">
        <v>90</v>
      </c>
      <c r="AE617" t="s">
        <v>90</v>
      </c>
      <c r="AF617" t="s">
        <v>90</v>
      </c>
      <c r="AG617" t="s">
        <v>90</v>
      </c>
      <c r="AH617" t="s">
        <v>83</v>
      </c>
      <c r="AI617" t="s">
        <v>88</v>
      </c>
      <c r="AJ617" t="s">
        <v>89</v>
      </c>
      <c r="AK617" t="s">
        <v>85</v>
      </c>
      <c r="AL617" t="s">
        <v>73</v>
      </c>
      <c r="AM617" t="s">
        <v>87</v>
      </c>
      <c r="AN617" t="s">
        <v>74</v>
      </c>
      <c r="AO617" t="s">
        <v>74</v>
      </c>
      <c r="AP617" t="s">
        <v>87</v>
      </c>
      <c r="AQ617" t="s">
        <v>86</v>
      </c>
      <c r="AR617" t="s">
        <v>97</v>
      </c>
      <c r="AS617" t="s">
        <v>92</v>
      </c>
      <c r="AT617" t="s">
        <v>73</v>
      </c>
      <c r="AU617">
        <v>0</v>
      </c>
      <c r="AV617">
        <v>0</v>
      </c>
      <c r="AW617">
        <v>0</v>
      </c>
      <c r="AX617">
        <v>1</v>
      </c>
      <c r="AY617">
        <v>0</v>
      </c>
      <c r="AZ617" t="s">
        <v>580</v>
      </c>
    </row>
    <row r="618" spans="1:52" x14ac:dyDescent="0.2">
      <c r="A618">
        <v>0</v>
      </c>
      <c r="B618">
        <v>1</v>
      </c>
      <c r="C618">
        <v>0</v>
      </c>
      <c r="D618">
        <v>0</v>
      </c>
      <c r="E618">
        <v>0</v>
      </c>
      <c r="F618">
        <v>0</v>
      </c>
      <c r="G618">
        <v>0</v>
      </c>
      <c r="H618">
        <v>0</v>
      </c>
      <c r="I618">
        <v>1</v>
      </c>
      <c r="J618" t="s">
        <v>88</v>
      </c>
      <c r="K618" t="s">
        <v>80</v>
      </c>
      <c r="L618">
        <v>0</v>
      </c>
      <c r="M618">
        <v>0</v>
      </c>
      <c r="N618">
        <v>0</v>
      </c>
      <c r="O618">
        <v>0</v>
      </c>
      <c r="P618">
        <v>1</v>
      </c>
      <c r="Q618" t="s">
        <v>585</v>
      </c>
      <c r="AA618" t="s">
        <v>82</v>
      </c>
      <c r="AB618" t="s">
        <v>82</v>
      </c>
      <c r="AC618" t="s">
        <v>83</v>
      </c>
      <c r="AD618" t="s">
        <v>82</v>
      </c>
      <c r="AE618" t="s">
        <v>82</v>
      </c>
      <c r="AF618" t="s">
        <v>82</v>
      </c>
      <c r="AG618" t="s">
        <v>82</v>
      </c>
      <c r="AH618" t="s">
        <v>83</v>
      </c>
      <c r="AI618" t="s">
        <v>88</v>
      </c>
      <c r="AJ618" t="s">
        <v>89</v>
      </c>
      <c r="AK618" t="s">
        <v>100</v>
      </c>
      <c r="AL618" t="s">
        <v>107</v>
      </c>
      <c r="AM618" t="s">
        <v>86</v>
      </c>
      <c r="AN618" t="s">
        <v>86</v>
      </c>
      <c r="AO618" t="s">
        <v>86</v>
      </c>
      <c r="AP618" t="s">
        <v>74</v>
      </c>
      <c r="AQ618" t="s">
        <v>86</v>
      </c>
      <c r="AR618" t="s">
        <v>101</v>
      </c>
      <c r="AS618" t="s">
        <v>76</v>
      </c>
      <c r="AT618" t="s">
        <v>107</v>
      </c>
      <c r="AU618">
        <v>0</v>
      </c>
      <c r="AV618">
        <v>0</v>
      </c>
      <c r="AW618">
        <v>0</v>
      </c>
      <c r="AX618">
        <v>1</v>
      </c>
      <c r="AY618">
        <v>0</v>
      </c>
      <c r="AZ618" t="s">
        <v>581</v>
      </c>
    </row>
    <row r="619" spans="1:52" x14ac:dyDescent="0.2">
      <c r="A619">
        <v>1</v>
      </c>
      <c r="B619">
        <v>0</v>
      </c>
      <c r="C619">
        <v>0</v>
      </c>
      <c r="D619">
        <v>0</v>
      </c>
      <c r="E619">
        <v>0</v>
      </c>
      <c r="F619">
        <v>0</v>
      </c>
      <c r="G619">
        <v>0</v>
      </c>
      <c r="H619">
        <v>0</v>
      </c>
      <c r="I619">
        <v>1</v>
      </c>
      <c r="J619" t="s">
        <v>88</v>
      </c>
      <c r="K619" t="s">
        <v>89</v>
      </c>
      <c r="L619">
        <v>1</v>
      </c>
      <c r="M619">
        <v>0</v>
      </c>
      <c r="N619">
        <v>0</v>
      </c>
      <c r="O619">
        <v>0</v>
      </c>
      <c r="P619">
        <v>0</v>
      </c>
      <c r="Q619" t="s">
        <v>584</v>
      </c>
      <c r="R619">
        <v>0</v>
      </c>
      <c r="S619">
        <v>0</v>
      </c>
      <c r="T619">
        <v>1</v>
      </c>
      <c r="U619">
        <v>0</v>
      </c>
      <c r="V619">
        <v>0</v>
      </c>
      <c r="W619">
        <v>0</v>
      </c>
      <c r="X619">
        <v>0</v>
      </c>
      <c r="Y619">
        <v>0</v>
      </c>
      <c r="Z619">
        <v>0</v>
      </c>
      <c r="AL619" t="s">
        <v>73</v>
      </c>
      <c r="AM619" t="s">
        <v>87</v>
      </c>
      <c r="AN619" t="s">
        <v>86</v>
      </c>
      <c r="AO619" t="s">
        <v>86</v>
      </c>
      <c r="AP619" t="s">
        <v>87</v>
      </c>
      <c r="AQ619" t="s">
        <v>86</v>
      </c>
      <c r="AR619" t="s">
        <v>97</v>
      </c>
      <c r="AS619" t="s">
        <v>76</v>
      </c>
      <c r="AT619" t="s">
        <v>73</v>
      </c>
      <c r="AU619">
        <v>0</v>
      </c>
      <c r="AV619">
        <v>0</v>
      </c>
      <c r="AW619">
        <v>0</v>
      </c>
      <c r="AX619">
        <v>1</v>
      </c>
      <c r="AY619">
        <v>0</v>
      </c>
      <c r="AZ619" t="s">
        <v>580</v>
      </c>
    </row>
    <row r="620" spans="1:52" x14ac:dyDescent="0.2">
      <c r="A620">
        <v>1</v>
      </c>
      <c r="B620">
        <v>0</v>
      </c>
      <c r="C620">
        <v>0</v>
      </c>
      <c r="D620">
        <v>0</v>
      </c>
      <c r="E620">
        <v>0</v>
      </c>
      <c r="F620">
        <v>1</v>
      </c>
      <c r="G620">
        <v>1</v>
      </c>
      <c r="H620">
        <v>1</v>
      </c>
      <c r="I620">
        <v>0</v>
      </c>
      <c r="J620" t="s">
        <v>88</v>
      </c>
      <c r="K620" t="s">
        <v>142</v>
      </c>
      <c r="L620">
        <v>0</v>
      </c>
      <c r="M620">
        <v>0</v>
      </c>
      <c r="N620">
        <v>1</v>
      </c>
      <c r="O620">
        <v>0</v>
      </c>
      <c r="P620">
        <v>0</v>
      </c>
      <c r="Q620" t="s">
        <v>584</v>
      </c>
      <c r="AA620" t="s">
        <v>81</v>
      </c>
      <c r="AB620" t="s">
        <v>82</v>
      </c>
      <c r="AC620" t="s">
        <v>82</v>
      </c>
      <c r="AD620" t="s">
        <v>81</v>
      </c>
      <c r="AE620" t="s">
        <v>81</v>
      </c>
      <c r="AF620" t="s">
        <v>83</v>
      </c>
      <c r="AG620" t="s">
        <v>83</v>
      </c>
      <c r="AH620" t="s">
        <v>83</v>
      </c>
      <c r="AI620" t="s">
        <v>88</v>
      </c>
      <c r="AJ620" t="s">
        <v>89</v>
      </c>
      <c r="AK620" t="s">
        <v>100</v>
      </c>
      <c r="AL620" t="s">
        <v>96</v>
      </c>
      <c r="AM620" t="s">
        <v>87</v>
      </c>
      <c r="AN620" t="s">
        <v>86</v>
      </c>
      <c r="AO620" t="s">
        <v>87</v>
      </c>
      <c r="AP620" t="s">
        <v>87</v>
      </c>
      <c r="AQ620" t="s">
        <v>86</v>
      </c>
      <c r="AR620" t="s">
        <v>97</v>
      </c>
      <c r="AS620" t="s">
        <v>92</v>
      </c>
      <c r="AT620" t="s">
        <v>96</v>
      </c>
      <c r="AU620">
        <v>0</v>
      </c>
      <c r="AV620">
        <v>0</v>
      </c>
      <c r="AW620">
        <v>0</v>
      </c>
      <c r="AX620">
        <v>1</v>
      </c>
      <c r="AY620">
        <v>0</v>
      </c>
      <c r="AZ620" t="s">
        <v>580</v>
      </c>
    </row>
    <row r="621" spans="1:52" x14ac:dyDescent="0.2">
      <c r="A621">
        <v>1</v>
      </c>
      <c r="B621">
        <v>0</v>
      </c>
      <c r="C621">
        <v>0</v>
      </c>
      <c r="D621">
        <v>0</v>
      </c>
      <c r="E621">
        <v>1</v>
      </c>
      <c r="F621">
        <v>0</v>
      </c>
      <c r="G621">
        <v>0</v>
      </c>
      <c r="H621">
        <v>0</v>
      </c>
      <c r="I621">
        <v>0</v>
      </c>
      <c r="L621">
        <v>1</v>
      </c>
      <c r="M621">
        <v>0</v>
      </c>
      <c r="N621">
        <v>0</v>
      </c>
      <c r="O621">
        <v>0</v>
      </c>
      <c r="P621">
        <v>0</v>
      </c>
      <c r="Q621" t="s">
        <v>584</v>
      </c>
      <c r="R621">
        <v>0</v>
      </c>
      <c r="S621">
        <v>0</v>
      </c>
      <c r="T621">
        <v>1</v>
      </c>
      <c r="U621">
        <v>0</v>
      </c>
      <c r="V621">
        <v>0</v>
      </c>
      <c r="W621">
        <v>1</v>
      </c>
      <c r="X621">
        <v>0</v>
      </c>
      <c r="Y621">
        <v>0</v>
      </c>
      <c r="Z621">
        <v>0</v>
      </c>
      <c r="AL621" t="s">
        <v>120</v>
      </c>
      <c r="AM621" t="s">
        <v>86</v>
      </c>
      <c r="AN621" t="s">
        <v>86</v>
      </c>
      <c r="AO621" t="s">
        <v>87</v>
      </c>
      <c r="AP621" t="s">
        <v>87</v>
      </c>
      <c r="AQ621" t="s">
        <v>86</v>
      </c>
      <c r="AR621" t="s">
        <v>75</v>
      </c>
      <c r="AS621" t="s">
        <v>92</v>
      </c>
      <c r="AT621" t="s">
        <v>120</v>
      </c>
      <c r="AU621">
        <v>0</v>
      </c>
      <c r="AV621">
        <v>0</v>
      </c>
      <c r="AW621">
        <v>0</v>
      </c>
      <c r="AX621">
        <v>1</v>
      </c>
      <c r="AY621">
        <v>0</v>
      </c>
      <c r="AZ621" t="s">
        <v>580</v>
      </c>
    </row>
    <row r="622" spans="1:52" x14ac:dyDescent="0.2">
      <c r="A622">
        <v>0</v>
      </c>
      <c r="B622">
        <v>1</v>
      </c>
      <c r="C622">
        <v>0</v>
      </c>
      <c r="D622">
        <v>0</v>
      </c>
      <c r="E622">
        <v>0</v>
      </c>
      <c r="F622">
        <v>1</v>
      </c>
      <c r="G622">
        <v>0</v>
      </c>
      <c r="H622">
        <v>0</v>
      </c>
      <c r="I622">
        <v>0</v>
      </c>
      <c r="J622" t="s">
        <v>88</v>
      </c>
      <c r="K622" t="s">
        <v>89</v>
      </c>
      <c r="L622">
        <v>0</v>
      </c>
      <c r="M622">
        <v>1</v>
      </c>
      <c r="N622">
        <v>0</v>
      </c>
      <c r="O622">
        <v>0</v>
      </c>
      <c r="P622">
        <v>1</v>
      </c>
      <c r="Q622" t="s">
        <v>584</v>
      </c>
      <c r="AA622" t="s">
        <v>90</v>
      </c>
      <c r="AB622" t="s">
        <v>82</v>
      </c>
      <c r="AC622" t="s">
        <v>81</v>
      </c>
      <c r="AD622" t="s">
        <v>90</v>
      </c>
      <c r="AE622" t="s">
        <v>90</v>
      </c>
      <c r="AF622" t="s">
        <v>90</v>
      </c>
      <c r="AG622" t="s">
        <v>90</v>
      </c>
      <c r="AH622" t="s">
        <v>90</v>
      </c>
      <c r="AI622" t="s">
        <v>88</v>
      </c>
      <c r="AJ622" t="s">
        <v>89</v>
      </c>
      <c r="AK622" t="s">
        <v>100</v>
      </c>
      <c r="AL622" t="s">
        <v>107</v>
      </c>
      <c r="AM622" t="s">
        <v>87</v>
      </c>
      <c r="AN622" t="s">
        <v>87</v>
      </c>
      <c r="AO622" t="s">
        <v>87</v>
      </c>
      <c r="AP622" t="s">
        <v>87</v>
      </c>
      <c r="AQ622" t="s">
        <v>87</v>
      </c>
      <c r="AR622" t="s">
        <v>75</v>
      </c>
      <c r="AS622" t="s">
        <v>92</v>
      </c>
      <c r="AT622" t="s">
        <v>107</v>
      </c>
      <c r="AU622">
        <v>0</v>
      </c>
      <c r="AV622">
        <v>0</v>
      </c>
      <c r="AW622">
        <v>0</v>
      </c>
      <c r="AX622">
        <v>1</v>
      </c>
      <c r="AY622">
        <v>0</v>
      </c>
      <c r="AZ622" t="s">
        <v>580</v>
      </c>
    </row>
    <row r="623" spans="1:52" x14ac:dyDescent="0.2">
      <c r="A623">
        <v>0</v>
      </c>
      <c r="B623">
        <v>1</v>
      </c>
      <c r="C623">
        <v>0</v>
      </c>
      <c r="D623">
        <v>0</v>
      </c>
      <c r="E623">
        <v>1</v>
      </c>
      <c r="F623">
        <v>0</v>
      </c>
      <c r="G623">
        <v>0</v>
      </c>
      <c r="H623">
        <v>0</v>
      </c>
      <c r="I623">
        <v>0</v>
      </c>
      <c r="L623">
        <v>0</v>
      </c>
      <c r="M623">
        <v>1</v>
      </c>
      <c r="N623">
        <v>0</v>
      </c>
      <c r="O623">
        <v>0</v>
      </c>
      <c r="P623">
        <v>0</v>
      </c>
      <c r="Q623" t="s">
        <v>584</v>
      </c>
      <c r="AA623" t="s">
        <v>90</v>
      </c>
      <c r="AB623" t="s">
        <v>82</v>
      </c>
      <c r="AC623" t="s">
        <v>81</v>
      </c>
      <c r="AD623" t="s">
        <v>90</v>
      </c>
      <c r="AE623" t="s">
        <v>81</v>
      </c>
      <c r="AF623" t="s">
        <v>83</v>
      </c>
      <c r="AG623" t="s">
        <v>90</v>
      </c>
      <c r="AH623" t="s">
        <v>83</v>
      </c>
      <c r="AI623" t="s">
        <v>88</v>
      </c>
      <c r="AJ623" t="s">
        <v>89</v>
      </c>
      <c r="AK623" t="s">
        <v>100</v>
      </c>
      <c r="AL623" t="s">
        <v>107</v>
      </c>
      <c r="AM623" t="s">
        <v>86</v>
      </c>
      <c r="AN623" t="s">
        <v>86</v>
      </c>
      <c r="AO623" t="s">
        <v>87</v>
      </c>
      <c r="AP623" t="s">
        <v>87</v>
      </c>
      <c r="AQ623" t="s">
        <v>86</v>
      </c>
      <c r="AR623" t="s">
        <v>75</v>
      </c>
      <c r="AS623" t="s">
        <v>92</v>
      </c>
      <c r="AT623" t="s">
        <v>107</v>
      </c>
      <c r="AU623">
        <v>0</v>
      </c>
      <c r="AV623">
        <v>0</v>
      </c>
      <c r="AW623">
        <v>0</v>
      </c>
      <c r="AX623">
        <v>1</v>
      </c>
      <c r="AY623">
        <v>0</v>
      </c>
      <c r="AZ623" t="s">
        <v>579</v>
      </c>
    </row>
    <row r="624" spans="1:52" x14ac:dyDescent="0.2">
      <c r="A624">
        <v>1</v>
      </c>
      <c r="B624">
        <v>0</v>
      </c>
      <c r="C624">
        <v>0</v>
      </c>
      <c r="D624">
        <v>0</v>
      </c>
      <c r="E624">
        <v>0</v>
      </c>
      <c r="F624">
        <v>1</v>
      </c>
      <c r="G624">
        <v>0</v>
      </c>
      <c r="H624">
        <v>0</v>
      </c>
      <c r="I624">
        <v>0</v>
      </c>
      <c r="J624" t="s">
        <v>88</v>
      </c>
      <c r="K624" t="s">
        <v>89</v>
      </c>
      <c r="L624">
        <v>0</v>
      </c>
      <c r="M624">
        <v>0</v>
      </c>
      <c r="N624">
        <v>1</v>
      </c>
      <c r="O624">
        <v>0</v>
      </c>
      <c r="P624">
        <v>0</v>
      </c>
      <c r="Q624" t="s">
        <v>584</v>
      </c>
      <c r="AA624" t="s">
        <v>83</v>
      </c>
      <c r="AB624" t="s">
        <v>81</v>
      </c>
      <c r="AC624" t="s">
        <v>83</v>
      </c>
      <c r="AD624" t="s">
        <v>83</v>
      </c>
      <c r="AE624" t="s">
        <v>82</v>
      </c>
      <c r="AF624" t="s">
        <v>81</v>
      </c>
      <c r="AG624" t="s">
        <v>82</v>
      </c>
      <c r="AH624" t="s">
        <v>83</v>
      </c>
      <c r="AI624" t="s">
        <v>88</v>
      </c>
      <c r="AJ624" t="s">
        <v>89</v>
      </c>
      <c r="AK624" t="s">
        <v>85</v>
      </c>
      <c r="AL624" t="s">
        <v>107</v>
      </c>
      <c r="AM624" t="s">
        <v>87</v>
      </c>
      <c r="AN624" t="s">
        <v>87</v>
      </c>
      <c r="AO624" t="s">
        <v>87</v>
      </c>
      <c r="AP624" t="s">
        <v>74</v>
      </c>
      <c r="AQ624" t="s">
        <v>87</v>
      </c>
      <c r="AR624" t="s">
        <v>75</v>
      </c>
      <c r="AS624" t="s">
        <v>76</v>
      </c>
      <c r="AT624" t="s">
        <v>107</v>
      </c>
      <c r="AU624">
        <v>0</v>
      </c>
      <c r="AV624">
        <v>0</v>
      </c>
      <c r="AW624">
        <v>0</v>
      </c>
      <c r="AX624">
        <v>1</v>
      </c>
      <c r="AY624">
        <v>0</v>
      </c>
      <c r="AZ624" t="s">
        <v>580</v>
      </c>
    </row>
    <row r="625" spans="1:52" x14ac:dyDescent="0.2">
      <c r="A625">
        <v>1</v>
      </c>
      <c r="B625">
        <v>0</v>
      </c>
      <c r="C625">
        <v>0</v>
      </c>
      <c r="D625">
        <v>0</v>
      </c>
      <c r="E625">
        <v>0</v>
      </c>
      <c r="F625">
        <v>0</v>
      </c>
      <c r="G625">
        <v>0</v>
      </c>
      <c r="H625">
        <v>1</v>
      </c>
      <c r="I625">
        <v>1</v>
      </c>
      <c r="J625" t="s">
        <v>88</v>
      </c>
      <c r="K625" t="s">
        <v>80</v>
      </c>
      <c r="L625">
        <v>1</v>
      </c>
      <c r="M625">
        <v>0</v>
      </c>
      <c r="N625">
        <v>0</v>
      </c>
      <c r="O625">
        <v>0</v>
      </c>
      <c r="P625">
        <v>0</v>
      </c>
      <c r="Q625" t="s">
        <v>584</v>
      </c>
      <c r="R625">
        <v>0</v>
      </c>
      <c r="S625">
        <v>0</v>
      </c>
      <c r="T625">
        <v>0</v>
      </c>
      <c r="U625">
        <v>0</v>
      </c>
      <c r="V625">
        <v>0</v>
      </c>
      <c r="W625">
        <v>0</v>
      </c>
      <c r="X625">
        <v>0</v>
      </c>
      <c r="Y625">
        <v>0</v>
      </c>
      <c r="Z625">
        <v>1</v>
      </c>
      <c r="AL625" t="s">
        <v>107</v>
      </c>
      <c r="AM625" t="s">
        <v>87</v>
      </c>
      <c r="AN625" t="s">
        <v>74</v>
      </c>
      <c r="AO625" t="s">
        <v>86</v>
      </c>
      <c r="AP625" t="s">
        <v>87</v>
      </c>
      <c r="AQ625" t="s">
        <v>87</v>
      </c>
      <c r="AR625" t="s">
        <v>108</v>
      </c>
      <c r="AS625" t="s">
        <v>92</v>
      </c>
      <c r="AT625" t="s">
        <v>107</v>
      </c>
      <c r="AU625">
        <v>1</v>
      </c>
      <c r="AV625">
        <v>0</v>
      </c>
      <c r="AW625">
        <v>0</v>
      </c>
      <c r="AX625">
        <v>0</v>
      </c>
      <c r="AY625">
        <v>0</v>
      </c>
      <c r="AZ625" t="s">
        <v>579</v>
      </c>
    </row>
    <row r="626" spans="1:52" x14ac:dyDescent="0.2">
      <c r="A626">
        <v>1</v>
      </c>
      <c r="B626">
        <v>0</v>
      </c>
      <c r="C626">
        <v>0</v>
      </c>
      <c r="D626">
        <v>0</v>
      </c>
      <c r="E626">
        <v>1</v>
      </c>
      <c r="F626">
        <v>0</v>
      </c>
      <c r="G626">
        <v>0</v>
      </c>
      <c r="H626">
        <v>0</v>
      </c>
      <c r="I626">
        <v>0</v>
      </c>
      <c r="L626">
        <v>1</v>
      </c>
      <c r="M626">
        <v>0</v>
      </c>
      <c r="N626">
        <v>0</v>
      </c>
      <c r="O626">
        <v>0</v>
      </c>
      <c r="P626">
        <v>0</v>
      </c>
      <c r="Q626" t="s">
        <v>584</v>
      </c>
      <c r="R626">
        <v>0</v>
      </c>
      <c r="S626">
        <v>0</v>
      </c>
      <c r="T626">
        <v>0</v>
      </c>
      <c r="U626">
        <v>0</v>
      </c>
      <c r="V626">
        <v>0</v>
      </c>
      <c r="W626">
        <v>0</v>
      </c>
      <c r="X626">
        <v>0</v>
      </c>
      <c r="Y626">
        <v>0</v>
      </c>
      <c r="Z626">
        <v>1</v>
      </c>
      <c r="AL626" t="s">
        <v>96</v>
      </c>
      <c r="AM626" t="s">
        <v>87</v>
      </c>
      <c r="AN626" t="s">
        <v>87</v>
      </c>
      <c r="AO626" t="s">
        <v>87</v>
      </c>
      <c r="AP626" t="s">
        <v>87</v>
      </c>
      <c r="AQ626" t="s">
        <v>86</v>
      </c>
      <c r="AR626" t="s">
        <v>97</v>
      </c>
      <c r="AS626" t="s">
        <v>92</v>
      </c>
      <c r="AT626" t="s">
        <v>96</v>
      </c>
      <c r="AU626">
        <v>0</v>
      </c>
      <c r="AV626">
        <v>0</v>
      </c>
      <c r="AW626">
        <v>0</v>
      </c>
      <c r="AX626">
        <v>1</v>
      </c>
      <c r="AY626">
        <v>0</v>
      </c>
      <c r="AZ626" t="s">
        <v>580</v>
      </c>
    </row>
    <row r="627" spans="1:52" x14ac:dyDescent="0.2">
      <c r="A627">
        <v>1</v>
      </c>
      <c r="B627">
        <v>0</v>
      </c>
      <c r="C627">
        <v>0</v>
      </c>
      <c r="D627">
        <v>0</v>
      </c>
      <c r="E627">
        <v>1</v>
      </c>
      <c r="F627">
        <v>0</v>
      </c>
      <c r="G627">
        <v>0</v>
      </c>
      <c r="H627">
        <v>0</v>
      </c>
      <c r="I627">
        <v>0</v>
      </c>
      <c r="L627">
        <v>1</v>
      </c>
      <c r="M627">
        <v>0</v>
      </c>
      <c r="N627">
        <v>0</v>
      </c>
      <c r="O627">
        <v>0</v>
      </c>
      <c r="P627">
        <v>0</v>
      </c>
      <c r="Q627" t="s">
        <v>584</v>
      </c>
      <c r="R627">
        <v>0</v>
      </c>
      <c r="S627">
        <v>1</v>
      </c>
      <c r="T627">
        <v>0</v>
      </c>
      <c r="U627">
        <v>0</v>
      </c>
      <c r="V627">
        <v>0</v>
      </c>
      <c r="W627">
        <v>0</v>
      </c>
      <c r="X627">
        <v>0</v>
      </c>
      <c r="Y627">
        <v>0</v>
      </c>
      <c r="Z627">
        <v>0</v>
      </c>
      <c r="AL627" t="s">
        <v>107</v>
      </c>
      <c r="AM627" t="s">
        <v>74</v>
      </c>
      <c r="AR627" t="s">
        <v>75</v>
      </c>
      <c r="AS627" t="s">
        <v>92</v>
      </c>
      <c r="AT627" t="s">
        <v>107</v>
      </c>
      <c r="AU627">
        <v>0</v>
      </c>
      <c r="AV627">
        <v>0</v>
      </c>
      <c r="AW627">
        <v>0</v>
      </c>
      <c r="AX627">
        <v>1</v>
      </c>
      <c r="AY627">
        <v>0</v>
      </c>
      <c r="AZ627" t="s">
        <v>580</v>
      </c>
    </row>
    <row r="628" spans="1:52" x14ac:dyDescent="0.2">
      <c r="A628">
        <v>0</v>
      </c>
      <c r="B628">
        <v>1</v>
      </c>
      <c r="C628">
        <v>0</v>
      </c>
      <c r="D628">
        <v>0</v>
      </c>
      <c r="E628">
        <v>1</v>
      </c>
      <c r="F628">
        <v>0</v>
      </c>
      <c r="G628">
        <v>0</v>
      </c>
      <c r="H628">
        <v>0</v>
      </c>
      <c r="I628">
        <v>0</v>
      </c>
      <c r="L628">
        <v>1</v>
      </c>
      <c r="M628">
        <v>0</v>
      </c>
      <c r="N628">
        <v>0</v>
      </c>
      <c r="O628">
        <v>0</v>
      </c>
      <c r="P628">
        <v>0</v>
      </c>
      <c r="Q628" t="s">
        <v>584</v>
      </c>
      <c r="R628">
        <v>0</v>
      </c>
      <c r="S628">
        <v>0</v>
      </c>
      <c r="T628">
        <v>0</v>
      </c>
      <c r="U628">
        <v>0</v>
      </c>
      <c r="V628">
        <v>0</v>
      </c>
      <c r="W628">
        <v>0</v>
      </c>
      <c r="X628">
        <v>1</v>
      </c>
      <c r="Y628">
        <v>0</v>
      </c>
      <c r="Z628">
        <v>0</v>
      </c>
      <c r="AL628" t="s">
        <v>73</v>
      </c>
      <c r="AM628" t="s">
        <v>74</v>
      </c>
      <c r="AR628" t="s">
        <v>97</v>
      </c>
      <c r="AS628" t="s">
        <v>92</v>
      </c>
      <c r="AT628" t="s">
        <v>73</v>
      </c>
      <c r="AU628">
        <v>0</v>
      </c>
      <c r="AV628">
        <v>0</v>
      </c>
      <c r="AW628">
        <v>0</v>
      </c>
      <c r="AX628">
        <v>1</v>
      </c>
      <c r="AY628">
        <v>0</v>
      </c>
      <c r="AZ628" t="s">
        <v>581</v>
      </c>
    </row>
    <row r="629" spans="1:52" x14ac:dyDescent="0.2">
      <c r="A629">
        <v>1</v>
      </c>
      <c r="B629">
        <v>0</v>
      </c>
      <c r="C629">
        <v>0</v>
      </c>
      <c r="D629">
        <v>0</v>
      </c>
      <c r="E629">
        <v>1</v>
      </c>
      <c r="F629">
        <v>0</v>
      </c>
      <c r="G629">
        <v>0</v>
      </c>
      <c r="H629">
        <v>0</v>
      </c>
      <c r="I629">
        <v>0</v>
      </c>
      <c r="L629">
        <v>0</v>
      </c>
      <c r="M629">
        <v>1</v>
      </c>
      <c r="N629">
        <v>0</v>
      </c>
      <c r="O629">
        <v>0</v>
      </c>
      <c r="P629">
        <v>0</v>
      </c>
      <c r="Q629" t="s">
        <v>584</v>
      </c>
      <c r="AA629" t="s">
        <v>82</v>
      </c>
      <c r="AB629" t="s">
        <v>81</v>
      </c>
      <c r="AC629" t="s">
        <v>83</v>
      </c>
      <c r="AD629" t="s">
        <v>81</v>
      </c>
      <c r="AE629" t="s">
        <v>82</v>
      </c>
      <c r="AF629" t="s">
        <v>81</v>
      </c>
      <c r="AG629" t="s">
        <v>81</v>
      </c>
      <c r="AH629" t="s">
        <v>83</v>
      </c>
      <c r="AI629" t="s">
        <v>84</v>
      </c>
      <c r="AJ629" t="s">
        <v>80</v>
      </c>
      <c r="AK629" t="s">
        <v>153</v>
      </c>
      <c r="AL629" t="s">
        <v>96</v>
      </c>
      <c r="AM629" t="s">
        <v>87</v>
      </c>
      <c r="AN629" t="s">
        <v>87</v>
      </c>
      <c r="AO629" t="s">
        <v>87</v>
      </c>
      <c r="AP629" t="s">
        <v>86</v>
      </c>
      <c r="AQ629" t="s">
        <v>74</v>
      </c>
      <c r="AR629" t="s">
        <v>97</v>
      </c>
      <c r="AS629" t="s">
        <v>92</v>
      </c>
      <c r="AT629" t="s">
        <v>96</v>
      </c>
      <c r="AU629">
        <v>0</v>
      </c>
      <c r="AV629">
        <v>0</v>
      </c>
      <c r="AW629">
        <v>0</v>
      </c>
      <c r="AX629">
        <v>1</v>
      </c>
      <c r="AY629">
        <v>0</v>
      </c>
      <c r="AZ629" t="s">
        <v>581</v>
      </c>
    </row>
    <row r="630" spans="1:52" x14ac:dyDescent="0.2">
      <c r="A630">
        <v>1</v>
      </c>
      <c r="B630">
        <v>0</v>
      </c>
      <c r="C630">
        <v>0</v>
      </c>
      <c r="D630">
        <v>0</v>
      </c>
      <c r="E630">
        <v>1</v>
      </c>
      <c r="F630">
        <v>0</v>
      </c>
      <c r="G630">
        <v>0</v>
      </c>
      <c r="H630">
        <v>0</v>
      </c>
      <c r="I630">
        <v>0</v>
      </c>
      <c r="L630">
        <v>1</v>
      </c>
      <c r="M630">
        <v>0</v>
      </c>
      <c r="N630">
        <v>0</v>
      </c>
      <c r="O630">
        <v>0</v>
      </c>
      <c r="P630">
        <v>0</v>
      </c>
      <c r="Q630" t="s">
        <v>584</v>
      </c>
      <c r="R630">
        <v>0</v>
      </c>
      <c r="S630">
        <v>0</v>
      </c>
      <c r="T630">
        <v>0</v>
      </c>
      <c r="U630">
        <v>0</v>
      </c>
      <c r="V630">
        <v>0</v>
      </c>
      <c r="W630">
        <v>0</v>
      </c>
      <c r="X630">
        <v>1</v>
      </c>
      <c r="Y630">
        <v>0</v>
      </c>
      <c r="Z630">
        <v>0</v>
      </c>
      <c r="AL630" t="s">
        <v>73</v>
      </c>
      <c r="AM630" t="s">
        <v>87</v>
      </c>
      <c r="AN630" t="s">
        <v>87</v>
      </c>
      <c r="AO630" t="s">
        <v>87</v>
      </c>
      <c r="AP630" t="s">
        <v>87</v>
      </c>
      <c r="AQ630" t="s">
        <v>87</v>
      </c>
      <c r="AR630" t="s">
        <v>97</v>
      </c>
      <c r="AS630" t="s">
        <v>92</v>
      </c>
      <c r="AT630" t="s">
        <v>73</v>
      </c>
      <c r="AU630">
        <v>0</v>
      </c>
      <c r="AV630">
        <v>0</v>
      </c>
      <c r="AW630">
        <v>0</v>
      </c>
      <c r="AX630">
        <v>1</v>
      </c>
      <c r="AY630">
        <v>0</v>
      </c>
      <c r="AZ630" t="s">
        <v>581</v>
      </c>
    </row>
    <row r="631" spans="1:52" x14ac:dyDescent="0.2">
      <c r="A631">
        <v>1</v>
      </c>
      <c r="B631">
        <v>0</v>
      </c>
      <c r="C631">
        <v>0</v>
      </c>
      <c r="D631">
        <v>0</v>
      </c>
      <c r="E631">
        <v>1</v>
      </c>
      <c r="F631">
        <v>0</v>
      </c>
      <c r="G631">
        <v>0</v>
      </c>
      <c r="H631">
        <v>0</v>
      </c>
      <c r="I631">
        <v>0</v>
      </c>
      <c r="L631">
        <v>1</v>
      </c>
      <c r="M631">
        <v>0</v>
      </c>
      <c r="N631">
        <v>0</v>
      </c>
      <c r="O631">
        <v>0</v>
      </c>
      <c r="P631">
        <v>0</v>
      </c>
      <c r="Q631" t="s">
        <v>584</v>
      </c>
      <c r="R631">
        <v>0</v>
      </c>
      <c r="S631">
        <v>0</v>
      </c>
      <c r="T631">
        <v>1</v>
      </c>
      <c r="U631">
        <v>0</v>
      </c>
      <c r="V631">
        <v>0</v>
      </c>
      <c r="W631">
        <v>1</v>
      </c>
      <c r="X631">
        <v>0</v>
      </c>
      <c r="Y631">
        <v>0</v>
      </c>
      <c r="Z631">
        <v>0</v>
      </c>
      <c r="AL631" t="s">
        <v>73</v>
      </c>
      <c r="AM631" t="s">
        <v>87</v>
      </c>
      <c r="AN631" t="s">
        <v>87</v>
      </c>
      <c r="AO631" t="s">
        <v>87</v>
      </c>
      <c r="AP631" t="s">
        <v>87</v>
      </c>
      <c r="AQ631" t="s">
        <v>87</v>
      </c>
      <c r="AR631" t="s">
        <v>97</v>
      </c>
      <c r="AS631" t="s">
        <v>76</v>
      </c>
      <c r="AT631" t="s">
        <v>73</v>
      </c>
      <c r="AU631">
        <v>1</v>
      </c>
      <c r="AV631">
        <v>0</v>
      </c>
      <c r="AW631">
        <v>0</v>
      </c>
      <c r="AX631">
        <v>0</v>
      </c>
      <c r="AY631">
        <v>0</v>
      </c>
      <c r="AZ631" t="s">
        <v>580</v>
      </c>
    </row>
    <row r="632" spans="1:52" x14ac:dyDescent="0.2">
      <c r="A632">
        <v>1</v>
      </c>
      <c r="B632">
        <v>0</v>
      </c>
      <c r="C632">
        <v>0</v>
      </c>
      <c r="D632">
        <v>0</v>
      </c>
      <c r="E632">
        <v>0</v>
      </c>
      <c r="F632">
        <v>1</v>
      </c>
      <c r="G632">
        <v>0</v>
      </c>
      <c r="H632">
        <v>0</v>
      </c>
      <c r="I632">
        <v>0</v>
      </c>
      <c r="J632" t="s">
        <v>88</v>
      </c>
      <c r="K632" t="s">
        <v>89</v>
      </c>
      <c r="L632">
        <v>0</v>
      </c>
      <c r="M632">
        <v>1</v>
      </c>
      <c r="N632">
        <v>0</v>
      </c>
      <c r="O632">
        <v>0</v>
      </c>
      <c r="P632">
        <v>0</v>
      </c>
      <c r="Q632" t="s">
        <v>584</v>
      </c>
      <c r="AA632" t="s">
        <v>83</v>
      </c>
      <c r="AB632" t="s">
        <v>82</v>
      </c>
      <c r="AC632" t="s">
        <v>83</v>
      </c>
      <c r="AD632" t="s">
        <v>81</v>
      </c>
      <c r="AE632" t="s">
        <v>81</v>
      </c>
      <c r="AF632" t="s">
        <v>83</v>
      </c>
      <c r="AG632" t="s">
        <v>83</v>
      </c>
      <c r="AH632" t="s">
        <v>83</v>
      </c>
      <c r="AI632" t="s">
        <v>88</v>
      </c>
      <c r="AJ632" t="s">
        <v>89</v>
      </c>
      <c r="AK632" t="s">
        <v>100</v>
      </c>
      <c r="AL632" t="s">
        <v>73</v>
      </c>
      <c r="AM632" t="s">
        <v>86</v>
      </c>
      <c r="AN632" t="s">
        <v>87</v>
      </c>
      <c r="AO632" t="s">
        <v>87</v>
      </c>
      <c r="AP632" t="s">
        <v>86</v>
      </c>
      <c r="AQ632" t="s">
        <v>86</v>
      </c>
      <c r="AR632" t="s">
        <v>75</v>
      </c>
      <c r="AS632" t="s">
        <v>92</v>
      </c>
      <c r="AT632" t="s">
        <v>73</v>
      </c>
      <c r="AU632">
        <v>0</v>
      </c>
      <c r="AV632">
        <v>0</v>
      </c>
      <c r="AW632">
        <v>0</v>
      </c>
      <c r="AX632">
        <v>1</v>
      </c>
      <c r="AY632">
        <v>0</v>
      </c>
      <c r="AZ632" t="s">
        <v>579</v>
      </c>
    </row>
    <row r="633" spans="1:52" x14ac:dyDescent="0.2">
      <c r="A633">
        <v>1</v>
      </c>
      <c r="B633">
        <v>0</v>
      </c>
      <c r="C633">
        <v>0</v>
      </c>
      <c r="D633">
        <v>0</v>
      </c>
      <c r="E633">
        <v>0</v>
      </c>
      <c r="F633">
        <v>1</v>
      </c>
      <c r="G633">
        <v>0</v>
      </c>
      <c r="H633">
        <v>0</v>
      </c>
      <c r="I633">
        <v>0</v>
      </c>
      <c r="J633" t="s">
        <v>79</v>
      </c>
      <c r="K633" t="s">
        <v>80</v>
      </c>
      <c r="L633">
        <v>1</v>
      </c>
      <c r="M633">
        <v>0</v>
      </c>
      <c r="N633">
        <v>0</v>
      </c>
      <c r="O633">
        <v>0</v>
      </c>
      <c r="P633">
        <v>0</v>
      </c>
      <c r="Q633" t="s">
        <v>584</v>
      </c>
      <c r="R633">
        <v>0</v>
      </c>
      <c r="S633">
        <v>0</v>
      </c>
      <c r="T633">
        <v>1</v>
      </c>
      <c r="U633">
        <v>0</v>
      </c>
      <c r="V633">
        <v>1</v>
      </c>
      <c r="W633">
        <v>0</v>
      </c>
      <c r="X633">
        <v>0</v>
      </c>
      <c r="Y633">
        <v>0</v>
      </c>
      <c r="Z633">
        <v>0</v>
      </c>
      <c r="AL633" t="s">
        <v>107</v>
      </c>
      <c r="AM633" t="s">
        <v>87</v>
      </c>
      <c r="AN633" t="s">
        <v>87</v>
      </c>
      <c r="AO633" t="s">
        <v>87</v>
      </c>
      <c r="AP633" t="s">
        <v>86</v>
      </c>
      <c r="AQ633" t="s">
        <v>87</v>
      </c>
      <c r="AR633" t="s">
        <v>75</v>
      </c>
      <c r="AS633" t="s">
        <v>92</v>
      </c>
      <c r="AT633" t="s">
        <v>107</v>
      </c>
      <c r="AU633">
        <v>1</v>
      </c>
      <c r="AV633">
        <v>0</v>
      </c>
      <c r="AW633">
        <v>0</v>
      </c>
      <c r="AX633">
        <v>0</v>
      </c>
      <c r="AY633">
        <v>0</v>
      </c>
      <c r="AZ633" t="s">
        <v>580</v>
      </c>
    </row>
    <row r="634" spans="1:52" x14ac:dyDescent="0.2">
      <c r="A634">
        <v>1</v>
      </c>
      <c r="B634">
        <v>0</v>
      </c>
      <c r="C634">
        <v>0</v>
      </c>
      <c r="D634">
        <v>0</v>
      </c>
      <c r="E634">
        <v>0</v>
      </c>
      <c r="F634">
        <v>1</v>
      </c>
      <c r="G634">
        <v>0</v>
      </c>
      <c r="H634">
        <v>0</v>
      </c>
      <c r="I634">
        <v>0</v>
      </c>
      <c r="J634" t="s">
        <v>88</v>
      </c>
      <c r="K634" t="s">
        <v>89</v>
      </c>
      <c r="L634">
        <v>0</v>
      </c>
      <c r="M634">
        <v>0</v>
      </c>
      <c r="N634">
        <v>1</v>
      </c>
      <c r="O634">
        <v>1</v>
      </c>
      <c r="P634">
        <v>0</v>
      </c>
      <c r="Q634" t="s">
        <v>584</v>
      </c>
      <c r="AA634" t="s">
        <v>81</v>
      </c>
      <c r="AB634" t="s">
        <v>81</v>
      </c>
      <c r="AC634" t="s">
        <v>83</v>
      </c>
      <c r="AD634" t="s">
        <v>81</v>
      </c>
      <c r="AE634" t="s">
        <v>81</v>
      </c>
      <c r="AF634" t="s">
        <v>81</v>
      </c>
      <c r="AG634" t="s">
        <v>81</v>
      </c>
      <c r="AH634" t="s">
        <v>83</v>
      </c>
      <c r="AI634" t="s">
        <v>88</v>
      </c>
      <c r="AJ634" t="s">
        <v>89</v>
      </c>
      <c r="AK634" t="s">
        <v>100</v>
      </c>
      <c r="AL634" t="s">
        <v>73</v>
      </c>
      <c r="AM634" t="s">
        <v>87</v>
      </c>
      <c r="AN634" t="s">
        <v>86</v>
      </c>
      <c r="AO634" t="s">
        <v>87</v>
      </c>
      <c r="AP634" t="s">
        <v>87</v>
      </c>
      <c r="AQ634" t="s">
        <v>87</v>
      </c>
      <c r="AR634" t="s">
        <v>97</v>
      </c>
      <c r="AS634" t="s">
        <v>76</v>
      </c>
      <c r="AT634" t="s">
        <v>73</v>
      </c>
      <c r="AU634">
        <v>1</v>
      </c>
      <c r="AV634">
        <v>0</v>
      </c>
      <c r="AW634">
        <v>0</v>
      </c>
      <c r="AX634">
        <v>0</v>
      </c>
      <c r="AY634">
        <v>0</v>
      </c>
      <c r="AZ634" t="s">
        <v>581</v>
      </c>
    </row>
    <row r="635" spans="1:52" x14ac:dyDescent="0.2">
      <c r="A635">
        <v>1</v>
      </c>
      <c r="B635">
        <v>0</v>
      </c>
      <c r="C635">
        <v>0</v>
      </c>
      <c r="D635">
        <v>0</v>
      </c>
      <c r="E635">
        <v>1</v>
      </c>
      <c r="F635">
        <v>0</v>
      </c>
      <c r="G635">
        <v>0</v>
      </c>
      <c r="H635">
        <v>0</v>
      </c>
      <c r="I635">
        <v>0</v>
      </c>
      <c r="L635">
        <v>1</v>
      </c>
      <c r="M635">
        <v>0</v>
      </c>
      <c r="N635">
        <v>0</v>
      </c>
      <c r="O635">
        <v>0</v>
      </c>
      <c r="P635">
        <v>0</v>
      </c>
      <c r="Q635" t="s">
        <v>584</v>
      </c>
      <c r="R635">
        <v>0</v>
      </c>
      <c r="S635">
        <v>0</v>
      </c>
      <c r="T635">
        <v>0</v>
      </c>
      <c r="U635">
        <v>1</v>
      </c>
      <c r="V635">
        <v>0</v>
      </c>
      <c r="W635">
        <v>1</v>
      </c>
      <c r="X635">
        <v>0</v>
      </c>
      <c r="Y635">
        <v>0</v>
      </c>
      <c r="Z635">
        <v>0</v>
      </c>
      <c r="AL635" t="s">
        <v>120</v>
      </c>
      <c r="AM635" t="s">
        <v>74</v>
      </c>
      <c r="AR635" t="s">
        <v>97</v>
      </c>
      <c r="AS635" t="s">
        <v>92</v>
      </c>
      <c r="AT635" t="s">
        <v>120</v>
      </c>
      <c r="AU635">
        <v>0</v>
      </c>
      <c r="AV635">
        <v>0</v>
      </c>
      <c r="AW635">
        <v>0</v>
      </c>
      <c r="AX635">
        <v>1</v>
      </c>
      <c r="AY635">
        <v>0</v>
      </c>
      <c r="AZ635" t="s">
        <v>580</v>
      </c>
    </row>
    <row r="636" spans="1:52" x14ac:dyDescent="0.2">
      <c r="A636">
        <v>0</v>
      </c>
      <c r="B636">
        <v>1</v>
      </c>
      <c r="C636">
        <v>0</v>
      </c>
      <c r="D636">
        <v>0</v>
      </c>
      <c r="E636">
        <v>1</v>
      </c>
      <c r="F636">
        <v>0</v>
      </c>
      <c r="G636">
        <v>0</v>
      </c>
      <c r="H636">
        <v>0</v>
      </c>
      <c r="I636">
        <v>0</v>
      </c>
      <c r="L636">
        <v>1</v>
      </c>
      <c r="M636">
        <v>0</v>
      </c>
      <c r="N636">
        <v>0</v>
      </c>
      <c r="O636">
        <v>0</v>
      </c>
      <c r="P636">
        <v>0</v>
      </c>
      <c r="Q636" t="s">
        <v>584</v>
      </c>
      <c r="R636">
        <v>0</v>
      </c>
      <c r="S636">
        <v>0</v>
      </c>
      <c r="T636">
        <v>0</v>
      </c>
      <c r="U636">
        <v>0</v>
      </c>
      <c r="V636">
        <v>0</v>
      </c>
      <c r="W636">
        <v>0</v>
      </c>
      <c r="X636">
        <v>0</v>
      </c>
      <c r="Y636">
        <v>0</v>
      </c>
      <c r="Z636">
        <v>1</v>
      </c>
      <c r="AL636" t="s">
        <v>107</v>
      </c>
      <c r="AM636" t="s">
        <v>87</v>
      </c>
      <c r="AN636" t="s">
        <v>87</v>
      </c>
      <c r="AO636" t="s">
        <v>87</v>
      </c>
      <c r="AP636" t="s">
        <v>87</v>
      </c>
      <c r="AQ636" t="s">
        <v>86</v>
      </c>
      <c r="AR636" t="s">
        <v>75</v>
      </c>
      <c r="AS636" t="s">
        <v>92</v>
      </c>
      <c r="AT636" t="s">
        <v>107</v>
      </c>
      <c r="AU636">
        <v>0</v>
      </c>
      <c r="AV636">
        <v>0</v>
      </c>
      <c r="AW636">
        <v>0</v>
      </c>
      <c r="AX636">
        <v>1</v>
      </c>
      <c r="AY636">
        <v>0</v>
      </c>
      <c r="AZ636" t="s">
        <v>580</v>
      </c>
    </row>
    <row r="637" spans="1:52" x14ac:dyDescent="0.2">
      <c r="A637">
        <v>0</v>
      </c>
      <c r="B637">
        <v>1</v>
      </c>
      <c r="C637">
        <v>0</v>
      </c>
      <c r="D637">
        <v>0</v>
      </c>
      <c r="E637">
        <v>0</v>
      </c>
      <c r="F637">
        <v>1</v>
      </c>
      <c r="G637">
        <v>0</v>
      </c>
      <c r="H637">
        <v>1</v>
      </c>
      <c r="I637">
        <v>0</v>
      </c>
      <c r="J637" t="s">
        <v>135</v>
      </c>
      <c r="K637" t="s">
        <v>80</v>
      </c>
      <c r="L637">
        <v>0</v>
      </c>
      <c r="M637">
        <v>0</v>
      </c>
      <c r="N637">
        <v>0</v>
      </c>
      <c r="O637">
        <v>0</v>
      </c>
      <c r="P637">
        <v>0</v>
      </c>
      <c r="Q637" t="s">
        <v>585</v>
      </c>
      <c r="AA637" t="s">
        <v>90</v>
      </c>
      <c r="AB637" t="s">
        <v>81</v>
      </c>
      <c r="AC637" t="s">
        <v>82</v>
      </c>
      <c r="AD637" t="s">
        <v>83</v>
      </c>
      <c r="AE637" t="s">
        <v>81</v>
      </c>
      <c r="AF637" t="s">
        <v>83</v>
      </c>
      <c r="AG637" t="s">
        <v>83</v>
      </c>
      <c r="AH637" t="s">
        <v>81</v>
      </c>
      <c r="AI637" t="s">
        <v>88</v>
      </c>
      <c r="AJ637" t="s">
        <v>89</v>
      </c>
      <c r="AK637" t="s">
        <v>100</v>
      </c>
      <c r="AL637" t="s">
        <v>96</v>
      </c>
      <c r="AM637" t="s">
        <v>86</v>
      </c>
      <c r="AN637" t="s">
        <v>74</v>
      </c>
      <c r="AO637" t="s">
        <v>87</v>
      </c>
      <c r="AP637" t="s">
        <v>87</v>
      </c>
      <c r="AQ637" t="s">
        <v>87</v>
      </c>
      <c r="AR637" t="s">
        <v>101</v>
      </c>
      <c r="AS637" t="s">
        <v>92</v>
      </c>
      <c r="AT637" t="s">
        <v>96</v>
      </c>
      <c r="AU637">
        <v>0</v>
      </c>
      <c r="AV637">
        <v>0</v>
      </c>
      <c r="AW637">
        <v>0</v>
      </c>
      <c r="AX637">
        <v>0</v>
      </c>
      <c r="AY637">
        <v>1</v>
      </c>
      <c r="AZ637" t="s">
        <v>579</v>
      </c>
    </row>
    <row r="638" spans="1:52" x14ac:dyDescent="0.2">
      <c r="A638">
        <v>0</v>
      </c>
      <c r="B638">
        <v>1</v>
      </c>
      <c r="C638">
        <v>0</v>
      </c>
      <c r="D638">
        <v>0</v>
      </c>
      <c r="E638">
        <v>1</v>
      </c>
      <c r="F638">
        <v>0</v>
      </c>
      <c r="G638">
        <v>0</v>
      </c>
      <c r="H638">
        <v>0</v>
      </c>
      <c r="I638">
        <v>0</v>
      </c>
      <c r="L638">
        <v>1</v>
      </c>
      <c r="M638">
        <v>0</v>
      </c>
      <c r="N638">
        <v>0</v>
      </c>
      <c r="O638">
        <v>0</v>
      </c>
      <c r="P638">
        <v>0</v>
      </c>
      <c r="Q638" t="s">
        <v>584</v>
      </c>
      <c r="R638">
        <v>1</v>
      </c>
      <c r="S638">
        <v>0</v>
      </c>
      <c r="T638">
        <v>0</v>
      </c>
      <c r="U638">
        <v>0</v>
      </c>
      <c r="V638">
        <v>0</v>
      </c>
      <c r="W638">
        <v>0</v>
      </c>
      <c r="X638">
        <v>0</v>
      </c>
      <c r="Y638">
        <v>0</v>
      </c>
      <c r="Z638">
        <v>0</v>
      </c>
      <c r="AL638" t="s">
        <v>96</v>
      </c>
      <c r="AM638" t="s">
        <v>87</v>
      </c>
      <c r="AN638" t="s">
        <v>87</v>
      </c>
      <c r="AO638" t="s">
        <v>87</v>
      </c>
      <c r="AP638" t="s">
        <v>87</v>
      </c>
      <c r="AQ638" t="s">
        <v>86</v>
      </c>
      <c r="AR638" t="s">
        <v>75</v>
      </c>
      <c r="AS638" t="s">
        <v>76</v>
      </c>
      <c r="AT638" t="s">
        <v>96</v>
      </c>
      <c r="AU638">
        <v>1</v>
      </c>
      <c r="AV638">
        <v>0</v>
      </c>
      <c r="AW638">
        <v>0</v>
      </c>
      <c r="AX638">
        <v>0</v>
      </c>
      <c r="AY638">
        <v>0</v>
      </c>
      <c r="AZ638" t="s">
        <v>579</v>
      </c>
    </row>
    <row r="639" spans="1:52" x14ac:dyDescent="0.2">
      <c r="A639">
        <v>0</v>
      </c>
      <c r="B639">
        <v>1</v>
      </c>
      <c r="C639">
        <v>0</v>
      </c>
      <c r="D639">
        <v>0</v>
      </c>
      <c r="E639">
        <v>1</v>
      </c>
      <c r="F639">
        <v>0</v>
      </c>
      <c r="G639">
        <v>0</v>
      </c>
      <c r="H639">
        <v>0</v>
      </c>
      <c r="I639">
        <v>0</v>
      </c>
      <c r="L639">
        <v>0</v>
      </c>
      <c r="M639">
        <v>1</v>
      </c>
      <c r="N639">
        <v>0</v>
      </c>
      <c r="O639">
        <v>0</v>
      </c>
      <c r="P639">
        <v>0</v>
      </c>
      <c r="Q639" t="s">
        <v>584</v>
      </c>
      <c r="AA639" t="s">
        <v>82</v>
      </c>
      <c r="AB639" t="s">
        <v>83</v>
      </c>
      <c r="AC639" t="s">
        <v>83</v>
      </c>
      <c r="AD639" t="s">
        <v>83</v>
      </c>
      <c r="AE639" t="s">
        <v>82</v>
      </c>
      <c r="AF639" t="s">
        <v>83</v>
      </c>
      <c r="AG639" t="s">
        <v>83</v>
      </c>
      <c r="AH639" t="s">
        <v>90</v>
      </c>
      <c r="AI639" t="s">
        <v>88</v>
      </c>
      <c r="AJ639" t="s">
        <v>89</v>
      </c>
      <c r="AK639" t="s">
        <v>85</v>
      </c>
      <c r="AL639" t="s">
        <v>73</v>
      </c>
      <c r="AM639" t="s">
        <v>74</v>
      </c>
      <c r="AR639" t="s">
        <v>97</v>
      </c>
      <c r="AS639" t="s">
        <v>92</v>
      </c>
      <c r="AT639" t="s">
        <v>73</v>
      </c>
      <c r="AU639">
        <v>0</v>
      </c>
      <c r="AV639">
        <v>0</v>
      </c>
      <c r="AW639">
        <v>0</v>
      </c>
      <c r="AX639">
        <v>1</v>
      </c>
      <c r="AY639">
        <v>0</v>
      </c>
      <c r="AZ639" t="s">
        <v>581</v>
      </c>
    </row>
    <row r="640" spans="1:52" x14ac:dyDescent="0.2">
      <c r="A640">
        <v>1</v>
      </c>
      <c r="B640">
        <v>0</v>
      </c>
      <c r="C640">
        <v>0</v>
      </c>
      <c r="D640">
        <v>0</v>
      </c>
      <c r="E640">
        <v>0</v>
      </c>
      <c r="F640">
        <v>1</v>
      </c>
      <c r="G640">
        <v>1</v>
      </c>
      <c r="H640">
        <v>0</v>
      </c>
      <c r="I640">
        <v>0</v>
      </c>
      <c r="J640" t="s">
        <v>88</v>
      </c>
      <c r="K640" t="s">
        <v>89</v>
      </c>
      <c r="L640">
        <v>0</v>
      </c>
      <c r="M640">
        <v>0</v>
      </c>
      <c r="N640">
        <v>1</v>
      </c>
      <c r="O640">
        <v>0</v>
      </c>
      <c r="P640">
        <v>0</v>
      </c>
      <c r="Q640" t="s">
        <v>584</v>
      </c>
      <c r="AA640" t="s">
        <v>83</v>
      </c>
      <c r="AB640" t="s">
        <v>82</v>
      </c>
      <c r="AC640" t="s">
        <v>83</v>
      </c>
      <c r="AD640" t="s">
        <v>82</v>
      </c>
      <c r="AE640" t="s">
        <v>82</v>
      </c>
      <c r="AF640" t="s">
        <v>81</v>
      </c>
      <c r="AG640" t="s">
        <v>83</v>
      </c>
      <c r="AH640" t="s">
        <v>81</v>
      </c>
      <c r="AI640" t="s">
        <v>88</v>
      </c>
      <c r="AJ640" t="s">
        <v>89</v>
      </c>
      <c r="AK640" t="s">
        <v>85</v>
      </c>
      <c r="AL640" t="s">
        <v>107</v>
      </c>
      <c r="AM640" t="s">
        <v>87</v>
      </c>
      <c r="AN640" t="s">
        <v>87</v>
      </c>
      <c r="AO640" t="s">
        <v>87</v>
      </c>
      <c r="AP640" t="s">
        <v>87</v>
      </c>
      <c r="AQ640" t="s">
        <v>87</v>
      </c>
      <c r="AR640" t="s">
        <v>75</v>
      </c>
      <c r="AS640" t="s">
        <v>76</v>
      </c>
      <c r="AT640" t="s">
        <v>107</v>
      </c>
      <c r="AU640">
        <v>0</v>
      </c>
      <c r="AV640">
        <v>0</v>
      </c>
      <c r="AW640">
        <v>0</v>
      </c>
      <c r="AX640">
        <v>1</v>
      </c>
      <c r="AY640">
        <v>0</v>
      </c>
      <c r="AZ640" t="s">
        <v>577</v>
      </c>
    </row>
    <row r="641" spans="1:52" x14ac:dyDescent="0.2">
      <c r="A641">
        <v>1</v>
      </c>
      <c r="B641">
        <v>0</v>
      </c>
      <c r="C641">
        <v>0</v>
      </c>
      <c r="D641">
        <v>0</v>
      </c>
      <c r="E641">
        <v>0</v>
      </c>
      <c r="F641">
        <v>1</v>
      </c>
      <c r="G641">
        <v>0</v>
      </c>
      <c r="H641">
        <v>1</v>
      </c>
      <c r="I641">
        <v>0</v>
      </c>
      <c r="J641" t="s">
        <v>79</v>
      </c>
      <c r="K641" t="s">
        <v>80</v>
      </c>
      <c r="L641">
        <v>0</v>
      </c>
      <c r="M641">
        <v>1</v>
      </c>
      <c r="N641">
        <v>0</v>
      </c>
      <c r="O641">
        <v>0</v>
      </c>
      <c r="P641">
        <v>0</v>
      </c>
      <c r="Q641" t="s">
        <v>584</v>
      </c>
      <c r="AA641" t="s">
        <v>83</v>
      </c>
      <c r="AB641" t="s">
        <v>83</v>
      </c>
      <c r="AC641" t="s">
        <v>82</v>
      </c>
      <c r="AD641" t="s">
        <v>83</v>
      </c>
      <c r="AE641" t="s">
        <v>83</v>
      </c>
      <c r="AF641" t="s">
        <v>83</v>
      </c>
      <c r="AG641" t="s">
        <v>83</v>
      </c>
      <c r="AH641" t="s">
        <v>83</v>
      </c>
      <c r="AI641" t="s">
        <v>88</v>
      </c>
      <c r="AJ641" t="s">
        <v>89</v>
      </c>
      <c r="AK641" t="s">
        <v>100</v>
      </c>
      <c r="AL641" t="s">
        <v>107</v>
      </c>
      <c r="AM641" t="s">
        <v>87</v>
      </c>
      <c r="AN641" t="s">
        <v>74</v>
      </c>
      <c r="AO641" t="s">
        <v>86</v>
      </c>
      <c r="AP641" t="s">
        <v>87</v>
      </c>
      <c r="AQ641" t="s">
        <v>86</v>
      </c>
      <c r="AR641" t="s">
        <v>108</v>
      </c>
      <c r="AS641" t="s">
        <v>92</v>
      </c>
      <c r="AT641" t="s">
        <v>107</v>
      </c>
      <c r="AU641">
        <v>0</v>
      </c>
      <c r="AV641">
        <v>0</v>
      </c>
      <c r="AW641">
        <v>0</v>
      </c>
      <c r="AX641">
        <v>1</v>
      </c>
      <c r="AY641">
        <v>0</v>
      </c>
      <c r="AZ641" t="s">
        <v>581</v>
      </c>
    </row>
    <row r="642" spans="1:52" x14ac:dyDescent="0.2">
      <c r="A642">
        <v>0</v>
      </c>
      <c r="B642">
        <v>1</v>
      </c>
      <c r="C642">
        <v>0</v>
      </c>
      <c r="D642">
        <v>0</v>
      </c>
      <c r="E642">
        <v>1</v>
      </c>
      <c r="F642">
        <v>0</v>
      </c>
      <c r="G642">
        <v>0</v>
      </c>
      <c r="H642">
        <v>0</v>
      </c>
      <c r="I642">
        <v>0</v>
      </c>
      <c r="L642">
        <v>1</v>
      </c>
      <c r="M642">
        <v>0</v>
      </c>
      <c r="N642">
        <v>0</v>
      </c>
      <c r="O642">
        <v>0</v>
      </c>
      <c r="P642">
        <v>0</v>
      </c>
      <c r="Q642" t="s">
        <v>584</v>
      </c>
      <c r="R642">
        <v>0</v>
      </c>
      <c r="S642">
        <v>0</v>
      </c>
      <c r="T642">
        <v>1</v>
      </c>
      <c r="U642">
        <v>0</v>
      </c>
      <c r="V642">
        <v>0</v>
      </c>
      <c r="W642">
        <v>0</v>
      </c>
      <c r="X642">
        <v>0</v>
      </c>
      <c r="Y642">
        <v>1</v>
      </c>
      <c r="Z642">
        <v>0</v>
      </c>
      <c r="AL642" t="s">
        <v>107</v>
      </c>
      <c r="AM642" t="s">
        <v>74</v>
      </c>
      <c r="AR642" t="s">
        <v>97</v>
      </c>
      <c r="AS642" t="s">
        <v>92</v>
      </c>
      <c r="AT642" t="s">
        <v>107</v>
      </c>
      <c r="AU642">
        <v>0</v>
      </c>
      <c r="AV642">
        <v>0</v>
      </c>
      <c r="AW642">
        <v>0</v>
      </c>
      <c r="AX642">
        <v>1</v>
      </c>
      <c r="AY642">
        <v>0</v>
      </c>
      <c r="AZ642" t="s">
        <v>580</v>
      </c>
    </row>
    <row r="643" spans="1:52" x14ac:dyDescent="0.2">
      <c r="A643">
        <v>1</v>
      </c>
      <c r="B643">
        <v>0</v>
      </c>
      <c r="C643">
        <v>0</v>
      </c>
      <c r="D643">
        <v>0</v>
      </c>
      <c r="E643">
        <v>0</v>
      </c>
      <c r="F643">
        <v>1</v>
      </c>
      <c r="G643">
        <v>1</v>
      </c>
      <c r="H643">
        <v>1</v>
      </c>
      <c r="I643">
        <v>0</v>
      </c>
      <c r="J643" t="s">
        <v>88</v>
      </c>
      <c r="K643" t="s">
        <v>80</v>
      </c>
      <c r="L643">
        <v>0</v>
      </c>
      <c r="M643">
        <v>0</v>
      </c>
      <c r="N643">
        <v>1</v>
      </c>
      <c r="O643">
        <v>0</v>
      </c>
      <c r="P643">
        <v>0</v>
      </c>
      <c r="Q643" t="s">
        <v>584</v>
      </c>
      <c r="AA643" t="s">
        <v>82</v>
      </c>
      <c r="AB643" t="s">
        <v>81</v>
      </c>
      <c r="AC643" t="s">
        <v>82</v>
      </c>
      <c r="AD643" t="s">
        <v>81</v>
      </c>
      <c r="AE643" t="s">
        <v>82</v>
      </c>
      <c r="AF643" t="s">
        <v>81</v>
      </c>
      <c r="AG643" t="s">
        <v>81</v>
      </c>
      <c r="AH643" t="s">
        <v>90</v>
      </c>
      <c r="AI643" t="s">
        <v>88</v>
      </c>
      <c r="AJ643" t="s">
        <v>89</v>
      </c>
      <c r="AK643" t="s">
        <v>100</v>
      </c>
      <c r="AL643" t="s">
        <v>107</v>
      </c>
      <c r="AM643" t="s">
        <v>86</v>
      </c>
      <c r="AN643" t="s">
        <v>74</v>
      </c>
      <c r="AO643" t="s">
        <v>87</v>
      </c>
      <c r="AP643" t="s">
        <v>86</v>
      </c>
      <c r="AQ643" t="s">
        <v>87</v>
      </c>
      <c r="AR643" t="s">
        <v>97</v>
      </c>
      <c r="AS643" t="s">
        <v>92</v>
      </c>
      <c r="AT643" t="s">
        <v>107</v>
      </c>
      <c r="AU643">
        <v>0</v>
      </c>
      <c r="AV643">
        <v>0</v>
      </c>
      <c r="AW643">
        <v>0</v>
      </c>
      <c r="AX643">
        <v>1</v>
      </c>
      <c r="AY643">
        <v>0</v>
      </c>
      <c r="AZ643" t="s">
        <v>580</v>
      </c>
    </row>
    <row r="644" spans="1:52" x14ac:dyDescent="0.2">
      <c r="A644">
        <v>0</v>
      </c>
      <c r="B644">
        <v>1</v>
      </c>
      <c r="C644">
        <v>0</v>
      </c>
      <c r="D644">
        <v>0</v>
      </c>
      <c r="E644">
        <v>1</v>
      </c>
      <c r="F644">
        <v>0</v>
      </c>
      <c r="G644">
        <v>0</v>
      </c>
      <c r="H644">
        <v>0</v>
      </c>
      <c r="I644">
        <v>0</v>
      </c>
      <c r="L644">
        <v>0</v>
      </c>
      <c r="M644">
        <v>1</v>
      </c>
      <c r="N644">
        <v>0</v>
      </c>
      <c r="O644">
        <v>0</v>
      </c>
      <c r="P644">
        <v>0</v>
      </c>
      <c r="Q644" t="s">
        <v>584</v>
      </c>
      <c r="AA644" t="s">
        <v>83</v>
      </c>
      <c r="AB644" t="s">
        <v>82</v>
      </c>
      <c r="AC644" t="s">
        <v>81</v>
      </c>
      <c r="AD644" t="s">
        <v>83</v>
      </c>
      <c r="AE644" t="s">
        <v>90</v>
      </c>
      <c r="AF644" t="s">
        <v>83</v>
      </c>
      <c r="AG644" t="s">
        <v>83</v>
      </c>
      <c r="AH644" t="s">
        <v>83</v>
      </c>
      <c r="AI644" t="s">
        <v>88</v>
      </c>
      <c r="AJ644" t="s">
        <v>89</v>
      </c>
      <c r="AK644" t="s">
        <v>100</v>
      </c>
      <c r="AL644" t="s">
        <v>73</v>
      </c>
      <c r="AM644" t="s">
        <v>86</v>
      </c>
      <c r="AN644" t="s">
        <v>87</v>
      </c>
      <c r="AO644" t="s">
        <v>87</v>
      </c>
      <c r="AP644" t="s">
        <v>87</v>
      </c>
      <c r="AQ644" t="s">
        <v>87</v>
      </c>
      <c r="AR644" t="s">
        <v>75</v>
      </c>
      <c r="AS644" t="s">
        <v>76</v>
      </c>
      <c r="AT644" t="s">
        <v>73</v>
      </c>
      <c r="AU644">
        <v>1</v>
      </c>
      <c r="AV644">
        <v>0</v>
      </c>
      <c r="AW644">
        <v>0</v>
      </c>
      <c r="AX644">
        <v>0</v>
      </c>
      <c r="AY644">
        <v>0</v>
      </c>
      <c r="AZ644" t="s">
        <v>579</v>
      </c>
    </row>
    <row r="645" spans="1:52" x14ac:dyDescent="0.2">
      <c r="A645">
        <v>1</v>
      </c>
      <c r="B645">
        <v>0</v>
      </c>
      <c r="C645">
        <v>0</v>
      </c>
      <c r="D645">
        <v>0</v>
      </c>
      <c r="E645">
        <v>1</v>
      </c>
      <c r="F645">
        <v>0</v>
      </c>
      <c r="G645">
        <v>0</v>
      </c>
      <c r="H645">
        <v>0</v>
      </c>
      <c r="I645">
        <v>0</v>
      </c>
      <c r="L645">
        <v>1</v>
      </c>
      <c r="M645">
        <v>0</v>
      </c>
      <c r="N645">
        <v>0</v>
      </c>
      <c r="O645">
        <v>0</v>
      </c>
      <c r="P645">
        <v>0</v>
      </c>
      <c r="Q645" t="s">
        <v>584</v>
      </c>
      <c r="R645">
        <v>0</v>
      </c>
      <c r="S645">
        <v>0</v>
      </c>
      <c r="T645">
        <v>1</v>
      </c>
      <c r="U645">
        <v>0</v>
      </c>
      <c r="V645">
        <v>0</v>
      </c>
      <c r="W645">
        <v>1</v>
      </c>
      <c r="X645">
        <v>0</v>
      </c>
      <c r="Y645">
        <v>1</v>
      </c>
      <c r="Z645">
        <v>0</v>
      </c>
      <c r="AL645" t="s">
        <v>73</v>
      </c>
      <c r="AM645" t="s">
        <v>87</v>
      </c>
      <c r="AN645" t="s">
        <v>87</v>
      </c>
      <c r="AO645" t="s">
        <v>87</v>
      </c>
      <c r="AP645" t="s">
        <v>87</v>
      </c>
      <c r="AQ645" t="s">
        <v>87</v>
      </c>
      <c r="AR645" t="s">
        <v>75</v>
      </c>
      <c r="AS645" t="s">
        <v>76</v>
      </c>
      <c r="AT645" t="s">
        <v>73</v>
      </c>
      <c r="AU645">
        <v>1</v>
      </c>
      <c r="AV645">
        <v>0</v>
      </c>
      <c r="AW645">
        <v>0</v>
      </c>
      <c r="AX645">
        <v>0</v>
      </c>
      <c r="AY645">
        <v>0</v>
      </c>
      <c r="AZ645" t="s">
        <v>580</v>
      </c>
    </row>
    <row r="646" spans="1:52" x14ac:dyDescent="0.2">
      <c r="A646">
        <v>1</v>
      </c>
      <c r="B646">
        <v>0</v>
      </c>
      <c r="C646">
        <v>0</v>
      </c>
      <c r="D646">
        <v>0</v>
      </c>
      <c r="E646">
        <v>0</v>
      </c>
      <c r="F646">
        <v>1</v>
      </c>
      <c r="G646">
        <v>0</v>
      </c>
      <c r="H646">
        <v>0</v>
      </c>
      <c r="I646">
        <v>0</v>
      </c>
      <c r="J646" t="s">
        <v>135</v>
      </c>
      <c r="K646" t="s">
        <v>80</v>
      </c>
      <c r="L646">
        <v>1</v>
      </c>
      <c r="M646">
        <v>0</v>
      </c>
      <c r="N646">
        <v>0</v>
      </c>
      <c r="O646">
        <v>0</v>
      </c>
      <c r="P646">
        <v>0</v>
      </c>
      <c r="Q646" t="s">
        <v>584</v>
      </c>
      <c r="R646">
        <v>0</v>
      </c>
      <c r="S646">
        <v>1</v>
      </c>
      <c r="T646">
        <v>0</v>
      </c>
      <c r="U646">
        <v>0</v>
      </c>
      <c r="V646">
        <v>0</v>
      </c>
      <c r="W646">
        <v>0</v>
      </c>
      <c r="X646">
        <v>0</v>
      </c>
      <c r="Y646">
        <v>0</v>
      </c>
      <c r="Z646">
        <v>0</v>
      </c>
      <c r="AL646" t="s">
        <v>107</v>
      </c>
      <c r="AM646" t="s">
        <v>87</v>
      </c>
      <c r="AN646" t="s">
        <v>87</v>
      </c>
      <c r="AO646" t="s">
        <v>87</v>
      </c>
      <c r="AP646" t="s">
        <v>86</v>
      </c>
      <c r="AQ646" t="s">
        <v>74</v>
      </c>
      <c r="AR646" t="s">
        <v>75</v>
      </c>
      <c r="AS646" t="s">
        <v>92</v>
      </c>
      <c r="AT646" t="s">
        <v>107</v>
      </c>
      <c r="AU646">
        <v>0</v>
      </c>
      <c r="AV646">
        <v>0</v>
      </c>
      <c r="AW646">
        <v>0</v>
      </c>
      <c r="AX646">
        <v>1</v>
      </c>
      <c r="AY646">
        <v>0</v>
      </c>
      <c r="AZ646" t="s">
        <v>580</v>
      </c>
    </row>
    <row r="647" spans="1:52" x14ac:dyDescent="0.2">
      <c r="A647">
        <v>1</v>
      </c>
      <c r="B647">
        <v>0</v>
      </c>
      <c r="C647">
        <v>0</v>
      </c>
      <c r="D647">
        <v>0</v>
      </c>
      <c r="E647">
        <v>0</v>
      </c>
      <c r="F647">
        <v>1</v>
      </c>
      <c r="G647">
        <v>1</v>
      </c>
      <c r="H647">
        <v>0</v>
      </c>
      <c r="I647">
        <v>0</v>
      </c>
      <c r="J647" t="s">
        <v>88</v>
      </c>
      <c r="K647" t="s">
        <v>89</v>
      </c>
      <c r="L647">
        <v>0</v>
      </c>
      <c r="M647">
        <v>0</v>
      </c>
      <c r="N647">
        <v>1</v>
      </c>
      <c r="O647">
        <v>0</v>
      </c>
      <c r="P647">
        <v>0</v>
      </c>
      <c r="Q647" t="s">
        <v>584</v>
      </c>
      <c r="AA647" t="s">
        <v>83</v>
      </c>
      <c r="AB647" t="s">
        <v>82</v>
      </c>
      <c r="AC647" t="s">
        <v>81</v>
      </c>
      <c r="AD647" t="s">
        <v>81</v>
      </c>
      <c r="AE647" t="s">
        <v>81</v>
      </c>
      <c r="AF647" t="s">
        <v>81</v>
      </c>
      <c r="AG647" t="s">
        <v>81</v>
      </c>
      <c r="AH647" t="s">
        <v>83</v>
      </c>
      <c r="AI647" t="s">
        <v>88</v>
      </c>
      <c r="AJ647" t="s">
        <v>89</v>
      </c>
      <c r="AK647" t="s">
        <v>85</v>
      </c>
      <c r="AL647" t="s">
        <v>107</v>
      </c>
      <c r="AM647" t="s">
        <v>86</v>
      </c>
      <c r="AN647" t="s">
        <v>87</v>
      </c>
      <c r="AO647" t="s">
        <v>87</v>
      </c>
      <c r="AP647" t="s">
        <v>87</v>
      </c>
      <c r="AQ647" t="s">
        <v>86</v>
      </c>
      <c r="AR647" t="s">
        <v>75</v>
      </c>
      <c r="AS647" t="s">
        <v>76</v>
      </c>
      <c r="AT647" t="s">
        <v>107</v>
      </c>
      <c r="AU647">
        <v>0</v>
      </c>
      <c r="AV647">
        <v>0</v>
      </c>
      <c r="AW647">
        <v>0</v>
      </c>
      <c r="AX647">
        <v>1</v>
      </c>
      <c r="AY647">
        <v>0</v>
      </c>
      <c r="AZ647" t="s">
        <v>577</v>
      </c>
    </row>
    <row r="648" spans="1:52" x14ac:dyDescent="0.2">
      <c r="A648">
        <v>1</v>
      </c>
      <c r="B648">
        <v>0</v>
      </c>
      <c r="C648">
        <v>0</v>
      </c>
      <c r="D648">
        <v>0</v>
      </c>
      <c r="E648">
        <v>1</v>
      </c>
      <c r="F648">
        <v>0</v>
      </c>
      <c r="G648">
        <v>0</v>
      </c>
      <c r="H648">
        <v>0</v>
      </c>
      <c r="I648">
        <v>0</v>
      </c>
      <c r="L648">
        <v>1</v>
      </c>
      <c r="M648">
        <v>0</v>
      </c>
      <c r="N648">
        <v>0</v>
      </c>
      <c r="O648">
        <v>0</v>
      </c>
      <c r="P648">
        <v>0</v>
      </c>
      <c r="Q648" t="s">
        <v>584</v>
      </c>
      <c r="R648">
        <v>0</v>
      </c>
      <c r="S648">
        <v>0</v>
      </c>
      <c r="T648">
        <v>0</v>
      </c>
      <c r="U648">
        <v>0</v>
      </c>
      <c r="V648">
        <v>0</v>
      </c>
      <c r="W648">
        <v>0</v>
      </c>
      <c r="X648">
        <v>1</v>
      </c>
      <c r="Y648">
        <v>0</v>
      </c>
      <c r="Z648">
        <v>0</v>
      </c>
      <c r="AL648" t="s">
        <v>107</v>
      </c>
      <c r="AM648" t="s">
        <v>86</v>
      </c>
      <c r="AN648" t="s">
        <v>87</v>
      </c>
      <c r="AO648" t="s">
        <v>74</v>
      </c>
      <c r="AP648" t="s">
        <v>87</v>
      </c>
      <c r="AQ648" t="s">
        <v>87</v>
      </c>
      <c r="AR648" t="s">
        <v>97</v>
      </c>
      <c r="AS648" t="s">
        <v>76</v>
      </c>
      <c r="AT648" t="s">
        <v>107</v>
      </c>
      <c r="AU648">
        <v>0</v>
      </c>
      <c r="AV648">
        <v>0</v>
      </c>
      <c r="AW648">
        <v>0</v>
      </c>
      <c r="AX648">
        <v>1</v>
      </c>
      <c r="AY648">
        <v>0</v>
      </c>
      <c r="AZ648" t="s">
        <v>580</v>
      </c>
    </row>
    <row r="649" spans="1:52" x14ac:dyDescent="0.2">
      <c r="A649">
        <v>1</v>
      </c>
      <c r="B649">
        <v>0</v>
      </c>
      <c r="C649">
        <v>0</v>
      </c>
      <c r="D649">
        <v>0</v>
      </c>
      <c r="E649">
        <v>0</v>
      </c>
      <c r="F649">
        <v>1</v>
      </c>
      <c r="G649">
        <v>1</v>
      </c>
      <c r="H649">
        <v>0</v>
      </c>
      <c r="I649">
        <v>0</v>
      </c>
      <c r="J649" t="s">
        <v>88</v>
      </c>
      <c r="K649" t="s">
        <v>142</v>
      </c>
      <c r="L649">
        <v>0</v>
      </c>
      <c r="M649">
        <v>0</v>
      </c>
      <c r="N649">
        <v>1</v>
      </c>
      <c r="O649">
        <v>0</v>
      </c>
      <c r="P649">
        <v>0</v>
      </c>
      <c r="Q649" t="s">
        <v>584</v>
      </c>
      <c r="AA649" t="s">
        <v>81</v>
      </c>
      <c r="AB649" t="s">
        <v>81</v>
      </c>
      <c r="AC649" t="s">
        <v>83</v>
      </c>
      <c r="AD649" t="s">
        <v>81</v>
      </c>
      <c r="AE649" t="s">
        <v>82</v>
      </c>
      <c r="AF649" t="s">
        <v>81</v>
      </c>
      <c r="AG649" t="s">
        <v>81</v>
      </c>
      <c r="AH649" t="s">
        <v>83</v>
      </c>
      <c r="AI649" t="s">
        <v>88</v>
      </c>
      <c r="AJ649" t="s">
        <v>89</v>
      </c>
      <c r="AK649" t="s">
        <v>85</v>
      </c>
      <c r="AL649" t="s">
        <v>107</v>
      </c>
      <c r="AM649" t="s">
        <v>86</v>
      </c>
      <c r="AN649" t="s">
        <v>86</v>
      </c>
      <c r="AO649" t="s">
        <v>86</v>
      </c>
      <c r="AP649" t="s">
        <v>74</v>
      </c>
      <c r="AQ649" t="s">
        <v>74</v>
      </c>
      <c r="AR649" t="s">
        <v>75</v>
      </c>
      <c r="AS649" t="s">
        <v>92</v>
      </c>
      <c r="AT649" t="s">
        <v>107</v>
      </c>
      <c r="AU649">
        <v>0</v>
      </c>
      <c r="AV649">
        <v>0</v>
      </c>
      <c r="AW649">
        <v>0</v>
      </c>
      <c r="AX649">
        <v>1</v>
      </c>
      <c r="AY649">
        <v>0</v>
      </c>
      <c r="AZ649" t="s">
        <v>579</v>
      </c>
    </row>
    <row r="650" spans="1:52" x14ac:dyDescent="0.2">
      <c r="A650">
        <v>1</v>
      </c>
      <c r="B650">
        <v>0</v>
      </c>
      <c r="C650">
        <v>0</v>
      </c>
      <c r="D650">
        <v>0</v>
      </c>
      <c r="E650">
        <v>1</v>
      </c>
      <c r="F650">
        <v>0</v>
      </c>
      <c r="G650">
        <v>0</v>
      </c>
      <c r="H650">
        <v>0</v>
      </c>
      <c r="I650">
        <v>0</v>
      </c>
      <c r="L650">
        <v>0</v>
      </c>
      <c r="M650">
        <v>1</v>
      </c>
      <c r="N650">
        <v>0</v>
      </c>
      <c r="O650">
        <v>0</v>
      </c>
      <c r="P650">
        <v>0</v>
      </c>
      <c r="Q650" t="s">
        <v>585</v>
      </c>
      <c r="AA650" t="s">
        <v>90</v>
      </c>
      <c r="AB650" t="s">
        <v>82</v>
      </c>
      <c r="AC650" t="s">
        <v>81</v>
      </c>
      <c r="AD650" t="s">
        <v>82</v>
      </c>
      <c r="AE650" t="s">
        <v>90</v>
      </c>
      <c r="AF650" t="s">
        <v>90</v>
      </c>
      <c r="AG650" t="s">
        <v>90</v>
      </c>
      <c r="AH650" t="s">
        <v>83</v>
      </c>
      <c r="AI650" t="s">
        <v>88</v>
      </c>
      <c r="AJ650" t="s">
        <v>89</v>
      </c>
      <c r="AK650" t="s">
        <v>100</v>
      </c>
      <c r="AL650" t="s">
        <v>73</v>
      </c>
      <c r="AM650" t="s">
        <v>86</v>
      </c>
      <c r="AN650" t="s">
        <v>86</v>
      </c>
      <c r="AO650" t="s">
        <v>86</v>
      </c>
      <c r="AP650" t="s">
        <v>86</v>
      </c>
      <c r="AQ650" t="s">
        <v>86</v>
      </c>
      <c r="AR650" t="s">
        <v>75</v>
      </c>
      <c r="AS650" t="s">
        <v>92</v>
      </c>
      <c r="AT650" t="s">
        <v>73</v>
      </c>
      <c r="AU650">
        <v>0</v>
      </c>
      <c r="AV650">
        <v>0</v>
      </c>
      <c r="AW650">
        <v>0</v>
      </c>
      <c r="AX650">
        <v>1</v>
      </c>
      <c r="AY650">
        <v>0</v>
      </c>
      <c r="AZ650" t="s">
        <v>580</v>
      </c>
    </row>
    <row r="651" spans="1:52" x14ac:dyDescent="0.2">
      <c r="A651">
        <v>1</v>
      </c>
      <c r="B651">
        <v>0</v>
      </c>
      <c r="C651">
        <v>0</v>
      </c>
      <c r="D651">
        <v>0</v>
      </c>
      <c r="E651">
        <v>0</v>
      </c>
      <c r="F651">
        <v>1</v>
      </c>
      <c r="G651">
        <v>1</v>
      </c>
      <c r="H651">
        <v>0</v>
      </c>
      <c r="I651">
        <v>0</v>
      </c>
      <c r="J651" t="s">
        <v>79</v>
      </c>
      <c r="K651" t="s">
        <v>80</v>
      </c>
      <c r="L651">
        <v>1</v>
      </c>
      <c r="M651">
        <v>0</v>
      </c>
      <c r="N651">
        <v>0</v>
      </c>
      <c r="O651">
        <v>0</v>
      </c>
      <c r="P651">
        <v>0</v>
      </c>
      <c r="Q651" t="s">
        <v>584</v>
      </c>
      <c r="R651">
        <v>0</v>
      </c>
      <c r="S651">
        <v>1</v>
      </c>
      <c r="T651">
        <v>0</v>
      </c>
      <c r="U651">
        <v>0</v>
      </c>
      <c r="V651">
        <v>0</v>
      </c>
      <c r="W651">
        <v>0</v>
      </c>
      <c r="X651">
        <v>0</v>
      </c>
      <c r="Y651">
        <v>0</v>
      </c>
      <c r="Z651">
        <v>0</v>
      </c>
      <c r="AL651" t="s">
        <v>73</v>
      </c>
      <c r="AM651" t="s">
        <v>86</v>
      </c>
      <c r="AN651" t="s">
        <v>86</v>
      </c>
      <c r="AO651" t="s">
        <v>87</v>
      </c>
      <c r="AP651" t="s">
        <v>74</v>
      </c>
      <c r="AQ651" t="s">
        <v>86</v>
      </c>
      <c r="AR651" t="s">
        <v>97</v>
      </c>
      <c r="AS651" t="s">
        <v>92</v>
      </c>
      <c r="AT651" t="s">
        <v>73</v>
      </c>
      <c r="AU651">
        <v>0</v>
      </c>
      <c r="AV651">
        <v>0</v>
      </c>
      <c r="AW651">
        <v>1</v>
      </c>
      <c r="AX651">
        <v>1</v>
      </c>
      <c r="AY651">
        <v>0</v>
      </c>
      <c r="AZ651" t="s">
        <v>580</v>
      </c>
    </row>
    <row r="652" spans="1:52" x14ac:dyDescent="0.2">
      <c r="A652">
        <v>0</v>
      </c>
      <c r="B652">
        <v>1</v>
      </c>
      <c r="C652">
        <v>0</v>
      </c>
      <c r="D652">
        <v>0</v>
      </c>
      <c r="E652">
        <v>1</v>
      </c>
      <c r="F652">
        <v>0</v>
      </c>
      <c r="G652">
        <v>0</v>
      </c>
      <c r="H652">
        <v>0</v>
      </c>
      <c r="I652">
        <v>0</v>
      </c>
      <c r="L652">
        <v>0</v>
      </c>
      <c r="M652">
        <v>1</v>
      </c>
      <c r="N652">
        <v>0</v>
      </c>
      <c r="O652">
        <v>0</v>
      </c>
      <c r="P652">
        <v>0</v>
      </c>
      <c r="Q652" t="s">
        <v>584</v>
      </c>
      <c r="AA652" t="s">
        <v>83</v>
      </c>
      <c r="AB652" t="s">
        <v>82</v>
      </c>
      <c r="AC652" t="s">
        <v>83</v>
      </c>
      <c r="AD652" t="s">
        <v>83</v>
      </c>
      <c r="AE652" t="s">
        <v>83</v>
      </c>
      <c r="AF652" t="s">
        <v>83</v>
      </c>
      <c r="AG652" t="s">
        <v>83</v>
      </c>
      <c r="AH652" t="s">
        <v>83</v>
      </c>
      <c r="AI652" t="s">
        <v>84</v>
      </c>
      <c r="AJ652" t="s">
        <v>80</v>
      </c>
      <c r="AK652" t="s">
        <v>117</v>
      </c>
      <c r="AL652" t="s">
        <v>107</v>
      </c>
      <c r="AM652" t="s">
        <v>87</v>
      </c>
      <c r="AN652" t="s">
        <v>87</v>
      </c>
      <c r="AO652" t="s">
        <v>87</v>
      </c>
      <c r="AP652" t="s">
        <v>74</v>
      </c>
      <c r="AQ652" t="s">
        <v>87</v>
      </c>
      <c r="AR652" t="s">
        <v>75</v>
      </c>
      <c r="AS652" t="s">
        <v>92</v>
      </c>
      <c r="AT652" t="s">
        <v>107</v>
      </c>
      <c r="AU652">
        <v>0</v>
      </c>
      <c r="AV652">
        <v>0</v>
      </c>
      <c r="AW652">
        <v>0</v>
      </c>
      <c r="AX652">
        <v>1</v>
      </c>
      <c r="AY652">
        <v>0</v>
      </c>
      <c r="AZ652" t="s">
        <v>580</v>
      </c>
    </row>
    <row r="653" spans="1:52" x14ac:dyDescent="0.2">
      <c r="A653">
        <v>0</v>
      </c>
      <c r="B653">
        <v>1</v>
      </c>
      <c r="C653">
        <v>0</v>
      </c>
      <c r="D653">
        <v>0</v>
      </c>
      <c r="E653">
        <v>0</v>
      </c>
      <c r="F653">
        <v>1</v>
      </c>
      <c r="G653">
        <v>0</v>
      </c>
      <c r="H653">
        <v>0</v>
      </c>
      <c r="I653">
        <v>0</v>
      </c>
      <c r="J653" t="s">
        <v>135</v>
      </c>
      <c r="K653" t="s">
        <v>142</v>
      </c>
      <c r="L653">
        <v>0</v>
      </c>
      <c r="M653">
        <v>0</v>
      </c>
      <c r="N653">
        <v>0</v>
      </c>
      <c r="O653">
        <v>0</v>
      </c>
      <c r="P653">
        <v>1</v>
      </c>
      <c r="Q653" t="s">
        <v>584</v>
      </c>
      <c r="AA653" t="s">
        <v>83</v>
      </c>
      <c r="AB653" t="s">
        <v>83</v>
      </c>
      <c r="AC653" t="s">
        <v>83</v>
      </c>
      <c r="AD653" t="s">
        <v>83</v>
      </c>
      <c r="AE653" t="s">
        <v>82</v>
      </c>
      <c r="AF653" t="s">
        <v>83</v>
      </c>
      <c r="AG653" t="s">
        <v>83</v>
      </c>
      <c r="AH653" t="s">
        <v>83</v>
      </c>
      <c r="AI653" t="s">
        <v>88</v>
      </c>
      <c r="AJ653" t="s">
        <v>89</v>
      </c>
      <c r="AK653" t="s">
        <v>85</v>
      </c>
      <c r="AL653" t="s">
        <v>73</v>
      </c>
      <c r="AM653" t="s">
        <v>74</v>
      </c>
      <c r="AR653" t="s">
        <v>159</v>
      </c>
      <c r="AS653" t="s">
        <v>92</v>
      </c>
      <c r="AT653" t="s">
        <v>73</v>
      </c>
      <c r="AU653">
        <v>0</v>
      </c>
      <c r="AV653">
        <v>0</v>
      </c>
      <c r="AW653">
        <v>0</v>
      </c>
      <c r="AX653">
        <v>1</v>
      </c>
      <c r="AY653">
        <v>0</v>
      </c>
      <c r="AZ653" t="s">
        <v>581</v>
      </c>
    </row>
    <row r="654" spans="1:52" x14ac:dyDescent="0.2">
      <c r="A654">
        <v>0</v>
      </c>
      <c r="B654">
        <v>1</v>
      </c>
      <c r="C654">
        <v>0</v>
      </c>
      <c r="D654">
        <v>0</v>
      </c>
      <c r="E654">
        <v>1</v>
      </c>
      <c r="F654">
        <v>0</v>
      </c>
      <c r="G654">
        <v>0</v>
      </c>
      <c r="H654">
        <v>0</v>
      </c>
      <c r="I654">
        <v>0</v>
      </c>
      <c r="L654">
        <v>1</v>
      </c>
      <c r="M654">
        <v>0</v>
      </c>
      <c r="N654">
        <v>0</v>
      </c>
      <c r="O654">
        <v>0</v>
      </c>
      <c r="P654">
        <v>0</v>
      </c>
      <c r="Q654" t="s">
        <v>584</v>
      </c>
      <c r="R654">
        <v>0</v>
      </c>
      <c r="S654">
        <v>0</v>
      </c>
      <c r="T654">
        <v>0</v>
      </c>
      <c r="U654">
        <v>0</v>
      </c>
      <c r="V654">
        <v>0</v>
      </c>
      <c r="W654">
        <v>0</v>
      </c>
      <c r="X654">
        <v>1</v>
      </c>
      <c r="Y654">
        <v>0</v>
      </c>
      <c r="Z654">
        <v>0</v>
      </c>
      <c r="AL654" t="s">
        <v>107</v>
      </c>
      <c r="AM654" t="s">
        <v>74</v>
      </c>
      <c r="AR654" t="s">
        <v>75</v>
      </c>
      <c r="AS654" t="s">
        <v>92</v>
      </c>
      <c r="AT654" t="s">
        <v>107</v>
      </c>
      <c r="AU654">
        <v>0</v>
      </c>
      <c r="AV654">
        <v>0</v>
      </c>
      <c r="AW654">
        <v>0</v>
      </c>
      <c r="AX654">
        <v>1</v>
      </c>
      <c r="AY654">
        <v>0</v>
      </c>
      <c r="AZ654" t="s">
        <v>580</v>
      </c>
    </row>
    <row r="655" spans="1:52" x14ac:dyDescent="0.2">
      <c r="A655">
        <v>0</v>
      </c>
      <c r="B655">
        <v>0</v>
      </c>
      <c r="C655">
        <v>0</v>
      </c>
      <c r="D655">
        <v>1</v>
      </c>
      <c r="L655">
        <v>0</v>
      </c>
      <c r="M655">
        <v>0</v>
      </c>
      <c r="N655">
        <v>0</v>
      </c>
      <c r="O655">
        <v>0</v>
      </c>
      <c r="P655">
        <v>1</v>
      </c>
      <c r="Q655" t="s">
        <v>584</v>
      </c>
      <c r="AA655" t="s">
        <v>82</v>
      </c>
      <c r="AB655" t="s">
        <v>83</v>
      </c>
      <c r="AC655" t="s">
        <v>82</v>
      </c>
      <c r="AD655" t="s">
        <v>83</v>
      </c>
      <c r="AE655" t="s">
        <v>82</v>
      </c>
      <c r="AF655" t="s">
        <v>83</v>
      </c>
      <c r="AG655" t="s">
        <v>81</v>
      </c>
      <c r="AH655" t="s">
        <v>90</v>
      </c>
      <c r="AI655" t="s">
        <v>88</v>
      </c>
      <c r="AJ655" t="s">
        <v>89</v>
      </c>
      <c r="AK655" t="s">
        <v>85</v>
      </c>
      <c r="AL655" t="s">
        <v>96</v>
      </c>
      <c r="AM655" t="s">
        <v>87</v>
      </c>
      <c r="AN655" t="s">
        <v>87</v>
      </c>
      <c r="AO655" t="s">
        <v>87</v>
      </c>
      <c r="AP655" t="s">
        <v>87</v>
      </c>
      <c r="AQ655" t="s">
        <v>74</v>
      </c>
      <c r="AR655" t="s">
        <v>97</v>
      </c>
      <c r="AS655" t="s">
        <v>92</v>
      </c>
      <c r="AT655" t="s">
        <v>96</v>
      </c>
      <c r="AU655">
        <v>0</v>
      </c>
      <c r="AV655">
        <v>0</v>
      </c>
      <c r="AW655">
        <v>0</v>
      </c>
      <c r="AX655">
        <v>1</v>
      </c>
      <c r="AY655">
        <v>0</v>
      </c>
      <c r="AZ655" t="s">
        <v>581</v>
      </c>
    </row>
    <row r="656" spans="1:52" x14ac:dyDescent="0.2">
      <c r="A656">
        <v>0</v>
      </c>
      <c r="B656">
        <v>1</v>
      </c>
      <c r="C656">
        <v>0</v>
      </c>
      <c r="D656">
        <v>0</v>
      </c>
      <c r="E656">
        <v>0</v>
      </c>
      <c r="F656">
        <v>1</v>
      </c>
      <c r="G656">
        <v>1</v>
      </c>
      <c r="H656">
        <v>1</v>
      </c>
      <c r="I656">
        <v>0</v>
      </c>
      <c r="J656" t="s">
        <v>88</v>
      </c>
      <c r="K656" t="s">
        <v>89</v>
      </c>
      <c r="L656">
        <v>0</v>
      </c>
      <c r="M656">
        <v>1</v>
      </c>
      <c r="N656">
        <v>0</v>
      </c>
      <c r="O656">
        <v>0</v>
      </c>
      <c r="P656">
        <v>0</v>
      </c>
      <c r="Q656" t="s">
        <v>584</v>
      </c>
      <c r="AA656" t="s">
        <v>90</v>
      </c>
      <c r="AB656" t="s">
        <v>82</v>
      </c>
      <c r="AC656" t="s">
        <v>81</v>
      </c>
      <c r="AD656" t="s">
        <v>81</v>
      </c>
      <c r="AE656" t="s">
        <v>81</v>
      </c>
      <c r="AF656" t="s">
        <v>83</v>
      </c>
      <c r="AG656" t="s">
        <v>83</v>
      </c>
      <c r="AH656" t="s">
        <v>83</v>
      </c>
      <c r="AI656" t="s">
        <v>88</v>
      </c>
      <c r="AJ656" t="s">
        <v>89</v>
      </c>
      <c r="AK656" t="s">
        <v>100</v>
      </c>
      <c r="AL656" t="s">
        <v>107</v>
      </c>
      <c r="AM656" t="s">
        <v>87</v>
      </c>
      <c r="AN656" t="s">
        <v>87</v>
      </c>
      <c r="AO656" t="s">
        <v>87</v>
      </c>
      <c r="AP656" t="s">
        <v>87</v>
      </c>
      <c r="AQ656" t="s">
        <v>87</v>
      </c>
      <c r="AR656" t="s">
        <v>97</v>
      </c>
      <c r="AS656" t="s">
        <v>92</v>
      </c>
      <c r="AT656" t="s">
        <v>107</v>
      </c>
      <c r="AU656">
        <v>0</v>
      </c>
      <c r="AV656">
        <v>0</v>
      </c>
      <c r="AW656">
        <v>0</v>
      </c>
      <c r="AX656">
        <v>1</v>
      </c>
      <c r="AY656">
        <v>0</v>
      </c>
      <c r="AZ656" t="s">
        <v>580</v>
      </c>
    </row>
    <row r="657" spans="1:52" x14ac:dyDescent="0.2">
      <c r="A657">
        <v>1</v>
      </c>
      <c r="B657">
        <v>0</v>
      </c>
      <c r="C657">
        <v>1</v>
      </c>
      <c r="D657">
        <v>0</v>
      </c>
      <c r="E657">
        <v>1</v>
      </c>
      <c r="F657">
        <v>0</v>
      </c>
      <c r="G657">
        <v>0</v>
      </c>
      <c r="H657">
        <v>0</v>
      </c>
      <c r="I657">
        <v>0</v>
      </c>
      <c r="L657">
        <v>1</v>
      </c>
      <c r="M657">
        <v>0</v>
      </c>
      <c r="N657">
        <v>0</v>
      </c>
      <c r="O657">
        <v>0</v>
      </c>
      <c r="P657">
        <v>0</v>
      </c>
      <c r="Q657" t="s">
        <v>584</v>
      </c>
      <c r="R657">
        <v>0</v>
      </c>
      <c r="S657">
        <v>1</v>
      </c>
      <c r="T657">
        <v>0</v>
      </c>
      <c r="U657">
        <v>0</v>
      </c>
      <c r="V657">
        <v>0</v>
      </c>
      <c r="W657">
        <v>0</v>
      </c>
      <c r="X657">
        <v>0</v>
      </c>
      <c r="Y657">
        <v>0</v>
      </c>
      <c r="Z657">
        <v>0</v>
      </c>
      <c r="AL657" t="s">
        <v>96</v>
      </c>
      <c r="AM657" t="s">
        <v>74</v>
      </c>
      <c r="AR657" t="s">
        <v>97</v>
      </c>
      <c r="AS657" t="s">
        <v>92</v>
      </c>
      <c r="AT657" t="s">
        <v>96</v>
      </c>
      <c r="AU657">
        <v>0</v>
      </c>
      <c r="AV657">
        <v>0</v>
      </c>
      <c r="AW657">
        <v>0</v>
      </c>
      <c r="AX657">
        <v>1</v>
      </c>
      <c r="AY657">
        <v>0</v>
      </c>
      <c r="AZ657" t="s">
        <v>581</v>
      </c>
    </row>
    <row r="658" spans="1:52" x14ac:dyDescent="0.2">
      <c r="A658">
        <v>1</v>
      </c>
      <c r="B658">
        <v>0</v>
      </c>
      <c r="C658">
        <v>0</v>
      </c>
      <c r="D658">
        <v>0</v>
      </c>
      <c r="E658">
        <v>1</v>
      </c>
      <c r="F658">
        <v>0</v>
      </c>
      <c r="G658">
        <v>0</v>
      </c>
      <c r="H658">
        <v>0</v>
      </c>
      <c r="I658">
        <v>0</v>
      </c>
      <c r="L658">
        <v>1</v>
      </c>
      <c r="M658">
        <v>0</v>
      </c>
      <c r="N658">
        <v>0</v>
      </c>
      <c r="O658">
        <v>0</v>
      </c>
      <c r="P658">
        <v>0</v>
      </c>
      <c r="Q658" t="s">
        <v>584</v>
      </c>
      <c r="R658">
        <v>0</v>
      </c>
      <c r="S658">
        <v>0</v>
      </c>
      <c r="T658">
        <v>1</v>
      </c>
      <c r="U658">
        <v>0</v>
      </c>
      <c r="V658">
        <v>1</v>
      </c>
      <c r="W658">
        <v>1</v>
      </c>
      <c r="X658">
        <v>0</v>
      </c>
      <c r="Y658">
        <v>0</v>
      </c>
      <c r="Z658">
        <v>0</v>
      </c>
      <c r="AL658" t="s">
        <v>73</v>
      </c>
      <c r="AM658" t="s">
        <v>74</v>
      </c>
      <c r="AR658" t="s">
        <v>97</v>
      </c>
      <c r="AS658" t="s">
        <v>92</v>
      </c>
      <c r="AT658" t="s">
        <v>73</v>
      </c>
      <c r="AU658">
        <v>0</v>
      </c>
      <c r="AV658">
        <v>0</v>
      </c>
      <c r="AW658">
        <v>0</v>
      </c>
      <c r="AX658">
        <v>1</v>
      </c>
      <c r="AY658">
        <v>0</v>
      </c>
      <c r="AZ658" t="s">
        <v>581</v>
      </c>
    </row>
    <row r="659" spans="1:52" x14ac:dyDescent="0.2">
      <c r="A659">
        <v>0</v>
      </c>
      <c r="B659">
        <v>1</v>
      </c>
      <c r="C659">
        <v>0</v>
      </c>
      <c r="D659">
        <v>0</v>
      </c>
      <c r="E659">
        <v>1</v>
      </c>
      <c r="F659">
        <v>0</v>
      </c>
      <c r="G659">
        <v>0</v>
      </c>
      <c r="H659">
        <v>0</v>
      </c>
      <c r="I659">
        <v>0</v>
      </c>
      <c r="L659">
        <v>1</v>
      </c>
      <c r="M659">
        <v>0</v>
      </c>
      <c r="N659">
        <v>0</v>
      </c>
      <c r="O659">
        <v>0</v>
      </c>
      <c r="P659">
        <v>0</v>
      </c>
      <c r="Q659" t="s">
        <v>584</v>
      </c>
      <c r="R659">
        <v>0</v>
      </c>
      <c r="S659">
        <v>0</v>
      </c>
      <c r="T659">
        <v>0</v>
      </c>
      <c r="U659">
        <v>0</v>
      </c>
      <c r="V659">
        <v>0</v>
      </c>
      <c r="W659">
        <v>0</v>
      </c>
      <c r="X659">
        <v>1</v>
      </c>
      <c r="Y659">
        <v>0</v>
      </c>
      <c r="Z659">
        <v>0</v>
      </c>
      <c r="AL659" t="s">
        <v>107</v>
      </c>
      <c r="AM659" t="s">
        <v>74</v>
      </c>
      <c r="AR659" t="s">
        <v>75</v>
      </c>
      <c r="AS659" t="s">
        <v>76</v>
      </c>
      <c r="AT659" t="s">
        <v>107</v>
      </c>
      <c r="AU659">
        <v>0</v>
      </c>
      <c r="AV659">
        <v>0</v>
      </c>
      <c r="AW659">
        <v>0</v>
      </c>
      <c r="AX659">
        <v>0</v>
      </c>
      <c r="AY659">
        <v>1</v>
      </c>
      <c r="AZ659" t="s">
        <v>580</v>
      </c>
    </row>
    <row r="660" spans="1:52" x14ac:dyDescent="0.2">
      <c r="A660">
        <v>1</v>
      </c>
      <c r="B660">
        <v>0</v>
      </c>
      <c r="C660">
        <v>1</v>
      </c>
      <c r="D660">
        <v>0</v>
      </c>
      <c r="E660">
        <v>0</v>
      </c>
      <c r="F660">
        <v>1</v>
      </c>
      <c r="G660">
        <v>0</v>
      </c>
      <c r="H660">
        <v>0</v>
      </c>
      <c r="I660">
        <v>0</v>
      </c>
      <c r="J660" t="s">
        <v>79</v>
      </c>
      <c r="K660" t="s">
        <v>142</v>
      </c>
      <c r="L660">
        <v>1</v>
      </c>
      <c r="M660">
        <v>0</v>
      </c>
      <c r="N660">
        <v>0</v>
      </c>
      <c r="O660">
        <v>0</v>
      </c>
      <c r="P660">
        <v>0</v>
      </c>
      <c r="Q660" t="s">
        <v>584</v>
      </c>
      <c r="R660">
        <v>0</v>
      </c>
      <c r="S660">
        <v>0</v>
      </c>
      <c r="T660">
        <v>1</v>
      </c>
      <c r="U660">
        <v>0</v>
      </c>
      <c r="V660">
        <v>0</v>
      </c>
      <c r="W660">
        <v>1</v>
      </c>
      <c r="X660">
        <v>0</v>
      </c>
      <c r="Y660">
        <v>0</v>
      </c>
      <c r="Z660">
        <v>0</v>
      </c>
      <c r="AL660" t="s">
        <v>96</v>
      </c>
      <c r="AM660" t="s">
        <v>86</v>
      </c>
      <c r="AN660" t="s">
        <v>74</v>
      </c>
      <c r="AO660" t="s">
        <v>87</v>
      </c>
      <c r="AP660" t="s">
        <v>74</v>
      </c>
      <c r="AQ660" t="s">
        <v>86</v>
      </c>
      <c r="AR660" t="s">
        <v>97</v>
      </c>
      <c r="AS660" t="s">
        <v>76</v>
      </c>
      <c r="AT660" t="s">
        <v>96</v>
      </c>
      <c r="AU660">
        <v>1</v>
      </c>
      <c r="AV660">
        <v>0</v>
      </c>
      <c r="AW660">
        <v>0</v>
      </c>
      <c r="AX660">
        <v>0</v>
      </c>
      <c r="AY660">
        <v>0</v>
      </c>
      <c r="AZ660" t="s">
        <v>581</v>
      </c>
    </row>
    <row r="661" spans="1:52" x14ac:dyDescent="0.2">
      <c r="A661">
        <v>1</v>
      </c>
      <c r="B661">
        <v>0</v>
      </c>
      <c r="C661">
        <v>0</v>
      </c>
      <c r="D661">
        <v>0</v>
      </c>
      <c r="E661">
        <v>0</v>
      </c>
      <c r="F661">
        <v>1</v>
      </c>
      <c r="G661">
        <v>0</v>
      </c>
      <c r="H661">
        <v>0</v>
      </c>
      <c r="I661">
        <v>0</v>
      </c>
      <c r="J661" t="s">
        <v>88</v>
      </c>
      <c r="K661" t="s">
        <v>89</v>
      </c>
      <c r="L661">
        <v>0</v>
      </c>
      <c r="M661">
        <v>0</v>
      </c>
      <c r="N661">
        <v>1</v>
      </c>
      <c r="O661">
        <v>0</v>
      </c>
      <c r="P661">
        <v>0</v>
      </c>
      <c r="Q661" t="s">
        <v>584</v>
      </c>
      <c r="AA661" t="s">
        <v>83</v>
      </c>
      <c r="AB661" t="s">
        <v>82</v>
      </c>
      <c r="AC661" t="s">
        <v>83</v>
      </c>
      <c r="AD661" t="s">
        <v>81</v>
      </c>
      <c r="AE661" t="s">
        <v>81</v>
      </c>
      <c r="AF661" t="s">
        <v>83</v>
      </c>
      <c r="AG661" t="s">
        <v>83</v>
      </c>
      <c r="AH661" t="s">
        <v>81</v>
      </c>
      <c r="AI661" t="s">
        <v>88</v>
      </c>
      <c r="AJ661" t="s">
        <v>89</v>
      </c>
      <c r="AK661" t="s">
        <v>100</v>
      </c>
      <c r="AL661" t="s">
        <v>107</v>
      </c>
      <c r="AM661" t="s">
        <v>87</v>
      </c>
      <c r="AN661" t="s">
        <v>86</v>
      </c>
      <c r="AO661" t="s">
        <v>87</v>
      </c>
      <c r="AP661" t="s">
        <v>87</v>
      </c>
      <c r="AQ661" t="s">
        <v>86</v>
      </c>
      <c r="AR661" t="s">
        <v>75</v>
      </c>
      <c r="AS661" t="s">
        <v>76</v>
      </c>
      <c r="AT661" t="s">
        <v>107</v>
      </c>
      <c r="AU661">
        <v>1</v>
      </c>
      <c r="AV661">
        <v>0</v>
      </c>
      <c r="AW661">
        <v>0</v>
      </c>
      <c r="AX661">
        <v>0</v>
      </c>
      <c r="AY661">
        <v>0</v>
      </c>
      <c r="AZ661" t="s">
        <v>579</v>
      </c>
    </row>
    <row r="662" spans="1:52" x14ac:dyDescent="0.2">
      <c r="A662">
        <v>0</v>
      </c>
      <c r="B662">
        <v>1</v>
      </c>
      <c r="C662">
        <v>0</v>
      </c>
      <c r="D662">
        <v>0</v>
      </c>
      <c r="E662">
        <v>0</v>
      </c>
      <c r="F662">
        <v>1</v>
      </c>
      <c r="G662">
        <v>0</v>
      </c>
      <c r="H662">
        <v>0</v>
      </c>
      <c r="I662">
        <v>0</v>
      </c>
      <c r="J662" t="s">
        <v>135</v>
      </c>
      <c r="K662" t="s">
        <v>89</v>
      </c>
      <c r="L662">
        <v>0</v>
      </c>
      <c r="M662">
        <v>1</v>
      </c>
      <c r="N662">
        <v>0</v>
      </c>
      <c r="O662">
        <v>0</v>
      </c>
      <c r="P662">
        <v>0</v>
      </c>
      <c r="Q662" t="s">
        <v>584</v>
      </c>
      <c r="AA662" t="s">
        <v>90</v>
      </c>
      <c r="AB662" t="s">
        <v>82</v>
      </c>
      <c r="AC662" t="s">
        <v>82</v>
      </c>
      <c r="AD662" t="s">
        <v>90</v>
      </c>
      <c r="AE662" t="s">
        <v>81</v>
      </c>
      <c r="AF662" t="s">
        <v>90</v>
      </c>
      <c r="AG662" t="s">
        <v>81</v>
      </c>
      <c r="AH662" t="s">
        <v>90</v>
      </c>
      <c r="AI662" t="s">
        <v>88</v>
      </c>
      <c r="AJ662" t="s">
        <v>89</v>
      </c>
      <c r="AK662" t="s">
        <v>100</v>
      </c>
      <c r="AL662" t="s">
        <v>73</v>
      </c>
      <c r="AM662" t="s">
        <v>87</v>
      </c>
      <c r="AN662" t="s">
        <v>87</v>
      </c>
      <c r="AO662" t="s">
        <v>87</v>
      </c>
      <c r="AP662" t="s">
        <v>87</v>
      </c>
      <c r="AQ662" t="s">
        <v>87</v>
      </c>
      <c r="AR662" t="s">
        <v>75</v>
      </c>
      <c r="AS662" t="s">
        <v>76</v>
      </c>
      <c r="AT662" t="s">
        <v>73</v>
      </c>
      <c r="AU662">
        <v>0</v>
      </c>
      <c r="AV662">
        <v>0</v>
      </c>
      <c r="AW662">
        <v>0</v>
      </c>
      <c r="AX662">
        <v>1</v>
      </c>
      <c r="AY662">
        <v>0</v>
      </c>
      <c r="AZ662" t="s">
        <v>580</v>
      </c>
    </row>
    <row r="663" spans="1:52" x14ac:dyDescent="0.2">
      <c r="A663">
        <v>1</v>
      </c>
      <c r="B663">
        <v>0</v>
      </c>
      <c r="C663">
        <v>0</v>
      </c>
      <c r="D663">
        <v>0</v>
      </c>
      <c r="E663">
        <v>1</v>
      </c>
      <c r="F663">
        <v>0</v>
      </c>
      <c r="G663">
        <v>0</v>
      </c>
      <c r="H663">
        <v>0</v>
      </c>
      <c r="I663">
        <v>0</v>
      </c>
      <c r="L663">
        <v>1</v>
      </c>
      <c r="M663">
        <v>0</v>
      </c>
      <c r="N663">
        <v>0</v>
      </c>
      <c r="O663">
        <v>0</v>
      </c>
      <c r="P663">
        <v>0</v>
      </c>
      <c r="Q663" t="s">
        <v>584</v>
      </c>
      <c r="R663">
        <v>0</v>
      </c>
      <c r="S663">
        <v>0</v>
      </c>
      <c r="T663">
        <v>0</v>
      </c>
      <c r="U663">
        <v>0</v>
      </c>
      <c r="V663">
        <v>0</v>
      </c>
      <c r="W663">
        <v>0</v>
      </c>
      <c r="X663">
        <v>0</v>
      </c>
      <c r="Y663">
        <v>0</v>
      </c>
      <c r="Z663">
        <v>1</v>
      </c>
      <c r="AL663" t="s">
        <v>73</v>
      </c>
      <c r="AM663" t="s">
        <v>87</v>
      </c>
      <c r="AN663" t="s">
        <v>87</v>
      </c>
      <c r="AO663" t="s">
        <v>87</v>
      </c>
      <c r="AP663" t="s">
        <v>87</v>
      </c>
      <c r="AQ663" t="s">
        <v>87</v>
      </c>
      <c r="AR663" t="s">
        <v>97</v>
      </c>
      <c r="AS663" t="s">
        <v>92</v>
      </c>
      <c r="AT663" t="s">
        <v>73</v>
      </c>
      <c r="AU663">
        <v>1</v>
      </c>
      <c r="AV663">
        <v>0</v>
      </c>
      <c r="AW663">
        <v>0</v>
      </c>
      <c r="AX663">
        <v>0</v>
      </c>
      <c r="AY663">
        <v>0</v>
      </c>
      <c r="AZ663" t="s">
        <v>581</v>
      </c>
    </row>
    <row r="664" spans="1:52" x14ac:dyDescent="0.2">
      <c r="A664">
        <v>0</v>
      </c>
      <c r="B664">
        <v>1</v>
      </c>
      <c r="C664">
        <v>0</v>
      </c>
      <c r="D664">
        <v>0</v>
      </c>
      <c r="E664">
        <v>1</v>
      </c>
      <c r="F664">
        <v>0</v>
      </c>
      <c r="G664">
        <v>0</v>
      </c>
      <c r="H664">
        <v>0</v>
      </c>
      <c r="I664">
        <v>0</v>
      </c>
      <c r="L664">
        <v>0</v>
      </c>
      <c r="M664">
        <v>1</v>
      </c>
      <c r="N664">
        <v>0</v>
      </c>
      <c r="O664">
        <v>0</v>
      </c>
      <c r="P664">
        <v>1</v>
      </c>
      <c r="Q664" t="s">
        <v>584</v>
      </c>
      <c r="AA664" t="s">
        <v>83</v>
      </c>
      <c r="AB664" t="s">
        <v>82</v>
      </c>
      <c r="AC664" t="s">
        <v>83</v>
      </c>
      <c r="AD664" t="s">
        <v>81</v>
      </c>
      <c r="AE664" t="s">
        <v>83</v>
      </c>
      <c r="AF664" t="s">
        <v>83</v>
      </c>
      <c r="AG664" t="s">
        <v>83</v>
      </c>
      <c r="AH664" t="s">
        <v>83</v>
      </c>
      <c r="AI664" t="s">
        <v>88</v>
      </c>
      <c r="AJ664" t="s">
        <v>127</v>
      </c>
      <c r="AK664" t="s">
        <v>85</v>
      </c>
      <c r="AL664" t="s">
        <v>96</v>
      </c>
      <c r="AM664" t="s">
        <v>74</v>
      </c>
      <c r="AR664" t="s">
        <v>97</v>
      </c>
      <c r="AS664" t="s">
        <v>76</v>
      </c>
      <c r="AT664" t="s">
        <v>96</v>
      </c>
      <c r="AU664">
        <v>1</v>
      </c>
      <c r="AV664">
        <v>0</v>
      </c>
      <c r="AW664">
        <v>0</v>
      </c>
      <c r="AX664">
        <v>0</v>
      </c>
      <c r="AY664">
        <v>0</v>
      </c>
      <c r="AZ664" t="s">
        <v>580</v>
      </c>
    </row>
    <row r="665" spans="1:52" x14ac:dyDescent="0.2">
      <c r="A665">
        <v>1</v>
      </c>
      <c r="B665">
        <v>0</v>
      </c>
      <c r="C665">
        <v>0</v>
      </c>
      <c r="D665">
        <v>0</v>
      </c>
      <c r="E665">
        <v>1</v>
      </c>
      <c r="F665">
        <v>0</v>
      </c>
      <c r="G665">
        <v>0</v>
      </c>
      <c r="H665">
        <v>0</v>
      </c>
      <c r="I665">
        <v>0</v>
      </c>
      <c r="L665">
        <v>1</v>
      </c>
      <c r="M665">
        <v>0</v>
      </c>
      <c r="N665">
        <v>0</v>
      </c>
      <c r="O665">
        <v>0</v>
      </c>
      <c r="P665">
        <v>0</v>
      </c>
      <c r="Q665" t="s">
        <v>584</v>
      </c>
      <c r="R665">
        <v>0</v>
      </c>
      <c r="S665">
        <v>0</v>
      </c>
      <c r="T665">
        <v>0</v>
      </c>
      <c r="U665">
        <v>0</v>
      </c>
      <c r="V665">
        <v>0</v>
      </c>
      <c r="W665">
        <v>0</v>
      </c>
      <c r="X665">
        <v>1</v>
      </c>
      <c r="Y665">
        <v>1</v>
      </c>
      <c r="Z665">
        <v>0</v>
      </c>
      <c r="AL665" t="s">
        <v>107</v>
      </c>
      <c r="AM665" t="s">
        <v>86</v>
      </c>
      <c r="AN665" t="s">
        <v>86</v>
      </c>
      <c r="AO665" t="s">
        <v>86</v>
      </c>
      <c r="AP665" t="s">
        <v>86</v>
      </c>
      <c r="AQ665" t="s">
        <v>86</v>
      </c>
      <c r="AR665" t="s">
        <v>75</v>
      </c>
      <c r="AS665" t="s">
        <v>92</v>
      </c>
      <c r="AT665" t="s">
        <v>107</v>
      </c>
      <c r="AU665">
        <v>0</v>
      </c>
      <c r="AV665">
        <v>0</v>
      </c>
      <c r="AW665">
        <v>0</v>
      </c>
      <c r="AX665">
        <v>1</v>
      </c>
      <c r="AY665">
        <v>0</v>
      </c>
      <c r="AZ665" t="s">
        <v>578</v>
      </c>
    </row>
    <row r="666" spans="1:52" x14ac:dyDescent="0.2">
      <c r="A666">
        <v>1</v>
      </c>
      <c r="B666">
        <v>0</v>
      </c>
      <c r="C666">
        <v>0</v>
      </c>
      <c r="D666">
        <v>0</v>
      </c>
      <c r="E666">
        <v>0</v>
      </c>
      <c r="F666">
        <v>1</v>
      </c>
      <c r="G666">
        <v>1</v>
      </c>
      <c r="H666">
        <v>1</v>
      </c>
      <c r="I666">
        <v>0</v>
      </c>
      <c r="J666" t="s">
        <v>88</v>
      </c>
      <c r="K666" t="s">
        <v>89</v>
      </c>
      <c r="L666">
        <v>0</v>
      </c>
      <c r="M666">
        <v>0</v>
      </c>
      <c r="N666">
        <v>1</v>
      </c>
      <c r="O666">
        <v>0</v>
      </c>
      <c r="P666">
        <v>0</v>
      </c>
      <c r="Q666" t="s">
        <v>584</v>
      </c>
      <c r="AA666" t="s">
        <v>82</v>
      </c>
      <c r="AB666" t="s">
        <v>82</v>
      </c>
      <c r="AC666" t="s">
        <v>81</v>
      </c>
      <c r="AD666" t="s">
        <v>82</v>
      </c>
      <c r="AE666" t="s">
        <v>82</v>
      </c>
      <c r="AF666" t="s">
        <v>83</v>
      </c>
      <c r="AG666" t="s">
        <v>82</v>
      </c>
      <c r="AH666" t="s">
        <v>81</v>
      </c>
      <c r="AI666" t="s">
        <v>88</v>
      </c>
      <c r="AJ666" t="s">
        <v>89</v>
      </c>
      <c r="AK666" t="s">
        <v>85</v>
      </c>
      <c r="AL666" t="s">
        <v>107</v>
      </c>
      <c r="AM666" t="s">
        <v>87</v>
      </c>
      <c r="AN666" t="s">
        <v>87</v>
      </c>
      <c r="AO666" t="s">
        <v>87</v>
      </c>
      <c r="AP666" t="s">
        <v>87</v>
      </c>
      <c r="AQ666" t="s">
        <v>87</v>
      </c>
      <c r="AR666" t="s">
        <v>97</v>
      </c>
      <c r="AS666" t="s">
        <v>76</v>
      </c>
      <c r="AT666" t="s">
        <v>107</v>
      </c>
      <c r="AU666">
        <v>1</v>
      </c>
      <c r="AV666">
        <v>0</v>
      </c>
      <c r="AW666">
        <v>0</v>
      </c>
      <c r="AX666">
        <v>0</v>
      </c>
      <c r="AY666">
        <v>0</v>
      </c>
      <c r="AZ666" t="s">
        <v>580</v>
      </c>
    </row>
    <row r="667" spans="1:52" x14ac:dyDescent="0.2">
      <c r="A667">
        <v>1</v>
      </c>
      <c r="B667">
        <v>0</v>
      </c>
      <c r="C667">
        <v>0</v>
      </c>
      <c r="D667">
        <v>0</v>
      </c>
      <c r="E667">
        <v>0</v>
      </c>
      <c r="F667">
        <v>0</v>
      </c>
      <c r="G667">
        <v>0</v>
      </c>
      <c r="H667">
        <v>0</v>
      </c>
      <c r="I667">
        <v>1</v>
      </c>
      <c r="J667" t="s">
        <v>127</v>
      </c>
      <c r="K667" t="s">
        <v>127</v>
      </c>
      <c r="L667">
        <v>1</v>
      </c>
      <c r="M667">
        <v>0</v>
      </c>
      <c r="N667">
        <v>0</v>
      </c>
      <c r="O667">
        <v>0</v>
      </c>
      <c r="P667">
        <v>0</v>
      </c>
      <c r="Q667" t="s">
        <v>584</v>
      </c>
      <c r="R667">
        <v>0</v>
      </c>
      <c r="S667">
        <v>0</v>
      </c>
      <c r="T667">
        <v>0</v>
      </c>
      <c r="U667">
        <v>0</v>
      </c>
      <c r="V667">
        <v>0</v>
      </c>
      <c r="W667">
        <v>1</v>
      </c>
      <c r="X667">
        <v>0</v>
      </c>
      <c r="Y667">
        <v>0</v>
      </c>
      <c r="Z667">
        <v>0</v>
      </c>
      <c r="AL667" t="s">
        <v>107</v>
      </c>
      <c r="AM667" t="s">
        <v>86</v>
      </c>
      <c r="AN667" t="s">
        <v>86</v>
      </c>
      <c r="AO667" t="s">
        <v>87</v>
      </c>
      <c r="AP667" t="s">
        <v>86</v>
      </c>
      <c r="AQ667" t="s">
        <v>86</v>
      </c>
      <c r="AR667" t="s">
        <v>97</v>
      </c>
      <c r="AS667" t="s">
        <v>76</v>
      </c>
      <c r="AT667" t="s">
        <v>107</v>
      </c>
      <c r="AU667">
        <v>1</v>
      </c>
      <c r="AV667">
        <v>0</v>
      </c>
      <c r="AW667">
        <v>0</v>
      </c>
      <c r="AX667">
        <v>0</v>
      </c>
      <c r="AY667">
        <v>0</v>
      </c>
      <c r="AZ667" t="s">
        <v>580</v>
      </c>
    </row>
    <row r="668" spans="1:52" x14ac:dyDescent="0.2">
      <c r="A668">
        <v>1</v>
      </c>
      <c r="B668">
        <v>0</v>
      </c>
      <c r="C668">
        <v>0</v>
      </c>
      <c r="D668">
        <v>0</v>
      </c>
      <c r="E668">
        <v>0</v>
      </c>
      <c r="F668">
        <v>0</v>
      </c>
      <c r="G668">
        <v>0</v>
      </c>
      <c r="H668">
        <v>0</v>
      </c>
      <c r="I668">
        <v>1</v>
      </c>
      <c r="J668" t="s">
        <v>127</v>
      </c>
      <c r="K668" t="s">
        <v>127</v>
      </c>
      <c r="L668">
        <v>1</v>
      </c>
      <c r="M668">
        <v>0</v>
      </c>
      <c r="N668">
        <v>0</v>
      </c>
      <c r="O668">
        <v>0</v>
      </c>
      <c r="P668">
        <v>0</v>
      </c>
      <c r="Q668" t="s">
        <v>584</v>
      </c>
      <c r="R668">
        <v>0</v>
      </c>
      <c r="S668">
        <v>0</v>
      </c>
      <c r="T668">
        <v>0</v>
      </c>
      <c r="U668">
        <v>1</v>
      </c>
      <c r="V668">
        <v>0</v>
      </c>
      <c r="W668">
        <v>0</v>
      </c>
      <c r="X668">
        <v>1</v>
      </c>
      <c r="Y668">
        <v>0</v>
      </c>
      <c r="Z668">
        <v>1</v>
      </c>
      <c r="AL668" t="s">
        <v>73</v>
      </c>
      <c r="AM668" t="s">
        <v>86</v>
      </c>
      <c r="AN668" t="s">
        <v>86</v>
      </c>
      <c r="AO668" t="s">
        <v>87</v>
      </c>
      <c r="AP668" t="s">
        <v>86</v>
      </c>
      <c r="AQ668" t="s">
        <v>74</v>
      </c>
      <c r="AR668" t="s">
        <v>97</v>
      </c>
      <c r="AS668" t="s">
        <v>92</v>
      </c>
      <c r="AT668" t="s">
        <v>73</v>
      </c>
      <c r="AU668">
        <v>0</v>
      </c>
      <c r="AV668">
        <v>0</v>
      </c>
      <c r="AW668">
        <v>0</v>
      </c>
      <c r="AX668">
        <v>1</v>
      </c>
      <c r="AY668">
        <v>0</v>
      </c>
      <c r="AZ668" t="s">
        <v>581</v>
      </c>
    </row>
    <row r="669" spans="1:52" x14ac:dyDescent="0.2">
      <c r="A669">
        <v>0</v>
      </c>
      <c r="B669">
        <v>0</v>
      </c>
      <c r="C669">
        <v>1</v>
      </c>
      <c r="D669">
        <v>0</v>
      </c>
      <c r="E669">
        <v>0</v>
      </c>
      <c r="F669">
        <v>1</v>
      </c>
      <c r="G669">
        <v>0</v>
      </c>
      <c r="H669">
        <v>0</v>
      </c>
      <c r="I669">
        <v>1</v>
      </c>
      <c r="J669" t="s">
        <v>88</v>
      </c>
      <c r="K669" t="s">
        <v>89</v>
      </c>
      <c r="L669">
        <v>0</v>
      </c>
      <c r="M669">
        <v>0</v>
      </c>
      <c r="N669">
        <v>0</v>
      </c>
      <c r="O669">
        <v>0</v>
      </c>
      <c r="P669">
        <v>0</v>
      </c>
      <c r="Q669" t="s">
        <v>585</v>
      </c>
      <c r="AA669" t="s">
        <v>90</v>
      </c>
      <c r="AB669" t="s">
        <v>82</v>
      </c>
      <c r="AC669" t="s">
        <v>83</v>
      </c>
      <c r="AD669" t="s">
        <v>82</v>
      </c>
      <c r="AE669" t="s">
        <v>83</v>
      </c>
      <c r="AF669" t="s">
        <v>83</v>
      </c>
      <c r="AG669" t="s">
        <v>83</v>
      </c>
      <c r="AH669" t="s">
        <v>83</v>
      </c>
      <c r="AI669" t="s">
        <v>88</v>
      </c>
      <c r="AJ669" t="s">
        <v>89</v>
      </c>
      <c r="AK669" t="s">
        <v>85</v>
      </c>
      <c r="AL669" t="s">
        <v>96</v>
      </c>
      <c r="AM669" t="s">
        <v>86</v>
      </c>
      <c r="AN669" t="s">
        <v>86</v>
      </c>
      <c r="AO669" t="s">
        <v>86</v>
      </c>
      <c r="AP669" t="s">
        <v>74</v>
      </c>
      <c r="AQ669" t="s">
        <v>74</v>
      </c>
      <c r="AR669" t="s">
        <v>97</v>
      </c>
      <c r="AS669" t="s">
        <v>76</v>
      </c>
      <c r="AT669" t="s">
        <v>96</v>
      </c>
      <c r="AU669">
        <v>0</v>
      </c>
      <c r="AV669">
        <v>0</v>
      </c>
      <c r="AW669">
        <v>0</v>
      </c>
      <c r="AX669">
        <v>1</v>
      </c>
      <c r="AY669">
        <v>0</v>
      </c>
      <c r="AZ669" t="s">
        <v>580</v>
      </c>
    </row>
    <row r="670" spans="1:52" x14ac:dyDescent="0.2">
      <c r="A670">
        <v>1</v>
      </c>
      <c r="B670">
        <v>0</v>
      </c>
      <c r="C670">
        <v>0</v>
      </c>
      <c r="D670">
        <v>0</v>
      </c>
      <c r="E670">
        <v>1</v>
      </c>
      <c r="F670">
        <v>0</v>
      </c>
      <c r="G670">
        <v>0</v>
      </c>
      <c r="H670">
        <v>0</v>
      </c>
      <c r="I670">
        <v>0</v>
      </c>
      <c r="L670">
        <v>1</v>
      </c>
      <c r="M670">
        <v>0</v>
      </c>
      <c r="N670">
        <v>0</v>
      </c>
      <c r="O670">
        <v>0</v>
      </c>
      <c r="P670">
        <v>0</v>
      </c>
      <c r="Q670" t="s">
        <v>584</v>
      </c>
      <c r="R670">
        <v>0</v>
      </c>
      <c r="S670">
        <v>0</v>
      </c>
      <c r="T670">
        <v>0</v>
      </c>
      <c r="U670">
        <v>0</v>
      </c>
      <c r="V670">
        <v>0</v>
      </c>
      <c r="W670">
        <v>0</v>
      </c>
      <c r="X670">
        <v>1</v>
      </c>
      <c r="Y670">
        <v>0</v>
      </c>
      <c r="Z670">
        <v>0</v>
      </c>
      <c r="AL670" t="s">
        <v>107</v>
      </c>
      <c r="AM670" t="s">
        <v>74</v>
      </c>
      <c r="AR670" t="s">
        <v>97</v>
      </c>
      <c r="AS670" t="s">
        <v>76</v>
      </c>
      <c r="AT670" t="s">
        <v>107</v>
      </c>
      <c r="AU670">
        <v>1</v>
      </c>
      <c r="AV670">
        <v>0</v>
      </c>
      <c r="AW670">
        <v>0</v>
      </c>
      <c r="AX670">
        <v>0</v>
      </c>
      <c r="AY670">
        <v>0</v>
      </c>
      <c r="AZ670" t="s">
        <v>581</v>
      </c>
    </row>
    <row r="671" spans="1:52" x14ac:dyDescent="0.2">
      <c r="A671">
        <v>0</v>
      </c>
      <c r="B671">
        <v>1</v>
      </c>
      <c r="C671">
        <v>0</v>
      </c>
      <c r="D671">
        <v>0</v>
      </c>
      <c r="E671">
        <v>0</v>
      </c>
      <c r="F671">
        <v>1</v>
      </c>
      <c r="G671">
        <v>0</v>
      </c>
      <c r="H671">
        <v>0</v>
      </c>
      <c r="I671">
        <v>0</v>
      </c>
      <c r="J671" t="s">
        <v>135</v>
      </c>
      <c r="K671" t="s">
        <v>127</v>
      </c>
      <c r="L671">
        <v>0</v>
      </c>
      <c r="M671">
        <v>0</v>
      </c>
      <c r="N671">
        <v>0</v>
      </c>
      <c r="O671">
        <v>0</v>
      </c>
      <c r="P671">
        <v>1</v>
      </c>
      <c r="Q671" t="s">
        <v>584</v>
      </c>
      <c r="AA671" t="s">
        <v>83</v>
      </c>
      <c r="AB671" t="s">
        <v>81</v>
      </c>
      <c r="AC671" t="s">
        <v>81</v>
      </c>
      <c r="AD671" t="s">
        <v>83</v>
      </c>
      <c r="AE671" t="s">
        <v>82</v>
      </c>
      <c r="AF671" t="s">
        <v>83</v>
      </c>
      <c r="AG671" t="s">
        <v>83</v>
      </c>
      <c r="AH671" t="s">
        <v>81</v>
      </c>
      <c r="AI671" t="s">
        <v>88</v>
      </c>
      <c r="AJ671" t="s">
        <v>80</v>
      </c>
      <c r="AK671" t="s">
        <v>85</v>
      </c>
      <c r="AL671" t="s">
        <v>107</v>
      </c>
      <c r="AM671" t="s">
        <v>87</v>
      </c>
      <c r="AN671" t="s">
        <v>74</v>
      </c>
      <c r="AO671" t="s">
        <v>86</v>
      </c>
      <c r="AP671" t="s">
        <v>74</v>
      </c>
      <c r="AQ671" t="s">
        <v>74</v>
      </c>
      <c r="AR671" t="s">
        <v>75</v>
      </c>
      <c r="AS671" t="s">
        <v>76</v>
      </c>
      <c r="AT671" t="s">
        <v>107</v>
      </c>
      <c r="AU671">
        <v>0</v>
      </c>
      <c r="AV671">
        <v>0</v>
      </c>
      <c r="AW671">
        <v>0</v>
      </c>
      <c r="AX671">
        <v>1</v>
      </c>
      <c r="AY671">
        <v>0</v>
      </c>
      <c r="AZ671" t="s">
        <v>579</v>
      </c>
    </row>
    <row r="672" spans="1:52" x14ac:dyDescent="0.2">
      <c r="A672">
        <v>1</v>
      </c>
      <c r="B672">
        <v>0</v>
      </c>
      <c r="C672">
        <v>0</v>
      </c>
      <c r="D672">
        <v>0</v>
      </c>
      <c r="E672">
        <v>1</v>
      </c>
      <c r="F672">
        <v>0</v>
      </c>
      <c r="G672">
        <v>0</v>
      </c>
      <c r="H672">
        <v>0</v>
      </c>
      <c r="I672">
        <v>0</v>
      </c>
      <c r="L672">
        <v>0</v>
      </c>
      <c r="M672">
        <v>1</v>
      </c>
      <c r="N672">
        <v>0</v>
      </c>
      <c r="O672">
        <v>0</v>
      </c>
      <c r="P672">
        <v>0</v>
      </c>
      <c r="Q672" t="s">
        <v>584</v>
      </c>
      <c r="AA672" t="s">
        <v>82</v>
      </c>
      <c r="AB672" t="s">
        <v>83</v>
      </c>
      <c r="AC672" t="s">
        <v>83</v>
      </c>
      <c r="AD672" t="s">
        <v>83</v>
      </c>
      <c r="AE672" t="s">
        <v>82</v>
      </c>
      <c r="AF672" t="s">
        <v>81</v>
      </c>
      <c r="AG672" t="s">
        <v>83</v>
      </c>
      <c r="AH672" t="s">
        <v>83</v>
      </c>
      <c r="AI672" t="s">
        <v>127</v>
      </c>
      <c r="AJ672" t="s">
        <v>127</v>
      </c>
      <c r="AL672" t="s">
        <v>96</v>
      </c>
      <c r="AM672" t="s">
        <v>86</v>
      </c>
      <c r="AN672" t="s">
        <v>74</v>
      </c>
      <c r="AO672" t="s">
        <v>74</v>
      </c>
      <c r="AP672" t="s">
        <v>74</v>
      </c>
      <c r="AQ672" t="s">
        <v>74</v>
      </c>
      <c r="AR672" t="s">
        <v>97</v>
      </c>
      <c r="AS672" t="s">
        <v>92</v>
      </c>
      <c r="AT672" t="s">
        <v>96</v>
      </c>
      <c r="AU672">
        <v>0</v>
      </c>
      <c r="AV672">
        <v>0</v>
      </c>
      <c r="AW672">
        <v>0</v>
      </c>
      <c r="AX672">
        <v>1</v>
      </c>
      <c r="AY672">
        <v>0</v>
      </c>
      <c r="AZ672" t="s">
        <v>580</v>
      </c>
    </row>
    <row r="673" spans="1:52" x14ac:dyDescent="0.2">
      <c r="A673">
        <v>1</v>
      </c>
      <c r="B673">
        <v>0</v>
      </c>
      <c r="C673">
        <v>0</v>
      </c>
      <c r="D673">
        <v>0</v>
      </c>
      <c r="E673">
        <v>1</v>
      </c>
      <c r="F673">
        <v>0</v>
      </c>
      <c r="G673">
        <v>0</v>
      </c>
      <c r="H673">
        <v>0</v>
      </c>
      <c r="I673">
        <v>0</v>
      </c>
      <c r="L673">
        <v>1</v>
      </c>
      <c r="M673">
        <v>0</v>
      </c>
      <c r="N673">
        <v>0</v>
      </c>
      <c r="O673">
        <v>0</v>
      </c>
      <c r="P673">
        <v>0</v>
      </c>
      <c r="Q673" t="s">
        <v>584</v>
      </c>
      <c r="R673">
        <v>0</v>
      </c>
      <c r="S673">
        <v>0</v>
      </c>
      <c r="T673">
        <v>0</v>
      </c>
      <c r="U673">
        <v>0</v>
      </c>
      <c r="V673">
        <v>0</v>
      </c>
      <c r="W673">
        <v>0</v>
      </c>
      <c r="X673">
        <v>0</v>
      </c>
      <c r="Y673">
        <v>1</v>
      </c>
      <c r="Z673">
        <v>0</v>
      </c>
      <c r="AL673" t="s">
        <v>73</v>
      </c>
      <c r="AM673" t="s">
        <v>74</v>
      </c>
      <c r="AR673" t="s">
        <v>75</v>
      </c>
      <c r="AS673" t="s">
        <v>76</v>
      </c>
      <c r="AT673" t="s">
        <v>73</v>
      </c>
      <c r="AU673">
        <v>1</v>
      </c>
      <c r="AV673">
        <v>0</v>
      </c>
      <c r="AW673">
        <v>0</v>
      </c>
      <c r="AX673">
        <v>0</v>
      </c>
      <c r="AY673">
        <v>0</v>
      </c>
      <c r="AZ673" t="s">
        <v>579</v>
      </c>
    </row>
    <row r="674" spans="1:52" x14ac:dyDescent="0.2">
      <c r="A674">
        <v>0</v>
      </c>
      <c r="B674">
        <v>1</v>
      </c>
      <c r="C674">
        <v>0</v>
      </c>
      <c r="D674">
        <v>0</v>
      </c>
      <c r="E674">
        <v>1</v>
      </c>
      <c r="F674">
        <v>0</v>
      </c>
      <c r="G674">
        <v>0</v>
      </c>
      <c r="H674">
        <v>0</v>
      </c>
      <c r="I674">
        <v>0</v>
      </c>
      <c r="L674">
        <v>1</v>
      </c>
      <c r="M674">
        <v>0</v>
      </c>
      <c r="N674">
        <v>0</v>
      </c>
      <c r="O674">
        <v>0</v>
      </c>
      <c r="P674">
        <v>0</v>
      </c>
      <c r="Q674" t="s">
        <v>584</v>
      </c>
      <c r="R674">
        <v>0</v>
      </c>
      <c r="S674">
        <v>0</v>
      </c>
      <c r="T674">
        <v>1</v>
      </c>
      <c r="U674">
        <v>0</v>
      </c>
      <c r="V674">
        <v>0</v>
      </c>
      <c r="W674">
        <v>0</v>
      </c>
      <c r="X674">
        <v>0</v>
      </c>
      <c r="Y674">
        <v>0</v>
      </c>
      <c r="Z674">
        <v>0</v>
      </c>
      <c r="AL674" t="s">
        <v>96</v>
      </c>
      <c r="AM674" t="s">
        <v>87</v>
      </c>
      <c r="AN674" t="s">
        <v>87</v>
      </c>
      <c r="AO674" t="s">
        <v>86</v>
      </c>
      <c r="AP674" t="s">
        <v>87</v>
      </c>
      <c r="AQ674" t="s">
        <v>86</v>
      </c>
      <c r="AR674" t="s">
        <v>101</v>
      </c>
      <c r="AS674" t="s">
        <v>76</v>
      </c>
      <c r="AT674" t="s">
        <v>96</v>
      </c>
      <c r="AU674">
        <v>1</v>
      </c>
      <c r="AV674">
        <v>0</v>
      </c>
      <c r="AW674">
        <v>0</v>
      </c>
      <c r="AX674">
        <v>0</v>
      </c>
      <c r="AY674">
        <v>0</v>
      </c>
      <c r="AZ674" t="s">
        <v>580</v>
      </c>
    </row>
    <row r="675" spans="1:52" x14ac:dyDescent="0.2">
      <c r="A675">
        <v>0</v>
      </c>
      <c r="B675">
        <v>0</v>
      </c>
      <c r="C675">
        <v>0</v>
      </c>
      <c r="D675">
        <v>1</v>
      </c>
      <c r="L675">
        <v>1</v>
      </c>
      <c r="M675">
        <v>0</v>
      </c>
      <c r="N675">
        <v>0</v>
      </c>
      <c r="O675">
        <v>0</v>
      </c>
      <c r="P675">
        <v>0</v>
      </c>
      <c r="Q675" t="s">
        <v>584</v>
      </c>
      <c r="R675">
        <v>0</v>
      </c>
      <c r="S675">
        <v>0</v>
      </c>
      <c r="T675">
        <v>0</v>
      </c>
      <c r="U675">
        <v>0</v>
      </c>
      <c r="V675">
        <v>0</v>
      </c>
      <c r="W675">
        <v>0</v>
      </c>
      <c r="X675">
        <v>1</v>
      </c>
      <c r="Y675">
        <v>0</v>
      </c>
      <c r="Z675">
        <v>0</v>
      </c>
      <c r="AL675" t="s">
        <v>107</v>
      </c>
      <c r="AR675" t="s">
        <v>97</v>
      </c>
      <c r="AS675" t="s">
        <v>76</v>
      </c>
      <c r="AT675" t="s">
        <v>107</v>
      </c>
      <c r="AU675">
        <v>0</v>
      </c>
      <c r="AV675">
        <v>0</v>
      </c>
      <c r="AW675">
        <v>0</v>
      </c>
      <c r="AX675">
        <v>0</v>
      </c>
      <c r="AY675">
        <v>1</v>
      </c>
      <c r="AZ675" t="s">
        <v>580</v>
      </c>
    </row>
    <row r="676" spans="1:52" x14ac:dyDescent="0.2">
      <c r="A676">
        <v>1</v>
      </c>
      <c r="B676">
        <v>0</v>
      </c>
      <c r="C676">
        <v>0</v>
      </c>
      <c r="D676">
        <v>0</v>
      </c>
      <c r="E676">
        <v>0</v>
      </c>
      <c r="F676">
        <v>0</v>
      </c>
      <c r="G676">
        <v>0</v>
      </c>
      <c r="H676">
        <v>0</v>
      </c>
      <c r="I676">
        <v>1</v>
      </c>
      <c r="J676" t="s">
        <v>88</v>
      </c>
      <c r="K676" t="s">
        <v>89</v>
      </c>
      <c r="L676">
        <v>1</v>
      </c>
      <c r="M676">
        <v>0</v>
      </c>
      <c r="N676">
        <v>0</v>
      </c>
      <c r="O676">
        <v>0</v>
      </c>
      <c r="P676">
        <v>0</v>
      </c>
      <c r="Q676" t="s">
        <v>584</v>
      </c>
      <c r="R676">
        <v>0</v>
      </c>
      <c r="S676">
        <v>0</v>
      </c>
      <c r="T676">
        <v>0</v>
      </c>
      <c r="U676">
        <v>0</v>
      </c>
      <c r="V676">
        <v>0</v>
      </c>
      <c r="W676">
        <v>0</v>
      </c>
      <c r="X676">
        <v>1</v>
      </c>
      <c r="Y676">
        <v>0</v>
      </c>
      <c r="Z676">
        <v>0</v>
      </c>
      <c r="AL676" t="s">
        <v>107</v>
      </c>
      <c r="AM676" t="s">
        <v>86</v>
      </c>
      <c r="AN676" t="s">
        <v>74</v>
      </c>
      <c r="AO676" t="s">
        <v>74</v>
      </c>
      <c r="AP676" t="s">
        <v>74</v>
      </c>
      <c r="AQ676" t="s">
        <v>86</v>
      </c>
      <c r="AR676" t="s">
        <v>97</v>
      </c>
      <c r="AS676" t="s">
        <v>92</v>
      </c>
      <c r="AT676" t="s">
        <v>107</v>
      </c>
      <c r="AU676">
        <v>0</v>
      </c>
      <c r="AV676">
        <v>0</v>
      </c>
      <c r="AW676">
        <v>0</v>
      </c>
      <c r="AX676">
        <v>1</v>
      </c>
      <c r="AY676">
        <v>0</v>
      </c>
      <c r="AZ676" t="s">
        <v>581</v>
      </c>
    </row>
    <row r="677" spans="1:52" x14ac:dyDescent="0.2">
      <c r="A677">
        <v>1</v>
      </c>
      <c r="B677">
        <v>0</v>
      </c>
      <c r="C677">
        <v>0</v>
      </c>
      <c r="D677">
        <v>0</v>
      </c>
      <c r="E677">
        <v>1</v>
      </c>
      <c r="F677">
        <v>0</v>
      </c>
      <c r="G677">
        <v>0</v>
      </c>
      <c r="H677">
        <v>0</v>
      </c>
      <c r="I677">
        <v>0</v>
      </c>
      <c r="L677">
        <v>1</v>
      </c>
      <c r="M677">
        <v>0</v>
      </c>
      <c r="N677">
        <v>0</v>
      </c>
      <c r="O677">
        <v>0</v>
      </c>
      <c r="P677">
        <v>0</v>
      </c>
      <c r="Q677" t="s">
        <v>584</v>
      </c>
      <c r="R677">
        <v>0</v>
      </c>
      <c r="S677">
        <v>0</v>
      </c>
      <c r="T677">
        <v>1</v>
      </c>
      <c r="U677">
        <v>0</v>
      </c>
      <c r="V677">
        <v>0</v>
      </c>
      <c r="W677">
        <v>0</v>
      </c>
      <c r="X677">
        <v>1</v>
      </c>
      <c r="Y677">
        <v>0</v>
      </c>
      <c r="Z677">
        <v>1</v>
      </c>
      <c r="AL677" t="s">
        <v>73</v>
      </c>
      <c r="AM677" t="s">
        <v>86</v>
      </c>
      <c r="AN677" t="s">
        <v>86</v>
      </c>
      <c r="AO677" t="s">
        <v>74</v>
      </c>
      <c r="AP677" t="s">
        <v>86</v>
      </c>
      <c r="AQ677" t="s">
        <v>86</v>
      </c>
      <c r="AR677" t="s">
        <v>75</v>
      </c>
      <c r="AS677" t="s">
        <v>76</v>
      </c>
      <c r="AT677" t="s">
        <v>73</v>
      </c>
      <c r="AU677">
        <v>0</v>
      </c>
      <c r="AV677">
        <v>0</v>
      </c>
      <c r="AW677">
        <v>0</v>
      </c>
      <c r="AX677">
        <v>1</v>
      </c>
      <c r="AY677">
        <v>0</v>
      </c>
      <c r="AZ677" t="s">
        <v>579</v>
      </c>
    </row>
    <row r="678" spans="1:52" x14ac:dyDescent="0.2">
      <c r="A678">
        <v>1</v>
      </c>
      <c r="B678">
        <v>0</v>
      </c>
      <c r="C678">
        <v>0</v>
      </c>
      <c r="D678">
        <v>0</v>
      </c>
      <c r="E678">
        <v>1</v>
      </c>
      <c r="F678">
        <v>0</v>
      </c>
      <c r="G678">
        <v>0</v>
      </c>
      <c r="H678">
        <v>0</v>
      </c>
      <c r="I678">
        <v>0</v>
      </c>
      <c r="L678">
        <v>0</v>
      </c>
      <c r="M678">
        <v>1</v>
      </c>
      <c r="N678">
        <v>0</v>
      </c>
      <c r="O678">
        <v>0</v>
      </c>
      <c r="P678">
        <v>0</v>
      </c>
      <c r="Q678" t="s">
        <v>584</v>
      </c>
      <c r="AA678" t="s">
        <v>83</v>
      </c>
      <c r="AB678" t="s">
        <v>83</v>
      </c>
      <c r="AC678" t="s">
        <v>83</v>
      </c>
      <c r="AD678" t="s">
        <v>83</v>
      </c>
      <c r="AE678" t="s">
        <v>83</v>
      </c>
      <c r="AF678" t="s">
        <v>83</v>
      </c>
      <c r="AG678" t="s">
        <v>83</v>
      </c>
      <c r="AH678" t="s">
        <v>83</v>
      </c>
      <c r="AI678" t="s">
        <v>127</v>
      </c>
      <c r="AJ678" t="s">
        <v>127</v>
      </c>
      <c r="AL678" t="s">
        <v>73</v>
      </c>
      <c r="AM678" t="s">
        <v>74</v>
      </c>
      <c r="AR678" t="s">
        <v>97</v>
      </c>
      <c r="AS678" t="s">
        <v>92</v>
      </c>
      <c r="AT678" t="s">
        <v>73</v>
      </c>
      <c r="AU678">
        <v>0</v>
      </c>
      <c r="AV678">
        <v>0</v>
      </c>
      <c r="AW678">
        <v>0</v>
      </c>
      <c r="AX678">
        <v>1</v>
      </c>
      <c r="AY678">
        <v>0</v>
      </c>
      <c r="AZ678" t="s">
        <v>580</v>
      </c>
    </row>
    <row r="679" spans="1:52" x14ac:dyDescent="0.2">
      <c r="A679">
        <v>0</v>
      </c>
      <c r="B679">
        <v>1</v>
      </c>
      <c r="C679">
        <v>0</v>
      </c>
      <c r="D679">
        <v>0</v>
      </c>
      <c r="E679">
        <v>0</v>
      </c>
      <c r="F679">
        <v>1</v>
      </c>
      <c r="G679">
        <v>1</v>
      </c>
      <c r="H679">
        <v>1</v>
      </c>
      <c r="I679">
        <v>1</v>
      </c>
      <c r="J679" t="s">
        <v>88</v>
      </c>
      <c r="K679" t="s">
        <v>89</v>
      </c>
      <c r="L679">
        <v>0</v>
      </c>
      <c r="M679">
        <v>1</v>
      </c>
      <c r="N679">
        <v>0</v>
      </c>
      <c r="O679">
        <v>0</v>
      </c>
      <c r="P679">
        <v>0</v>
      </c>
      <c r="Q679" t="s">
        <v>584</v>
      </c>
      <c r="AA679" t="s">
        <v>90</v>
      </c>
      <c r="AB679" t="s">
        <v>82</v>
      </c>
      <c r="AC679" t="s">
        <v>81</v>
      </c>
      <c r="AD679" t="s">
        <v>81</v>
      </c>
      <c r="AE679" t="s">
        <v>90</v>
      </c>
      <c r="AF679" t="s">
        <v>90</v>
      </c>
      <c r="AG679" t="s">
        <v>90</v>
      </c>
      <c r="AH679" t="s">
        <v>90</v>
      </c>
      <c r="AI679" t="s">
        <v>88</v>
      </c>
      <c r="AJ679" t="s">
        <v>89</v>
      </c>
      <c r="AK679" t="s">
        <v>100</v>
      </c>
      <c r="AL679" t="s">
        <v>73</v>
      </c>
      <c r="AM679" t="s">
        <v>87</v>
      </c>
      <c r="AN679" t="s">
        <v>87</v>
      </c>
      <c r="AO679" t="s">
        <v>87</v>
      </c>
      <c r="AP679" t="s">
        <v>87</v>
      </c>
      <c r="AQ679" t="s">
        <v>86</v>
      </c>
      <c r="AR679" t="s">
        <v>97</v>
      </c>
      <c r="AS679" t="s">
        <v>92</v>
      </c>
      <c r="AT679" t="s">
        <v>73</v>
      </c>
      <c r="AU679">
        <v>0</v>
      </c>
      <c r="AV679">
        <v>0</v>
      </c>
      <c r="AW679">
        <v>0</v>
      </c>
      <c r="AX679">
        <v>1</v>
      </c>
      <c r="AY679">
        <v>0</v>
      </c>
      <c r="AZ679" t="s">
        <v>581</v>
      </c>
    </row>
    <row r="680" spans="1:52" x14ac:dyDescent="0.2">
      <c r="A680">
        <v>0</v>
      </c>
      <c r="B680">
        <v>0</v>
      </c>
      <c r="C680">
        <v>1</v>
      </c>
      <c r="D680">
        <v>0</v>
      </c>
      <c r="E680">
        <v>1</v>
      </c>
      <c r="F680">
        <v>0</v>
      </c>
      <c r="G680">
        <v>0</v>
      </c>
      <c r="H680">
        <v>0</v>
      </c>
      <c r="I680">
        <v>0</v>
      </c>
      <c r="L680">
        <v>1</v>
      </c>
      <c r="M680">
        <v>0</v>
      </c>
      <c r="N680">
        <v>0</v>
      </c>
      <c r="O680">
        <v>0</v>
      </c>
      <c r="P680">
        <v>0</v>
      </c>
      <c r="Q680" t="s">
        <v>584</v>
      </c>
      <c r="R680">
        <v>0</v>
      </c>
      <c r="S680">
        <v>1</v>
      </c>
      <c r="T680">
        <v>0</v>
      </c>
      <c r="U680">
        <v>0</v>
      </c>
      <c r="V680">
        <v>0</v>
      </c>
      <c r="W680">
        <v>0</v>
      </c>
      <c r="X680">
        <v>0</v>
      </c>
      <c r="Y680">
        <v>0</v>
      </c>
      <c r="Z680">
        <v>0</v>
      </c>
      <c r="AL680" t="s">
        <v>120</v>
      </c>
      <c r="AM680" t="s">
        <v>86</v>
      </c>
      <c r="AN680" t="s">
        <v>74</v>
      </c>
      <c r="AO680" t="s">
        <v>74</v>
      </c>
      <c r="AP680" t="s">
        <v>74</v>
      </c>
      <c r="AQ680" t="s">
        <v>74</v>
      </c>
      <c r="AR680" t="s">
        <v>101</v>
      </c>
      <c r="AS680" t="s">
        <v>92</v>
      </c>
      <c r="AT680" t="s">
        <v>120</v>
      </c>
      <c r="AU680">
        <v>0</v>
      </c>
      <c r="AV680">
        <v>0</v>
      </c>
      <c r="AW680">
        <v>0</v>
      </c>
      <c r="AX680">
        <v>1</v>
      </c>
      <c r="AY680">
        <v>0</v>
      </c>
      <c r="AZ680" t="s">
        <v>580</v>
      </c>
    </row>
    <row r="681" spans="1:52" x14ac:dyDescent="0.2">
      <c r="A681">
        <v>1</v>
      </c>
      <c r="B681">
        <v>0</v>
      </c>
      <c r="C681">
        <v>0</v>
      </c>
      <c r="D681">
        <v>0</v>
      </c>
      <c r="E681">
        <v>0</v>
      </c>
      <c r="F681">
        <v>1</v>
      </c>
      <c r="G681">
        <v>0</v>
      </c>
      <c r="H681">
        <v>0</v>
      </c>
      <c r="I681">
        <v>0</v>
      </c>
      <c r="J681" t="s">
        <v>135</v>
      </c>
      <c r="K681" t="s">
        <v>89</v>
      </c>
      <c r="L681">
        <v>0</v>
      </c>
      <c r="M681">
        <v>0</v>
      </c>
      <c r="N681">
        <v>1</v>
      </c>
      <c r="O681">
        <v>0</v>
      </c>
      <c r="P681">
        <v>0</v>
      </c>
      <c r="Q681" t="s">
        <v>584</v>
      </c>
      <c r="AA681" t="s">
        <v>83</v>
      </c>
      <c r="AB681" t="s">
        <v>82</v>
      </c>
      <c r="AC681" t="s">
        <v>83</v>
      </c>
      <c r="AD681" t="s">
        <v>81</v>
      </c>
      <c r="AE681" t="s">
        <v>81</v>
      </c>
      <c r="AF681" t="s">
        <v>83</v>
      </c>
      <c r="AG681" t="s">
        <v>83</v>
      </c>
      <c r="AH681" t="s">
        <v>83</v>
      </c>
      <c r="AI681" t="s">
        <v>88</v>
      </c>
      <c r="AJ681" t="s">
        <v>89</v>
      </c>
      <c r="AK681" t="s">
        <v>85</v>
      </c>
      <c r="AL681" t="s">
        <v>73</v>
      </c>
      <c r="AM681" t="s">
        <v>86</v>
      </c>
      <c r="AN681" t="s">
        <v>86</v>
      </c>
      <c r="AO681" t="s">
        <v>86</v>
      </c>
      <c r="AP681" t="s">
        <v>86</v>
      </c>
      <c r="AQ681" t="s">
        <v>86</v>
      </c>
      <c r="AR681" t="s">
        <v>108</v>
      </c>
      <c r="AS681" t="s">
        <v>76</v>
      </c>
      <c r="AT681" t="s">
        <v>73</v>
      </c>
      <c r="AU681">
        <v>1</v>
      </c>
      <c r="AV681">
        <v>0</v>
      </c>
      <c r="AW681">
        <v>0</v>
      </c>
      <c r="AX681">
        <v>0</v>
      </c>
      <c r="AY681">
        <v>0</v>
      </c>
      <c r="AZ681" t="s">
        <v>579</v>
      </c>
    </row>
    <row r="682" spans="1:52" x14ac:dyDescent="0.2">
      <c r="A682">
        <v>1</v>
      </c>
      <c r="B682">
        <v>0</v>
      </c>
      <c r="C682">
        <v>0</v>
      </c>
      <c r="D682">
        <v>0</v>
      </c>
      <c r="E682">
        <v>1</v>
      </c>
      <c r="F682">
        <v>0</v>
      </c>
      <c r="G682">
        <v>0</v>
      </c>
      <c r="H682">
        <v>0</v>
      </c>
      <c r="I682">
        <v>0</v>
      </c>
      <c r="L682">
        <v>1</v>
      </c>
      <c r="M682">
        <v>0</v>
      </c>
      <c r="N682">
        <v>0</v>
      </c>
      <c r="O682">
        <v>0</v>
      </c>
      <c r="P682">
        <v>0</v>
      </c>
      <c r="Q682" t="s">
        <v>584</v>
      </c>
      <c r="R682">
        <v>0</v>
      </c>
      <c r="S682">
        <v>0</v>
      </c>
      <c r="T682">
        <v>1</v>
      </c>
      <c r="U682">
        <v>0</v>
      </c>
      <c r="V682">
        <v>0</v>
      </c>
      <c r="W682">
        <v>0</v>
      </c>
      <c r="X682">
        <v>0</v>
      </c>
      <c r="Y682">
        <v>0</v>
      </c>
      <c r="Z682">
        <v>0</v>
      </c>
      <c r="AL682" t="s">
        <v>120</v>
      </c>
      <c r="AM682" t="s">
        <v>86</v>
      </c>
      <c r="AN682" t="s">
        <v>74</v>
      </c>
      <c r="AO682" t="s">
        <v>74</v>
      </c>
      <c r="AP682" t="s">
        <v>87</v>
      </c>
      <c r="AQ682" t="s">
        <v>87</v>
      </c>
      <c r="AR682" t="s">
        <v>75</v>
      </c>
      <c r="AS682" t="s">
        <v>76</v>
      </c>
      <c r="AT682" t="s">
        <v>120</v>
      </c>
      <c r="AU682">
        <v>0</v>
      </c>
      <c r="AV682">
        <v>0</v>
      </c>
      <c r="AW682">
        <v>0</v>
      </c>
      <c r="AX682">
        <v>1</v>
      </c>
      <c r="AY682">
        <v>0</v>
      </c>
      <c r="AZ682" t="s">
        <v>580</v>
      </c>
    </row>
    <row r="683" spans="1:52" x14ac:dyDescent="0.2">
      <c r="A683">
        <v>0</v>
      </c>
      <c r="B683">
        <v>1</v>
      </c>
      <c r="C683">
        <v>0</v>
      </c>
      <c r="D683">
        <v>0</v>
      </c>
      <c r="E683">
        <v>1</v>
      </c>
      <c r="F683">
        <v>0</v>
      </c>
      <c r="G683">
        <v>0</v>
      </c>
      <c r="H683">
        <v>0</v>
      </c>
      <c r="I683">
        <v>0</v>
      </c>
      <c r="L683">
        <v>0</v>
      </c>
      <c r="M683">
        <v>1</v>
      </c>
      <c r="N683">
        <v>0</v>
      </c>
      <c r="O683">
        <v>0</v>
      </c>
      <c r="P683">
        <v>0</v>
      </c>
      <c r="Q683" t="s">
        <v>584</v>
      </c>
      <c r="AA683" t="s">
        <v>90</v>
      </c>
      <c r="AB683" t="s">
        <v>82</v>
      </c>
      <c r="AC683" t="s">
        <v>83</v>
      </c>
      <c r="AD683" t="s">
        <v>90</v>
      </c>
      <c r="AE683" t="s">
        <v>90</v>
      </c>
      <c r="AF683" t="s">
        <v>90</v>
      </c>
      <c r="AG683" t="s">
        <v>90</v>
      </c>
      <c r="AH683" t="s">
        <v>83</v>
      </c>
      <c r="AI683" t="s">
        <v>84</v>
      </c>
      <c r="AJ683" t="s">
        <v>80</v>
      </c>
      <c r="AK683" t="s">
        <v>85</v>
      </c>
      <c r="AL683" t="s">
        <v>73</v>
      </c>
      <c r="AM683" t="s">
        <v>87</v>
      </c>
      <c r="AN683" t="s">
        <v>87</v>
      </c>
      <c r="AO683" t="s">
        <v>87</v>
      </c>
      <c r="AP683" t="s">
        <v>87</v>
      </c>
      <c r="AQ683" t="s">
        <v>87</v>
      </c>
      <c r="AR683" t="s">
        <v>101</v>
      </c>
      <c r="AS683" t="s">
        <v>76</v>
      </c>
      <c r="AT683" t="s">
        <v>73</v>
      </c>
      <c r="AU683">
        <v>0</v>
      </c>
      <c r="AV683">
        <v>0</v>
      </c>
      <c r="AW683">
        <v>0</v>
      </c>
      <c r="AX683">
        <v>1</v>
      </c>
      <c r="AY683">
        <v>0</v>
      </c>
      <c r="AZ683" t="s">
        <v>580</v>
      </c>
    </row>
    <row r="684" spans="1:52" x14ac:dyDescent="0.2">
      <c r="A684">
        <v>1</v>
      </c>
      <c r="B684">
        <v>0</v>
      </c>
      <c r="C684">
        <v>0</v>
      </c>
      <c r="D684">
        <v>0</v>
      </c>
      <c r="E684">
        <v>1</v>
      </c>
      <c r="F684">
        <v>0</v>
      </c>
      <c r="G684">
        <v>0</v>
      </c>
      <c r="H684">
        <v>0</v>
      </c>
      <c r="I684">
        <v>0</v>
      </c>
      <c r="L684">
        <v>0</v>
      </c>
      <c r="M684">
        <v>1</v>
      </c>
      <c r="N684">
        <v>0</v>
      </c>
      <c r="O684">
        <v>0</v>
      </c>
      <c r="P684">
        <v>0</v>
      </c>
      <c r="Q684" t="s">
        <v>584</v>
      </c>
      <c r="AA684" t="s">
        <v>83</v>
      </c>
      <c r="AB684" t="s">
        <v>82</v>
      </c>
      <c r="AC684" t="s">
        <v>83</v>
      </c>
      <c r="AD684" t="s">
        <v>83</v>
      </c>
      <c r="AE684" t="s">
        <v>82</v>
      </c>
      <c r="AF684" t="s">
        <v>83</v>
      </c>
      <c r="AG684" t="s">
        <v>83</v>
      </c>
      <c r="AH684" t="s">
        <v>81</v>
      </c>
      <c r="AI684" t="s">
        <v>88</v>
      </c>
      <c r="AJ684" t="s">
        <v>89</v>
      </c>
      <c r="AK684" t="s">
        <v>85</v>
      </c>
      <c r="AL684" t="s">
        <v>107</v>
      </c>
      <c r="AM684" t="s">
        <v>87</v>
      </c>
      <c r="AN684" t="s">
        <v>87</v>
      </c>
      <c r="AO684" t="s">
        <v>87</v>
      </c>
      <c r="AP684" t="s">
        <v>87</v>
      </c>
      <c r="AQ684" t="s">
        <v>87</v>
      </c>
      <c r="AR684" t="s">
        <v>113</v>
      </c>
      <c r="AS684" t="s">
        <v>76</v>
      </c>
      <c r="AT684" t="s">
        <v>107</v>
      </c>
      <c r="AU684">
        <v>1</v>
      </c>
      <c r="AV684">
        <v>0</v>
      </c>
      <c r="AW684">
        <v>0</v>
      </c>
      <c r="AX684">
        <v>0</v>
      </c>
      <c r="AY684">
        <v>0</v>
      </c>
      <c r="AZ684" t="s">
        <v>580</v>
      </c>
    </row>
    <row r="685" spans="1:52" x14ac:dyDescent="0.2">
      <c r="A685">
        <v>1</v>
      </c>
      <c r="B685">
        <v>0</v>
      </c>
      <c r="C685">
        <v>0</v>
      </c>
      <c r="D685">
        <v>0</v>
      </c>
      <c r="E685">
        <v>0</v>
      </c>
      <c r="F685">
        <v>1</v>
      </c>
      <c r="G685">
        <v>0</v>
      </c>
      <c r="H685">
        <v>0</v>
      </c>
      <c r="I685">
        <v>0</v>
      </c>
      <c r="J685" t="s">
        <v>135</v>
      </c>
      <c r="K685" t="s">
        <v>80</v>
      </c>
      <c r="L685">
        <v>1</v>
      </c>
      <c r="M685">
        <v>0</v>
      </c>
      <c r="N685">
        <v>0</v>
      </c>
      <c r="O685">
        <v>0</v>
      </c>
      <c r="P685">
        <v>0</v>
      </c>
      <c r="Q685" t="s">
        <v>584</v>
      </c>
      <c r="R685">
        <v>0</v>
      </c>
      <c r="S685">
        <v>0</v>
      </c>
      <c r="T685">
        <v>0</v>
      </c>
      <c r="U685">
        <v>1</v>
      </c>
      <c r="V685">
        <v>0</v>
      </c>
      <c r="W685">
        <v>0</v>
      </c>
      <c r="X685">
        <v>0</v>
      </c>
      <c r="Y685">
        <v>0</v>
      </c>
      <c r="Z685">
        <v>1</v>
      </c>
      <c r="AL685" t="s">
        <v>96</v>
      </c>
      <c r="AM685" t="s">
        <v>87</v>
      </c>
      <c r="AN685" t="s">
        <v>74</v>
      </c>
      <c r="AO685" t="s">
        <v>87</v>
      </c>
      <c r="AP685" t="s">
        <v>86</v>
      </c>
      <c r="AQ685" t="s">
        <v>87</v>
      </c>
      <c r="AR685" t="s">
        <v>75</v>
      </c>
      <c r="AS685" t="s">
        <v>76</v>
      </c>
      <c r="AT685" t="s">
        <v>96</v>
      </c>
      <c r="AU685">
        <v>1</v>
      </c>
      <c r="AV685">
        <v>0</v>
      </c>
      <c r="AW685">
        <v>0</v>
      </c>
      <c r="AX685">
        <v>0</v>
      </c>
      <c r="AY685">
        <v>0</v>
      </c>
      <c r="AZ685" t="s">
        <v>580</v>
      </c>
    </row>
    <row r="686" spans="1:52" x14ac:dyDescent="0.2">
      <c r="A686">
        <v>0</v>
      </c>
      <c r="B686">
        <v>1</v>
      </c>
      <c r="C686">
        <v>0</v>
      </c>
      <c r="D686">
        <v>0</v>
      </c>
      <c r="E686">
        <v>0</v>
      </c>
      <c r="F686">
        <v>1</v>
      </c>
      <c r="G686">
        <v>0</v>
      </c>
      <c r="H686">
        <v>0</v>
      </c>
      <c r="I686">
        <v>0</v>
      </c>
      <c r="J686" t="s">
        <v>79</v>
      </c>
      <c r="K686" t="s">
        <v>80</v>
      </c>
      <c r="L686">
        <v>1</v>
      </c>
      <c r="M686">
        <v>0</v>
      </c>
      <c r="N686">
        <v>0</v>
      </c>
      <c r="O686">
        <v>0</v>
      </c>
      <c r="P686">
        <v>0</v>
      </c>
      <c r="Q686" t="s">
        <v>584</v>
      </c>
      <c r="R686">
        <v>0</v>
      </c>
      <c r="S686">
        <v>0</v>
      </c>
      <c r="T686">
        <v>0</v>
      </c>
      <c r="U686">
        <v>0</v>
      </c>
      <c r="V686">
        <v>0</v>
      </c>
      <c r="W686">
        <v>0</v>
      </c>
      <c r="X686">
        <v>0</v>
      </c>
      <c r="Y686">
        <v>0</v>
      </c>
      <c r="Z686">
        <v>1</v>
      </c>
      <c r="AL686" t="s">
        <v>107</v>
      </c>
      <c r="AM686" t="s">
        <v>86</v>
      </c>
      <c r="AN686" t="s">
        <v>74</v>
      </c>
      <c r="AO686" t="s">
        <v>87</v>
      </c>
      <c r="AP686" t="s">
        <v>87</v>
      </c>
      <c r="AQ686" t="s">
        <v>74</v>
      </c>
      <c r="AR686" t="s">
        <v>113</v>
      </c>
      <c r="AS686" t="s">
        <v>92</v>
      </c>
      <c r="AT686" t="s">
        <v>107</v>
      </c>
      <c r="AU686">
        <v>1</v>
      </c>
      <c r="AV686">
        <v>0</v>
      </c>
      <c r="AW686">
        <v>0</v>
      </c>
      <c r="AX686">
        <v>0</v>
      </c>
      <c r="AY686">
        <v>0</v>
      </c>
      <c r="AZ686" t="s">
        <v>580</v>
      </c>
    </row>
    <row r="687" spans="1:52" x14ac:dyDescent="0.2">
      <c r="A687">
        <v>1</v>
      </c>
      <c r="B687">
        <v>0</v>
      </c>
      <c r="C687">
        <v>0</v>
      </c>
      <c r="D687">
        <v>0</v>
      </c>
      <c r="E687">
        <v>0</v>
      </c>
      <c r="F687">
        <v>1</v>
      </c>
      <c r="G687">
        <v>1</v>
      </c>
      <c r="H687">
        <v>1</v>
      </c>
      <c r="I687">
        <v>0</v>
      </c>
      <c r="J687" t="s">
        <v>88</v>
      </c>
      <c r="K687" t="s">
        <v>89</v>
      </c>
      <c r="L687">
        <v>0</v>
      </c>
      <c r="M687">
        <v>0</v>
      </c>
      <c r="N687">
        <v>0</v>
      </c>
      <c r="O687">
        <v>1</v>
      </c>
      <c r="P687">
        <v>0</v>
      </c>
      <c r="Q687" t="s">
        <v>585</v>
      </c>
      <c r="AA687" t="s">
        <v>90</v>
      </c>
      <c r="AB687" t="s">
        <v>82</v>
      </c>
      <c r="AC687" t="s">
        <v>82</v>
      </c>
      <c r="AD687" t="s">
        <v>81</v>
      </c>
      <c r="AE687" t="s">
        <v>90</v>
      </c>
      <c r="AF687" t="s">
        <v>90</v>
      </c>
      <c r="AG687" t="s">
        <v>90</v>
      </c>
      <c r="AH687" t="s">
        <v>90</v>
      </c>
      <c r="AI687" t="s">
        <v>88</v>
      </c>
      <c r="AJ687" t="s">
        <v>89</v>
      </c>
      <c r="AK687" t="s">
        <v>100</v>
      </c>
      <c r="AL687" t="s">
        <v>107</v>
      </c>
      <c r="AM687" t="s">
        <v>87</v>
      </c>
      <c r="AN687" t="s">
        <v>74</v>
      </c>
      <c r="AO687" t="s">
        <v>87</v>
      </c>
      <c r="AP687" t="s">
        <v>87</v>
      </c>
      <c r="AQ687" t="s">
        <v>87</v>
      </c>
      <c r="AR687" t="s">
        <v>75</v>
      </c>
      <c r="AS687" t="s">
        <v>92</v>
      </c>
      <c r="AT687" t="s">
        <v>107</v>
      </c>
      <c r="AU687">
        <v>0</v>
      </c>
      <c r="AV687">
        <v>0</v>
      </c>
      <c r="AW687">
        <v>0</v>
      </c>
      <c r="AX687">
        <v>1</v>
      </c>
      <c r="AY687">
        <v>0</v>
      </c>
      <c r="AZ687" t="s">
        <v>580</v>
      </c>
    </row>
    <row r="688" spans="1:52" x14ac:dyDescent="0.2">
      <c r="A688">
        <v>0</v>
      </c>
      <c r="B688">
        <v>1</v>
      </c>
      <c r="C688">
        <v>0</v>
      </c>
      <c r="D688">
        <v>0</v>
      </c>
      <c r="E688">
        <v>1</v>
      </c>
      <c r="F688">
        <v>0</v>
      </c>
      <c r="G688">
        <v>0</v>
      </c>
      <c r="H688">
        <v>0</v>
      </c>
      <c r="I688">
        <v>0</v>
      </c>
      <c r="L688">
        <v>1</v>
      </c>
      <c r="M688">
        <v>0</v>
      </c>
      <c r="N688">
        <v>0</v>
      </c>
      <c r="O688">
        <v>0</v>
      </c>
      <c r="P688">
        <v>0</v>
      </c>
      <c r="Q688" t="s">
        <v>584</v>
      </c>
      <c r="R688">
        <v>0</v>
      </c>
      <c r="S688">
        <v>0</v>
      </c>
      <c r="T688">
        <v>0</v>
      </c>
      <c r="U688">
        <v>0</v>
      </c>
      <c r="V688">
        <v>0</v>
      </c>
      <c r="W688">
        <v>0</v>
      </c>
      <c r="X688">
        <v>0</v>
      </c>
      <c r="Y688">
        <v>1</v>
      </c>
      <c r="Z688">
        <v>0</v>
      </c>
      <c r="AL688" t="s">
        <v>107</v>
      </c>
      <c r="AM688" t="s">
        <v>74</v>
      </c>
      <c r="AR688" t="s">
        <v>97</v>
      </c>
      <c r="AS688" t="s">
        <v>92</v>
      </c>
      <c r="AT688" t="s">
        <v>107</v>
      </c>
      <c r="AU688">
        <v>0</v>
      </c>
      <c r="AV688">
        <v>0</v>
      </c>
      <c r="AW688">
        <v>0</v>
      </c>
      <c r="AX688">
        <v>1</v>
      </c>
      <c r="AY688">
        <v>0</v>
      </c>
      <c r="AZ688" t="s">
        <v>580</v>
      </c>
    </row>
    <row r="689" spans="1:52" x14ac:dyDescent="0.2">
      <c r="A689">
        <v>1</v>
      </c>
      <c r="B689">
        <v>0</v>
      </c>
      <c r="C689">
        <v>0</v>
      </c>
      <c r="D689">
        <v>0</v>
      </c>
      <c r="E689">
        <v>0</v>
      </c>
      <c r="F689">
        <v>1</v>
      </c>
      <c r="G689">
        <v>0</v>
      </c>
      <c r="H689">
        <v>0</v>
      </c>
      <c r="I689">
        <v>0</v>
      </c>
      <c r="J689" t="s">
        <v>79</v>
      </c>
      <c r="K689" t="s">
        <v>80</v>
      </c>
      <c r="L689">
        <v>0</v>
      </c>
      <c r="M689">
        <v>1</v>
      </c>
      <c r="N689">
        <v>1</v>
      </c>
      <c r="O689">
        <v>0</v>
      </c>
      <c r="P689">
        <v>0</v>
      </c>
      <c r="Q689" t="s">
        <v>584</v>
      </c>
      <c r="AA689" t="s">
        <v>90</v>
      </c>
      <c r="AB689" t="s">
        <v>90</v>
      </c>
      <c r="AC689" t="s">
        <v>83</v>
      </c>
      <c r="AD689" t="s">
        <v>90</v>
      </c>
      <c r="AE689" t="s">
        <v>81</v>
      </c>
      <c r="AF689" t="s">
        <v>90</v>
      </c>
      <c r="AG689" t="s">
        <v>83</v>
      </c>
      <c r="AH689" t="s">
        <v>90</v>
      </c>
      <c r="AI689" t="s">
        <v>84</v>
      </c>
      <c r="AJ689" t="s">
        <v>80</v>
      </c>
      <c r="AK689" t="s">
        <v>117</v>
      </c>
      <c r="AL689" t="s">
        <v>73</v>
      </c>
      <c r="AM689" t="s">
        <v>86</v>
      </c>
      <c r="AN689" t="s">
        <v>86</v>
      </c>
      <c r="AO689" t="s">
        <v>86</v>
      </c>
      <c r="AP689" t="s">
        <v>86</v>
      </c>
      <c r="AQ689" t="s">
        <v>86</v>
      </c>
      <c r="AR689" t="s">
        <v>75</v>
      </c>
      <c r="AS689" t="s">
        <v>76</v>
      </c>
      <c r="AT689" t="s">
        <v>73</v>
      </c>
      <c r="AU689">
        <v>1</v>
      </c>
      <c r="AV689">
        <v>0</v>
      </c>
      <c r="AW689">
        <v>0</v>
      </c>
      <c r="AX689">
        <v>0</v>
      </c>
      <c r="AY689">
        <v>0</v>
      </c>
      <c r="AZ689" t="s">
        <v>580</v>
      </c>
    </row>
    <row r="690" spans="1:52" x14ac:dyDescent="0.2">
      <c r="A690">
        <v>1</v>
      </c>
      <c r="B690">
        <v>0</v>
      </c>
      <c r="C690">
        <v>0</v>
      </c>
      <c r="D690">
        <v>0</v>
      </c>
      <c r="E690">
        <v>0</v>
      </c>
      <c r="F690">
        <v>1</v>
      </c>
      <c r="G690">
        <v>0</v>
      </c>
      <c r="H690">
        <v>0</v>
      </c>
      <c r="I690">
        <v>0</v>
      </c>
      <c r="J690" t="s">
        <v>135</v>
      </c>
      <c r="K690" t="s">
        <v>127</v>
      </c>
      <c r="L690">
        <v>0</v>
      </c>
      <c r="M690">
        <v>0</v>
      </c>
      <c r="N690">
        <v>1</v>
      </c>
      <c r="O690">
        <v>0</v>
      </c>
      <c r="P690">
        <v>0</v>
      </c>
      <c r="Q690" t="s">
        <v>584</v>
      </c>
      <c r="AA690" t="s">
        <v>83</v>
      </c>
      <c r="AB690" t="s">
        <v>81</v>
      </c>
      <c r="AC690" t="s">
        <v>83</v>
      </c>
      <c r="AD690" t="s">
        <v>82</v>
      </c>
      <c r="AE690" t="s">
        <v>81</v>
      </c>
      <c r="AF690" t="s">
        <v>83</v>
      </c>
      <c r="AG690" t="s">
        <v>83</v>
      </c>
      <c r="AH690" t="s">
        <v>83</v>
      </c>
      <c r="AI690" t="s">
        <v>135</v>
      </c>
      <c r="AJ690" t="s">
        <v>127</v>
      </c>
      <c r="AK690" t="s">
        <v>85</v>
      </c>
      <c r="AL690" t="s">
        <v>96</v>
      </c>
      <c r="AM690" t="s">
        <v>87</v>
      </c>
      <c r="AN690" t="s">
        <v>87</v>
      </c>
      <c r="AO690" t="s">
        <v>87</v>
      </c>
      <c r="AP690" t="s">
        <v>87</v>
      </c>
      <c r="AQ690" t="s">
        <v>87</v>
      </c>
      <c r="AR690" t="s">
        <v>101</v>
      </c>
      <c r="AS690" t="s">
        <v>76</v>
      </c>
      <c r="AT690" t="s">
        <v>96</v>
      </c>
      <c r="AU690">
        <v>0</v>
      </c>
      <c r="AV690">
        <v>0</v>
      </c>
      <c r="AW690">
        <v>0</v>
      </c>
      <c r="AX690">
        <v>1</v>
      </c>
      <c r="AY690">
        <v>0</v>
      </c>
      <c r="AZ690" t="s">
        <v>578</v>
      </c>
    </row>
    <row r="691" spans="1:52" x14ac:dyDescent="0.2">
      <c r="A691">
        <v>0</v>
      </c>
      <c r="B691">
        <v>1</v>
      </c>
      <c r="C691">
        <v>0</v>
      </c>
      <c r="D691">
        <v>0</v>
      </c>
      <c r="E691">
        <v>1</v>
      </c>
      <c r="F691">
        <v>0</v>
      </c>
      <c r="G691">
        <v>0</v>
      </c>
      <c r="H691">
        <v>0</v>
      </c>
      <c r="I691">
        <v>0</v>
      </c>
      <c r="L691">
        <v>0</v>
      </c>
      <c r="M691">
        <v>0</v>
      </c>
      <c r="N691">
        <v>0</v>
      </c>
      <c r="O691">
        <v>0</v>
      </c>
      <c r="P691">
        <v>0</v>
      </c>
      <c r="Q691" t="s">
        <v>585</v>
      </c>
      <c r="AA691" t="s">
        <v>81</v>
      </c>
      <c r="AB691" t="s">
        <v>81</v>
      </c>
      <c r="AC691" t="s">
        <v>81</v>
      </c>
      <c r="AD691" t="s">
        <v>81</v>
      </c>
      <c r="AE691" t="s">
        <v>83</v>
      </c>
      <c r="AF691" t="s">
        <v>83</v>
      </c>
      <c r="AG691" t="s">
        <v>83</v>
      </c>
      <c r="AH691" t="s">
        <v>83</v>
      </c>
      <c r="AI691" t="s">
        <v>135</v>
      </c>
      <c r="AJ691" t="s">
        <v>127</v>
      </c>
      <c r="AK691" t="s">
        <v>85</v>
      </c>
      <c r="AL691" t="s">
        <v>107</v>
      </c>
      <c r="AM691" t="s">
        <v>86</v>
      </c>
      <c r="AN691" t="s">
        <v>86</v>
      </c>
      <c r="AO691" t="s">
        <v>86</v>
      </c>
      <c r="AP691" t="s">
        <v>86</v>
      </c>
      <c r="AQ691" t="s">
        <v>86</v>
      </c>
      <c r="AR691" t="s">
        <v>101</v>
      </c>
      <c r="AS691" t="s">
        <v>76</v>
      </c>
      <c r="AT691" t="s">
        <v>107</v>
      </c>
      <c r="AU691">
        <v>1</v>
      </c>
      <c r="AV691">
        <v>0</v>
      </c>
      <c r="AW691">
        <v>0</v>
      </c>
      <c r="AX691">
        <v>0</v>
      </c>
      <c r="AY691">
        <v>0</v>
      </c>
      <c r="AZ691" t="s">
        <v>580</v>
      </c>
    </row>
    <row r="692" spans="1:52" x14ac:dyDescent="0.2">
      <c r="A692">
        <v>1</v>
      </c>
      <c r="B692">
        <v>0</v>
      </c>
      <c r="C692">
        <v>0</v>
      </c>
      <c r="D692">
        <v>0</v>
      </c>
      <c r="E692">
        <v>0</v>
      </c>
      <c r="F692">
        <v>1</v>
      </c>
      <c r="G692">
        <v>1</v>
      </c>
      <c r="H692">
        <v>0</v>
      </c>
      <c r="I692">
        <v>0</v>
      </c>
      <c r="J692" t="s">
        <v>79</v>
      </c>
      <c r="K692" t="s">
        <v>89</v>
      </c>
      <c r="L692">
        <v>0</v>
      </c>
      <c r="M692">
        <v>1</v>
      </c>
      <c r="N692">
        <v>0</v>
      </c>
      <c r="O692">
        <v>0</v>
      </c>
      <c r="P692">
        <v>0</v>
      </c>
      <c r="Q692" t="s">
        <v>584</v>
      </c>
      <c r="AA692" t="s">
        <v>81</v>
      </c>
      <c r="AB692" t="s">
        <v>82</v>
      </c>
      <c r="AC692" t="s">
        <v>81</v>
      </c>
      <c r="AD692" t="s">
        <v>90</v>
      </c>
      <c r="AE692" t="s">
        <v>82</v>
      </c>
      <c r="AF692" t="s">
        <v>81</v>
      </c>
      <c r="AG692" t="s">
        <v>83</v>
      </c>
      <c r="AH692" t="s">
        <v>83</v>
      </c>
      <c r="AI692" t="s">
        <v>88</v>
      </c>
      <c r="AJ692" t="s">
        <v>89</v>
      </c>
      <c r="AK692" t="s">
        <v>100</v>
      </c>
      <c r="AL692" t="s">
        <v>96</v>
      </c>
      <c r="AM692" t="s">
        <v>87</v>
      </c>
      <c r="AN692" t="s">
        <v>87</v>
      </c>
      <c r="AO692" t="s">
        <v>87</v>
      </c>
      <c r="AP692" t="s">
        <v>87</v>
      </c>
      <c r="AQ692" t="s">
        <v>87</v>
      </c>
      <c r="AR692" t="s">
        <v>97</v>
      </c>
      <c r="AS692" t="s">
        <v>76</v>
      </c>
      <c r="AT692" t="s">
        <v>96</v>
      </c>
      <c r="AU692">
        <v>1</v>
      </c>
      <c r="AV692">
        <v>0</v>
      </c>
      <c r="AW692">
        <v>0</v>
      </c>
      <c r="AX692">
        <v>0</v>
      </c>
      <c r="AY692">
        <v>0</v>
      </c>
      <c r="AZ692" t="s">
        <v>581</v>
      </c>
    </row>
    <row r="693" spans="1:52" x14ac:dyDescent="0.2">
      <c r="A693">
        <v>1</v>
      </c>
      <c r="B693">
        <v>0</v>
      </c>
      <c r="C693">
        <v>0</v>
      </c>
      <c r="D693">
        <v>0</v>
      </c>
      <c r="E693">
        <v>0</v>
      </c>
      <c r="F693">
        <v>1</v>
      </c>
      <c r="G693">
        <v>0</v>
      </c>
      <c r="H693">
        <v>0</v>
      </c>
      <c r="I693">
        <v>0</v>
      </c>
      <c r="J693" t="s">
        <v>79</v>
      </c>
      <c r="K693" t="s">
        <v>80</v>
      </c>
      <c r="L693">
        <v>0</v>
      </c>
      <c r="M693">
        <v>1</v>
      </c>
      <c r="N693">
        <v>0</v>
      </c>
      <c r="O693">
        <v>0</v>
      </c>
      <c r="P693">
        <v>0</v>
      </c>
      <c r="Q693" t="s">
        <v>584</v>
      </c>
      <c r="AA693" t="s">
        <v>90</v>
      </c>
      <c r="AB693" t="s">
        <v>82</v>
      </c>
      <c r="AC693" t="s">
        <v>90</v>
      </c>
      <c r="AD693" t="s">
        <v>81</v>
      </c>
      <c r="AE693" t="s">
        <v>83</v>
      </c>
      <c r="AF693" t="s">
        <v>90</v>
      </c>
      <c r="AG693" t="s">
        <v>90</v>
      </c>
      <c r="AH693" t="s">
        <v>90</v>
      </c>
      <c r="AI693" t="s">
        <v>88</v>
      </c>
      <c r="AJ693" t="s">
        <v>89</v>
      </c>
      <c r="AK693" t="s">
        <v>85</v>
      </c>
      <c r="AL693" t="s">
        <v>73</v>
      </c>
      <c r="AM693" t="s">
        <v>87</v>
      </c>
      <c r="AN693" t="s">
        <v>87</v>
      </c>
      <c r="AO693" t="s">
        <v>87</v>
      </c>
      <c r="AP693" t="s">
        <v>87</v>
      </c>
      <c r="AQ693" t="s">
        <v>87</v>
      </c>
      <c r="AR693" t="s">
        <v>108</v>
      </c>
      <c r="AS693" t="s">
        <v>92</v>
      </c>
      <c r="AT693" t="s">
        <v>73</v>
      </c>
      <c r="AU693">
        <v>0</v>
      </c>
      <c r="AV693">
        <v>0</v>
      </c>
      <c r="AW693">
        <v>0</v>
      </c>
      <c r="AX693">
        <v>1</v>
      </c>
      <c r="AY693">
        <v>0</v>
      </c>
      <c r="AZ693" t="s">
        <v>580</v>
      </c>
    </row>
    <row r="694" spans="1:52" x14ac:dyDescent="0.2">
      <c r="A694">
        <v>0</v>
      </c>
      <c r="B694">
        <v>1</v>
      </c>
      <c r="C694">
        <v>0</v>
      </c>
      <c r="D694">
        <v>0</v>
      </c>
      <c r="E694">
        <v>1</v>
      </c>
      <c r="F694">
        <v>0</v>
      </c>
      <c r="G694">
        <v>0</v>
      </c>
      <c r="H694">
        <v>0</v>
      </c>
      <c r="I694">
        <v>0</v>
      </c>
      <c r="L694">
        <v>1</v>
      </c>
      <c r="M694">
        <v>0</v>
      </c>
      <c r="N694">
        <v>0</v>
      </c>
      <c r="O694">
        <v>0</v>
      </c>
      <c r="P694">
        <v>0</v>
      </c>
      <c r="Q694" t="s">
        <v>584</v>
      </c>
      <c r="R694">
        <v>0</v>
      </c>
      <c r="S694">
        <v>0</v>
      </c>
      <c r="T694">
        <v>1</v>
      </c>
      <c r="U694">
        <v>0</v>
      </c>
      <c r="V694">
        <v>1</v>
      </c>
      <c r="W694">
        <v>0</v>
      </c>
      <c r="X694">
        <v>0</v>
      </c>
      <c r="Y694">
        <v>0</v>
      </c>
      <c r="Z694">
        <v>0</v>
      </c>
      <c r="AL694" t="s">
        <v>120</v>
      </c>
      <c r="AM694" t="s">
        <v>87</v>
      </c>
      <c r="AN694" t="s">
        <v>87</v>
      </c>
      <c r="AO694" t="s">
        <v>87</v>
      </c>
      <c r="AP694" t="s">
        <v>87</v>
      </c>
      <c r="AQ694" t="s">
        <v>87</v>
      </c>
      <c r="AR694" t="s">
        <v>75</v>
      </c>
      <c r="AS694" t="s">
        <v>76</v>
      </c>
      <c r="AT694" t="s">
        <v>120</v>
      </c>
      <c r="AU694">
        <v>0</v>
      </c>
      <c r="AV694">
        <v>0</v>
      </c>
      <c r="AW694">
        <v>0</v>
      </c>
      <c r="AX694">
        <v>1</v>
      </c>
      <c r="AY694">
        <v>0</v>
      </c>
      <c r="AZ694" t="s">
        <v>579</v>
      </c>
    </row>
    <row r="695" spans="1:52" x14ac:dyDescent="0.2">
      <c r="A695">
        <v>0</v>
      </c>
      <c r="B695">
        <v>1</v>
      </c>
      <c r="C695">
        <v>0</v>
      </c>
      <c r="D695">
        <v>0</v>
      </c>
      <c r="E695">
        <v>1</v>
      </c>
      <c r="F695">
        <v>0</v>
      </c>
      <c r="G695">
        <v>0</v>
      </c>
      <c r="H695">
        <v>0</v>
      </c>
      <c r="I695">
        <v>0</v>
      </c>
      <c r="L695">
        <v>1</v>
      </c>
      <c r="M695">
        <v>0</v>
      </c>
      <c r="N695">
        <v>0</v>
      </c>
      <c r="O695">
        <v>0</v>
      </c>
      <c r="P695">
        <v>0</v>
      </c>
      <c r="Q695" t="s">
        <v>584</v>
      </c>
      <c r="R695">
        <v>0</v>
      </c>
      <c r="S695">
        <v>0</v>
      </c>
      <c r="T695">
        <v>1</v>
      </c>
      <c r="U695">
        <v>0</v>
      </c>
      <c r="V695">
        <v>1</v>
      </c>
      <c r="W695">
        <v>0</v>
      </c>
      <c r="X695">
        <v>0</v>
      </c>
      <c r="Y695">
        <v>1</v>
      </c>
      <c r="Z695">
        <v>0</v>
      </c>
      <c r="AL695" t="s">
        <v>120</v>
      </c>
      <c r="AM695" t="s">
        <v>86</v>
      </c>
      <c r="AN695" t="s">
        <v>86</v>
      </c>
      <c r="AO695" t="s">
        <v>74</v>
      </c>
      <c r="AP695" t="s">
        <v>86</v>
      </c>
      <c r="AQ695" t="s">
        <v>87</v>
      </c>
      <c r="AR695" t="s">
        <v>101</v>
      </c>
      <c r="AS695" t="s">
        <v>76</v>
      </c>
      <c r="AT695" t="s">
        <v>120</v>
      </c>
      <c r="AU695">
        <v>0</v>
      </c>
      <c r="AV695">
        <v>0</v>
      </c>
      <c r="AW695">
        <v>0</v>
      </c>
      <c r="AX695">
        <v>1</v>
      </c>
      <c r="AY695">
        <v>0</v>
      </c>
      <c r="AZ695" t="s">
        <v>579</v>
      </c>
    </row>
    <row r="696" spans="1:52" x14ac:dyDescent="0.2">
      <c r="A696">
        <v>1</v>
      </c>
      <c r="B696">
        <v>0</v>
      </c>
      <c r="C696">
        <v>0</v>
      </c>
      <c r="D696">
        <v>0</v>
      </c>
      <c r="E696">
        <v>1</v>
      </c>
      <c r="F696">
        <v>0</v>
      </c>
      <c r="G696">
        <v>0</v>
      </c>
      <c r="H696">
        <v>0</v>
      </c>
      <c r="I696">
        <v>0</v>
      </c>
      <c r="L696">
        <v>1</v>
      </c>
      <c r="M696">
        <v>0</v>
      </c>
      <c r="N696">
        <v>0</v>
      </c>
      <c r="O696">
        <v>0</v>
      </c>
      <c r="P696">
        <v>0</v>
      </c>
      <c r="Q696" t="s">
        <v>584</v>
      </c>
      <c r="R696">
        <v>1</v>
      </c>
      <c r="S696">
        <v>0</v>
      </c>
      <c r="T696">
        <v>0</v>
      </c>
      <c r="U696">
        <v>0</v>
      </c>
      <c r="V696">
        <v>0</v>
      </c>
      <c r="W696">
        <v>0</v>
      </c>
      <c r="X696">
        <v>0</v>
      </c>
      <c r="Y696">
        <v>0</v>
      </c>
      <c r="Z696">
        <v>0</v>
      </c>
      <c r="AL696" t="s">
        <v>96</v>
      </c>
      <c r="AM696" t="s">
        <v>87</v>
      </c>
      <c r="AN696" t="s">
        <v>87</v>
      </c>
      <c r="AO696" t="s">
        <v>87</v>
      </c>
      <c r="AP696" t="s">
        <v>87</v>
      </c>
      <c r="AQ696" t="s">
        <v>87</v>
      </c>
      <c r="AR696" t="s">
        <v>75</v>
      </c>
      <c r="AS696" t="s">
        <v>92</v>
      </c>
      <c r="AT696" t="s">
        <v>96</v>
      </c>
      <c r="AU696">
        <v>1</v>
      </c>
      <c r="AV696">
        <v>0</v>
      </c>
      <c r="AW696">
        <v>0</v>
      </c>
      <c r="AX696">
        <v>0</v>
      </c>
      <c r="AY696">
        <v>0</v>
      </c>
      <c r="AZ696" t="s">
        <v>579</v>
      </c>
    </row>
    <row r="697" spans="1:52" x14ac:dyDescent="0.2">
      <c r="A697">
        <v>1</v>
      </c>
      <c r="B697">
        <v>0</v>
      </c>
      <c r="C697">
        <v>0</v>
      </c>
      <c r="D697">
        <v>0</v>
      </c>
      <c r="E697">
        <v>1</v>
      </c>
      <c r="F697">
        <v>0</v>
      </c>
      <c r="G697">
        <v>0</v>
      </c>
      <c r="H697">
        <v>0</v>
      </c>
      <c r="I697">
        <v>0</v>
      </c>
      <c r="L697">
        <v>1</v>
      </c>
      <c r="M697">
        <v>0</v>
      </c>
      <c r="N697">
        <v>0</v>
      </c>
      <c r="O697">
        <v>0</v>
      </c>
      <c r="P697">
        <v>0</v>
      </c>
      <c r="Q697" t="s">
        <v>584</v>
      </c>
      <c r="R697">
        <v>0</v>
      </c>
      <c r="S697">
        <v>1</v>
      </c>
      <c r="T697">
        <v>0</v>
      </c>
      <c r="U697">
        <v>0</v>
      </c>
      <c r="V697">
        <v>0</v>
      </c>
      <c r="W697">
        <v>0</v>
      </c>
      <c r="X697">
        <v>0</v>
      </c>
      <c r="Y697">
        <v>0</v>
      </c>
      <c r="Z697">
        <v>0</v>
      </c>
      <c r="AL697" t="s">
        <v>73</v>
      </c>
      <c r="AM697" t="s">
        <v>87</v>
      </c>
      <c r="AN697" t="s">
        <v>87</v>
      </c>
      <c r="AO697" t="s">
        <v>86</v>
      </c>
      <c r="AP697" t="s">
        <v>87</v>
      </c>
      <c r="AQ697" t="s">
        <v>86</v>
      </c>
      <c r="AR697" t="s">
        <v>97</v>
      </c>
      <c r="AS697" t="s">
        <v>92</v>
      </c>
      <c r="AT697" t="s">
        <v>73</v>
      </c>
      <c r="AU697">
        <v>0</v>
      </c>
      <c r="AV697">
        <v>0</v>
      </c>
      <c r="AW697">
        <v>0</v>
      </c>
      <c r="AX697">
        <v>1</v>
      </c>
      <c r="AY697">
        <v>0</v>
      </c>
      <c r="AZ697" t="s">
        <v>581</v>
      </c>
    </row>
    <row r="698" spans="1:52" x14ac:dyDescent="0.2">
      <c r="A698">
        <v>1</v>
      </c>
      <c r="B698">
        <v>0</v>
      </c>
      <c r="C698">
        <v>0</v>
      </c>
      <c r="D698">
        <v>0</v>
      </c>
      <c r="E698">
        <v>1</v>
      </c>
      <c r="F698">
        <v>0</v>
      </c>
      <c r="G698">
        <v>0</v>
      </c>
      <c r="H698">
        <v>0</v>
      </c>
      <c r="I698">
        <v>0</v>
      </c>
      <c r="L698">
        <v>1</v>
      </c>
      <c r="M698">
        <v>0</v>
      </c>
      <c r="N698">
        <v>0</v>
      </c>
      <c r="O698">
        <v>0</v>
      </c>
      <c r="P698">
        <v>0</v>
      </c>
      <c r="Q698" t="s">
        <v>584</v>
      </c>
      <c r="R698">
        <v>0</v>
      </c>
      <c r="S698">
        <v>0</v>
      </c>
      <c r="T698">
        <v>1</v>
      </c>
      <c r="U698">
        <v>0</v>
      </c>
      <c r="V698">
        <v>0</v>
      </c>
      <c r="W698">
        <v>0</v>
      </c>
      <c r="X698">
        <v>0</v>
      </c>
      <c r="Y698">
        <v>0</v>
      </c>
      <c r="Z698">
        <v>0</v>
      </c>
      <c r="AL698" t="s">
        <v>73</v>
      </c>
      <c r="AM698" t="s">
        <v>74</v>
      </c>
      <c r="AR698" t="s">
        <v>97</v>
      </c>
      <c r="AS698" t="s">
        <v>92</v>
      </c>
      <c r="AT698" t="s">
        <v>73</v>
      </c>
      <c r="AU698">
        <v>0</v>
      </c>
      <c r="AV698">
        <v>1</v>
      </c>
      <c r="AW698">
        <v>0</v>
      </c>
      <c r="AX698">
        <v>0</v>
      </c>
      <c r="AY698">
        <v>0</v>
      </c>
      <c r="AZ698" t="s">
        <v>581</v>
      </c>
    </row>
    <row r="699" spans="1:52" x14ac:dyDescent="0.2">
      <c r="A699">
        <v>0</v>
      </c>
      <c r="B699">
        <v>1</v>
      </c>
      <c r="C699">
        <v>0</v>
      </c>
      <c r="D699">
        <v>0</v>
      </c>
      <c r="E699">
        <v>1</v>
      </c>
      <c r="F699">
        <v>0</v>
      </c>
      <c r="G699">
        <v>0</v>
      </c>
      <c r="H699">
        <v>0</v>
      </c>
      <c r="I699">
        <v>0</v>
      </c>
      <c r="L699">
        <v>0</v>
      </c>
      <c r="M699">
        <v>1</v>
      </c>
      <c r="N699">
        <v>0</v>
      </c>
      <c r="O699">
        <v>0</v>
      </c>
      <c r="P699">
        <v>0</v>
      </c>
      <c r="Q699" t="s">
        <v>584</v>
      </c>
      <c r="AA699" t="s">
        <v>83</v>
      </c>
      <c r="AB699" t="s">
        <v>81</v>
      </c>
      <c r="AC699" t="s">
        <v>83</v>
      </c>
      <c r="AD699" t="s">
        <v>83</v>
      </c>
      <c r="AE699" t="s">
        <v>83</v>
      </c>
      <c r="AF699" t="s">
        <v>83</v>
      </c>
      <c r="AG699" t="s">
        <v>83</v>
      </c>
      <c r="AH699" t="s">
        <v>83</v>
      </c>
      <c r="AI699" t="s">
        <v>88</v>
      </c>
      <c r="AJ699" t="s">
        <v>89</v>
      </c>
      <c r="AK699" t="s">
        <v>100</v>
      </c>
      <c r="AL699" t="s">
        <v>120</v>
      </c>
      <c r="AM699" t="s">
        <v>87</v>
      </c>
      <c r="AN699" t="s">
        <v>87</v>
      </c>
      <c r="AO699" t="s">
        <v>87</v>
      </c>
      <c r="AP699" t="s">
        <v>87</v>
      </c>
      <c r="AQ699" t="s">
        <v>87</v>
      </c>
      <c r="AR699" t="s">
        <v>97</v>
      </c>
      <c r="AS699" t="s">
        <v>76</v>
      </c>
      <c r="AT699" t="s">
        <v>120</v>
      </c>
      <c r="AU699">
        <v>0</v>
      </c>
      <c r="AV699">
        <v>0</v>
      </c>
      <c r="AW699">
        <v>1</v>
      </c>
      <c r="AX699">
        <v>0</v>
      </c>
      <c r="AY699">
        <v>0</v>
      </c>
      <c r="AZ699" t="s">
        <v>580</v>
      </c>
    </row>
    <row r="700" spans="1:52" x14ac:dyDescent="0.2">
      <c r="A700">
        <v>1</v>
      </c>
      <c r="B700">
        <v>0</v>
      </c>
      <c r="C700">
        <v>0</v>
      </c>
      <c r="D700">
        <v>0</v>
      </c>
      <c r="E700">
        <v>1</v>
      </c>
      <c r="F700">
        <v>0</v>
      </c>
      <c r="G700">
        <v>0</v>
      </c>
      <c r="H700">
        <v>0</v>
      </c>
      <c r="I700">
        <v>0</v>
      </c>
      <c r="L700">
        <v>1</v>
      </c>
      <c r="M700">
        <v>0</v>
      </c>
      <c r="N700">
        <v>0</v>
      </c>
      <c r="O700">
        <v>0</v>
      </c>
      <c r="P700">
        <v>0</v>
      </c>
      <c r="Q700" t="s">
        <v>584</v>
      </c>
      <c r="R700">
        <v>0</v>
      </c>
      <c r="S700">
        <v>0</v>
      </c>
      <c r="T700">
        <v>1</v>
      </c>
      <c r="U700">
        <v>0</v>
      </c>
      <c r="V700">
        <v>0</v>
      </c>
      <c r="W700">
        <v>0</v>
      </c>
      <c r="X700">
        <v>0</v>
      </c>
      <c r="Y700">
        <v>0</v>
      </c>
      <c r="Z700">
        <v>0</v>
      </c>
      <c r="AL700" t="s">
        <v>73</v>
      </c>
      <c r="AM700" t="s">
        <v>87</v>
      </c>
      <c r="AN700" t="s">
        <v>87</v>
      </c>
      <c r="AO700" t="s">
        <v>74</v>
      </c>
      <c r="AP700" t="s">
        <v>74</v>
      </c>
      <c r="AQ700" t="s">
        <v>74</v>
      </c>
      <c r="AR700" t="s">
        <v>75</v>
      </c>
      <c r="AS700" t="s">
        <v>76</v>
      </c>
      <c r="AT700" t="s">
        <v>73</v>
      </c>
      <c r="AU700">
        <v>0</v>
      </c>
      <c r="AV700">
        <v>1</v>
      </c>
      <c r="AW700">
        <v>0</v>
      </c>
      <c r="AX700">
        <v>0</v>
      </c>
      <c r="AY700">
        <v>0</v>
      </c>
      <c r="AZ700" t="s">
        <v>580</v>
      </c>
    </row>
    <row r="701" spans="1:52" x14ac:dyDescent="0.2">
      <c r="A701">
        <v>1</v>
      </c>
      <c r="B701">
        <v>0</v>
      </c>
      <c r="C701">
        <v>0</v>
      </c>
      <c r="D701">
        <v>0</v>
      </c>
      <c r="E701">
        <v>0</v>
      </c>
      <c r="F701">
        <v>1</v>
      </c>
      <c r="G701">
        <v>0</v>
      </c>
      <c r="H701">
        <v>0</v>
      </c>
      <c r="I701">
        <v>0</v>
      </c>
      <c r="J701" t="s">
        <v>135</v>
      </c>
      <c r="K701" t="s">
        <v>142</v>
      </c>
      <c r="L701">
        <v>1</v>
      </c>
      <c r="M701">
        <v>0</v>
      </c>
      <c r="N701">
        <v>0</v>
      </c>
      <c r="O701">
        <v>0</v>
      </c>
      <c r="P701">
        <v>0</v>
      </c>
      <c r="Q701" t="s">
        <v>584</v>
      </c>
      <c r="R701">
        <v>0</v>
      </c>
      <c r="S701">
        <v>0</v>
      </c>
      <c r="T701">
        <v>0</v>
      </c>
      <c r="U701">
        <v>0</v>
      </c>
      <c r="V701">
        <v>0</v>
      </c>
      <c r="W701">
        <v>0</v>
      </c>
      <c r="X701">
        <v>1</v>
      </c>
      <c r="Y701">
        <v>0</v>
      </c>
      <c r="Z701">
        <v>0</v>
      </c>
      <c r="AL701" t="s">
        <v>73</v>
      </c>
      <c r="AM701" t="s">
        <v>74</v>
      </c>
      <c r="AR701" t="s">
        <v>97</v>
      </c>
      <c r="AS701" t="s">
        <v>76</v>
      </c>
      <c r="AT701" t="s">
        <v>73</v>
      </c>
      <c r="AU701">
        <v>0</v>
      </c>
      <c r="AV701">
        <v>0</v>
      </c>
      <c r="AW701">
        <v>1</v>
      </c>
      <c r="AX701">
        <v>1</v>
      </c>
      <c r="AY701">
        <v>0</v>
      </c>
      <c r="AZ701" t="s">
        <v>580</v>
      </c>
    </row>
    <row r="702" spans="1:52" x14ac:dyDescent="0.2">
      <c r="A702">
        <v>1</v>
      </c>
      <c r="B702">
        <v>0</v>
      </c>
      <c r="C702">
        <v>0</v>
      </c>
      <c r="D702">
        <v>0</v>
      </c>
      <c r="E702">
        <v>0</v>
      </c>
      <c r="F702">
        <v>1</v>
      </c>
      <c r="G702">
        <v>1</v>
      </c>
      <c r="H702">
        <v>0</v>
      </c>
      <c r="I702">
        <v>0</v>
      </c>
      <c r="J702" t="s">
        <v>88</v>
      </c>
      <c r="K702" t="s">
        <v>89</v>
      </c>
      <c r="L702">
        <v>0</v>
      </c>
      <c r="M702">
        <v>0</v>
      </c>
      <c r="N702">
        <v>1</v>
      </c>
      <c r="O702">
        <v>0</v>
      </c>
      <c r="P702">
        <v>0</v>
      </c>
      <c r="Q702" t="s">
        <v>584</v>
      </c>
      <c r="AA702" t="s">
        <v>81</v>
      </c>
      <c r="AB702" t="s">
        <v>82</v>
      </c>
      <c r="AC702" t="s">
        <v>83</v>
      </c>
      <c r="AD702" t="s">
        <v>82</v>
      </c>
      <c r="AE702" t="s">
        <v>82</v>
      </c>
      <c r="AF702" t="s">
        <v>83</v>
      </c>
      <c r="AG702" t="s">
        <v>83</v>
      </c>
      <c r="AH702" t="s">
        <v>81</v>
      </c>
      <c r="AI702" t="s">
        <v>88</v>
      </c>
      <c r="AJ702" t="s">
        <v>89</v>
      </c>
      <c r="AK702" t="s">
        <v>85</v>
      </c>
      <c r="AL702" t="s">
        <v>73</v>
      </c>
      <c r="AM702" t="s">
        <v>87</v>
      </c>
      <c r="AN702" t="s">
        <v>87</v>
      </c>
      <c r="AO702" t="s">
        <v>87</v>
      </c>
      <c r="AP702" t="s">
        <v>87</v>
      </c>
      <c r="AQ702" t="s">
        <v>87</v>
      </c>
      <c r="AR702" t="s">
        <v>75</v>
      </c>
      <c r="AS702" t="s">
        <v>92</v>
      </c>
      <c r="AT702" t="s">
        <v>73</v>
      </c>
      <c r="AU702">
        <v>0</v>
      </c>
      <c r="AV702">
        <v>0</v>
      </c>
      <c r="AW702">
        <v>0</v>
      </c>
      <c r="AX702">
        <v>1</v>
      </c>
      <c r="AY702">
        <v>0</v>
      </c>
      <c r="AZ702" t="s">
        <v>579</v>
      </c>
    </row>
    <row r="703" spans="1:52" x14ac:dyDescent="0.2">
      <c r="A703">
        <v>1</v>
      </c>
      <c r="B703">
        <v>0</v>
      </c>
      <c r="C703">
        <v>0</v>
      </c>
      <c r="D703">
        <v>0</v>
      </c>
      <c r="E703">
        <v>1</v>
      </c>
      <c r="F703">
        <v>0</v>
      </c>
      <c r="G703">
        <v>0</v>
      </c>
      <c r="H703">
        <v>0</v>
      </c>
      <c r="I703">
        <v>0</v>
      </c>
      <c r="L703">
        <v>0</v>
      </c>
      <c r="M703">
        <v>1</v>
      </c>
      <c r="N703">
        <v>0</v>
      </c>
      <c r="O703">
        <v>0</v>
      </c>
      <c r="P703">
        <v>0</v>
      </c>
      <c r="Q703" t="s">
        <v>584</v>
      </c>
      <c r="AA703" t="s">
        <v>83</v>
      </c>
      <c r="AB703" t="s">
        <v>83</v>
      </c>
      <c r="AC703" t="s">
        <v>83</v>
      </c>
      <c r="AD703" t="s">
        <v>83</v>
      </c>
      <c r="AE703" t="s">
        <v>82</v>
      </c>
      <c r="AF703" t="s">
        <v>83</v>
      </c>
      <c r="AG703" t="s">
        <v>82</v>
      </c>
      <c r="AH703" t="s">
        <v>83</v>
      </c>
      <c r="AI703" t="s">
        <v>88</v>
      </c>
      <c r="AJ703" t="s">
        <v>142</v>
      </c>
      <c r="AK703" t="s">
        <v>85</v>
      </c>
      <c r="AL703" t="s">
        <v>96</v>
      </c>
      <c r="AM703" t="s">
        <v>86</v>
      </c>
      <c r="AN703" t="s">
        <v>87</v>
      </c>
      <c r="AO703" t="s">
        <v>87</v>
      </c>
      <c r="AP703" t="s">
        <v>87</v>
      </c>
      <c r="AQ703" t="s">
        <v>87</v>
      </c>
      <c r="AR703" t="s">
        <v>97</v>
      </c>
      <c r="AS703" t="s">
        <v>76</v>
      </c>
      <c r="AT703" t="s">
        <v>96</v>
      </c>
      <c r="AU703">
        <v>0</v>
      </c>
      <c r="AV703">
        <v>0</v>
      </c>
      <c r="AW703">
        <v>1</v>
      </c>
      <c r="AX703">
        <v>0</v>
      </c>
      <c r="AY703">
        <v>0</v>
      </c>
      <c r="AZ703" t="s">
        <v>580</v>
      </c>
    </row>
    <row r="704" spans="1:52" x14ac:dyDescent="0.2">
      <c r="A704">
        <v>1</v>
      </c>
      <c r="B704">
        <v>0</v>
      </c>
      <c r="C704">
        <v>0</v>
      </c>
      <c r="D704">
        <v>0</v>
      </c>
      <c r="E704">
        <v>1</v>
      </c>
      <c r="F704">
        <v>0</v>
      </c>
      <c r="G704">
        <v>0</v>
      </c>
      <c r="H704">
        <v>0</v>
      </c>
      <c r="I704">
        <v>0</v>
      </c>
      <c r="L704">
        <v>1</v>
      </c>
      <c r="M704">
        <v>0</v>
      </c>
      <c r="N704">
        <v>0</v>
      </c>
      <c r="O704">
        <v>0</v>
      </c>
      <c r="P704">
        <v>0</v>
      </c>
      <c r="Q704" t="s">
        <v>584</v>
      </c>
      <c r="R704">
        <v>0</v>
      </c>
      <c r="S704">
        <v>0</v>
      </c>
      <c r="T704">
        <v>1</v>
      </c>
      <c r="U704">
        <v>0</v>
      </c>
      <c r="V704">
        <v>0</v>
      </c>
      <c r="W704">
        <v>0</v>
      </c>
      <c r="X704">
        <v>0</v>
      </c>
      <c r="Y704">
        <v>0</v>
      </c>
      <c r="Z704">
        <v>0</v>
      </c>
      <c r="AL704" t="s">
        <v>120</v>
      </c>
      <c r="AM704" t="s">
        <v>87</v>
      </c>
      <c r="AN704" t="s">
        <v>87</v>
      </c>
      <c r="AO704" t="s">
        <v>87</v>
      </c>
      <c r="AP704" t="s">
        <v>87</v>
      </c>
      <c r="AQ704" t="s">
        <v>87</v>
      </c>
      <c r="AR704" t="s">
        <v>108</v>
      </c>
      <c r="AS704" t="s">
        <v>76</v>
      </c>
      <c r="AT704" t="s">
        <v>120</v>
      </c>
      <c r="AU704">
        <v>0</v>
      </c>
      <c r="AV704">
        <v>0</v>
      </c>
      <c r="AW704">
        <v>0</v>
      </c>
      <c r="AX704">
        <v>0</v>
      </c>
      <c r="AY704">
        <v>1</v>
      </c>
      <c r="AZ704" t="s">
        <v>579</v>
      </c>
    </row>
    <row r="705" spans="1:52" x14ac:dyDescent="0.2">
      <c r="A705">
        <v>0</v>
      </c>
      <c r="B705">
        <v>1</v>
      </c>
      <c r="C705">
        <v>0</v>
      </c>
      <c r="D705">
        <v>0</v>
      </c>
      <c r="E705">
        <v>1</v>
      </c>
      <c r="F705">
        <v>0</v>
      </c>
      <c r="G705">
        <v>0</v>
      </c>
      <c r="H705">
        <v>0</v>
      </c>
      <c r="I705">
        <v>0</v>
      </c>
      <c r="L705">
        <v>1</v>
      </c>
      <c r="M705">
        <v>0</v>
      </c>
      <c r="N705">
        <v>0</v>
      </c>
      <c r="O705">
        <v>0</v>
      </c>
      <c r="P705">
        <v>0</v>
      </c>
      <c r="Q705" t="s">
        <v>584</v>
      </c>
      <c r="R705">
        <v>0</v>
      </c>
      <c r="S705">
        <v>0</v>
      </c>
      <c r="T705">
        <v>0</v>
      </c>
      <c r="U705">
        <v>0</v>
      </c>
      <c r="V705">
        <v>1</v>
      </c>
      <c r="W705">
        <v>0</v>
      </c>
      <c r="X705">
        <v>0</v>
      </c>
      <c r="Y705">
        <v>0</v>
      </c>
      <c r="Z705">
        <v>1</v>
      </c>
      <c r="AL705" t="s">
        <v>73</v>
      </c>
      <c r="AM705" t="s">
        <v>87</v>
      </c>
      <c r="AN705" t="s">
        <v>87</v>
      </c>
      <c r="AO705" t="s">
        <v>87</v>
      </c>
      <c r="AP705" t="s">
        <v>87</v>
      </c>
      <c r="AQ705" t="s">
        <v>87</v>
      </c>
      <c r="AR705" t="s">
        <v>75</v>
      </c>
      <c r="AS705" t="s">
        <v>92</v>
      </c>
      <c r="AT705" t="s">
        <v>73</v>
      </c>
      <c r="AU705">
        <v>0</v>
      </c>
      <c r="AV705">
        <v>1</v>
      </c>
      <c r="AW705">
        <v>0</v>
      </c>
      <c r="AX705">
        <v>0</v>
      </c>
      <c r="AY705">
        <v>0</v>
      </c>
      <c r="AZ705" t="s">
        <v>578</v>
      </c>
    </row>
    <row r="706" spans="1:52" x14ac:dyDescent="0.2">
      <c r="A706">
        <v>1</v>
      </c>
      <c r="B706">
        <v>0</v>
      </c>
      <c r="C706">
        <v>0</v>
      </c>
      <c r="D706">
        <v>0</v>
      </c>
      <c r="E706">
        <v>0</v>
      </c>
      <c r="F706">
        <v>1</v>
      </c>
      <c r="G706">
        <v>1</v>
      </c>
      <c r="H706">
        <v>1</v>
      </c>
      <c r="I706">
        <v>0</v>
      </c>
      <c r="J706" t="s">
        <v>79</v>
      </c>
      <c r="K706" t="s">
        <v>89</v>
      </c>
      <c r="L706">
        <v>0</v>
      </c>
      <c r="M706">
        <v>0</v>
      </c>
      <c r="N706">
        <v>0</v>
      </c>
      <c r="O706">
        <v>0</v>
      </c>
      <c r="P706">
        <v>0</v>
      </c>
      <c r="Q706" t="s">
        <v>585</v>
      </c>
      <c r="AA706" t="s">
        <v>83</v>
      </c>
      <c r="AB706" t="s">
        <v>82</v>
      </c>
      <c r="AC706" t="s">
        <v>81</v>
      </c>
      <c r="AD706" t="s">
        <v>82</v>
      </c>
      <c r="AE706" t="s">
        <v>83</v>
      </c>
      <c r="AF706" t="s">
        <v>83</v>
      </c>
      <c r="AG706" t="s">
        <v>83</v>
      </c>
      <c r="AH706" t="s">
        <v>83</v>
      </c>
      <c r="AI706" t="s">
        <v>88</v>
      </c>
      <c r="AJ706" t="s">
        <v>89</v>
      </c>
      <c r="AK706" t="s">
        <v>100</v>
      </c>
      <c r="AL706" t="s">
        <v>73</v>
      </c>
      <c r="AM706" t="s">
        <v>74</v>
      </c>
      <c r="AR706" t="s">
        <v>97</v>
      </c>
      <c r="AS706" t="s">
        <v>76</v>
      </c>
      <c r="AT706" t="s">
        <v>73</v>
      </c>
      <c r="AU706">
        <v>0</v>
      </c>
      <c r="AV706">
        <v>1</v>
      </c>
      <c r="AW706">
        <v>0</v>
      </c>
      <c r="AX706">
        <v>0</v>
      </c>
      <c r="AY706">
        <v>0</v>
      </c>
      <c r="AZ706" t="s">
        <v>580</v>
      </c>
    </row>
    <row r="707" spans="1:52" x14ac:dyDescent="0.2">
      <c r="A707">
        <v>0</v>
      </c>
      <c r="B707">
        <v>1</v>
      </c>
      <c r="C707">
        <v>0</v>
      </c>
      <c r="D707">
        <v>0</v>
      </c>
      <c r="E707">
        <v>0</v>
      </c>
      <c r="F707">
        <v>0</v>
      </c>
      <c r="G707">
        <v>1</v>
      </c>
      <c r="H707">
        <v>0</v>
      </c>
      <c r="I707">
        <v>0</v>
      </c>
      <c r="J707" t="s">
        <v>79</v>
      </c>
      <c r="K707" t="s">
        <v>80</v>
      </c>
      <c r="L707">
        <v>1</v>
      </c>
      <c r="M707">
        <v>0</v>
      </c>
      <c r="N707">
        <v>0</v>
      </c>
      <c r="O707">
        <v>0</v>
      </c>
      <c r="P707">
        <v>0</v>
      </c>
      <c r="Q707" t="s">
        <v>584</v>
      </c>
      <c r="R707">
        <v>1</v>
      </c>
      <c r="S707">
        <v>0</v>
      </c>
      <c r="T707">
        <v>0</v>
      </c>
      <c r="U707">
        <v>0</v>
      </c>
      <c r="V707">
        <v>0</v>
      </c>
      <c r="W707">
        <v>0</v>
      </c>
      <c r="X707">
        <v>0</v>
      </c>
      <c r="Y707">
        <v>0</v>
      </c>
      <c r="Z707">
        <v>0</v>
      </c>
      <c r="AL707" t="s">
        <v>73</v>
      </c>
      <c r="AM707" t="s">
        <v>86</v>
      </c>
      <c r="AN707" t="s">
        <v>86</v>
      </c>
      <c r="AO707" t="s">
        <v>86</v>
      </c>
      <c r="AP707" t="s">
        <v>87</v>
      </c>
      <c r="AQ707" t="s">
        <v>86</v>
      </c>
      <c r="AR707" t="s">
        <v>97</v>
      </c>
      <c r="AS707" t="s">
        <v>92</v>
      </c>
      <c r="AT707" t="s">
        <v>73</v>
      </c>
      <c r="AU707">
        <v>0</v>
      </c>
      <c r="AV707">
        <v>1</v>
      </c>
      <c r="AW707">
        <v>0</v>
      </c>
      <c r="AX707">
        <v>0</v>
      </c>
      <c r="AY707">
        <v>0</v>
      </c>
      <c r="AZ707" t="s">
        <v>580</v>
      </c>
    </row>
    <row r="708" spans="1:52" x14ac:dyDescent="0.2">
      <c r="A708">
        <v>1</v>
      </c>
      <c r="B708">
        <v>0</v>
      </c>
      <c r="C708">
        <v>0</v>
      </c>
      <c r="D708">
        <v>0</v>
      </c>
      <c r="E708">
        <v>1</v>
      </c>
      <c r="F708">
        <v>0</v>
      </c>
      <c r="G708">
        <v>0</v>
      </c>
      <c r="H708">
        <v>0</v>
      </c>
      <c r="I708">
        <v>0</v>
      </c>
      <c r="L708">
        <v>1</v>
      </c>
      <c r="M708">
        <v>0</v>
      </c>
      <c r="N708">
        <v>0</v>
      </c>
      <c r="O708">
        <v>0</v>
      </c>
      <c r="P708">
        <v>0</v>
      </c>
      <c r="Q708" t="s">
        <v>584</v>
      </c>
      <c r="R708">
        <v>0</v>
      </c>
      <c r="S708">
        <v>0</v>
      </c>
      <c r="T708">
        <v>0</v>
      </c>
      <c r="U708">
        <v>0</v>
      </c>
      <c r="V708">
        <v>0</v>
      </c>
      <c r="W708">
        <v>0</v>
      </c>
      <c r="X708">
        <v>1</v>
      </c>
      <c r="Y708">
        <v>1</v>
      </c>
      <c r="Z708">
        <v>0</v>
      </c>
      <c r="AL708" t="s">
        <v>73</v>
      </c>
      <c r="AM708" t="s">
        <v>87</v>
      </c>
      <c r="AN708" t="s">
        <v>87</v>
      </c>
      <c r="AO708" t="s">
        <v>74</v>
      </c>
      <c r="AP708" t="s">
        <v>74</v>
      </c>
      <c r="AQ708" t="s">
        <v>86</v>
      </c>
      <c r="AR708" t="s">
        <v>108</v>
      </c>
      <c r="AS708" t="s">
        <v>76</v>
      </c>
      <c r="AT708" t="s">
        <v>73</v>
      </c>
      <c r="AU708">
        <v>0</v>
      </c>
      <c r="AV708">
        <v>0</v>
      </c>
      <c r="AW708">
        <v>1</v>
      </c>
      <c r="AX708">
        <v>0</v>
      </c>
      <c r="AY708">
        <v>0</v>
      </c>
      <c r="AZ708" t="s">
        <v>580</v>
      </c>
    </row>
    <row r="709" spans="1:52" x14ac:dyDescent="0.2">
      <c r="A709">
        <v>1</v>
      </c>
      <c r="B709">
        <v>0</v>
      </c>
      <c r="C709">
        <v>0</v>
      </c>
      <c r="D709">
        <v>0</v>
      </c>
      <c r="E709">
        <v>1</v>
      </c>
      <c r="F709">
        <v>0</v>
      </c>
      <c r="G709">
        <v>0</v>
      </c>
      <c r="H709">
        <v>0</v>
      </c>
      <c r="I709">
        <v>0</v>
      </c>
      <c r="L709">
        <v>1</v>
      </c>
      <c r="M709">
        <v>0</v>
      </c>
      <c r="N709">
        <v>0</v>
      </c>
      <c r="O709">
        <v>0</v>
      </c>
      <c r="P709">
        <v>0</v>
      </c>
      <c r="Q709" t="s">
        <v>584</v>
      </c>
      <c r="R709">
        <v>0</v>
      </c>
      <c r="S709">
        <v>0</v>
      </c>
      <c r="T709">
        <v>0</v>
      </c>
      <c r="U709">
        <v>0</v>
      </c>
      <c r="V709">
        <v>0</v>
      </c>
      <c r="W709">
        <v>0</v>
      </c>
      <c r="X709">
        <v>1</v>
      </c>
      <c r="Y709">
        <v>0</v>
      </c>
      <c r="Z709">
        <v>0</v>
      </c>
      <c r="AL709" t="s">
        <v>107</v>
      </c>
      <c r="AM709" t="s">
        <v>86</v>
      </c>
      <c r="AN709" t="s">
        <v>74</v>
      </c>
      <c r="AO709" t="s">
        <v>74</v>
      </c>
      <c r="AP709" t="s">
        <v>74</v>
      </c>
      <c r="AQ709" t="s">
        <v>74</v>
      </c>
      <c r="AR709" t="s">
        <v>97</v>
      </c>
      <c r="AS709" t="s">
        <v>76</v>
      </c>
      <c r="AT709" t="s">
        <v>107</v>
      </c>
      <c r="AU709">
        <v>0</v>
      </c>
      <c r="AV709">
        <v>0</v>
      </c>
      <c r="AW709">
        <v>0</v>
      </c>
      <c r="AX709">
        <v>1</v>
      </c>
      <c r="AY709">
        <v>0</v>
      </c>
      <c r="AZ709" t="s">
        <v>581</v>
      </c>
    </row>
    <row r="710" spans="1:52" x14ac:dyDescent="0.2">
      <c r="A710">
        <v>1</v>
      </c>
      <c r="B710">
        <v>0</v>
      </c>
      <c r="C710">
        <v>0</v>
      </c>
      <c r="D710">
        <v>0</v>
      </c>
      <c r="E710">
        <v>0</v>
      </c>
      <c r="F710">
        <v>1</v>
      </c>
      <c r="G710">
        <v>0</v>
      </c>
      <c r="H710">
        <v>1</v>
      </c>
      <c r="I710">
        <v>1</v>
      </c>
      <c r="J710" t="s">
        <v>135</v>
      </c>
      <c r="K710" t="s">
        <v>80</v>
      </c>
      <c r="L710">
        <v>1</v>
      </c>
      <c r="M710">
        <v>0</v>
      </c>
      <c r="N710">
        <v>0</v>
      </c>
      <c r="O710">
        <v>0</v>
      </c>
      <c r="P710">
        <v>0</v>
      </c>
      <c r="Q710" t="s">
        <v>584</v>
      </c>
      <c r="R710">
        <v>0</v>
      </c>
      <c r="S710">
        <v>1</v>
      </c>
      <c r="T710">
        <v>0</v>
      </c>
      <c r="U710">
        <v>0</v>
      </c>
      <c r="V710">
        <v>0</v>
      </c>
      <c r="W710">
        <v>0</v>
      </c>
      <c r="X710">
        <v>0</v>
      </c>
      <c r="Y710">
        <v>0</v>
      </c>
      <c r="Z710">
        <v>0</v>
      </c>
      <c r="AL710" t="s">
        <v>73</v>
      </c>
      <c r="AM710" t="s">
        <v>87</v>
      </c>
      <c r="AN710" t="s">
        <v>87</v>
      </c>
      <c r="AO710" t="s">
        <v>87</v>
      </c>
      <c r="AP710" t="s">
        <v>87</v>
      </c>
      <c r="AQ710" t="s">
        <v>87</v>
      </c>
      <c r="AR710" t="s">
        <v>97</v>
      </c>
      <c r="AS710" t="s">
        <v>76</v>
      </c>
      <c r="AT710" t="s">
        <v>73</v>
      </c>
      <c r="AU710">
        <v>0</v>
      </c>
      <c r="AV710">
        <v>0</v>
      </c>
      <c r="AW710">
        <v>1</v>
      </c>
      <c r="AX710">
        <v>1</v>
      </c>
      <c r="AY710">
        <v>0</v>
      </c>
      <c r="AZ710" t="s">
        <v>580</v>
      </c>
    </row>
    <row r="711" spans="1:52" x14ac:dyDescent="0.2">
      <c r="A711">
        <v>1</v>
      </c>
      <c r="B711">
        <v>0</v>
      </c>
      <c r="C711">
        <v>0</v>
      </c>
      <c r="D711">
        <v>0</v>
      </c>
      <c r="E711">
        <v>1</v>
      </c>
      <c r="F711">
        <v>0</v>
      </c>
      <c r="G711">
        <v>0</v>
      </c>
      <c r="H711">
        <v>0</v>
      </c>
      <c r="I711">
        <v>0</v>
      </c>
      <c r="L711">
        <v>1</v>
      </c>
      <c r="M711">
        <v>0</v>
      </c>
      <c r="N711">
        <v>0</v>
      </c>
      <c r="O711">
        <v>0</v>
      </c>
      <c r="P711">
        <v>0</v>
      </c>
      <c r="Q711" t="s">
        <v>584</v>
      </c>
      <c r="R711">
        <v>0</v>
      </c>
      <c r="S711">
        <v>1</v>
      </c>
      <c r="T711">
        <v>0</v>
      </c>
      <c r="U711">
        <v>0</v>
      </c>
      <c r="V711">
        <v>0</v>
      </c>
      <c r="W711">
        <v>0</v>
      </c>
      <c r="X711">
        <v>0</v>
      </c>
      <c r="Y711">
        <v>0</v>
      </c>
      <c r="Z711">
        <v>0</v>
      </c>
      <c r="AL711" t="s">
        <v>120</v>
      </c>
      <c r="AM711" t="s">
        <v>74</v>
      </c>
      <c r="AR711" t="s">
        <v>97</v>
      </c>
      <c r="AS711" t="s">
        <v>76</v>
      </c>
      <c r="AT711" t="s">
        <v>120</v>
      </c>
      <c r="AU711">
        <v>0</v>
      </c>
      <c r="AV711">
        <v>0</v>
      </c>
      <c r="AW711">
        <v>1</v>
      </c>
      <c r="AX711">
        <v>0</v>
      </c>
      <c r="AY711">
        <v>0</v>
      </c>
      <c r="AZ711" t="s">
        <v>580</v>
      </c>
    </row>
    <row r="712" spans="1:52" x14ac:dyDescent="0.2">
      <c r="A712">
        <v>0</v>
      </c>
      <c r="B712">
        <v>1</v>
      </c>
      <c r="C712">
        <v>0</v>
      </c>
      <c r="D712">
        <v>0</v>
      </c>
      <c r="E712">
        <v>1</v>
      </c>
      <c r="F712">
        <v>0</v>
      </c>
      <c r="G712">
        <v>0</v>
      </c>
      <c r="H712">
        <v>0</v>
      </c>
      <c r="I712">
        <v>0</v>
      </c>
      <c r="L712">
        <v>1</v>
      </c>
      <c r="M712">
        <v>0</v>
      </c>
      <c r="N712">
        <v>0</v>
      </c>
      <c r="O712">
        <v>0</v>
      </c>
      <c r="P712">
        <v>0</v>
      </c>
      <c r="Q712" t="s">
        <v>584</v>
      </c>
      <c r="R712">
        <v>0</v>
      </c>
      <c r="S712">
        <v>0</v>
      </c>
      <c r="T712">
        <v>0</v>
      </c>
      <c r="U712">
        <v>0</v>
      </c>
      <c r="V712">
        <v>0</v>
      </c>
      <c r="W712">
        <v>0</v>
      </c>
      <c r="X712">
        <v>1</v>
      </c>
      <c r="Y712">
        <v>0</v>
      </c>
      <c r="Z712">
        <v>0</v>
      </c>
      <c r="AL712" t="s">
        <v>96</v>
      </c>
      <c r="AM712" t="s">
        <v>86</v>
      </c>
      <c r="AN712" t="s">
        <v>87</v>
      </c>
      <c r="AO712" t="s">
        <v>87</v>
      </c>
      <c r="AP712" t="s">
        <v>87</v>
      </c>
      <c r="AQ712" t="s">
        <v>87</v>
      </c>
      <c r="AR712" t="s">
        <v>159</v>
      </c>
      <c r="AS712" t="s">
        <v>76</v>
      </c>
      <c r="AT712" t="s">
        <v>96</v>
      </c>
      <c r="AU712">
        <v>0</v>
      </c>
      <c r="AV712">
        <v>0</v>
      </c>
      <c r="AW712">
        <v>0</v>
      </c>
      <c r="AX712">
        <v>1</v>
      </c>
      <c r="AY712">
        <v>0</v>
      </c>
      <c r="AZ712" t="s">
        <v>579</v>
      </c>
    </row>
    <row r="713" spans="1:52" x14ac:dyDescent="0.2">
      <c r="A713">
        <v>0</v>
      </c>
      <c r="B713">
        <v>1</v>
      </c>
      <c r="C713">
        <v>0</v>
      </c>
      <c r="D713">
        <v>0</v>
      </c>
      <c r="E713">
        <v>1</v>
      </c>
      <c r="F713">
        <v>0</v>
      </c>
      <c r="G713">
        <v>0</v>
      </c>
      <c r="H713">
        <v>0</v>
      </c>
      <c r="I713">
        <v>0</v>
      </c>
      <c r="L713">
        <v>1</v>
      </c>
      <c r="M713">
        <v>0</v>
      </c>
      <c r="N713">
        <v>0</v>
      </c>
      <c r="O713">
        <v>0</v>
      </c>
      <c r="P713">
        <v>0</v>
      </c>
      <c r="Q713" t="s">
        <v>584</v>
      </c>
      <c r="R713">
        <v>1</v>
      </c>
      <c r="S713">
        <v>0</v>
      </c>
      <c r="T713">
        <v>0</v>
      </c>
      <c r="U713">
        <v>0</v>
      </c>
      <c r="V713">
        <v>0</v>
      </c>
      <c r="W713">
        <v>0</v>
      </c>
      <c r="X713">
        <v>0</v>
      </c>
      <c r="Y713">
        <v>0</v>
      </c>
      <c r="Z713">
        <v>0</v>
      </c>
      <c r="AL713" t="s">
        <v>120</v>
      </c>
      <c r="AM713" t="s">
        <v>87</v>
      </c>
      <c r="AN713" t="s">
        <v>87</v>
      </c>
      <c r="AO713" t="s">
        <v>87</v>
      </c>
      <c r="AP713" t="s">
        <v>87</v>
      </c>
      <c r="AQ713" t="s">
        <v>87</v>
      </c>
      <c r="AR713" t="s">
        <v>75</v>
      </c>
      <c r="AS713" t="s">
        <v>92</v>
      </c>
      <c r="AT713" t="s">
        <v>120</v>
      </c>
      <c r="AU713">
        <v>0</v>
      </c>
      <c r="AV713">
        <v>0</v>
      </c>
      <c r="AW713">
        <v>1</v>
      </c>
      <c r="AX713">
        <v>0</v>
      </c>
      <c r="AY713">
        <v>0</v>
      </c>
      <c r="AZ713" t="s">
        <v>579</v>
      </c>
    </row>
    <row r="714" spans="1:52" x14ac:dyDescent="0.2">
      <c r="A714">
        <v>0</v>
      </c>
      <c r="B714">
        <v>1</v>
      </c>
      <c r="C714">
        <v>0</v>
      </c>
      <c r="D714">
        <v>0</v>
      </c>
      <c r="E714">
        <v>1</v>
      </c>
      <c r="F714">
        <v>0</v>
      </c>
      <c r="G714">
        <v>0</v>
      </c>
      <c r="H714">
        <v>0</v>
      </c>
      <c r="I714">
        <v>0</v>
      </c>
      <c r="L714">
        <v>1</v>
      </c>
      <c r="M714">
        <v>0</v>
      </c>
      <c r="N714">
        <v>0</v>
      </c>
      <c r="O714">
        <v>0</v>
      </c>
      <c r="P714">
        <v>0</v>
      </c>
      <c r="Q714" t="s">
        <v>584</v>
      </c>
      <c r="R714">
        <v>0</v>
      </c>
      <c r="S714">
        <v>0</v>
      </c>
      <c r="T714">
        <v>1</v>
      </c>
      <c r="U714">
        <v>0</v>
      </c>
      <c r="V714">
        <v>1</v>
      </c>
      <c r="W714">
        <v>0</v>
      </c>
      <c r="X714">
        <v>1</v>
      </c>
      <c r="Y714">
        <v>1</v>
      </c>
      <c r="Z714">
        <v>0</v>
      </c>
      <c r="AL714" t="s">
        <v>73</v>
      </c>
      <c r="AM714" t="s">
        <v>87</v>
      </c>
      <c r="AN714" t="s">
        <v>74</v>
      </c>
      <c r="AO714" t="s">
        <v>86</v>
      </c>
      <c r="AP714" t="s">
        <v>87</v>
      </c>
      <c r="AQ714" t="s">
        <v>87</v>
      </c>
      <c r="AR714" t="s">
        <v>75</v>
      </c>
      <c r="AS714" t="s">
        <v>92</v>
      </c>
      <c r="AT714" t="s">
        <v>73</v>
      </c>
      <c r="AU714">
        <v>0</v>
      </c>
      <c r="AV714">
        <v>1</v>
      </c>
      <c r="AW714">
        <v>0</v>
      </c>
      <c r="AX714">
        <v>0</v>
      </c>
      <c r="AY714">
        <v>0</v>
      </c>
      <c r="AZ714" t="s">
        <v>580</v>
      </c>
    </row>
    <row r="715" spans="1:52" x14ac:dyDescent="0.2">
      <c r="A715">
        <v>1</v>
      </c>
      <c r="B715">
        <v>0</v>
      </c>
      <c r="C715">
        <v>0</v>
      </c>
      <c r="D715">
        <v>0</v>
      </c>
      <c r="E715">
        <v>1</v>
      </c>
      <c r="F715">
        <v>0</v>
      </c>
      <c r="G715">
        <v>0</v>
      </c>
      <c r="H715">
        <v>0</v>
      </c>
      <c r="I715">
        <v>0</v>
      </c>
      <c r="L715">
        <v>1</v>
      </c>
      <c r="M715">
        <v>0</v>
      </c>
      <c r="N715">
        <v>0</v>
      </c>
      <c r="O715">
        <v>0</v>
      </c>
      <c r="P715">
        <v>0</v>
      </c>
      <c r="Q715" t="s">
        <v>584</v>
      </c>
      <c r="R715">
        <v>0</v>
      </c>
      <c r="S715">
        <v>1</v>
      </c>
      <c r="T715">
        <v>0</v>
      </c>
      <c r="U715">
        <v>0</v>
      </c>
      <c r="V715">
        <v>0</v>
      </c>
      <c r="W715">
        <v>0</v>
      </c>
      <c r="X715">
        <v>0</v>
      </c>
      <c r="Y715">
        <v>0</v>
      </c>
      <c r="Z715">
        <v>0</v>
      </c>
      <c r="AL715" t="s">
        <v>73</v>
      </c>
      <c r="AM715" t="s">
        <v>87</v>
      </c>
      <c r="AN715" t="s">
        <v>87</v>
      </c>
      <c r="AO715" t="s">
        <v>87</v>
      </c>
      <c r="AP715" t="s">
        <v>86</v>
      </c>
      <c r="AQ715" t="s">
        <v>87</v>
      </c>
      <c r="AR715" t="s">
        <v>97</v>
      </c>
      <c r="AS715" t="s">
        <v>92</v>
      </c>
      <c r="AT715" t="s">
        <v>73</v>
      </c>
      <c r="AU715">
        <v>0</v>
      </c>
      <c r="AV715">
        <v>0</v>
      </c>
      <c r="AW715">
        <v>0</v>
      </c>
      <c r="AX715">
        <v>1</v>
      </c>
      <c r="AY715">
        <v>0</v>
      </c>
      <c r="AZ715" t="s">
        <v>580</v>
      </c>
    </row>
    <row r="716" spans="1:52" x14ac:dyDescent="0.2">
      <c r="A716">
        <v>1</v>
      </c>
      <c r="B716">
        <v>0</v>
      </c>
      <c r="C716">
        <v>0</v>
      </c>
      <c r="D716">
        <v>0</v>
      </c>
      <c r="E716">
        <v>1</v>
      </c>
      <c r="F716">
        <v>0</v>
      </c>
      <c r="G716">
        <v>0</v>
      </c>
      <c r="H716">
        <v>0</v>
      </c>
      <c r="I716">
        <v>0</v>
      </c>
      <c r="L716">
        <v>0</v>
      </c>
      <c r="M716">
        <v>0</v>
      </c>
      <c r="N716">
        <v>1</v>
      </c>
      <c r="O716">
        <v>1</v>
      </c>
      <c r="P716">
        <v>0</v>
      </c>
      <c r="Q716" t="s">
        <v>584</v>
      </c>
      <c r="AA716" t="s">
        <v>81</v>
      </c>
      <c r="AB716" t="s">
        <v>83</v>
      </c>
      <c r="AC716" t="s">
        <v>83</v>
      </c>
      <c r="AD716" t="s">
        <v>83</v>
      </c>
      <c r="AE716" t="s">
        <v>81</v>
      </c>
      <c r="AF716" t="s">
        <v>82</v>
      </c>
      <c r="AG716" t="s">
        <v>83</v>
      </c>
      <c r="AH716" t="s">
        <v>83</v>
      </c>
      <c r="AI716" t="s">
        <v>88</v>
      </c>
      <c r="AJ716" t="s">
        <v>89</v>
      </c>
      <c r="AK716" t="s">
        <v>100</v>
      </c>
      <c r="AL716" t="s">
        <v>73</v>
      </c>
      <c r="AM716" t="s">
        <v>86</v>
      </c>
      <c r="AN716" t="s">
        <v>86</v>
      </c>
      <c r="AO716" t="s">
        <v>86</v>
      </c>
      <c r="AP716" t="s">
        <v>86</v>
      </c>
      <c r="AQ716" t="s">
        <v>74</v>
      </c>
      <c r="AR716" t="s">
        <v>97</v>
      </c>
      <c r="AS716" t="s">
        <v>92</v>
      </c>
      <c r="AT716" t="s">
        <v>73</v>
      </c>
      <c r="AU716">
        <v>0</v>
      </c>
      <c r="AV716">
        <v>1</v>
      </c>
      <c r="AW716">
        <v>0</v>
      </c>
      <c r="AX716">
        <v>0</v>
      </c>
      <c r="AY716">
        <v>0</v>
      </c>
      <c r="AZ716" t="s">
        <v>580</v>
      </c>
    </row>
    <row r="717" spans="1:52" x14ac:dyDescent="0.2">
      <c r="A717">
        <v>1</v>
      </c>
      <c r="B717">
        <v>0</v>
      </c>
      <c r="C717">
        <v>0</v>
      </c>
      <c r="D717">
        <v>0</v>
      </c>
      <c r="E717">
        <v>0</v>
      </c>
      <c r="F717">
        <v>1</v>
      </c>
      <c r="G717">
        <v>1</v>
      </c>
      <c r="H717">
        <v>0</v>
      </c>
      <c r="I717">
        <v>0</v>
      </c>
      <c r="J717" t="s">
        <v>88</v>
      </c>
      <c r="K717" t="s">
        <v>89</v>
      </c>
      <c r="L717">
        <v>0</v>
      </c>
      <c r="M717">
        <v>0</v>
      </c>
      <c r="N717">
        <v>1</v>
      </c>
      <c r="O717">
        <v>1</v>
      </c>
      <c r="P717">
        <v>0</v>
      </c>
      <c r="Q717" t="s">
        <v>584</v>
      </c>
      <c r="AA717" t="s">
        <v>83</v>
      </c>
      <c r="AB717" t="s">
        <v>82</v>
      </c>
      <c r="AC717" t="s">
        <v>81</v>
      </c>
      <c r="AD717" t="s">
        <v>90</v>
      </c>
      <c r="AE717" t="s">
        <v>83</v>
      </c>
      <c r="AF717" t="s">
        <v>83</v>
      </c>
      <c r="AG717" t="s">
        <v>83</v>
      </c>
      <c r="AH717" t="s">
        <v>83</v>
      </c>
      <c r="AI717" t="s">
        <v>88</v>
      </c>
      <c r="AJ717" t="s">
        <v>89</v>
      </c>
      <c r="AK717" t="s">
        <v>85</v>
      </c>
      <c r="AL717" t="s">
        <v>73</v>
      </c>
      <c r="AM717" t="s">
        <v>87</v>
      </c>
      <c r="AN717" t="s">
        <v>87</v>
      </c>
      <c r="AO717" t="s">
        <v>87</v>
      </c>
      <c r="AP717" t="s">
        <v>86</v>
      </c>
      <c r="AQ717" t="s">
        <v>86</v>
      </c>
      <c r="AR717" t="s">
        <v>75</v>
      </c>
      <c r="AS717" t="s">
        <v>92</v>
      </c>
      <c r="AT717" t="s">
        <v>73</v>
      </c>
      <c r="AU717">
        <v>0</v>
      </c>
      <c r="AV717">
        <v>0</v>
      </c>
      <c r="AW717">
        <v>1</v>
      </c>
      <c r="AX717">
        <v>0</v>
      </c>
      <c r="AY717">
        <v>1</v>
      </c>
      <c r="AZ717" t="s">
        <v>579</v>
      </c>
    </row>
    <row r="718" spans="1:52" x14ac:dyDescent="0.2">
      <c r="A718">
        <v>1</v>
      </c>
      <c r="B718">
        <v>0</v>
      </c>
      <c r="C718">
        <v>0</v>
      </c>
      <c r="D718">
        <v>0</v>
      </c>
      <c r="E718">
        <v>0</v>
      </c>
      <c r="F718">
        <v>1</v>
      </c>
      <c r="G718">
        <v>0</v>
      </c>
      <c r="H718">
        <v>0</v>
      </c>
      <c r="I718">
        <v>0</v>
      </c>
      <c r="J718" t="s">
        <v>88</v>
      </c>
      <c r="K718" t="s">
        <v>89</v>
      </c>
      <c r="L718">
        <v>0</v>
      </c>
      <c r="M718">
        <v>0</v>
      </c>
      <c r="N718">
        <v>1</v>
      </c>
      <c r="O718">
        <v>0</v>
      </c>
      <c r="P718">
        <v>0</v>
      </c>
      <c r="Q718" t="s">
        <v>584</v>
      </c>
      <c r="AA718" t="s">
        <v>83</v>
      </c>
      <c r="AB718" t="s">
        <v>82</v>
      </c>
      <c r="AC718" t="s">
        <v>83</v>
      </c>
      <c r="AD718" t="s">
        <v>81</v>
      </c>
      <c r="AE718" t="s">
        <v>83</v>
      </c>
      <c r="AF718" t="s">
        <v>83</v>
      </c>
      <c r="AG718" t="s">
        <v>81</v>
      </c>
      <c r="AH718" t="s">
        <v>81</v>
      </c>
      <c r="AI718" t="s">
        <v>88</v>
      </c>
      <c r="AJ718" t="s">
        <v>89</v>
      </c>
      <c r="AK718" t="s">
        <v>85</v>
      </c>
      <c r="AL718" t="s">
        <v>73</v>
      </c>
      <c r="AM718" t="s">
        <v>87</v>
      </c>
      <c r="AN718" t="s">
        <v>86</v>
      </c>
      <c r="AO718" t="s">
        <v>74</v>
      </c>
      <c r="AP718" t="s">
        <v>74</v>
      </c>
      <c r="AQ718" t="s">
        <v>74</v>
      </c>
      <c r="AR718" t="s">
        <v>75</v>
      </c>
      <c r="AS718" t="s">
        <v>92</v>
      </c>
      <c r="AT718" t="s">
        <v>73</v>
      </c>
      <c r="AU718">
        <v>0</v>
      </c>
      <c r="AV718">
        <v>1</v>
      </c>
      <c r="AW718">
        <v>0</v>
      </c>
      <c r="AX718">
        <v>0</v>
      </c>
      <c r="AY718">
        <v>0</v>
      </c>
      <c r="AZ718" t="s">
        <v>580</v>
      </c>
    </row>
    <row r="719" spans="1:52" x14ac:dyDescent="0.2">
      <c r="A719">
        <v>0</v>
      </c>
      <c r="B719">
        <v>1</v>
      </c>
      <c r="C719">
        <v>0</v>
      </c>
      <c r="D719">
        <v>0</v>
      </c>
      <c r="E719">
        <v>1</v>
      </c>
      <c r="F719">
        <v>0</v>
      </c>
      <c r="G719">
        <v>0</v>
      </c>
      <c r="H719">
        <v>0</v>
      </c>
      <c r="I719">
        <v>0</v>
      </c>
      <c r="L719">
        <v>0</v>
      </c>
      <c r="M719">
        <v>0</v>
      </c>
      <c r="N719">
        <v>0</v>
      </c>
      <c r="O719">
        <v>0</v>
      </c>
      <c r="P719">
        <v>0</v>
      </c>
      <c r="Q719" t="s">
        <v>585</v>
      </c>
      <c r="AA719" t="s">
        <v>90</v>
      </c>
      <c r="AB719" t="s">
        <v>81</v>
      </c>
      <c r="AC719" t="s">
        <v>82</v>
      </c>
      <c r="AD719" t="s">
        <v>90</v>
      </c>
      <c r="AE719" t="s">
        <v>90</v>
      </c>
      <c r="AF719" t="s">
        <v>90</v>
      </c>
      <c r="AG719" t="s">
        <v>90</v>
      </c>
      <c r="AH719" t="s">
        <v>90</v>
      </c>
      <c r="AI719" t="s">
        <v>84</v>
      </c>
      <c r="AJ719" t="s">
        <v>89</v>
      </c>
      <c r="AK719" t="s">
        <v>100</v>
      </c>
      <c r="AL719" t="s">
        <v>107</v>
      </c>
      <c r="AM719" t="s">
        <v>74</v>
      </c>
      <c r="AR719" t="s">
        <v>75</v>
      </c>
      <c r="AS719" t="s">
        <v>76</v>
      </c>
      <c r="AT719" t="s">
        <v>107</v>
      </c>
      <c r="AU719">
        <v>0</v>
      </c>
      <c r="AV719">
        <v>0</v>
      </c>
      <c r="AW719">
        <v>1</v>
      </c>
      <c r="AX719">
        <v>1</v>
      </c>
      <c r="AY719">
        <v>0</v>
      </c>
      <c r="AZ719" t="s">
        <v>578</v>
      </c>
    </row>
    <row r="720" spans="1:52" x14ac:dyDescent="0.2">
      <c r="A720">
        <v>1</v>
      </c>
      <c r="B720">
        <v>0</v>
      </c>
      <c r="C720">
        <v>0</v>
      </c>
      <c r="D720">
        <v>0</v>
      </c>
      <c r="E720">
        <v>1</v>
      </c>
      <c r="F720">
        <v>0</v>
      </c>
      <c r="G720">
        <v>0</v>
      </c>
      <c r="H720">
        <v>0</v>
      </c>
      <c r="I720">
        <v>0</v>
      </c>
      <c r="L720">
        <v>0</v>
      </c>
      <c r="M720">
        <v>0</v>
      </c>
      <c r="N720">
        <v>1</v>
      </c>
      <c r="O720">
        <v>0</v>
      </c>
      <c r="P720">
        <v>0</v>
      </c>
      <c r="Q720" t="s">
        <v>584</v>
      </c>
      <c r="AA720" t="s">
        <v>82</v>
      </c>
      <c r="AB720" t="s">
        <v>83</v>
      </c>
      <c r="AC720" t="s">
        <v>83</v>
      </c>
      <c r="AD720" t="s">
        <v>83</v>
      </c>
      <c r="AE720" t="s">
        <v>81</v>
      </c>
      <c r="AF720" t="s">
        <v>83</v>
      </c>
      <c r="AG720" t="s">
        <v>81</v>
      </c>
      <c r="AH720" t="s">
        <v>83</v>
      </c>
      <c r="AI720" t="s">
        <v>135</v>
      </c>
      <c r="AJ720" t="s">
        <v>142</v>
      </c>
      <c r="AK720" t="s">
        <v>85</v>
      </c>
      <c r="AL720" t="s">
        <v>96</v>
      </c>
      <c r="AM720" t="s">
        <v>86</v>
      </c>
      <c r="AN720" t="s">
        <v>74</v>
      </c>
      <c r="AO720" t="s">
        <v>74</v>
      </c>
      <c r="AP720" t="s">
        <v>74</v>
      </c>
      <c r="AQ720" t="s">
        <v>74</v>
      </c>
      <c r="AR720" t="s">
        <v>97</v>
      </c>
      <c r="AS720" t="s">
        <v>92</v>
      </c>
      <c r="AT720" t="s">
        <v>96</v>
      </c>
      <c r="AU720">
        <v>0</v>
      </c>
      <c r="AV720">
        <v>0</v>
      </c>
      <c r="AW720">
        <v>1</v>
      </c>
      <c r="AX720">
        <v>0</v>
      </c>
      <c r="AY720">
        <v>0</v>
      </c>
      <c r="AZ720" t="s">
        <v>580</v>
      </c>
    </row>
    <row r="721" spans="1:52" x14ac:dyDescent="0.2">
      <c r="A721">
        <v>0</v>
      </c>
      <c r="B721">
        <v>1</v>
      </c>
      <c r="C721">
        <v>0</v>
      </c>
      <c r="D721">
        <v>0</v>
      </c>
      <c r="E721">
        <v>1</v>
      </c>
      <c r="F721">
        <v>0</v>
      </c>
      <c r="G721">
        <v>0</v>
      </c>
      <c r="H721">
        <v>0</v>
      </c>
      <c r="I721">
        <v>0</v>
      </c>
      <c r="L721">
        <v>1</v>
      </c>
      <c r="M721">
        <v>0</v>
      </c>
      <c r="N721">
        <v>0</v>
      </c>
      <c r="O721">
        <v>0</v>
      </c>
      <c r="P721">
        <v>0</v>
      </c>
      <c r="Q721" t="s">
        <v>584</v>
      </c>
      <c r="R721">
        <v>0</v>
      </c>
      <c r="S721">
        <v>0</v>
      </c>
      <c r="T721">
        <v>0</v>
      </c>
      <c r="U721">
        <v>0</v>
      </c>
      <c r="V721">
        <v>1</v>
      </c>
      <c r="W721">
        <v>0</v>
      </c>
      <c r="X721">
        <v>0</v>
      </c>
      <c r="Y721">
        <v>0</v>
      </c>
      <c r="Z721">
        <v>0</v>
      </c>
      <c r="AL721" t="s">
        <v>107</v>
      </c>
      <c r="AM721" t="s">
        <v>86</v>
      </c>
      <c r="AN721" t="s">
        <v>87</v>
      </c>
      <c r="AO721" t="s">
        <v>87</v>
      </c>
      <c r="AP721" t="s">
        <v>87</v>
      </c>
      <c r="AQ721" t="s">
        <v>87</v>
      </c>
      <c r="AR721" t="s">
        <v>75</v>
      </c>
      <c r="AS721" t="s">
        <v>76</v>
      </c>
      <c r="AT721" t="s">
        <v>107</v>
      </c>
      <c r="AU721">
        <v>0</v>
      </c>
      <c r="AV721">
        <v>0</v>
      </c>
      <c r="AW721">
        <v>0</v>
      </c>
      <c r="AX721">
        <v>1</v>
      </c>
      <c r="AY721">
        <v>0</v>
      </c>
      <c r="AZ721" t="s">
        <v>580</v>
      </c>
    </row>
    <row r="722" spans="1:52" x14ac:dyDescent="0.2">
      <c r="A722">
        <v>1</v>
      </c>
      <c r="B722">
        <v>0</v>
      </c>
      <c r="C722">
        <v>0</v>
      </c>
      <c r="D722">
        <v>0</v>
      </c>
      <c r="E722">
        <v>0</v>
      </c>
      <c r="F722">
        <v>1</v>
      </c>
      <c r="G722">
        <v>0</v>
      </c>
      <c r="H722">
        <v>0</v>
      </c>
      <c r="I722">
        <v>1</v>
      </c>
      <c r="J722" t="s">
        <v>88</v>
      </c>
      <c r="K722" t="s">
        <v>89</v>
      </c>
      <c r="L722">
        <v>0</v>
      </c>
      <c r="M722">
        <v>0</v>
      </c>
      <c r="N722">
        <v>1</v>
      </c>
      <c r="O722">
        <v>0</v>
      </c>
      <c r="P722">
        <v>0</v>
      </c>
      <c r="Q722" t="s">
        <v>584</v>
      </c>
      <c r="AA722" t="s">
        <v>81</v>
      </c>
      <c r="AB722" t="s">
        <v>82</v>
      </c>
      <c r="AC722" t="s">
        <v>83</v>
      </c>
      <c r="AD722" t="s">
        <v>83</v>
      </c>
      <c r="AE722" t="s">
        <v>82</v>
      </c>
      <c r="AF722" t="s">
        <v>83</v>
      </c>
      <c r="AG722" t="s">
        <v>81</v>
      </c>
      <c r="AH722" t="s">
        <v>83</v>
      </c>
      <c r="AI722" t="s">
        <v>88</v>
      </c>
      <c r="AJ722" t="s">
        <v>80</v>
      </c>
      <c r="AK722" t="s">
        <v>85</v>
      </c>
      <c r="AL722" t="s">
        <v>107</v>
      </c>
      <c r="AM722" t="s">
        <v>87</v>
      </c>
      <c r="AN722" t="s">
        <v>86</v>
      </c>
      <c r="AO722" t="s">
        <v>87</v>
      </c>
      <c r="AP722" t="s">
        <v>87</v>
      </c>
      <c r="AQ722" t="s">
        <v>87</v>
      </c>
      <c r="AR722" t="s">
        <v>75</v>
      </c>
      <c r="AS722" t="s">
        <v>76</v>
      </c>
      <c r="AT722" t="s">
        <v>107</v>
      </c>
      <c r="AU722">
        <v>0</v>
      </c>
      <c r="AV722">
        <v>0</v>
      </c>
      <c r="AW722">
        <v>1</v>
      </c>
      <c r="AX722">
        <v>0</v>
      </c>
      <c r="AY722">
        <v>0</v>
      </c>
      <c r="AZ722" t="s">
        <v>580</v>
      </c>
    </row>
    <row r="723" spans="1:52" x14ac:dyDescent="0.2">
      <c r="A723">
        <v>1</v>
      </c>
      <c r="B723">
        <v>0</v>
      </c>
      <c r="C723">
        <v>0</v>
      </c>
      <c r="D723">
        <v>0</v>
      </c>
      <c r="E723">
        <v>0</v>
      </c>
      <c r="F723">
        <v>1</v>
      </c>
      <c r="G723">
        <v>1</v>
      </c>
      <c r="H723">
        <v>0</v>
      </c>
      <c r="I723">
        <v>0</v>
      </c>
      <c r="J723" t="s">
        <v>88</v>
      </c>
      <c r="K723" t="s">
        <v>89</v>
      </c>
      <c r="L723">
        <v>0</v>
      </c>
      <c r="M723">
        <v>0</v>
      </c>
      <c r="N723">
        <v>1</v>
      </c>
      <c r="O723">
        <v>0</v>
      </c>
      <c r="P723">
        <v>0</v>
      </c>
      <c r="Q723" t="s">
        <v>584</v>
      </c>
      <c r="AA723" t="s">
        <v>83</v>
      </c>
      <c r="AB723" t="s">
        <v>81</v>
      </c>
      <c r="AC723" t="s">
        <v>83</v>
      </c>
      <c r="AD723" t="s">
        <v>81</v>
      </c>
      <c r="AE723" t="s">
        <v>82</v>
      </c>
      <c r="AF723" t="s">
        <v>83</v>
      </c>
      <c r="AG723" t="s">
        <v>83</v>
      </c>
      <c r="AH723" t="s">
        <v>83</v>
      </c>
      <c r="AI723" t="s">
        <v>88</v>
      </c>
      <c r="AJ723" t="s">
        <v>89</v>
      </c>
      <c r="AK723" t="s">
        <v>85</v>
      </c>
      <c r="AL723" t="s">
        <v>73</v>
      </c>
      <c r="AM723" t="s">
        <v>86</v>
      </c>
      <c r="AN723" t="s">
        <v>87</v>
      </c>
      <c r="AO723" t="s">
        <v>87</v>
      </c>
      <c r="AP723" t="s">
        <v>74</v>
      </c>
      <c r="AQ723" t="s">
        <v>74</v>
      </c>
      <c r="AR723" t="s">
        <v>75</v>
      </c>
      <c r="AS723" t="s">
        <v>92</v>
      </c>
      <c r="AT723" t="s">
        <v>73</v>
      </c>
      <c r="AU723">
        <v>0</v>
      </c>
      <c r="AV723">
        <v>0</v>
      </c>
      <c r="AW723">
        <v>1</v>
      </c>
      <c r="AX723">
        <v>0</v>
      </c>
      <c r="AY723">
        <v>0</v>
      </c>
      <c r="AZ723" t="s">
        <v>580</v>
      </c>
    </row>
    <row r="724" spans="1:52" x14ac:dyDescent="0.2">
      <c r="A724">
        <v>0</v>
      </c>
      <c r="B724">
        <v>1</v>
      </c>
      <c r="C724">
        <v>0</v>
      </c>
      <c r="D724">
        <v>0</v>
      </c>
      <c r="E724">
        <v>1</v>
      </c>
      <c r="F724">
        <v>0</v>
      </c>
      <c r="G724">
        <v>0</v>
      </c>
      <c r="H724">
        <v>0</v>
      </c>
      <c r="I724">
        <v>0</v>
      </c>
      <c r="L724">
        <v>1</v>
      </c>
      <c r="M724">
        <v>0</v>
      </c>
      <c r="N724">
        <v>0</v>
      </c>
      <c r="O724">
        <v>0</v>
      </c>
      <c r="P724">
        <v>0</v>
      </c>
      <c r="Q724" t="s">
        <v>584</v>
      </c>
      <c r="R724">
        <v>0</v>
      </c>
      <c r="S724">
        <v>0</v>
      </c>
      <c r="T724">
        <v>0</v>
      </c>
      <c r="U724">
        <v>0</v>
      </c>
      <c r="V724">
        <v>0</v>
      </c>
      <c r="W724">
        <v>0</v>
      </c>
      <c r="X724">
        <v>0</v>
      </c>
      <c r="Y724">
        <v>0</v>
      </c>
      <c r="Z724">
        <v>1</v>
      </c>
      <c r="AL724" t="s">
        <v>73</v>
      </c>
      <c r="AM724" t="s">
        <v>74</v>
      </c>
      <c r="AR724" t="s">
        <v>159</v>
      </c>
      <c r="AS724" t="s">
        <v>92</v>
      </c>
      <c r="AT724" t="s">
        <v>73</v>
      </c>
      <c r="AU724">
        <v>0</v>
      </c>
      <c r="AV724">
        <v>0</v>
      </c>
      <c r="AW724">
        <v>0</v>
      </c>
      <c r="AX724">
        <v>1</v>
      </c>
      <c r="AY724">
        <v>0</v>
      </c>
      <c r="AZ724" t="s">
        <v>580</v>
      </c>
    </row>
    <row r="725" spans="1:52" x14ac:dyDescent="0.2">
      <c r="A725">
        <v>0</v>
      </c>
      <c r="B725">
        <v>1</v>
      </c>
      <c r="C725">
        <v>0</v>
      </c>
      <c r="D725">
        <v>0</v>
      </c>
      <c r="E725">
        <v>1</v>
      </c>
      <c r="F725">
        <v>0</v>
      </c>
      <c r="G725">
        <v>0</v>
      </c>
      <c r="H725">
        <v>0</v>
      </c>
      <c r="I725">
        <v>0</v>
      </c>
      <c r="L725">
        <v>1</v>
      </c>
      <c r="M725">
        <v>0</v>
      </c>
      <c r="N725">
        <v>0</v>
      </c>
      <c r="O725">
        <v>0</v>
      </c>
      <c r="P725">
        <v>0</v>
      </c>
      <c r="Q725" t="s">
        <v>584</v>
      </c>
      <c r="R725">
        <v>0</v>
      </c>
      <c r="S725">
        <v>1</v>
      </c>
      <c r="T725">
        <v>0</v>
      </c>
      <c r="U725">
        <v>0</v>
      </c>
      <c r="V725">
        <v>0</v>
      </c>
      <c r="W725">
        <v>0</v>
      </c>
      <c r="X725">
        <v>0</v>
      </c>
      <c r="Y725">
        <v>0</v>
      </c>
      <c r="Z725">
        <v>0</v>
      </c>
      <c r="AL725" t="s">
        <v>73</v>
      </c>
      <c r="AM725" t="s">
        <v>87</v>
      </c>
      <c r="AN725" t="s">
        <v>74</v>
      </c>
      <c r="AO725" t="s">
        <v>87</v>
      </c>
      <c r="AP725" t="s">
        <v>87</v>
      </c>
      <c r="AQ725" t="s">
        <v>87</v>
      </c>
      <c r="AR725" t="s">
        <v>101</v>
      </c>
      <c r="AS725" t="s">
        <v>76</v>
      </c>
      <c r="AT725" t="s">
        <v>73</v>
      </c>
      <c r="AU725">
        <v>0</v>
      </c>
      <c r="AV725">
        <v>0</v>
      </c>
      <c r="AW725">
        <v>1</v>
      </c>
      <c r="AX725">
        <v>0</v>
      </c>
      <c r="AY725">
        <v>0</v>
      </c>
      <c r="AZ725" t="s">
        <v>580</v>
      </c>
    </row>
    <row r="726" spans="1:52" x14ac:dyDescent="0.2">
      <c r="A726">
        <v>1</v>
      </c>
      <c r="B726">
        <v>0</v>
      </c>
      <c r="C726">
        <v>0</v>
      </c>
      <c r="D726">
        <v>0</v>
      </c>
      <c r="E726">
        <v>1</v>
      </c>
      <c r="F726">
        <v>0</v>
      </c>
      <c r="G726">
        <v>0</v>
      </c>
      <c r="H726">
        <v>0</v>
      </c>
      <c r="I726">
        <v>0</v>
      </c>
      <c r="L726">
        <v>1</v>
      </c>
      <c r="M726">
        <v>0</v>
      </c>
      <c r="N726">
        <v>0</v>
      </c>
      <c r="O726">
        <v>0</v>
      </c>
      <c r="P726">
        <v>0</v>
      </c>
      <c r="Q726" t="s">
        <v>584</v>
      </c>
      <c r="R726">
        <v>0</v>
      </c>
      <c r="S726">
        <v>0</v>
      </c>
      <c r="T726">
        <v>1</v>
      </c>
      <c r="U726">
        <v>0</v>
      </c>
      <c r="V726">
        <v>1</v>
      </c>
      <c r="W726">
        <v>1</v>
      </c>
      <c r="X726">
        <v>1</v>
      </c>
      <c r="Y726">
        <v>0</v>
      </c>
      <c r="Z726">
        <v>0</v>
      </c>
      <c r="AL726" t="s">
        <v>73</v>
      </c>
      <c r="AM726" t="s">
        <v>87</v>
      </c>
      <c r="AN726" t="s">
        <v>87</v>
      </c>
      <c r="AO726" t="s">
        <v>87</v>
      </c>
      <c r="AP726" t="s">
        <v>87</v>
      </c>
      <c r="AQ726" t="s">
        <v>87</v>
      </c>
      <c r="AR726" t="s">
        <v>101</v>
      </c>
      <c r="AS726" t="s">
        <v>92</v>
      </c>
      <c r="AT726" t="s">
        <v>73</v>
      </c>
      <c r="AU726">
        <v>0</v>
      </c>
      <c r="AV726">
        <v>0</v>
      </c>
      <c r="AW726">
        <v>1</v>
      </c>
      <c r="AX726">
        <v>1</v>
      </c>
      <c r="AY726">
        <v>0</v>
      </c>
      <c r="AZ726" t="s">
        <v>580</v>
      </c>
    </row>
    <row r="727" spans="1:52" x14ac:dyDescent="0.2">
      <c r="A727">
        <v>1</v>
      </c>
      <c r="B727">
        <v>0</v>
      </c>
      <c r="C727">
        <v>0</v>
      </c>
      <c r="D727">
        <v>0</v>
      </c>
      <c r="E727">
        <v>1</v>
      </c>
      <c r="F727">
        <v>0</v>
      </c>
      <c r="G727">
        <v>0</v>
      </c>
      <c r="H727">
        <v>0</v>
      </c>
      <c r="I727">
        <v>0</v>
      </c>
      <c r="L727">
        <v>1</v>
      </c>
      <c r="M727">
        <v>0</v>
      </c>
      <c r="N727">
        <v>0</v>
      </c>
      <c r="O727">
        <v>0</v>
      </c>
      <c r="P727">
        <v>0</v>
      </c>
      <c r="Q727" t="s">
        <v>584</v>
      </c>
      <c r="R727">
        <v>0</v>
      </c>
      <c r="S727">
        <v>0</v>
      </c>
      <c r="T727">
        <v>0</v>
      </c>
      <c r="U727">
        <v>0</v>
      </c>
      <c r="V727">
        <v>0</v>
      </c>
      <c r="W727">
        <v>0</v>
      </c>
      <c r="X727">
        <v>1</v>
      </c>
      <c r="Y727">
        <v>0</v>
      </c>
      <c r="Z727">
        <v>0</v>
      </c>
      <c r="AL727" t="s">
        <v>73</v>
      </c>
      <c r="AM727" t="s">
        <v>74</v>
      </c>
      <c r="AR727" t="s">
        <v>97</v>
      </c>
      <c r="AS727" t="s">
        <v>92</v>
      </c>
      <c r="AT727" t="s">
        <v>73</v>
      </c>
      <c r="AU727">
        <v>0</v>
      </c>
      <c r="AV727">
        <v>0</v>
      </c>
      <c r="AW727">
        <v>0</v>
      </c>
      <c r="AX727">
        <v>0</v>
      </c>
      <c r="AY727">
        <v>1</v>
      </c>
      <c r="AZ727" t="s">
        <v>580</v>
      </c>
    </row>
    <row r="728" spans="1:52" x14ac:dyDescent="0.2">
      <c r="A728">
        <v>1</v>
      </c>
      <c r="B728">
        <v>0</v>
      </c>
      <c r="C728">
        <v>0</v>
      </c>
      <c r="D728">
        <v>0</v>
      </c>
      <c r="E728">
        <v>0</v>
      </c>
      <c r="F728">
        <v>1</v>
      </c>
      <c r="G728">
        <v>1</v>
      </c>
      <c r="H728">
        <v>1</v>
      </c>
      <c r="I728">
        <v>0</v>
      </c>
      <c r="J728" t="s">
        <v>88</v>
      </c>
      <c r="K728" t="s">
        <v>89</v>
      </c>
      <c r="L728">
        <v>0</v>
      </c>
      <c r="M728">
        <v>0</v>
      </c>
      <c r="N728">
        <v>1</v>
      </c>
      <c r="O728">
        <v>0</v>
      </c>
      <c r="P728">
        <v>0</v>
      </c>
      <c r="Q728" t="s">
        <v>584</v>
      </c>
      <c r="AA728" t="s">
        <v>83</v>
      </c>
      <c r="AB728" t="s">
        <v>82</v>
      </c>
      <c r="AC728" t="s">
        <v>81</v>
      </c>
      <c r="AD728" t="s">
        <v>81</v>
      </c>
      <c r="AE728" t="s">
        <v>83</v>
      </c>
      <c r="AF728" t="s">
        <v>81</v>
      </c>
      <c r="AG728" t="s">
        <v>83</v>
      </c>
      <c r="AH728" t="s">
        <v>83</v>
      </c>
      <c r="AI728" t="s">
        <v>88</v>
      </c>
      <c r="AJ728" t="s">
        <v>89</v>
      </c>
      <c r="AK728" t="s">
        <v>100</v>
      </c>
      <c r="AL728" t="s">
        <v>73</v>
      </c>
      <c r="AM728" t="s">
        <v>86</v>
      </c>
      <c r="AN728" t="s">
        <v>87</v>
      </c>
      <c r="AO728" t="s">
        <v>87</v>
      </c>
      <c r="AP728" t="s">
        <v>87</v>
      </c>
      <c r="AQ728" t="s">
        <v>87</v>
      </c>
      <c r="AR728" t="s">
        <v>108</v>
      </c>
      <c r="AS728" t="s">
        <v>92</v>
      </c>
      <c r="AT728" t="s">
        <v>73</v>
      </c>
      <c r="AU728">
        <v>0</v>
      </c>
      <c r="AV728">
        <v>0</v>
      </c>
      <c r="AW728">
        <v>1</v>
      </c>
      <c r="AX728">
        <v>0</v>
      </c>
      <c r="AY728">
        <v>0</v>
      </c>
      <c r="AZ728" t="s">
        <v>580</v>
      </c>
    </row>
    <row r="729" spans="1:52" x14ac:dyDescent="0.2">
      <c r="A729">
        <v>1</v>
      </c>
      <c r="B729">
        <v>0</v>
      </c>
      <c r="C729">
        <v>0</v>
      </c>
      <c r="D729">
        <v>0</v>
      </c>
      <c r="E729">
        <v>1</v>
      </c>
      <c r="F729">
        <v>0</v>
      </c>
      <c r="G729">
        <v>0</v>
      </c>
      <c r="H729">
        <v>0</v>
      </c>
      <c r="I729">
        <v>0</v>
      </c>
      <c r="L729">
        <v>0</v>
      </c>
      <c r="M729">
        <v>1</v>
      </c>
      <c r="N729">
        <v>0</v>
      </c>
      <c r="O729">
        <v>0</v>
      </c>
      <c r="P729">
        <v>0</v>
      </c>
      <c r="Q729" t="s">
        <v>584</v>
      </c>
      <c r="AA729" t="s">
        <v>90</v>
      </c>
      <c r="AB729" t="s">
        <v>82</v>
      </c>
      <c r="AC729" t="s">
        <v>90</v>
      </c>
      <c r="AD729" t="s">
        <v>90</v>
      </c>
      <c r="AE729" t="s">
        <v>90</v>
      </c>
      <c r="AF729" t="s">
        <v>90</v>
      </c>
      <c r="AG729" t="s">
        <v>90</v>
      </c>
      <c r="AH729" t="s">
        <v>90</v>
      </c>
      <c r="AI729" t="s">
        <v>135</v>
      </c>
      <c r="AJ729" t="s">
        <v>127</v>
      </c>
      <c r="AK729" t="s">
        <v>85</v>
      </c>
      <c r="AL729" t="s">
        <v>73</v>
      </c>
      <c r="AM729" t="s">
        <v>74</v>
      </c>
      <c r="AR729" t="s">
        <v>97</v>
      </c>
      <c r="AS729" t="s">
        <v>76</v>
      </c>
      <c r="AT729" t="s">
        <v>73</v>
      </c>
      <c r="AU729">
        <v>0</v>
      </c>
      <c r="AV729">
        <v>0</v>
      </c>
      <c r="AW729">
        <v>0</v>
      </c>
      <c r="AX729">
        <v>1</v>
      </c>
      <c r="AY729">
        <v>0</v>
      </c>
      <c r="AZ729" t="s">
        <v>580</v>
      </c>
    </row>
    <row r="730" spans="1:52" x14ac:dyDescent="0.2">
      <c r="A730">
        <v>1</v>
      </c>
      <c r="B730">
        <v>0</v>
      </c>
      <c r="C730">
        <v>0</v>
      </c>
      <c r="D730">
        <v>0</v>
      </c>
      <c r="E730">
        <v>1</v>
      </c>
      <c r="F730">
        <v>0</v>
      </c>
      <c r="G730">
        <v>0</v>
      </c>
      <c r="H730">
        <v>0</v>
      </c>
      <c r="I730">
        <v>0</v>
      </c>
      <c r="L730">
        <v>1</v>
      </c>
      <c r="M730">
        <v>0</v>
      </c>
      <c r="N730">
        <v>0</v>
      </c>
      <c r="O730">
        <v>0</v>
      </c>
      <c r="P730">
        <v>0</v>
      </c>
      <c r="Q730" t="s">
        <v>584</v>
      </c>
      <c r="R730">
        <v>0</v>
      </c>
      <c r="S730">
        <v>0</v>
      </c>
      <c r="T730">
        <v>1</v>
      </c>
      <c r="U730">
        <v>0</v>
      </c>
      <c r="V730">
        <v>0</v>
      </c>
      <c r="W730">
        <v>0</v>
      </c>
      <c r="X730">
        <v>0</v>
      </c>
      <c r="Y730">
        <v>0</v>
      </c>
      <c r="Z730">
        <v>0</v>
      </c>
      <c r="AL730" t="s">
        <v>96</v>
      </c>
      <c r="AM730" t="s">
        <v>87</v>
      </c>
      <c r="AN730" t="s">
        <v>87</v>
      </c>
      <c r="AO730" t="s">
        <v>86</v>
      </c>
      <c r="AP730" t="s">
        <v>87</v>
      </c>
      <c r="AQ730" t="s">
        <v>86</v>
      </c>
      <c r="AR730" t="s">
        <v>159</v>
      </c>
      <c r="AS730" t="s">
        <v>76</v>
      </c>
      <c r="AT730" t="s">
        <v>96</v>
      </c>
      <c r="AU730">
        <v>0</v>
      </c>
      <c r="AV730">
        <v>0</v>
      </c>
      <c r="AW730">
        <v>0</v>
      </c>
      <c r="AX730">
        <v>1</v>
      </c>
      <c r="AY730">
        <v>0</v>
      </c>
      <c r="AZ730" t="s">
        <v>578</v>
      </c>
    </row>
    <row r="731" spans="1:52" x14ac:dyDescent="0.2">
      <c r="A731">
        <v>0</v>
      </c>
      <c r="B731">
        <v>1</v>
      </c>
      <c r="C731">
        <v>0</v>
      </c>
      <c r="D731">
        <v>0</v>
      </c>
      <c r="E731">
        <v>0</v>
      </c>
      <c r="F731">
        <v>1</v>
      </c>
      <c r="G731">
        <v>0</v>
      </c>
      <c r="H731">
        <v>1</v>
      </c>
      <c r="I731">
        <v>0</v>
      </c>
      <c r="J731" t="s">
        <v>88</v>
      </c>
      <c r="K731" t="s">
        <v>89</v>
      </c>
      <c r="L731">
        <v>0</v>
      </c>
      <c r="M731">
        <v>1</v>
      </c>
      <c r="N731">
        <v>0</v>
      </c>
      <c r="O731">
        <v>0</v>
      </c>
      <c r="P731">
        <v>0</v>
      </c>
      <c r="Q731" t="s">
        <v>584</v>
      </c>
      <c r="AA731" t="s">
        <v>83</v>
      </c>
      <c r="AB731" t="s">
        <v>82</v>
      </c>
      <c r="AC731" t="s">
        <v>81</v>
      </c>
      <c r="AD731" t="s">
        <v>81</v>
      </c>
      <c r="AE731" t="s">
        <v>83</v>
      </c>
      <c r="AF731" t="s">
        <v>83</v>
      </c>
      <c r="AG731" t="s">
        <v>83</v>
      </c>
      <c r="AH731" t="s">
        <v>81</v>
      </c>
      <c r="AI731" t="s">
        <v>88</v>
      </c>
      <c r="AJ731" t="s">
        <v>89</v>
      </c>
      <c r="AK731" t="s">
        <v>100</v>
      </c>
      <c r="AL731" t="s">
        <v>73</v>
      </c>
      <c r="AM731" t="s">
        <v>87</v>
      </c>
      <c r="AN731" t="s">
        <v>86</v>
      </c>
      <c r="AO731" t="s">
        <v>87</v>
      </c>
      <c r="AP731" t="s">
        <v>87</v>
      </c>
      <c r="AQ731" t="s">
        <v>87</v>
      </c>
      <c r="AR731" t="s">
        <v>75</v>
      </c>
      <c r="AS731" t="s">
        <v>76</v>
      </c>
      <c r="AT731" t="s">
        <v>73</v>
      </c>
      <c r="AU731">
        <v>0</v>
      </c>
      <c r="AV731">
        <v>0</v>
      </c>
      <c r="AW731">
        <v>0</v>
      </c>
      <c r="AX731">
        <v>1</v>
      </c>
      <c r="AY731">
        <v>0</v>
      </c>
      <c r="AZ731" t="s">
        <v>579</v>
      </c>
    </row>
    <row r="732" spans="1:52" x14ac:dyDescent="0.2">
      <c r="A732">
        <v>1</v>
      </c>
      <c r="B732">
        <v>0</v>
      </c>
      <c r="C732">
        <v>0</v>
      </c>
      <c r="D732">
        <v>0</v>
      </c>
      <c r="E732">
        <v>0</v>
      </c>
      <c r="F732">
        <v>1</v>
      </c>
      <c r="G732">
        <v>0</v>
      </c>
      <c r="H732">
        <v>0</v>
      </c>
      <c r="I732">
        <v>0</v>
      </c>
      <c r="J732" t="s">
        <v>135</v>
      </c>
      <c r="K732" t="s">
        <v>80</v>
      </c>
      <c r="L732">
        <v>0</v>
      </c>
      <c r="M732">
        <v>1</v>
      </c>
      <c r="N732">
        <v>0</v>
      </c>
      <c r="O732">
        <v>0</v>
      </c>
      <c r="P732">
        <v>0</v>
      </c>
      <c r="Q732" t="s">
        <v>584</v>
      </c>
      <c r="AA732" t="s">
        <v>90</v>
      </c>
      <c r="AB732" t="s">
        <v>82</v>
      </c>
      <c r="AC732" t="s">
        <v>81</v>
      </c>
      <c r="AD732" t="s">
        <v>81</v>
      </c>
      <c r="AE732" t="s">
        <v>83</v>
      </c>
      <c r="AF732" t="s">
        <v>90</v>
      </c>
      <c r="AG732" t="s">
        <v>90</v>
      </c>
      <c r="AH732" t="s">
        <v>83</v>
      </c>
      <c r="AI732" t="s">
        <v>127</v>
      </c>
      <c r="AJ732" t="s">
        <v>127</v>
      </c>
      <c r="AL732" t="s">
        <v>73</v>
      </c>
      <c r="AM732" t="s">
        <v>87</v>
      </c>
      <c r="AN732" t="s">
        <v>87</v>
      </c>
      <c r="AO732" t="s">
        <v>87</v>
      </c>
      <c r="AP732" t="s">
        <v>87</v>
      </c>
      <c r="AQ732" t="s">
        <v>87</v>
      </c>
      <c r="AR732" t="s">
        <v>159</v>
      </c>
      <c r="AS732" t="s">
        <v>92</v>
      </c>
      <c r="AT732" t="s">
        <v>73</v>
      </c>
      <c r="AU732">
        <v>0</v>
      </c>
      <c r="AV732">
        <v>0</v>
      </c>
      <c r="AW732">
        <v>0</v>
      </c>
      <c r="AX732">
        <v>1</v>
      </c>
      <c r="AY732">
        <v>0</v>
      </c>
      <c r="AZ732" t="s">
        <v>577</v>
      </c>
    </row>
    <row r="733" spans="1:52" x14ac:dyDescent="0.2">
      <c r="A733">
        <v>1</v>
      </c>
      <c r="B733">
        <v>0</v>
      </c>
      <c r="C733">
        <v>0</v>
      </c>
      <c r="D733">
        <v>0</v>
      </c>
      <c r="E733">
        <v>0</v>
      </c>
      <c r="F733">
        <v>0</v>
      </c>
      <c r="G733">
        <v>1</v>
      </c>
      <c r="H733">
        <v>0</v>
      </c>
      <c r="I733">
        <v>0</v>
      </c>
      <c r="J733" t="s">
        <v>88</v>
      </c>
      <c r="K733" t="s">
        <v>89</v>
      </c>
      <c r="L733">
        <v>0</v>
      </c>
      <c r="M733">
        <v>1</v>
      </c>
      <c r="N733">
        <v>1</v>
      </c>
      <c r="O733">
        <v>0</v>
      </c>
      <c r="P733">
        <v>0</v>
      </c>
      <c r="Q733" t="s">
        <v>584</v>
      </c>
      <c r="AA733" t="s">
        <v>83</v>
      </c>
      <c r="AB733" t="s">
        <v>82</v>
      </c>
      <c r="AC733" t="s">
        <v>83</v>
      </c>
      <c r="AD733" t="s">
        <v>81</v>
      </c>
      <c r="AE733" t="s">
        <v>81</v>
      </c>
      <c r="AF733" t="s">
        <v>90</v>
      </c>
      <c r="AG733" t="s">
        <v>83</v>
      </c>
      <c r="AH733" t="s">
        <v>83</v>
      </c>
      <c r="AI733" t="s">
        <v>88</v>
      </c>
      <c r="AJ733" t="s">
        <v>89</v>
      </c>
      <c r="AK733" t="s">
        <v>85</v>
      </c>
      <c r="AL733" t="s">
        <v>107</v>
      </c>
      <c r="AM733" t="s">
        <v>87</v>
      </c>
      <c r="AN733" t="s">
        <v>87</v>
      </c>
      <c r="AO733" t="s">
        <v>87</v>
      </c>
      <c r="AP733" t="s">
        <v>87</v>
      </c>
      <c r="AQ733" t="s">
        <v>87</v>
      </c>
      <c r="AR733" t="s">
        <v>75</v>
      </c>
      <c r="AS733" t="s">
        <v>76</v>
      </c>
      <c r="AT733" t="s">
        <v>107</v>
      </c>
      <c r="AU733">
        <v>1</v>
      </c>
      <c r="AV733">
        <v>0</v>
      </c>
      <c r="AW733">
        <v>0</v>
      </c>
      <c r="AX733">
        <v>0</v>
      </c>
      <c r="AY733">
        <v>0</v>
      </c>
      <c r="AZ733" t="s">
        <v>579</v>
      </c>
    </row>
    <row r="734" spans="1:52" x14ac:dyDescent="0.2">
      <c r="A734">
        <v>1</v>
      </c>
      <c r="B734">
        <v>0</v>
      </c>
      <c r="C734">
        <v>0</v>
      </c>
      <c r="D734">
        <v>0</v>
      </c>
      <c r="E734">
        <v>0</v>
      </c>
      <c r="F734">
        <v>1</v>
      </c>
      <c r="G734">
        <v>1</v>
      </c>
      <c r="H734">
        <v>0</v>
      </c>
      <c r="I734">
        <v>0</v>
      </c>
      <c r="J734" t="s">
        <v>88</v>
      </c>
      <c r="K734" t="s">
        <v>89</v>
      </c>
      <c r="L734">
        <v>0</v>
      </c>
      <c r="M734">
        <v>0</v>
      </c>
      <c r="N734">
        <v>1</v>
      </c>
      <c r="O734">
        <v>0</v>
      </c>
      <c r="P734">
        <v>0</v>
      </c>
      <c r="Q734" t="s">
        <v>584</v>
      </c>
      <c r="AA734" t="s">
        <v>83</v>
      </c>
      <c r="AB734" t="s">
        <v>82</v>
      </c>
      <c r="AC734" t="s">
        <v>81</v>
      </c>
      <c r="AD734" t="s">
        <v>81</v>
      </c>
      <c r="AE734" t="s">
        <v>81</v>
      </c>
      <c r="AF734" t="s">
        <v>83</v>
      </c>
      <c r="AG734" t="s">
        <v>83</v>
      </c>
      <c r="AH734" t="s">
        <v>83</v>
      </c>
      <c r="AI734" t="s">
        <v>88</v>
      </c>
      <c r="AJ734" t="s">
        <v>89</v>
      </c>
      <c r="AK734" t="s">
        <v>85</v>
      </c>
      <c r="AL734" t="s">
        <v>73</v>
      </c>
      <c r="AM734" t="s">
        <v>87</v>
      </c>
      <c r="AN734" t="s">
        <v>87</v>
      </c>
      <c r="AO734" t="s">
        <v>87</v>
      </c>
      <c r="AP734" t="s">
        <v>86</v>
      </c>
      <c r="AQ734" t="s">
        <v>87</v>
      </c>
      <c r="AR734" t="s">
        <v>75</v>
      </c>
      <c r="AS734" t="s">
        <v>76</v>
      </c>
      <c r="AT734" t="s">
        <v>73</v>
      </c>
      <c r="AU734">
        <v>0</v>
      </c>
      <c r="AV734">
        <v>0</v>
      </c>
      <c r="AW734">
        <v>0</v>
      </c>
      <c r="AX734">
        <v>1</v>
      </c>
      <c r="AY734">
        <v>0</v>
      </c>
      <c r="AZ734" t="s">
        <v>579</v>
      </c>
    </row>
    <row r="735" spans="1:52" x14ac:dyDescent="0.2">
      <c r="A735">
        <v>0</v>
      </c>
      <c r="B735">
        <v>1</v>
      </c>
      <c r="C735">
        <v>0</v>
      </c>
      <c r="D735">
        <v>0</v>
      </c>
      <c r="E735">
        <v>0</v>
      </c>
      <c r="F735">
        <v>0</v>
      </c>
      <c r="G735">
        <v>0</v>
      </c>
      <c r="H735">
        <v>0</v>
      </c>
      <c r="I735">
        <v>1</v>
      </c>
      <c r="J735" t="s">
        <v>88</v>
      </c>
      <c r="K735" t="s">
        <v>89</v>
      </c>
      <c r="L735">
        <v>0</v>
      </c>
      <c r="M735">
        <v>0</v>
      </c>
      <c r="N735">
        <v>0</v>
      </c>
      <c r="O735">
        <v>0</v>
      </c>
      <c r="P735">
        <v>0</v>
      </c>
      <c r="Q735" t="s">
        <v>585</v>
      </c>
      <c r="AA735" t="s">
        <v>90</v>
      </c>
      <c r="AB735" t="s">
        <v>90</v>
      </c>
      <c r="AC735" t="s">
        <v>90</v>
      </c>
      <c r="AD735" t="s">
        <v>90</v>
      </c>
      <c r="AE735" t="s">
        <v>90</v>
      </c>
      <c r="AF735" t="s">
        <v>90</v>
      </c>
      <c r="AG735" t="s">
        <v>90</v>
      </c>
      <c r="AH735" t="s">
        <v>90</v>
      </c>
      <c r="AI735" t="s">
        <v>88</v>
      </c>
      <c r="AJ735" t="s">
        <v>89</v>
      </c>
      <c r="AK735" t="s">
        <v>100</v>
      </c>
      <c r="AL735" t="s">
        <v>107</v>
      </c>
      <c r="AM735" t="s">
        <v>87</v>
      </c>
      <c r="AN735" t="s">
        <v>74</v>
      </c>
      <c r="AO735" t="s">
        <v>86</v>
      </c>
      <c r="AP735" t="s">
        <v>86</v>
      </c>
      <c r="AQ735" t="s">
        <v>86</v>
      </c>
      <c r="AR735" t="s">
        <v>75</v>
      </c>
      <c r="AS735" t="s">
        <v>92</v>
      </c>
      <c r="AT735" t="s">
        <v>107</v>
      </c>
      <c r="AU735">
        <v>0</v>
      </c>
      <c r="AV735">
        <v>1</v>
      </c>
      <c r="AW735">
        <v>0</v>
      </c>
      <c r="AX735">
        <v>0</v>
      </c>
      <c r="AY735">
        <v>0</v>
      </c>
      <c r="AZ735" t="s">
        <v>580</v>
      </c>
    </row>
    <row r="736" spans="1:52" x14ac:dyDescent="0.2">
      <c r="A736">
        <v>1</v>
      </c>
      <c r="B736">
        <v>0</v>
      </c>
      <c r="C736">
        <v>0</v>
      </c>
      <c r="D736">
        <v>0</v>
      </c>
      <c r="E736">
        <v>0</v>
      </c>
      <c r="F736">
        <v>1</v>
      </c>
      <c r="G736">
        <v>0</v>
      </c>
      <c r="H736">
        <v>1</v>
      </c>
      <c r="I736">
        <v>0</v>
      </c>
      <c r="J736" t="s">
        <v>135</v>
      </c>
      <c r="K736" t="s">
        <v>80</v>
      </c>
      <c r="L736">
        <v>0</v>
      </c>
      <c r="M736">
        <v>0</v>
      </c>
      <c r="N736">
        <v>1</v>
      </c>
      <c r="O736">
        <v>0</v>
      </c>
      <c r="P736">
        <v>0</v>
      </c>
      <c r="Q736" t="s">
        <v>584</v>
      </c>
      <c r="AA736" t="s">
        <v>83</v>
      </c>
      <c r="AB736" t="s">
        <v>81</v>
      </c>
      <c r="AC736" t="s">
        <v>83</v>
      </c>
      <c r="AD736" t="s">
        <v>90</v>
      </c>
      <c r="AE736" t="s">
        <v>82</v>
      </c>
      <c r="AF736" t="s">
        <v>81</v>
      </c>
      <c r="AG736" t="s">
        <v>81</v>
      </c>
      <c r="AH736" t="s">
        <v>83</v>
      </c>
      <c r="AI736" t="s">
        <v>88</v>
      </c>
      <c r="AJ736" t="s">
        <v>80</v>
      </c>
      <c r="AK736" t="s">
        <v>85</v>
      </c>
      <c r="AL736" t="s">
        <v>73</v>
      </c>
      <c r="AM736" t="s">
        <v>74</v>
      </c>
      <c r="AR736" t="s">
        <v>75</v>
      </c>
      <c r="AS736" t="s">
        <v>76</v>
      </c>
      <c r="AT736" t="s">
        <v>73</v>
      </c>
      <c r="AU736">
        <v>0</v>
      </c>
      <c r="AV736">
        <v>0</v>
      </c>
      <c r="AW736">
        <v>0</v>
      </c>
      <c r="AX736">
        <v>1</v>
      </c>
      <c r="AY736">
        <v>0</v>
      </c>
      <c r="AZ736" t="s">
        <v>579</v>
      </c>
    </row>
    <row r="737" spans="1:52" x14ac:dyDescent="0.2">
      <c r="A737">
        <v>1</v>
      </c>
      <c r="B737">
        <v>0</v>
      </c>
      <c r="C737">
        <v>0</v>
      </c>
      <c r="D737">
        <v>0</v>
      </c>
      <c r="E737">
        <v>0</v>
      </c>
      <c r="F737">
        <v>1</v>
      </c>
      <c r="G737">
        <v>0</v>
      </c>
      <c r="H737">
        <v>0</v>
      </c>
      <c r="I737">
        <v>0</v>
      </c>
      <c r="J737" t="s">
        <v>79</v>
      </c>
      <c r="K737" t="s">
        <v>80</v>
      </c>
      <c r="L737">
        <v>1</v>
      </c>
      <c r="M737">
        <v>0</v>
      </c>
      <c r="N737">
        <v>0</v>
      </c>
      <c r="O737">
        <v>0</v>
      </c>
      <c r="P737">
        <v>0</v>
      </c>
      <c r="Q737" t="s">
        <v>584</v>
      </c>
      <c r="R737">
        <v>0</v>
      </c>
      <c r="S737">
        <v>1</v>
      </c>
      <c r="T737">
        <v>0</v>
      </c>
      <c r="U737">
        <v>0</v>
      </c>
      <c r="V737">
        <v>0</v>
      </c>
      <c r="W737">
        <v>0</v>
      </c>
      <c r="X737">
        <v>0</v>
      </c>
      <c r="Y737">
        <v>0</v>
      </c>
      <c r="Z737">
        <v>0</v>
      </c>
      <c r="AL737" t="s">
        <v>107</v>
      </c>
      <c r="AM737" t="s">
        <v>74</v>
      </c>
      <c r="AR737" t="s">
        <v>159</v>
      </c>
      <c r="AS737" t="s">
        <v>92</v>
      </c>
      <c r="AT737" t="s">
        <v>107</v>
      </c>
      <c r="AU737">
        <v>0</v>
      </c>
      <c r="AV737">
        <v>1</v>
      </c>
      <c r="AW737">
        <v>0</v>
      </c>
      <c r="AX737">
        <v>0</v>
      </c>
      <c r="AY737">
        <v>0</v>
      </c>
      <c r="AZ737" t="s">
        <v>581</v>
      </c>
    </row>
    <row r="738" spans="1:52" x14ac:dyDescent="0.2">
      <c r="A738">
        <v>1</v>
      </c>
      <c r="B738">
        <v>0</v>
      </c>
      <c r="C738">
        <v>0</v>
      </c>
      <c r="D738">
        <v>0</v>
      </c>
      <c r="E738">
        <v>0</v>
      </c>
      <c r="F738">
        <v>1</v>
      </c>
      <c r="G738">
        <v>0</v>
      </c>
      <c r="H738">
        <v>0</v>
      </c>
      <c r="I738">
        <v>0</v>
      </c>
      <c r="J738" t="s">
        <v>88</v>
      </c>
      <c r="K738" t="s">
        <v>89</v>
      </c>
      <c r="L738">
        <v>1</v>
      </c>
      <c r="M738">
        <v>0</v>
      </c>
      <c r="N738">
        <v>0</v>
      </c>
      <c r="O738">
        <v>0</v>
      </c>
      <c r="P738">
        <v>0</v>
      </c>
      <c r="Q738" t="s">
        <v>584</v>
      </c>
      <c r="R738">
        <v>0</v>
      </c>
      <c r="S738">
        <v>0</v>
      </c>
      <c r="T738">
        <v>0</v>
      </c>
      <c r="U738">
        <v>0</v>
      </c>
      <c r="V738">
        <v>0</v>
      </c>
      <c r="W738">
        <v>0</v>
      </c>
      <c r="X738">
        <v>0</v>
      </c>
      <c r="Y738">
        <v>0</v>
      </c>
      <c r="Z738">
        <v>1</v>
      </c>
      <c r="AL738" t="s">
        <v>73</v>
      </c>
      <c r="AM738" t="s">
        <v>86</v>
      </c>
      <c r="AN738" t="s">
        <v>86</v>
      </c>
      <c r="AO738" t="s">
        <v>87</v>
      </c>
      <c r="AP738" t="s">
        <v>86</v>
      </c>
      <c r="AQ738" t="s">
        <v>87</v>
      </c>
      <c r="AR738" t="s">
        <v>75</v>
      </c>
      <c r="AS738" t="s">
        <v>76</v>
      </c>
      <c r="AT738" t="s">
        <v>73</v>
      </c>
      <c r="AU738">
        <v>0</v>
      </c>
      <c r="AV738">
        <v>0</v>
      </c>
      <c r="AW738">
        <v>0</v>
      </c>
      <c r="AX738">
        <v>1</v>
      </c>
      <c r="AY738">
        <v>0</v>
      </c>
      <c r="AZ738" t="s">
        <v>579</v>
      </c>
    </row>
    <row r="739" spans="1:52" x14ac:dyDescent="0.2">
      <c r="A739">
        <v>1</v>
      </c>
      <c r="B739">
        <v>0</v>
      </c>
      <c r="C739">
        <v>0</v>
      </c>
      <c r="D739">
        <v>0</v>
      </c>
      <c r="E739">
        <v>0</v>
      </c>
      <c r="F739">
        <v>1</v>
      </c>
      <c r="G739">
        <v>0</v>
      </c>
      <c r="H739">
        <v>0</v>
      </c>
      <c r="I739">
        <v>0</v>
      </c>
      <c r="J739" t="s">
        <v>79</v>
      </c>
      <c r="K739" t="s">
        <v>89</v>
      </c>
      <c r="L739">
        <v>0</v>
      </c>
      <c r="M739">
        <v>0</v>
      </c>
      <c r="N739">
        <v>1</v>
      </c>
      <c r="O739">
        <v>0</v>
      </c>
      <c r="P739">
        <v>0</v>
      </c>
      <c r="Q739" t="s">
        <v>584</v>
      </c>
      <c r="AA739" t="s">
        <v>83</v>
      </c>
      <c r="AB739" t="s">
        <v>82</v>
      </c>
      <c r="AC739" t="s">
        <v>83</v>
      </c>
      <c r="AD739" t="s">
        <v>81</v>
      </c>
      <c r="AE739" t="s">
        <v>83</v>
      </c>
      <c r="AF739" t="s">
        <v>83</v>
      </c>
      <c r="AG739" t="s">
        <v>83</v>
      </c>
      <c r="AH739" t="s">
        <v>83</v>
      </c>
      <c r="AI739" t="s">
        <v>88</v>
      </c>
      <c r="AJ739" t="s">
        <v>89</v>
      </c>
      <c r="AK739" t="s">
        <v>85</v>
      </c>
      <c r="AL739" t="s">
        <v>107</v>
      </c>
      <c r="AM739" t="s">
        <v>74</v>
      </c>
      <c r="AR739" t="s">
        <v>159</v>
      </c>
      <c r="AS739" t="s">
        <v>76</v>
      </c>
      <c r="AT739" t="s">
        <v>107</v>
      </c>
      <c r="AU739">
        <v>0</v>
      </c>
      <c r="AV739">
        <v>0</v>
      </c>
      <c r="AW739">
        <v>0</v>
      </c>
      <c r="AX739">
        <v>1</v>
      </c>
      <c r="AY739">
        <v>0</v>
      </c>
      <c r="AZ739" t="s">
        <v>579</v>
      </c>
    </row>
    <row r="740" spans="1:52" x14ac:dyDescent="0.2">
      <c r="A740">
        <v>1</v>
      </c>
      <c r="B740">
        <v>0</v>
      </c>
      <c r="C740">
        <v>0</v>
      </c>
      <c r="D740">
        <v>0</v>
      </c>
      <c r="E740">
        <v>0</v>
      </c>
      <c r="F740">
        <v>1</v>
      </c>
      <c r="G740">
        <v>0</v>
      </c>
      <c r="H740">
        <v>0</v>
      </c>
      <c r="I740">
        <v>0</v>
      </c>
      <c r="J740" t="s">
        <v>88</v>
      </c>
      <c r="K740" t="s">
        <v>89</v>
      </c>
      <c r="L740">
        <v>0</v>
      </c>
      <c r="M740">
        <v>0</v>
      </c>
      <c r="N740">
        <v>1</v>
      </c>
      <c r="O740">
        <v>0</v>
      </c>
      <c r="P740">
        <v>0</v>
      </c>
      <c r="Q740" t="s">
        <v>584</v>
      </c>
      <c r="AA740" t="s">
        <v>83</v>
      </c>
      <c r="AB740" t="s">
        <v>81</v>
      </c>
      <c r="AC740" t="s">
        <v>83</v>
      </c>
      <c r="AD740" t="s">
        <v>81</v>
      </c>
      <c r="AE740" t="s">
        <v>82</v>
      </c>
      <c r="AF740" t="s">
        <v>83</v>
      </c>
      <c r="AG740" t="s">
        <v>83</v>
      </c>
      <c r="AH740" t="s">
        <v>81</v>
      </c>
      <c r="AI740" t="s">
        <v>88</v>
      </c>
      <c r="AJ740" t="s">
        <v>89</v>
      </c>
      <c r="AK740" t="s">
        <v>85</v>
      </c>
      <c r="AL740" t="s">
        <v>73</v>
      </c>
      <c r="AM740" t="s">
        <v>87</v>
      </c>
      <c r="AN740" t="s">
        <v>87</v>
      </c>
      <c r="AO740" t="s">
        <v>87</v>
      </c>
      <c r="AP740" t="s">
        <v>74</v>
      </c>
      <c r="AQ740" t="s">
        <v>87</v>
      </c>
      <c r="AR740" t="s">
        <v>75</v>
      </c>
      <c r="AS740" t="s">
        <v>76</v>
      </c>
      <c r="AT740" t="s">
        <v>73</v>
      </c>
      <c r="AU740">
        <v>0</v>
      </c>
      <c r="AV740">
        <v>0</v>
      </c>
      <c r="AW740">
        <v>0</v>
      </c>
      <c r="AX740">
        <v>1</v>
      </c>
      <c r="AY740">
        <v>0</v>
      </c>
      <c r="AZ740" t="s">
        <v>579</v>
      </c>
    </row>
    <row r="741" spans="1:52" x14ac:dyDescent="0.2">
      <c r="A741">
        <v>1</v>
      </c>
      <c r="B741">
        <v>0</v>
      </c>
      <c r="C741">
        <v>0</v>
      </c>
      <c r="D741">
        <v>0</v>
      </c>
      <c r="E741">
        <v>0</v>
      </c>
      <c r="F741">
        <v>1</v>
      </c>
      <c r="G741">
        <v>0</v>
      </c>
      <c r="H741">
        <v>1</v>
      </c>
      <c r="I741">
        <v>0</v>
      </c>
      <c r="J741" t="s">
        <v>135</v>
      </c>
      <c r="K741" t="s">
        <v>89</v>
      </c>
      <c r="L741">
        <v>0</v>
      </c>
      <c r="M741">
        <v>1</v>
      </c>
      <c r="N741">
        <v>0</v>
      </c>
      <c r="O741">
        <v>0</v>
      </c>
      <c r="P741">
        <v>0</v>
      </c>
      <c r="Q741" t="s">
        <v>584</v>
      </c>
      <c r="AA741" t="s">
        <v>90</v>
      </c>
      <c r="AB741" t="s">
        <v>90</v>
      </c>
      <c r="AC741" t="s">
        <v>90</v>
      </c>
      <c r="AD741" t="s">
        <v>82</v>
      </c>
      <c r="AE741" t="s">
        <v>90</v>
      </c>
      <c r="AF741" t="s">
        <v>90</v>
      </c>
      <c r="AG741" t="s">
        <v>90</v>
      </c>
      <c r="AH741" t="s">
        <v>90</v>
      </c>
      <c r="AI741" t="s">
        <v>88</v>
      </c>
      <c r="AJ741" t="s">
        <v>89</v>
      </c>
      <c r="AK741" t="s">
        <v>100</v>
      </c>
      <c r="AL741" t="s">
        <v>73</v>
      </c>
      <c r="AM741" t="s">
        <v>87</v>
      </c>
      <c r="AN741" t="s">
        <v>87</v>
      </c>
      <c r="AO741" t="s">
        <v>87</v>
      </c>
      <c r="AP741" t="s">
        <v>87</v>
      </c>
      <c r="AQ741" t="s">
        <v>87</v>
      </c>
      <c r="AR741" t="s">
        <v>108</v>
      </c>
      <c r="AS741" t="s">
        <v>76</v>
      </c>
      <c r="AT741" t="s">
        <v>73</v>
      </c>
      <c r="AU741">
        <v>0</v>
      </c>
      <c r="AV741">
        <v>0</v>
      </c>
      <c r="AW741">
        <v>0</v>
      </c>
      <c r="AX741">
        <v>1</v>
      </c>
      <c r="AY741">
        <v>0</v>
      </c>
      <c r="AZ741" t="s">
        <v>579</v>
      </c>
    </row>
    <row r="742" spans="1:52" x14ac:dyDescent="0.2">
      <c r="A742">
        <v>0</v>
      </c>
      <c r="B742">
        <v>1</v>
      </c>
      <c r="C742">
        <v>0</v>
      </c>
      <c r="D742">
        <v>0</v>
      </c>
      <c r="E742">
        <v>0</v>
      </c>
      <c r="F742">
        <v>1</v>
      </c>
      <c r="G742">
        <v>0</v>
      </c>
      <c r="H742">
        <v>0</v>
      </c>
      <c r="I742">
        <v>0</v>
      </c>
      <c r="J742" t="s">
        <v>88</v>
      </c>
      <c r="K742" t="s">
        <v>89</v>
      </c>
      <c r="L742">
        <v>0</v>
      </c>
      <c r="M742">
        <v>1</v>
      </c>
      <c r="N742">
        <v>0</v>
      </c>
      <c r="O742">
        <v>0</v>
      </c>
      <c r="P742">
        <v>0</v>
      </c>
      <c r="Q742" t="s">
        <v>584</v>
      </c>
      <c r="AA742" t="s">
        <v>83</v>
      </c>
      <c r="AB742" t="s">
        <v>82</v>
      </c>
      <c r="AC742" t="s">
        <v>81</v>
      </c>
      <c r="AD742" t="s">
        <v>83</v>
      </c>
      <c r="AE742" t="s">
        <v>83</v>
      </c>
      <c r="AF742" t="s">
        <v>83</v>
      </c>
      <c r="AG742" t="s">
        <v>81</v>
      </c>
      <c r="AH742" t="s">
        <v>83</v>
      </c>
      <c r="AI742" t="s">
        <v>88</v>
      </c>
      <c r="AJ742" t="s">
        <v>89</v>
      </c>
      <c r="AK742" t="s">
        <v>85</v>
      </c>
      <c r="AL742" t="s">
        <v>107</v>
      </c>
      <c r="AM742" t="s">
        <v>87</v>
      </c>
      <c r="AN742" t="s">
        <v>87</v>
      </c>
      <c r="AO742" t="s">
        <v>87</v>
      </c>
      <c r="AP742" t="s">
        <v>74</v>
      </c>
      <c r="AQ742" t="s">
        <v>87</v>
      </c>
      <c r="AR742" t="s">
        <v>75</v>
      </c>
      <c r="AS742" t="s">
        <v>92</v>
      </c>
      <c r="AT742" t="s">
        <v>107</v>
      </c>
      <c r="AU742">
        <v>0</v>
      </c>
      <c r="AV742">
        <v>0</v>
      </c>
      <c r="AW742">
        <v>1</v>
      </c>
      <c r="AX742">
        <v>0</v>
      </c>
      <c r="AY742">
        <v>0</v>
      </c>
      <c r="AZ742" t="s">
        <v>580</v>
      </c>
    </row>
    <row r="743" spans="1:52" x14ac:dyDescent="0.2">
      <c r="A743">
        <v>0</v>
      </c>
      <c r="B743">
        <v>1</v>
      </c>
      <c r="C743">
        <v>0</v>
      </c>
      <c r="D743">
        <v>0</v>
      </c>
      <c r="E743">
        <v>0</v>
      </c>
      <c r="F743">
        <v>0</v>
      </c>
      <c r="G743">
        <v>1</v>
      </c>
      <c r="H743">
        <v>1</v>
      </c>
      <c r="I743">
        <v>0</v>
      </c>
      <c r="J743" t="s">
        <v>135</v>
      </c>
      <c r="K743" t="s">
        <v>80</v>
      </c>
      <c r="L743">
        <v>0</v>
      </c>
      <c r="M743">
        <v>0</v>
      </c>
      <c r="N743">
        <v>0</v>
      </c>
      <c r="O743">
        <v>1</v>
      </c>
      <c r="P743">
        <v>0</v>
      </c>
      <c r="Q743" t="s">
        <v>584</v>
      </c>
      <c r="AA743" t="s">
        <v>83</v>
      </c>
      <c r="AB743" t="s">
        <v>82</v>
      </c>
      <c r="AC743" t="s">
        <v>82</v>
      </c>
      <c r="AD743" t="s">
        <v>82</v>
      </c>
      <c r="AE743" t="s">
        <v>83</v>
      </c>
      <c r="AF743" t="s">
        <v>83</v>
      </c>
      <c r="AG743" t="s">
        <v>83</v>
      </c>
      <c r="AH743" t="s">
        <v>83</v>
      </c>
      <c r="AI743" t="s">
        <v>88</v>
      </c>
      <c r="AJ743" t="s">
        <v>89</v>
      </c>
      <c r="AK743" t="s">
        <v>100</v>
      </c>
      <c r="AL743" t="s">
        <v>107</v>
      </c>
      <c r="AM743" t="s">
        <v>74</v>
      </c>
      <c r="AR743" t="s">
        <v>75</v>
      </c>
      <c r="AS743" t="s">
        <v>76</v>
      </c>
      <c r="AT743" t="s">
        <v>107</v>
      </c>
      <c r="AU743">
        <v>0</v>
      </c>
      <c r="AV743">
        <v>0</v>
      </c>
      <c r="AW743">
        <v>0</v>
      </c>
      <c r="AX743">
        <v>1</v>
      </c>
      <c r="AY743">
        <v>0</v>
      </c>
      <c r="AZ743" t="s">
        <v>579</v>
      </c>
    </row>
    <row r="744" spans="1:52" x14ac:dyDescent="0.2">
      <c r="A744">
        <v>0</v>
      </c>
      <c r="B744">
        <v>0</v>
      </c>
      <c r="C744">
        <v>0</v>
      </c>
      <c r="D744">
        <v>1</v>
      </c>
      <c r="L744">
        <v>1</v>
      </c>
      <c r="M744">
        <v>0</v>
      </c>
      <c r="N744">
        <v>0</v>
      </c>
      <c r="O744">
        <v>0</v>
      </c>
      <c r="P744">
        <v>0</v>
      </c>
      <c r="Q744" t="s">
        <v>584</v>
      </c>
      <c r="R744">
        <v>0</v>
      </c>
      <c r="S744">
        <v>0</v>
      </c>
      <c r="T744">
        <v>0</v>
      </c>
      <c r="U744">
        <v>0</v>
      </c>
      <c r="V744">
        <v>1</v>
      </c>
      <c r="W744">
        <v>1</v>
      </c>
      <c r="X744">
        <v>1</v>
      </c>
      <c r="Y744">
        <v>1</v>
      </c>
      <c r="Z744">
        <v>1</v>
      </c>
      <c r="AL744" t="s">
        <v>73</v>
      </c>
      <c r="AR744" t="s">
        <v>159</v>
      </c>
      <c r="AS744" t="s">
        <v>92</v>
      </c>
      <c r="AT744" t="s">
        <v>73</v>
      </c>
      <c r="AU744">
        <v>0</v>
      </c>
      <c r="AV744">
        <v>0</v>
      </c>
      <c r="AW744">
        <v>0</v>
      </c>
      <c r="AX744">
        <v>1</v>
      </c>
      <c r="AY744">
        <v>0</v>
      </c>
      <c r="AZ744" t="s">
        <v>581</v>
      </c>
    </row>
    <row r="745" spans="1:52" x14ac:dyDescent="0.2">
      <c r="A745">
        <v>0</v>
      </c>
      <c r="B745">
        <v>1</v>
      </c>
      <c r="C745">
        <v>0</v>
      </c>
      <c r="D745">
        <v>0</v>
      </c>
      <c r="E745">
        <v>0</v>
      </c>
      <c r="F745">
        <v>1</v>
      </c>
      <c r="G745">
        <v>1</v>
      </c>
      <c r="H745">
        <v>1</v>
      </c>
      <c r="I745">
        <v>0</v>
      </c>
      <c r="J745" t="s">
        <v>135</v>
      </c>
      <c r="K745" t="s">
        <v>80</v>
      </c>
      <c r="L745">
        <v>0</v>
      </c>
      <c r="M745">
        <v>0</v>
      </c>
      <c r="N745">
        <v>0</v>
      </c>
      <c r="O745">
        <v>0</v>
      </c>
      <c r="P745">
        <v>0</v>
      </c>
      <c r="Q745" t="s">
        <v>585</v>
      </c>
      <c r="AA745" t="s">
        <v>90</v>
      </c>
      <c r="AB745" t="s">
        <v>82</v>
      </c>
      <c r="AC745" t="s">
        <v>82</v>
      </c>
      <c r="AD745" t="s">
        <v>81</v>
      </c>
      <c r="AE745" t="s">
        <v>81</v>
      </c>
      <c r="AF745" t="s">
        <v>90</v>
      </c>
      <c r="AG745" t="s">
        <v>90</v>
      </c>
      <c r="AH745" t="s">
        <v>83</v>
      </c>
      <c r="AI745" t="s">
        <v>84</v>
      </c>
      <c r="AJ745" t="s">
        <v>80</v>
      </c>
      <c r="AK745" t="s">
        <v>100</v>
      </c>
      <c r="AL745" t="s">
        <v>73</v>
      </c>
      <c r="AM745" t="s">
        <v>87</v>
      </c>
      <c r="AN745" t="s">
        <v>87</v>
      </c>
      <c r="AO745" t="s">
        <v>87</v>
      </c>
      <c r="AP745" t="s">
        <v>87</v>
      </c>
      <c r="AQ745" t="s">
        <v>86</v>
      </c>
      <c r="AR745" t="s">
        <v>101</v>
      </c>
      <c r="AS745" t="s">
        <v>76</v>
      </c>
      <c r="AT745" t="s">
        <v>73</v>
      </c>
      <c r="AU745">
        <v>1</v>
      </c>
      <c r="AV745">
        <v>0</v>
      </c>
      <c r="AW745">
        <v>0</v>
      </c>
      <c r="AX745">
        <v>0</v>
      </c>
      <c r="AY745">
        <v>0</v>
      </c>
      <c r="AZ745" t="s">
        <v>579</v>
      </c>
    </row>
    <row r="746" spans="1:52" x14ac:dyDescent="0.2">
      <c r="A746">
        <v>0</v>
      </c>
      <c r="B746">
        <v>1</v>
      </c>
      <c r="C746">
        <v>0</v>
      </c>
      <c r="D746">
        <v>0</v>
      </c>
      <c r="E746">
        <v>0</v>
      </c>
      <c r="F746">
        <v>1</v>
      </c>
      <c r="G746">
        <v>0</v>
      </c>
      <c r="H746">
        <v>0</v>
      </c>
      <c r="I746">
        <v>0</v>
      </c>
      <c r="J746" t="s">
        <v>88</v>
      </c>
      <c r="K746" t="s">
        <v>89</v>
      </c>
      <c r="L746">
        <v>0</v>
      </c>
      <c r="M746">
        <v>1</v>
      </c>
      <c r="N746">
        <v>0</v>
      </c>
      <c r="O746">
        <v>0</v>
      </c>
      <c r="P746">
        <v>0</v>
      </c>
      <c r="Q746" t="s">
        <v>584</v>
      </c>
      <c r="AA746" t="s">
        <v>83</v>
      </c>
      <c r="AB746" t="s">
        <v>82</v>
      </c>
      <c r="AC746" t="s">
        <v>83</v>
      </c>
      <c r="AD746" t="s">
        <v>82</v>
      </c>
      <c r="AE746" t="s">
        <v>90</v>
      </c>
      <c r="AF746" t="s">
        <v>83</v>
      </c>
      <c r="AG746" t="s">
        <v>83</v>
      </c>
      <c r="AH746" t="s">
        <v>83</v>
      </c>
      <c r="AI746" t="s">
        <v>88</v>
      </c>
      <c r="AJ746" t="s">
        <v>89</v>
      </c>
      <c r="AK746" t="s">
        <v>100</v>
      </c>
      <c r="AL746" t="s">
        <v>107</v>
      </c>
      <c r="AM746" t="s">
        <v>87</v>
      </c>
      <c r="AN746" t="s">
        <v>74</v>
      </c>
      <c r="AO746" t="s">
        <v>86</v>
      </c>
      <c r="AP746" t="s">
        <v>74</v>
      </c>
      <c r="AQ746" t="s">
        <v>86</v>
      </c>
      <c r="AR746" t="s">
        <v>97</v>
      </c>
      <c r="AS746" t="s">
        <v>369</v>
      </c>
      <c r="AT746" t="s">
        <v>107</v>
      </c>
      <c r="AU746">
        <v>1</v>
      </c>
      <c r="AV746">
        <v>0</v>
      </c>
      <c r="AW746">
        <v>0</v>
      </c>
      <c r="AX746">
        <v>0</v>
      </c>
      <c r="AY746">
        <v>0</v>
      </c>
      <c r="AZ746" t="s">
        <v>581</v>
      </c>
    </row>
    <row r="747" spans="1:52" x14ac:dyDescent="0.2">
      <c r="A747">
        <v>1</v>
      </c>
      <c r="B747">
        <v>0</v>
      </c>
      <c r="C747">
        <v>0</v>
      </c>
      <c r="D747">
        <v>0</v>
      </c>
      <c r="E747">
        <v>0</v>
      </c>
      <c r="F747">
        <v>1</v>
      </c>
      <c r="G747">
        <v>0</v>
      </c>
      <c r="H747">
        <v>0</v>
      </c>
      <c r="I747">
        <v>0</v>
      </c>
      <c r="J747" t="s">
        <v>88</v>
      </c>
      <c r="K747" t="s">
        <v>89</v>
      </c>
      <c r="L747">
        <v>0</v>
      </c>
      <c r="M747">
        <v>0</v>
      </c>
      <c r="N747">
        <v>0</v>
      </c>
      <c r="O747">
        <v>0</v>
      </c>
      <c r="P747">
        <v>0</v>
      </c>
      <c r="Q747" t="s">
        <v>585</v>
      </c>
      <c r="AA747" t="s">
        <v>83</v>
      </c>
      <c r="AB747" t="s">
        <v>82</v>
      </c>
      <c r="AC747" t="s">
        <v>83</v>
      </c>
      <c r="AD747" t="s">
        <v>83</v>
      </c>
      <c r="AE747" t="s">
        <v>83</v>
      </c>
      <c r="AF747" t="s">
        <v>83</v>
      </c>
      <c r="AG747" t="s">
        <v>83</v>
      </c>
      <c r="AH747" t="s">
        <v>83</v>
      </c>
      <c r="AI747" t="s">
        <v>88</v>
      </c>
      <c r="AJ747" t="s">
        <v>89</v>
      </c>
      <c r="AK747" t="s">
        <v>100</v>
      </c>
      <c r="AL747" t="s">
        <v>73</v>
      </c>
      <c r="AM747" t="s">
        <v>87</v>
      </c>
      <c r="AN747" t="s">
        <v>74</v>
      </c>
      <c r="AO747" t="s">
        <v>87</v>
      </c>
      <c r="AP747" t="s">
        <v>74</v>
      </c>
      <c r="AQ747" t="s">
        <v>74</v>
      </c>
      <c r="AR747" t="s">
        <v>97</v>
      </c>
      <c r="AS747" t="s">
        <v>76</v>
      </c>
      <c r="AT747" t="s">
        <v>73</v>
      </c>
      <c r="AU747">
        <v>1</v>
      </c>
      <c r="AV747">
        <v>0</v>
      </c>
      <c r="AW747">
        <v>0</v>
      </c>
      <c r="AX747">
        <v>0</v>
      </c>
      <c r="AY747">
        <v>0</v>
      </c>
      <c r="AZ747" t="s">
        <v>581</v>
      </c>
    </row>
    <row r="748" spans="1:52" x14ac:dyDescent="0.2">
      <c r="A748">
        <v>1</v>
      </c>
      <c r="B748">
        <v>0</v>
      </c>
      <c r="C748">
        <v>0</v>
      </c>
      <c r="D748">
        <v>0</v>
      </c>
      <c r="E748">
        <v>0</v>
      </c>
      <c r="F748">
        <v>1</v>
      </c>
      <c r="G748">
        <v>1</v>
      </c>
      <c r="H748">
        <v>1</v>
      </c>
      <c r="I748">
        <v>0</v>
      </c>
      <c r="J748" t="s">
        <v>88</v>
      </c>
      <c r="K748" t="s">
        <v>89</v>
      </c>
      <c r="L748">
        <v>0</v>
      </c>
      <c r="M748">
        <v>0</v>
      </c>
      <c r="N748">
        <v>0</v>
      </c>
      <c r="O748">
        <v>0</v>
      </c>
      <c r="P748">
        <v>0</v>
      </c>
      <c r="Q748" t="s">
        <v>585</v>
      </c>
      <c r="AA748" t="s">
        <v>81</v>
      </c>
      <c r="AB748" t="s">
        <v>82</v>
      </c>
      <c r="AC748" t="s">
        <v>81</v>
      </c>
      <c r="AD748" t="s">
        <v>82</v>
      </c>
      <c r="AE748" t="s">
        <v>82</v>
      </c>
      <c r="AF748" t="s">
        <v>81</v>
      </c>
      <c r="AG748" t="s">
        <v>82</v>
      </c>
      <c r="AH748" t="s">
        <v>83</v>
      </c>
      <c r="AI748" t="s">
        <v>84</v>
      </c>
      <c r="AJ748" t="s">
        <v>80</v>
      </c>
      <c r="AK748" t="s">
        <v>117</v>
      </c>
      <c r="AL748" t="s">
        <v>96</v>
      </c>
      <c r="AM748" t="s">
        <v>87</v>
      </c>
      <c r="AN748" t="s">
        <v>87</v>
      </c>
      <c r="AO748" t="s">
        <v>87</v>
      </c>
      <c r="AP748" t="s">
        <v>87</v>
      </c>
      <c r="AQ748" t="s">
        <v>87</v>
      </c>
      <c r="AR748" t="s">
        <v>101</v>
      </c>
      <c r="AS748" t="s">
        <v>76</v>
      </c>
      <c r="AT748" t="s">
        <v>96</v>
      </c>
      <c r="AU748">
        <v>1</v>
      </c>
      <c r="AV748">
        <v>0</v>
      </c>
      <c r="AW748">
        <v>0</v>
      </c>
      <c r="AX748">
        <v>0</v>
      </c>
      <c r="AY748">
        <v>0</v>
      </c>
      <c r="AZ748" t="s">
        <v>580</v>
      </c>
    </row>
    <row r="749" spans="1:52" x14ac:dyDescent="0.2">
      <c r="A749">
        <v>1</v>
      </c>
      <c r="B749">
        <v>0</v>
      </c>
      <c r="C749">
        <v>0</v>
      </c>
      <c r="D749">
        <v>0</v>
      </c>
      <c r="E749">
        <v>0</v>
      </c>
      <c r="F749">
        <v>1</v>
      </c>
      <c r="G749">
        <v>0</v>
      </c>
      <c r="H749">
        <v>1</v>
      </c>
      <c r="I749">
        <v>0</v>
      </c>
      <c r="J749" t="s">
        <v>88</v>
      </c>
      <c r="K749" t="s">
        <v>89</v>
      </c>
      <c r="L749">
        <v>0</v>
      </c>
      <c r="M749">
        <v>1</v>
      </c>
      <c r="N749">
        <v>0</v>
      </c>
      <c r="O749">
        <v>0</v>
      </c>
      <c r="P749">
        <v>0</v>
      </c>
      <c r="Q749" t="s">
        <v>584</v>
      </c>
      <c r="AA749" t="s">
        <v>82</v>
      </c>
      <c r="AB749" t="s">
        <v>82</v>
      </c>
      <c r="AC749" t="s">
        <v>82</v>
      </c>
      <c r="AD749" t="s">
        <v>82</v>
      </c>
      <c r="AE749" t="s">
        <v>83</v>
      </c>
      <c r="AF749" t="s">
        <v>83</v>
      </c>
      <c r="AG749" t="s">
        <v>83</v>
      </c>
      <c r="AH749" t="s">
        <v>83</v>
      </c>
      <c r="AI749" t="s">
        <v>88</v>
      </c>
      <c r="AJ749" t="s">
        <v>89</v>
      </c>
      <c r="AK749" t="s">
        <v>100</v>
      </c>
      <c r="AL749" t="s">
        <v>120</v>
      </c>
      <c r="AM749" t="s">
        <v>87</v>
      </c>
      <c r="AN749" t="s">
        <v>74</v>
      </c>
      <c r="AO749" t="s">
        <v>87</v>
      </c>
      <c r="AP749" t="s">
        <v>87</v>
      </c>
      <c r="AQ749" t="s">
        <v>87</v>
      </c>
      <c r="AR749" t="s">
        <v>97</v>
      </c>
      <c r="AS749" t="s">
        <v>76</v>
      </c>
      <c r="AT749" t="s">
        <v>120</v>
      </c>
      <c r="AU749">
        <v>1</v>
      </c>
      <c r="AV749">
        <v>0</v>
      </c>
      <c r="AW749">
        <v>0</v>
      </c>
      <c r="AX749">
        <v>0</v>
      </c>
      <c r="AY749">
        <v>0</v>
      </c>
      <c r="AZ749" t="s">
        <v>580</v>
      </c>
    </row>
    <row r="750" spans="1:52" x14ac:dyDescent="0.2">
      <c r="A750">
        <v>0</v>
      </c>
      <c r="B750">
        <v>1</v>
      </c>
      <c r="C750">
        <v>0</v>
      </c>
      <c r="D750">
        <v>0</v>
      </c>
      <c r="E750">
        <v>0</v>
      </c>
      <c r="F750">
        <v>1</v>
      </c>
      <c r="G750">
        <v>0</v>
      </c>
      <c r="H750">
        <v>0</v>
      </c>
      <c r="I750">
        <v>0</v>
      </c>
      <c r="J750" t="s">
        <v>135</v>
      </c>
      <c r="K750" t="s">
        <v>127</v>
      </c>
      <c r="L750">
        <v>0</v>
      </c>
      <c r="M750">
        <v>0</v>
      </c>
      <c r="N750">
        <v>0</v>
      </c>
      <c r="O750">
        <v>0</v>
      </c>
      <c r="P750">
        <v>1</v>
      </c>
      <c r="Q750" t="s">
        <v>584</v>
      </c>
      <c r="AA750" t="s">
        <v>83</v>
      </c>
      <c r="AB750" t="s">
        <v>82</v>
      </c>
      <c r="AC750" t="s">
        <v>83</v>
      </c>
      <c r="AD750" t="s">
        <v>81</v>
      </c>
      <c r="AE750" t="s">
        <v>81</v>
      </c>
      <c r="AF750" t="s">
        <v>83</v>
      </c>
      <c r="AG750" t="s">
        <v>83</v>
      </c>
      <c r="AH750" t="s">
        <v>83</v>
      </c>
      <c r="AI750" t="s">
        <v>88</v>
      </c>
      <c r="AJ750" t="s">
        <v>80</v>
      </c>
      <c r="AK750" t="s">
        <v>85</v>
      </c>
      <c r="AL750" t="s">
        <v>96</v>
      </c>
      <c r="AM750" t="s">
        <v>86</v>
      </c>
      <c r="AN750" t="s">
        <v>74</v>
      </c>
      <c r="AO750" t="s">
        <v>74</v>
      </c>
      <c r="AP750" t="s">
        <v>87</v>
      </c>
      <c r="AQ750" t="s">
        <v>87</v>
      </c>
      <c r="AR750" t="s">
        <v>75</v>
      </c>
      <c r="AS750" t="s">
        <v>76</v>
      </c>
      <c r="AT750" t="s">
        <v>96</v>
      </c>
      <c r="AU750">
        <v>1</v>
      </c>
      <c r="AV750">
        <v>0</v>
      </c>
      <c r="AW750">
        <v>0</v>
      </c>
      <c r="AX750">
        <v>0</v>
      </c>
      <c r="AY750">
        <v>0</v>
      </c>
      <c r="AZ750" t="s">
        <v>580</v>
      </c>
    </row>
    <row r="751" spans="1:52" x14ac:dyDescent="0.2">
      <c r="A751">
        <v>1</v>
      </c>
      <c r="B751">
        <v>0</v>
      </c>
      <c r="C751">
        <v>0</v>
      </c>
      <c r="D751">
        <v>0</v>
      </c>
      <c r="E751">
        <v>0</v>
      </c>
      <c r="F751">
        <v>1</v>
      </c>
      <c r="G751">
        <v>0</v>
      </c>
      <c r="H751">
        <v>0</v>
      </c>
      <c r="I751">
        <v>0</v>
      </c>
      <c r="J751" t="s">
        <v>88</v>
      </c>
      <c r="K751" t="s">
        <v>89</v>
      </c>
      <c r="L751">
        <v>1</v>
      </c>
      <c r="M751">
        <v>0</v>
      </c>
      <c r="N751">
        <v>0</v>
      </c>
      <c r="O751">
        <v>0</v>
      </c>
      <c r="P751">
        <v>0</v>
      </c>
      <c r="Q751" t="s">
        <v>584</v>
      </c>
      <c r="R751">
        <v>0</v>
      </c>
      <c r="S751">
        <v>0</v>
      </c>
      <c r="T751">
        <v>1</v>
      </c>
      <c r="U751">
        <v>0</v>
      </c>
      <c r="V751">
        <v>0</v>
      </c>
      <c r="W751">
        <v>0</v>
      </c>
      <c r="X751">
        <v>0</v>
      </c>
      <c r="Y751">
        <v>0</v>
      </c>
      <c r="Z751">
        <v>0</v>
      </c>
      <c r="AL751" t="s">
        <v>107</v>
      </c>
      <c r="AM751" t="s">
        <v>87</v>
      </c>
      <c r="AN751" t="s">
        <v>87</v>
      </c>
      <c r="AO751" t="s">
        <v>87</v>
      </c>
      <c r="AP751" t="s">
        <v>86</v>
      </c>
      <c r="AQ751" t="s">
        <v>74</v>
      </c>
      <c r="AR751" t="s">
        <v>75</v>
      </c>
      <c r="AS751" t="s">
        <v>76</v>
      </c>
      <c r="AT751" t="s">
        <v>107</v>
      </c>
      <c r="AU751">
        <v>1</v>
      </c>
      <c r="AV751">
        <v>0</v>
      </c>
      <c r="AW751">
        <v>0</v>
      </c>
      <c r="AX751">
        <v>0</v>
      </c>
      <c r="AY751">
        <v>0</v>
      </c>
      <c r="AZ751" t="s">
        <v>579</v>
      </c>
    </row>
    <row r="752" spans="1:52" x14ac:dyDescent="0.2">
      <c r="A752">
        <v>0</v>
      </c>
      <c r="B752">
        <v>1</v>
      </c>
      <c r="C752">
        <v>0</v>
      </c>
      <c r="D752">
        <v>0</v>
      </c>
      <c r="E752">
        <v>0</v>
      </c>
      <c r="F752">
        <v>0</v>
      </c>
      <c r="G752">
        <v>0</v>
      </c>
      <c r="H752">
        <v>0</v>
      </c>
      <c r="I752">
        <v>1</v>
      </c>
      <c r="J752" t="s">
        <v>79</v>
      </c>
      <c r="K752" t="s">
        <v>80</v>
      </c>
      <c r="L752">
        <v>1</v>
      </c>
      <c r="M752">
        <v>0</v>
      </c>
      <c r="N752">
        <v>0</v>
      </c>
      <c r="O752">
        <v>0</v>
      </c>
      <c r="P752">
        <v>0</v>
      </c>
      <c r="Q752" t="s">
        <v>584</v>
      </c>
      <c r="R752">
        <v>0</v>
      </c>
      <c r="S752">
        <v>0</v>
      </c>
      <c r="T752">
        <v>1</v>
      </c>
      <c r="U752">
        <v>0</v>
      </c>
      <c r="V752">
        <v>0</v>
      </c>
      <c r="W752">
        <v>0</v>
      </c>
      <c r="X752">
        <v>0</v>
      </c>
      <c r="Y752">
        <v>0</v>
      </c>
      <c r="Z752">
        <v>0</v>
      </c>
      <c r="AL752" t="s">
        <v>107</v>
      </c>
      <c r="AM752" t="s">
        <v>87</v>
      </c>
      <c r="AN752" t="s">
        <v>86</v>
      </c>
      <c r="AO752" t="s">
        <v>86</v>
      </c>
      <c r="AP752" t="s">
        <v>86</v>
      </c>
      <c r="AQ752" t="s">
        <v>86</v>
      </c>
      <c r="AR752" t="s">
        <v>113</v>
      </c>
      <c r="AS752" t="s">
        <v>76</v>
      </c>
      <c r="AT752" t="s">
        <v>107</v>
      </c>
      <c r="AU752">
        <v>1</v>
      </c>
      <c r="AV752">
        <v>0</v>
      </c>
      <c r="AW752">
        <v>0</v>
      </c>
      <c r="AX752">
        <v>0</v>
      </c>
      <c r="AY752">
        <v>0</v>
      </c>
      <c r="AZ752" t="s">
        <v>579</v>
      </c>
    </row>
    <row r="753" spans="1:52" x14ac:dyDescent="0.2">
      <c r="A753">
        <v>0</v>
      </c>
      <c r="B753">
        <v>1</v>
      </c>
      <c r="C753">
        <v>0</v>
      </c>
      <c r="D753">
        <v>0</v>
      </c>
      <c r="E753">
        <v>1</v>
      </c>
      <c r="F753">
        <v>0</v>
      </c>
      <c r="G753">
        <v>0</v>
      </c>
      <c r="H753">
        <v>0</v>
      </c>
      <c r="I753">
        <v>0</v>
      </c>
      <c r="L753">
        <v>1</v>
      </c>
      <c r="M753">
        <v>0</v>
      </c>
      <c r="N753">
        <v>0</v>
      </c>
      <c r="O753">
        <v>0</v>
      </c>
      <c r="P753">
        <v>0</v>
      </c>
      <c r="Q753" t="s">
        <v>584</v>
      </c>
      <c r="R753">
        <v>0</v>
      </c>
      <c r="S753">
        <v>0</v>
      </c>
      <c r="T753">
        <v>1</v>
      </c>
      <c r="U753">
        <v>0</v>
      </c>
      <c r="V753">
        <v>0</v>
      </c>
      <c r="W753">
        <v>0</v>
      </c>
      <c r="X753">
        <v>0</v>
      </c>
      <c r="Y753">
        <v>0</v>
      </c>
      <c r="Z753">
        <v>0</v>
      </c>
      <c r="AL753" t="s">
        <v>120</v>
      </c>
      <c r="AM753" t="s">
        <v>86</v>
      </c>
      <c r="AN753" t="s">
        <v>86</v>
      </c>
      <c r="AO753" t="s">
        <v>86</v>
      </c>
      <c r="AP753" t="s">
        <v>87</v>
      </c>
      <c r="AQ753" t="s">
        <v>86</v>
      </c>
      <c r="AR753" t="s">
        <v>101</v>
      </c>
      <c r="AS753" t="s">
        <v>76</v>
      </c>
      <c r="AT753" t="s">
        <v>120</v>
      </c>
      <c r="AU753">
        <v>1</v>
      </c>
      <c r="AV753">
        <v>0</v>
      </c>
      <c r="AW753">
        <v>0</v>
      </c>
      <c r="AX753">
        <v>1</v>
      </c>
      <c r="AY753">
        <v>1</v>
      </c>
      <c r="AZ753" t="s">
        <v>580</v>
      </c>
    </row>
    <row r="754" spans="1:52" x14ac:dyDescent="0.2">
      <c r="A754">
        <v>1</v>
      </c>
      <c r="B754">
        <v>0</v>
      </c>
      <c r="C754">
        <v>0</v>
      </c>
      <c r="D754">
        <v>0</v>
      </c>
      <c r="E754">
        <v>0</v>
      </c>
      <c r="F754">
        <v>1</v>
      </c>
      <c r="G754">
        <v>0</v>
      </c>
      <c r="H754">
        <v>0</v>
      </c>
      <c r="I754">
        <v>0</v>
      </c>
      <c r="J754" t="s">
        <v>88</v>
      </c>
      <c r="K754" t="s">
        <v>142</v>
      </c>
      <c r="L754">
        <v>0</v>
      </c>
      <c r="M754">
        <v>0</v>
      </c>
      <c r="N754">
        <v>1</v>
      </c>
      <c r="O754">
        <v>0</v>
      </c>
      <c r="P754">
        <v>0</v>
      </c>
      <c r="Q754" t="s">
        <v>584</v>
      </c>
      <c r="AA754" t="s">
        <v>81</v>
      </c>
      <c r="AB754" t="s">
        <v>82</v>
      </c>
      <c r="AC754" t="s">
        <v>83</v>
      </c>
      <c r="AD754" t="s">
        <v>81</v>
      </c>
      <c r="AE754" t="s">
        <v>81</v>
      </c>
      <c r="AF754" t="s">
        <v>83</v>
      </c>
      <c r="AG754" t="s">
        <v>83</v>
      </c>
      <c r="AH754" t="s">
        <v>83</v>
      </c>
      <c r="AI754" t="s">
        <v>88</v>
      </c>
      <c r="AJ754" t="s">
        <v>80</v>
      </c>
      <c r="AK754" t="s">
        <v>100</v>
      </c>
      <c r="AL754" t="s">
        <v>107</v>
      </c>
      <c r="AM754" t="s">
        <v>86</v>
      </c>
      <c r="AN754" t="s">
        <v>87</v>
      </c>
      <c r="AO754" t="s">
        <v>87</v>
      </c>
      <c r="AP754" t="s">
        <v>74</v>
      </c>
      <c r="AQ754" t="s">
        <v>74</v>
      </c>
      <c r="AR754" t="s">
        <v>108</v>
      </c>
      <c r="AS754" t="s">
        <v>76</v>
      </c>
      <c r="AT754" t="s">
        <v>107</v>
      </c>
      <c r="AU754">
        <v>1</v>
      </c>
      <c r="AV754">
        <v>0</v>
      </c>
      <c r="AW754">
        <v>0</v>
      </c>
      <c r="AX754">
        <v>0</v>
      </c>
      <c r="AY754">
        <v>0</v>
      </c>
      <c r="AZ754" t="s">
        <v>580</v>
      </c>
    </row>
    <row r="755" spans="1:52" x14ac:dyDescent="0.2">
      <c r="A755">
        <v>1</v>
      </c>
      <c r="B755">
        <v>0</v>
      </c>
      <c r="C755">
        <v>0</v>
      </c>
      <c r="D755">
        <v>0</v>
      </c>
      <c r="E755">
        <v>0</v>
      </c>
      <c r="F755">
        <v>1</v>
      </c>
      <c r="G755">
        <v>1</v>
      </c>
      <c r="H755">
        <v>1</v>
      </c>
      <c r="I755">
        <v>0</v>
      </c>
      <c r="J755" t="s">
        <v>88</v>
      </c>
      <c r="K755" t="s">
        <v>80</v>
      </c>
      <c r="L755">
        <v>0</v>
      </c>
      <c r="M755">
        <v>0</v>
      </c>
      <c r="N755">
        <v>1</v>
      </c>
      <c r="O755">
        <v>0</v>
      </c>
      <c r="P755">
        <v>0</v>
      </c>
      <c r="Q755" t="s">
        <v>584</v>
      </c>
      <c r="AA755" t="s">
        <v>90</v>
      </c>
      <c r="AB755" t="s">
        <v>82</v>
      </c>
      <c r="AC755" t="s">
        <v>81</v>
      </c>
      <c r="AD755" t="s">
        <v>81</v>
      </c>
      <c r="AE755" t="s">
        <v>81</v>
      </c>
      <c r="AF755" t="s">
        <v>90</v>
      </c>
      <c r="AG755" t="s">
        <v>81</v>
      </c>
      <c r="AH755" t="s">
        <v>90</v>
      </c>
      <c r="AI755" t="s">
        <v>88</v>
      </c>
      <c r="AJ755" t="s">
        <v>89</v>
      </c>
      <c r="AK755" t="s">
        <v>100</v>
      </c>
      <c r="AL755" t="s">
        <v>96</v>
      </c>
      <c r="AM755" t="s">
        <v>74</v>
      </c>
      <c r="AR755" t="s">
        <v>75</v>
      </c>
      <c r="AS755" t="s">
        <v>76</v>
      </c>
      <c r="AT755" t="s">
        <v>96</v>
      </c>
      <c r="AU755">
        <v>1</v>
      </c>
      <c r="AV755">
        <v>0</v>
      </c>
      <c r="AW755">
        <v>0</v>
      </c>
      <c r="AX755">
        <v>0</v>
      </c>
      <c r="AY755">
        <v>0</v>
      </c>
      <c r="AZ755" t="s">
        <v>580</v>
      </c>
    </row>
    <row r="756" spans="1:52" x14ac:dyDescent="0.2">
      <c r="A756">
        <v>1</v>
      </c>
      <c r="B756">
        <v>0</v>
      </c>
      <c r="C756">
        <v>0</v>
      </c>
      <c r="D756">
        <v>0</v>
      </c>
      <c r="E756">
        <v>0</v>
      </c>
      <c r="F756">
        <v>1</v>
      </c>
      <c r="G756">
        <v>1</v>
      </c>
      <c r="H756">
        <v>1</v>
      </c>
      <c r="I756">
        <v>0</v>
      </c>
      <c r="J756" t="s">
        <v>88</v>
      </c>
      <c r="K756" t="s">
        <v>89</v>
      </c>
      <c r="L756">
        <v>0</v>
      </c>
      <c r="M756">
        <v>0</v>
      </c>
      <c r="N756">
        <v>1</v>
      </c>
      <c r="O756">
        <v>0</v>
      </c>
      <c r="P756">
        <v>0</v>
      </c>
      <c r="Q756" t="s">
        <v>584</v>
      </c>
      <c r="AA756" t="s">
        <v>81</v>
      </c>
      <c r="AB756" t="s">
        <v>81</v>
      </c>
      <c r="AC756" t="s">
        <v>81</v>
      </c>
      <c r="AD756" t="s">
        <v>81</v>
      </c>
      <c r="AE756" t="s">
        <v>81</v>
      </c>
      <c r="AF756" t="s">
        <v>81</v>
      </c>
      <c r="AG756" t="s">
        <v>81</v>
      </c>
      <c r="AH756" t="s">
        <v>83</v>
      </c>
      <c r="AI756" t="s">
        <v>88</v>
      </c>
      <c r="AJ756" t="s">
        <v>89</v>
      </c>
      <c r="AK756" t="s">
        <v>100</v>
      </c>
      <c r="AL756" t="s">
        <v>107</v>
      </c>
      <c r="AM756" t="s">
        <v>87</v>
      </c>
      <c r="AN756" t="s">
        <v>87</v>
      </c>
      <c r="AO756" t="s">
        <v>87</v>
      </c>
      <c r="AP756" t="s">
        <v>87</v>
      </c>
      <c r="AQ756" t="s">
        <v>87</v>
      </c>
      <c r="AR756" t="s">
        <v>75</v>
      </c>
      <c r="AS756" t="s">
        <v>76</v>
      </c>
      <c r="AT756" t="s">
        <v>107</v>
      </c>
      <c r="AU756">
        <v>1</v>
      </c>
      <c r="AV756">
        <v>0</v>
      </c>
      <c r="AW756">
        <v>0</v>
      </c>
      <c r="AX756">
        <v>0</v>
      </c>
      <c r="AY756">
        <v>0</v>
      </c>
      <c r="AZ756" t="s">
        <v>579</v>
      </c>
    </row>
    <row r="757" spans="1:52" x14ac:dyDescent="0.2">
      <c r="A757">
        <v>0</v>
      </c>
      <c r="B757">
        <v>1</v>
      </c>
      <c r="C757">
        <v>0</v>
      </c>
      <c r="D757">
        <v>0</v>
      </c>
      <c r="E757">
        <v>0</v>
      </c>
      <c r="F757">
        <v>1</v>
      </c>
      <c r="G757">
        <v>0</v>
      </c>
      <c r="H757">
        <v>0</v>
      </c>
      <c r="I757">
        <v>0</v>
      </c>
      <c r="J757" t="s">
        <v>88</v>
      </c>
      <c r="K757" t="s">
        <v>89</v>
      </c>
      <c r="L757">
        <v>0</v>
      </c>
      <c r="M757">
        <v>0</v>
      </c>
      <c r="N757">
        <v>0</v>
      </c>
      <c r="O757">
        <v>0</v>
      </c>
      <c r="P757">
        <v>1</v>
      </c>
      <c r="Q757" t="s">
        <v>584</v>
      </c>
      <c r="AA757" t="s">
        <v>90</v>
      </c>
      <c r="AB757" t="s">
        <v>81</v>
      </c>
      <c r="AC757" t="s">
        <v>83</v>
      </c>
      <c r="AD757" t="s">
        <v>82</v>
      </c>
      <c r="AE757" t="s">
        <v>81</v>
      </c>
      <c r="AF757" t="s">
        <v>83</v>
      </c>
      <c r="AG757" t="s">
        <v>83</v>
      </c>
      <c r="AH757" t="s">
        <v>81</v>
      </c>
      <c r="AI757" t="s">
        <v>88</v>
      </c>
      <c r="AJ757" t="s">
        <v>89</v>
      </c>
      <c r="AK757" t="s">
        <v>117</v>
      </c>
      <c r="AL757" t="s">
        <v>96</v>
      </c>
      <c r="AM757" t="s">
        <v>87</v>
      </c>
      <c r="AN757" t="s">
        <v>87</v>
      </c>
      <c r="AO757" t="s">
        <v>87</v>
      </c>
      <c r="AP757" t="s">
        <v>87</v>
      </c>
      <c r="AQ757" t="s">
        <v>87</v>
      </c>
      <c r="AR757" t="s">
        <v>108</v>
      </c>
      <c r="AS757" t="s">
        <v>76</v>
      </c>
      <c r="AT757" t="s">
        <v>96</v>
      </c>
      <c r="AU757">
        <v>1</v>
      </c>
      <c r="AV757">
        <v>0</v>
      </c>
      <c r="AW757">
        <v>0</v>
      </c>
      <c r="AX757">
        <v>0</v>
      </c>
      <c r="AY757">
        <v>0</v>
      </c>
      <c r="AZ757" t="s">
        <v>579</v>
      </c>
    </row>
    <row r="758" spans="1:52" x14ac:dyDescent="0.2">
      <c r="A758">
        <v>0</v>
      </c>
      <c r="B758">
        <v>1</v>
      </c>
      <c r="C758">
        <v>0</v>
      </c>
      <c r="D758">
        <v>0</v>
      </c>
      <c r="E758">
        <v>0</v>
      </c>
      <c r="F758">
        <v>0</v>
      </c>
      <c r="G758">
        <v>1</v>
      </c>
      <c r="H758">
        <v>0</v>
      </c>
      <c r="I758">
        <v>0</v>
      </c>
      <c r="J758" t="s">
        <v>79</v>
      </c>
      <c r="K758" t="s">
        <v>127</v>
      </c>
      <c r="L758">
        <v>1</v>
      </c>
      <c r="M758">
        <v>0</v>
      </c>
      <c r="N758">
        <v>0</v>
      </c>
      <c r="O758">
        <v>0</v>
      </c>
      <c r="P758">
        <v>0</v>
      </c>
      <c r="Q758" t="s">
        <v>584</v>
      </c>
      <c r="R758">
        <v>1</v>
      </c>
      <c r="S758">
        <v>0</v>
      </c>
      <c r="T758">
        <v>0</v>
      </c>
      <c r="U758">
        <v>0</v>
      </c>
      <c r="V758">
        <v>0</v>
      </c>
      <c r="W758">
        <v>0</v>
      </c>
      <c r="X758">
        <v>0</v>
      </c>
      <c r="Y758">
        <v>0</v>
      </c>
      <c r="Z758">
        <v>0</v>
      </c>
      <c r="AL758" t="s">
        <v>73</v>
      </c>
      <c r="AM758" t="s">
        <v>86</v>
      </c>
      <c r="AN758" t="s">
        <v>87</v>
      </c>
      <c r="AO758" t="s">
        <v>87</v>
      </c>
      <c r="AP758" t="s">
        <v>87</v>
      </c>
      <c r="AQ758" t="s">
        <v>87</v>
      </c>
      <c r="AR758" t="s">
        <v>75</v>
      </c>
      <c r="AS758" t="s">
        <v>76</v>
      </c>
      <c r="AT758" t="s">
        <v>73</v>
      </c>
      <c r="AU758">
        <v>1</v>
      </c>
      <c r="AV758">
        <v>0</v>
      </c>
      <c r="AW758">
        <v>0</v>
      </c>
      <c r="AX758">
        <v>0</v>
      </c>
      <c r="AY758">
        <v>0</v>
      </c>
      <c r="AZ758" t="s">
        <v>580</v>
      </c>
    </row>
    <row r="759" spans="1:52" x14ac:dyDescent="0.2">
      <c r="A759">
        <v>0</v>
      </c>
      <c r="B759">
        <v>1</v>
      </c>
      <c r="C759">
        <v>0</v>
      </c>
      <c r="D759">
        <v>0</v>
      </c>
      <c r="E759">
        <v>0</v>
      </c>
      <c r="F759">
        <v>1</v>
      </c>
      <c r="G759">
        <v>0</v>
      </c>
      <c r="H759">
        <v>1</v>
      </c>
      <c r="I759">
        <v>0</v>
      </c>
      <c r="J759" t="s">
        <v>88</v>
      </c>
      <c r="K759" t="s">
        <v>80</v>
      </c>
      <c r="L759">
        <v>0</v>
      </c>
      <c r="M759">
        <v>1</v>
      </c>
      <c r="N759">
        <v>0</v>
      </c>
      <c r="O759">
        <v>0</v>
      </c>
      <c r="P759">
        <v>0</v>
      </c>
      <c r="Q759" t="s">
        <v>584</v>
      </c>
      <c r="AA759" t="s">
        <v>83</v>
      </c>
      <c r="AB759" t="s">
        <v>82</v>
      </c>
      <c r="AC759" t="s">
        <v>81</v>
      </c>
      <c r="AD759" t="s">
        <v>90</v>
      </c>
      <c r="AE759" t="s">
        <v>81</v>
      </c>
      <c r="AF759" t="s">
        <v>83</v>
      </c>
      <c r="AG759" t="s">
        <v>90</v>
      </c>
      <c r="AH759" t="s">
        <v>83</v>
      </c>
      <c r="AI759" t="s">
        <v>88</v>
      </c>
      <c r="AJ759" t="s">
        <v>89</v>
      </c>
      <c r="AK759" t="s">
        <v>100</v>
      </c>
      <c r="AL759" t="s">
        <v>107</v>
      </c>
      <c r="AM759" t="s">
        <v>86</v>
      </c>
      <c r="AN759" t="s">
        <v>74</v>
      </c>
      <c r="AO759" t="s">
        <v>87</v>
      </c>
      <c r="AP759" t="s">
        <v>87</v>
      </c>
      <c r="AQ759" t="s">
        <v>87</v>
      </c>
      <c r="AR759" t="s">
        <v>97</v>
      </c>
      <c r="AS759" t="s">
        <v>76</v>
      </c>
      <c r="AT759" t="s">
        <v>107</v>
      </c>
      <c r="AU759">
        <v>1</v>
      </c>
      <c r="AV759">
        <v>0</v>
      </c>
      <c r="AW759">
        <v>0</v>
      </c>
      <c r="AX759">
        <v>0</v>
      </c>
      <c r="AY759">
        <v>0</v>
      </c>
      <c r="AZ759" t="s">
        <v>580</v>
      </c>
    </row>
    <row r="760" spans="1:52" x14ac:dyDescent="0.2">
      <c r="A760">
        <v>0</v>
      </c>
      <c r="B760">
        <v>1</v>
      </c>
      <c r="C760">
        <v>0</v>
      </c>
      <c r="D760">
        <v>0</v>
      </c>
      <c r="E760">
        <v>1</v>
      </c>
      <c r="F760">
        <v>0</v>
      </c>
      <c r="G760">
        <v>0</v>
      </c>
      <c r="H760">
        <v>0</v>
      </c>
      <c r="I760">
        <v>0</v>
      </c>
      <c r="L760">
        <v>0</v>
      </c>
      <c r="M760">
        <v>1</v>
      </c>
      <c r="N760">
        <v>0</v>
      </c>
      <c r="O760">
        <v>0</v>
      </c>
      <c r="P760">
        <v>0</v>
      </c>
      <c r="Q760" t="s">
        <v>584</v>
      </c>
      <c r="AA760" t="s">
        <v>83</v>
      </c>
      <c r="AB760" t="s">
        <v>81</v>
      </c>
      <c r="AC760" t="s">
        <v>82</v>
      </c>
      <c r="AD760" t="s">
        <v>81</v>
      </c>
      <c r="AE760" t="s">
        <v>83</v>
      </c>
      <c r="AF760" t="s">
        <v>90</v>
      </c>
      <c r="AG760" t="s">
        <v>90</v>
      </c>
      <c r="AH760" t="s">
        <v>83</v>
      </c>
      <c r="AI760" t="s">
        <v>88</v>
      </c>
      <c r="AJ760" t="s">
        <v>89</v>
      </c>
      <c r="AK760" t="s">
        <v>100</v>
      </c>
      <c r="AL760" t="s">
        <v>73</v>
      </c>
      <c r="AM760" t="s">
        <v>86</v>
      </c>
      <c r="AN760" t="s">
        <v>86</v>
      </c>
      <c r="AO760" t="s">
        <v>86</v>
      </c>
      <c r="AP760" t="s">
        <v>87</v>
      </c>
      <c r="AQ760" t="s">
        <v>74</v>
      </c>
      <c r="AR760" t="s">
        <v>108</v>
      </c>
      <c r="AS760" t="s">
        <v>76</v>
      </c>
      <c r="AT760" t="s">
        <v>73</v>
      </c>
      <c r="AU760">
        <v>1</v>
      </c>
      <c r="AV760">
        <v>0</v>
      </c>
      <c r="AW760">
        <v>0</v>
      </c>
      <c r="AX760">
        <v>0</v>
      </c>
      <c r="AY760">
        <v>0</v>
      </c>
      <c r="AZ760" t="s">
        <v>580</v>
      </c>
    </row>
    <row r="761" spans="1:52" x14ac:dyDescent="0.2">
      <c r="A761">
        <v>1</v>
      </c>
      <c r="B761">
        <v>0</v>
      </c>
      <c r="C761">
        <v>0</v>
      </c>
      <c r="D761">
        <v>0</v>
      </c>
      <c r="E761">
        <v>0</v>
      </c>
      <c r="F761">
        <v>1</v>
      </c>
      <c r="G761">
        <v>1</v>
      </c>
      <c r="H761">
        <v>0</v>
      </c>
      <c r="I761">
        <v>0</v>
      </c>
      <c r="J761" t="s">
        <v>88</v>
      </c>
      <c r="K761" t="s">
        <v>80</v>
      </c>
      <c r="L761">
        <v>0</v>
      </c>
      <c r="M761">
        <v>0</v>
      </c>
      <c r="N761">
        <v>1</v>
      </c>
      <c r="O761">
        <v>0</v>
      </c>
      <c r="P761">
        <v>0</v>
      </c>
      <c r="Q761" t="s">
        <v>584</v>
      </c>
      <c r="AA761" t="s">
        <v>81</v>
      </c>
      <c r="AB761" t="s">
        <v>82</v>
      </c>
      <c r="AC761" t="s">
        <v>83</v>
      </c>
      <c r="AD761" t="s">
        <v>82</v>
      </c>
      <c r="AE761" t="s">
        <v>81</v>
      </c>
      <c r="AF761" t="s">
        <v>83</v>
      </c>
      <c r="AG761" t="s">
        <v>81</v>
      </c>
      <c r="AH761" t="s">
        <v>82</v>
      </c>
      <c r="AI761" t="s">
        <v>88</v>
      </c>
      <c r="AJ761" t="s">
        <v>89</v>
      </c>
      <c r="AK761" t="s">
        <v>85</v>
      </c>
      <c r="AL761" t="s">
        <v>73</v>
      </c>
      <c r="AM761" t="s">
        <v>87</v>
      </c>
      <c r="AN761" t="s">
        <v>86</v>
      </c>
      <c r="AO761" t="s">
        <v>87</v>
      </c>
      <c r="AP761" t="s">
        <v>87</v>
      </c>
      <c r="AQ761" t="s">
        <v>87</v>
      </c>
      <c r="AR761" t="s">
        <v>75</v>
      </c>
      <c r="AS761" t="s">
        <v>76</v>
      </c>
      <c r="AT761" t="s">
        <v>73</v>
      </c>
      <c r="AU761">
        <v>1</v>
      </c>
      <c r="AV761">
        <v>0</v>
      </c>
      <c r="AW761">
        <v>0</v>
      </c>
      <c r="AX761">
        <v>0</v>
      </c>
      <c r="AY761">
        <v>0</v>
      </c>
      <c r="AZ761" t="s">
        <v>580</v>
      </c>
    </row>
    <row r="762" spans="1:52" x14ac:dyDescent="0.2">
      <c r="A762">
        <v>0</v>
      </c>
      <c r="B762">
        <v>1</v>
      </c>
      <c r="C762">
        <v>0</v>
      </c>
      <c r="D762">
        <v>0</v>
      </c>
      <c r="E762">
        <v>0</v>
      </c>
      <c r="F762">
        <v>0</v>
      </c>
      <c r="G762">
        <v>0</v>
      </c>
      <c r="H762">
        <v>0</v>
      </c>
      <c r="I762">
        <v>1</v>
      </c>
      <c r="J762" t="s">
        <v>88</v>
      </c>
      <c r="K762" t="s">
        <v>89</v>
      </c>
      <c r="L762">
        <v>1</v>
      </c>
      <c r="M762">
        <v>0</v>
      </c>
      <c r="N762">
        <v>0</v>
      </c>
      <c r="O762">
        <v>0</v>
      </c>
      <c r="P762">
        <v>0</v>
      </c>
      <c r="Q762" t="s">
        <v>584</v>
      </c>
      <c r="R762">
        <v>0</v>
      </c>
      <c r="S762">
        <v>0</v>
      </c>
      <c r="T762">
        <v>1</v>
      </c>
      <c r="U762">
        <v>0</v>
      </c>
      <c r="V762">
        <v>1</v>
      </c>
      <c r="W762">
        <v>1</v>
      </c>
      <c r="X762">
        <v>0</v>
      </c>
      <c r="Y762">
        <v>0</v>
      </c>
      <c r="Z762">
        <v>0</v>
      </c>
      <c r="AL762" t="s">
        <v>120</v>
      </c>
      <c r="AM762" t="s">
        <v>86</v>
      </c>
      <c r="AN762" t="s">
        <v>86</v>
      </c>
      <c r="AO762" t="s">
        <v>74</v>
      </c>
      <c r="AP762" t="s">
        <v>86</v>
      </c>
      <c r="AQ762" t="s">
        <v>86</v>
      </c>
      <c r="AR762" t="s">
        <v>101</v>
      </c>
      <c r="AS762" t="s">
        <v>76</v>
      </c>
      <c r="AT762" t="s">
        <v>120</v>
      </c>
      <c r="AU762">
        <v>0</v>
      </c>
      <c r="AV762">
        <v>1</v>
      </c>
      <c r="AW762">
        <v>0</v>
      </c>
      <c r="AX762">
        <v>1</v>
      </c>
      <c r="AY762">
        <v>0</v>
      </c>
      <c r="AZ762" t="s">
        <v>580</v>
      </c>
    </row>
    <row r="763" spans="1:52" x14ac:dyDescent="0.2">
      <c r="A763">
        <v>0</v>
      </c>
      <c r="B763">
        <v>1</v>
      </c>
      <c r="C763">
        <v>0</v>
      </c>
      <c r="D763">
        <v>0</v>
      </c>
      <c r="E763">
        <v>0</v>
      </c>
      <c r="F763">
        <v>1</v>
      </c>
      <c r="G763">
        <v>1</v>
      </c>
      <c r="H763">
        <v>1</v>
      </c>
      <c r="I763">
        <v>0</v>
      </c>
      <c r="J763" t="s">
        <v>79</v>
      </c>
      <c r="K763" t="s">
        <v>80</v>
      </c>
      <c r="L763">
        <v>0</v>
      </c>
      <c r="M763">
        <v>1</v>
      </c>
      <c r="N763">
        <v>0</v>
      </c>
      <c r="O763">
        <v>0</v>
      </c>
      <c r="P763">
        <v>0</v>
      </c>
      <c r="Q763" t="s">
        <v>584</v>
      </c>
      <c r="AA763" t="s">
        <v>83</v>
      </c>
      <c r="AB763" t="s">
        <v>82</v>
      </c>
      <c r="AC763" t="s">
        <v>81</v>
      </c>
      <c r="AD763" t="s">
        <v>81</v>
      </c>
      <c r="AE763" t="s">
        <v>83</v>
      </c>
      <c r="AF763" t="s">
        <v>83</v>
      </c>
      <c r="AG763" t="s">
        <v>83</v>
      </c>
      <c r="AH763" t="s">
        <v>90</v>
      </c>
      <c r="AI763" t="s">
        <v>84</v>
      </c>
      <c r="AJ763" t="s">
        <v>80</v>
      </c>
      <c r="AK763" t="s">
        <v>117</v>
      </c>
      <c r="AL763" t="s">
        <v>96</v>
      </c>
      <c r="AM763" t="s">
        <v>87</v>
      </c>
      <c r="AN763" t="s">
        <v>87</v>
      </c>
      <c r="AO763" t="s">
        <v>87</v>
      </c>
      <c r="AP763" t="s">
        <v>87</v>
      </c>
      <c r="AQ763" t="s">
        <v>87</v>
      </c>
      <c r="AR763" t="s">
        <v>75</v>
      </c>
      <c r="AS763" t="s">
        <v>76</v>
      </c>
      <c r="AT763" t="s">
        <v>96</v>
      </c>
      <c r="AU763">
        <v>1</v>
      </c>
      <c r="AV763">
        <v>0</v>
      </c>
      <c r="AW763">
        <v>0</v>
      </c>
      <c r="AX763">
        <v>0</v>
      </c>
      <c r="AY763">
        <v>0</v>
      </c>
      <c r="AZ763" t="s">
        <v>579</v>
      </c>
    </row>
    <row r="764" spans="1:52" x14ac:dyDescent="0.2">
      <c r="A764">
        <v>1</v>
      </c>
      <c r="B764">
        <v>0</v>
      </c>
      <c r="C764">
        <v>0</v>
      </c>
      <c r="D764">
        <v>0</v>
      </c>
      <c r="E764">
        <v>1</v>
      </c>
      <c r="F764">
        <v>0</v>
      </c>
      <c r="G764">
        <v>0</v>
      </c>
      <c r="H764">
        <v>0</v>
      </c>
      <c r="I764">
        <v>0</v>
      </c>
      <c r="L764">
        <v>1</v>
      </c>
      <c r="M764">
        <v>0</v>
      </c>
      <c r="N764">
        <v>0</v>
      </c>
      <c r="O764">
        <v>0</v>
      </c>
      <c r="P764">
        <v>0</v>
      </c>
      <c r="Q764" t="s">
        <v>584</v>
      </c>
      <c r="R764">
        <v>0</v>
      </c>
      <c r="S764">
        <v>1</v>
      </c>
      <c r="T764">
        <v>0</v>
      </c>
      <c r="U764">
        <v>0</v>
      </c>
      <c r="V764">
        <v>0</v>
      </c>
      <c r="W764">
        <v>0</v>
      </c>
      <c r="X764">
        <v>0</v>
      </c>
      <c r="Y764">
        <v>0</v>
      </c>
      <c r="Z764">
        <v>0</v>
      </c>
      <c r="AL764" t="s">
        <v>107</v>
      </c>
      <c r="AM764" t="s">
        <v>87</v>
      </c>
      <c r="AN764" t="s">
        <v>74</v>
      </c>
      <c r="AO764" t="s">
        <v>87</v>
      </c>
      <c r="AP764" t="s">
        <v>87</v>
      </c>
      <c r="AQ764" t="s">
        <v>87</v>
      </c>
      <c r="AR764" t="s">
        <v>97</v>
      </c>
      <c r="AS764" t="s">
        <v>76</v>
      </c>
      <c r="AT764" t="s">
        <v>107</v>
      </c>
      <c r="AU764">
        <v>1</v>
      </c>
      <c r="AV764">
        <v>0</v>
      </c>
      <c r="AW764">
        <v>0</v>
      </c>
      <c r="AX764">
        <v>0</v>
      </c>
      <c r="AY764">
        <v>0</v>
      </c>
      <c r="AZ764" t="s">
        <v>580</v>
      </c>
    </row>
    <row r="765" spans="1:52" x14ac:dyDescent="0.2">
      <c r="A765">
        <v>1</v>
      </c>
      <c r="B765">
        <v>0</v>
      </c>
      <c r="C765">
        <v>0</v>
      </c>
      <c r="D765">
        <v>0</v>
      </c>
      <c r="E765">
        <v>0</v>
      </c>
      <c r="F765">
        <v>1</v>
      </c>
      <c r="G765">
        <v>0</v>
      </c>
      <c r="H765">
        <v>1</v>
      </c>
      <c r="I765">
        <v>0</v>
      </c>
      <c r="J765" t="s">
        <v>88</v>
      </c>
      <c r="K765" t="s">
        <v>89</v>
      </c>
      <c r="L765">
        <v>0</v>
      </c>
      <c r="M765">
        <v>1</v>
      </c>
      <c r="N765">
        <v>0</v>
      </c>
      <c r="O765">
        <v>0</v>
      </c>
      <c r="P765">
        <v>0</v>
      </c>
      <c r="Q765" t="s">
        <v>584</v>
      </c>
      <c r="AA765" t="s">
        <v>90</v>
      </c>
      <c r="AB765" t="s">
        <v>82</v>
      </c>
      <c r="AC765" t="s">
        <v>81</v>
      </c>
      <c r="AD765" t="s">
        <v>90</v>
      </c>
      <c r="AE765" t="s">
        <v>90</v>
      </c>
      <c r="AF765" t="s">
        <v>90</v>
      </c>
      <c r="AG765" t="s">
        <v>90</v>
      </c>
      <c r="AH765" t="s">
        <v>83</v>
      </c>
      <c r="AI765" t="s">
        <v>88</v>
      </c>
      <c r="AJ765" t="s">
        <v>89</v>
      </c>
      <c r="AK765" t="s">
        <v>100</v>
      </c>
      <c r="AL765" t="s">
        <v>96</v>
      </c>
      <c r="AM765" t="s">
        <v>87</v>
      </c>
      <c r="AN765" t="s">
        <v>87</v>
      </c>
      <c r="AO765" t="s">
        <v>87</v>
      </c>
      <c r="AP765" t="s">
        <v>87</v>
      </c>
      <c r="AQ765" t="s">
        <v>87</v>
      </c>
      <c r="AR765" t="s">
        <v>75</v>
      </c>
      <c r="AS765" t="s">
        <v>76</v>
      </c>
      <c r="AT765" t="s">
        <v>96</v>
      </c>
      <c r="AU765">
        <v>1</v>
      </c>
      <c r="AV765">
        <v>0</v>
      </c>
      <c r="AW765">
        <v>0</v>
      </c>
      <c r="AX765">
        <v>0</v>
      </c>
      <c r="AY765">
        <v>0</v>
      </c>
      <c r="AZ765" t="s">
        <v>579</v>
      </c>
    </row>
    <row r="766" spans="1:52" x14ac:dyDescent="0.2">
      <c r="A766">
        <v>1</v>
      </c>
      <c r="B766">
        <v>0</v>
      </c>
      <c r="C766">
        <v>0</v>
      </c>
      <c r="D766">
        <v>0</v>
      </c>
      <c r="E766">
        <v>1</v>
      </c>
      <c r="F766">
        <v>0</v>
      </c>
      <c r="G766">
        <v>0</v>
      </c>
      <c r="H766">
        <v>0</v>
      </c>
      <c r="I766">
        <v>0</v>
      </c>
      <c r="L766">
        <v>1</v>
      </c>
      <c r="M766">
        <v>0</v>
      </c>
      <c r="N766">
        <v>0</v>
      </c>
      <c r="O766">
        <v>0</v>
      </c>
      <c r="P766">
        <v>0</v>
      </c>
      <c r="Q766" t="s">
        <v>584</v>
      </c>
      <c r="R766">
        <v>0</v>
      </c>
      <c r="S766">
        <v>0</v>
      </c>
      <c r="T766">
        <v>0</v>
      </c>
      <c r="U766">
        <v>0</v>
      </c>
      <c r="V766">
        <v>0</v>
      </c>
      <c r="W766">
        <v>0</v>
      </c>
      <c r="X766">
        <v>0</v>
      </c>
      <c r="Y766">
        <v>0</v>
      </c>
      <c r="Z766">
        <v>1</v>
      </c>
      <c r="AL766" t="s">
        <v>107</v>
      </c>
      <c r="AM766" t="s">
        <v>86</v>
      </c>
      <c r="AN766" t="s">
        <v>86</v>
      </c>
      <c r="AO766" t="s">
        <v>87</v>
      </c>
      <c r="AP766" t="s">
        <v>87</v>
      </c>
      <c r="AQ766" t="s">
        <v>86</v>
      </c>
      <c r="AR766" t="s">
        <v>75</v>
      </c>
      <c r="AS766" t="s">
        <v>76</v>
      </c>
      <c r="AT766" t="s">
        <v>107</v>
      </c>
      <c r="AU766">
        <v>1</v>
      </c>
      <c r="AV766">
        <v>0</v>
      </c>
      <c r="AW766">
        <v>0</v>
      </c>
      <c r="AX766">
        <v>0</v>
      </c>
      <c r="AY766">
        <v>0</v>
      </c>
      <c r="AZ766" t="s">
        <v>580</v>
      </c>
    </row>
    <row r="767" spans="1:52" x14ac:dyDescent="0.2">
      <c r="A767">
        <v>0</v>
      </c>
      <c r="B767">
        <v>0</v>
      </c>
      <c r="C767">
        <v>1</v>
      </c>
      <c r="D767">
        <v>0</v>
      </c>
      <c r="E767">
        <v>1</v>
      </c>
      <c r="F767">
        <v>0</v>
      </c>
      <c r="G767">
        <v>0</v>
      </c>
      <c r="H767">
        <v>0</v>
      </c>
      <c r="I767">
        <v>0</v>
      </c>
      <c r="L767">
        <v>1</v>
      </c>
      <c r="M767">
        <v>0</v>
      </c>
      <c r="N767">
        <v>0</v>
      </c>
      <c r="O767">
        <v>0</v>
      </c>
      <c r="P767">
        <v>0</v>
      </c>
      <c r="Q767" t="s">
        <v>584</v>
      </c>
      <c r="R767">
        <v>0</v>
      </c>
      <c r="S767">
        <v>1</v>
      </c>
      <c r="T767">
        <v>0</v>
      </c>
      <c r="U767">
        <v>0</v>
      </c>
      <c r="V767">
        <v>0</v>
      </c>
      <c r="W767">
        <v>0</v>
      </c>
      <c r="X767">
        <v>0</v>
      </c>
      <c r="Y767">
        <v>0</v>
      </c>
      <c r="Z767">
        <v>0</v>
      </c>
      <c r="AL767" t="s">
        <v>73</v>
      </c>
      <c r="AM767" t="s">
        <v>86</v>
      </c>
      <c r="AN767" t="s">
        <v>87</v>
      </c>
      <c r="AO767" t="s">
        <v>87</v>
      </c>
      <c r="AP767" t="s">
        <v>74</v>
      </c>
      <c r="AQ767" t="s">
        <v>87</v>
      </c>
      <c r="AR767" t="s">
        <v>97</v>
      </c>
      <c r="AS767" t="s">
        <v>76</v>
      </c>
      <c r="AT767" t="s">
        <v>73</v>
      </c>
      <c r="AU767">
        <v>1</v>
      </c>
      <c r="AV767">
        <v>0</v>
      </c>
      <c r="AW767">
        <v>0</v>
      </c>
      <c r="AX767">
        <v>0</v>
      </c>
      <c r="AY767">
        <v>0</v>
      </c>
      <c r="AZ767" t="s">
        <v>580</v>
      </c>
    </row>
    <row r="768" spans="1:52" x14ac:dyDescent="0.2">
      <c r="A768">
        <v>0</v>
      </c>
      <c r="B768">
        <v>0</v>
      </c>
      <c r="C768">
        <v>1</v>
      </c>
      <c r="D768">
        <v>0</v>
      </c>
      <c r="E768">
        <v>1</v>
      </c>
      <c r="F768">
        <v>0</v>
      </c>
      <c r="G768">
        <v>0</v>
      </c>
      <c r="H768">
        <v>0</v>
      </c>
      <c r="I768">
        <v>0</v>
      </c>
      <c r="L768">
        <v>1</v>
      </c>
      <c r="M768">
        <v>0</v>
      </c>
      <c r="N768">
        <v>0</v>
      </c>
      <c r="O768">
        <v>0</v>
      </c>
      <c r="P768">
        <v>0</v>
      </c>
      <c r="Q768" t="s">
        <v>584</v>
      </c>
      <c r="R768">
        <v>0</v>
      </c>
      <c r="S768">
        <v>0</v>
      </c>
      <c r="T768">
        <v>0</v>
      </c>
      <c r="U768">
        <v>0</v>
      </c>
      <c r="V768">
        <v>0</v>
      </c>
      <c r="W768">
        <v>0</v>
      </c>
      <c r="X768">
        <v>1</v>
      </c>
      <c r="Y768">
        <v>0</v>
      </c>
      <c r="Z768">
        <v>0</v>
      </c>
      <c r="AL768" t="s">
        <v>73</v>
      </c>
      <c r="AM768" t="s">
        <v>86</v>
      </c>
      <c r="AN768" t="s">
        <v>86</v>
      </c>
      <c r="AO768" t="s">
        <v>86</v>
      </c>
      <c r="AP768" t="s">
        <v>86</v>
      </c>
      <c r="AQ768" t="s">
        <v>86</v>
      </c>
      <c r="AR768" t="s">
        <v>97</v>
      </c>
      <c r="AS768" t="s">
        <v>76</v>
      </c>
      <c r="AT768" t="s">
        <v>73</v>
      </c>
      <c r="AU768">
        <v>0</v>
      </c>
      <c r="AV768">
        <v>1</v>
      </c>
      <c r="AW768">
        <v>0</v>
      </c>
      <c r="AX768">
        <v>0</v>
      </c>
      <c r="AY768">
        <v>0</v>
      </c>
      <c r="AZ768" t="s">
        <v>581</v>
      </c>
    </row>
    <row r="769" spans="1:52" x14ac:dyDescent="0.2">
      <c r="A769">
        <v>1</v>
      </c>
      <c r="B769">
        <v>0</v>
      </c>
      <c r="C769">
        <v>0</v>
      </c>
      <c r="D769">
        <v>0</v>
      </c>
      <c r="E769">
        <v>0</v>
      </c>
      <c r="F769">
        <v>1</v>
      </c>
      <c r="G769">
        <v>1</v>
      </c>
      <c r="H769">
        <v>0</v>
      </c>
      <c r="I769">
        <v>0</v>
      </c>
      <c r="J769" t="s">
        <v>88</v>
      </c>
      <c r="K769" t="s">
        <v>89</v>
      </c>
      <c r="L769">
        <v>0</v>
      </c>
      <c r="M769">
        <v>0</v>
      </c>
      <c r="N769">
        <v>1</v>
      </c>
      <c r="O769">
        <v>0</v>
      </c>
      <c r="P769">
        <v>0</v>
      </c>
      <c r="Q769" t="s">
        <v>584</v>
      </c>
      <c r="AA769" t="s">
        <v>83</v>
      </c>
      <c r="AB769" t="s">
        <v>82</v>
      </c>
      <c r="AC769" t="s">
        <v>83</v>
      </c>
      <c r="AD769" t="s">
        <v>81</v>
      </c>
      <c r="AE769" t="s">
        <v>82</v>
      </c>
      <c r="AF769" t="s">
        <v>81</v>
      </c>
      <c r="AG769" t="s">
        <v>81</v>
      </c>
      <c r="AH769" t="s">
        <v>83</v>
      </c>
      <c r="AI769" t="s">
        <v>88</v>
      </c>
      <c r="AJ769" t="s">
        <v>89</v>
      </c>
      <c r="AK769" t="s">
        <v>85</v>
      </c>
      <c r="AL769" t="s">
        <v>107</v>
      </c>
      <c r="AM769" t="s">
        <v>87</v>
      </c>
      <c r="AN769" t="s">
        <v>87</v>
      </c>
      <c r="AO769" t="s">
        <v>87</v>
      </c>
      <c r="AP769" t="s">
        <v>86</v>
      </c>
      <c r="AQ769" t="s">
        <v>86</v>
      </c>
      <c r="AR769" t="s">
        <v>97</v>
      </c>
      <c r="AS769" t="s">
        <v>92</v>
      </c>
      <c r="AT769" t="s">
        <v>107</v>
      </c>
      <c r="AU769">
        <v>0</v>
      </c>
      <c r="AV769">
        <v>0</v>
      </c>
      <c r="AW769">
        <v>1</v>
      </c>
      <c r="AX769">
        <v>0</v>
      </c>
      <c r="AY769">
        <v>0</v>
      </c>
      <c r="AZ769" t="s">
        <v>580</v>
      </c>
    </row>
    <row r="770" spans="1:52" x14ac:dyDescent="0.2">
      <c r="A770">
        <v>1</v>
      </c>
      <c r="B770">
        <v>0</v>
      </c>
      <c r="C770">
        <v>0</v>
      </c>
      <c r="D770">
        <v>0</v>
      </c>
      <c r="E770">
        <v>0</v>
      </c>
      <c r="F770">
        <v>1</v>
      </c>
      <c r="G770">
        <v>1</v>
      </c>
      <c r="H770">
        <v>0</v>
      </c>
      <c r="I770">
        <v>0</v>
      </c>
      <c r="J770" t="s">
        <v>88</v>
      </c>
      <c r="K770" t="s">
        <v>89</v>
      </c>
      <c r="L770">
        <v>0</v>
      </c>
      <c r="M770">
        <v>1</v>
      </c>
      <c r="N770">
        <v>0</v>
      </c>
      <c r="O770">
        <v>0</v>
      </c>
      <c r="P770">
        <v>0</v>
      </c>
      <c r="Q770" t="s">
        <v>584</v>
      </c>
      <c r="AA770" t="s">
        <v>83</v>
      </c>
      <c r="AB770" t="s">
        <v>81</v>
      </c>
      <c r="AC770" t="s">
        <v>83</v>
      </c>
      <c r="AD770" t="s">
        <v>83</v>
      </c>
      <c r="AE770" t="s">
        <v>83</v>
      </c>
      <c r="AF770" t="s">
        <v>83</v>
      </c>
      <c r="AG770" t="s">
        <v>83</v>
      </c>
      <c r="AH770" t="s">
        <v>83</v>
      </c>
      <c r="AI770" t="s">
        <v>88</v>
      </c>
      <c r="AJ770" t="s">
        <v>89</v>
      </c>
      <c r="AK770" t="s">
        <v>100</v>
      </c>
      <c r="AL770" t="s">
        <v>96</v>
      </c>
      <c r="AM770" t="s">
        <v>87</v>
      </c>
      <c r="AN770" t="s">
        <v>87</v>
      </c>
      <c r="AO770" t="s">
        <v>87</v>
      </c>
      <c r="AP770" t="s">
        <v>74</v>
      </c>
      <c r="AQ770" t="s">
        <v>87</v>
      </c>
      <c r="AR770" t="s">
        <v>75</v>
      </c>
      <c r="AS770" t="s">
        <v>76</v>
      </c>
      <c r="AT770" t="s">
        <v>96</v>
      </c>
      <c r="AU770">
        <v>0</v>
      </c>
      <c r="AV770">
        <v>0</v>
      </c>
      <c r="AW770">
        <v>1</v>
      </c>
      <c r="AX770">
        <v>0</v>
      </c>
      <c r="AY770">
        <v>0</v>
      </c>
      <c r="AZ770" t="s">
        <v>578</v>
      </c>
    </row>
    <row r="771" spans="1:52" x14ac:dyDescent="0.2">
      <c r="A771">
        <v>1</v>
      </c>
      <c r="B771">
        <v>0</v>
      </c>
      <c r="C771">
        <v>0</v>
      </c>
      <c r="D771">
        <v>0</v>
      </c>
      <c r="E771">
        <v>0</v>
      </c>
      <c r="F771">
        <v>1</v>
      </c>
      <c r="G771">
        <v>0</v>
      </c>
      <c r="H771">
        <v>1</v>
      </c>
      <c r="I771">
        <v>1</v>
      </c>
      <c r="J771" t="s">
        <v>88</v>
      </c>
      <c r="K771" t="s">
        <v>89</v>
      </c>
      <c r="L771">
        <v>0</v>
      </c>
      <c r="M771">
        <v>1</v>
      </c>
      <c r="N771">
        <v>1</v>
      </c>
      <c r="O771">
        <v>0</v>
      </c>
      <c r="P771">
        <v>0</v>
      </c>
      <c r="Q771" t="s">
        <v>584</v>
      </c>
      <c r="AA771" t="s">
        <v>83</v>
      </c>
      <c r="AB771" t="s">
        <v>82</v>
      </c>
      <c r="AC771" t="s">
        <v>82</v>
      </c>
      <c r="AD771" t="s">
        <v>82</v>
      </c>
      <c r="AE771" t="s">
        <v>81</v>
      </c>
      <c r="AF771" t="s">
        <v>83</v>
      </c>
      <c r="AG771" t="s">
        <v>83</v>
      </c>
      <c r="AH771" t="s">
        <v>83</v>
      </c>
      <c r="AI771" t="s">
        <v>88</v>
      </c>
      <c r="AJ771" t="s">
        <v>89</v>
      </c>
      <c r="AK771" t="s">
        <v>100</v>
      </c>
      <c r="AL771" t="s">
        <v>73</v>
      </c>
      <c r="AM771" t="s">
        <v>87</v>
      </c>
      <c r="AN771" t="s">
        <v>87</v>
      </c>
      <c r="AO771" t="s">
        <v>87</v>
      </c>
      <c r="AP771" t="s">
        <v>87</v>
      </c>
      <c r="AQ771" t="s">
        <v>87</v>
      </c>
      <c r="AR771" t="s">
        <v>97</v>
      </c>
      <c r="AS771" t="s">
        <v>76</v>
      </c>
      <c r="AT771" t="s">
        <v>73</v>
      </c>
      <c r="AU771">
        <v>0</v>
      </c>
      <c r="AV771">
        <v>0</v>
      </c>
      <c r="AW771">
        <v>0</v>
      </c>
      <c r="AX771">
        <v>1</v>
      </c>
      <c r="AY771">
        <v>0</v>
      </c>
      <c r="AZ771" t="s">
        <v>580</v>
      </c>
    </row>
    <row r="772" spans="1:52" x14ac:dyDescent="0.2">
      <c r="A772">
        <v>1</v>
      </c>
      <c r="B772">
        <v>0</v>
      </c>
      <c r="C772">
        <v>0</v>
      </c>
      <c r="D772">
        <v>0</v>
      </c>
      <c r="E772">
        <v>1</v>
      </c>
      <c r="F772">
        <v>0</v>
      </c>
      <c r="G772">
        <v>0</v>
      </c>
      <c r="H772">
        <v>0</v>
      </c>
      <c r="I772">
        <v>0</v>
      </c>
      <c r="L772">
        <v>1</v>
      </c>
      <c r="M772">
        <v>0</v>
      </c>
      <c r="N772">
        <v>0</v>
      </c>
      <c r="O772">
        <v>0</v>
      </c>
      <c r="P772">
        <v>0</v>
      </c>
      <c r="Q772" t="s">
        <v>584</v>
      </c>
      <c r="R772">
        <v>0</v>
      </c>
      <c r="S772">
        <v>1</v>
      </c>
      <c r="T772">
        <v>0</v>
      </c>
      <c r="U772">
        <v>0</v>
      </c>
      <c r="V772">
        <v>0</v>
      </c>
      <c r="W772">
        <v>0</v>
      </c>
      <c r="X772">
        <v>0</v>
      </c>
      <c r="Y772">
        <v>0</v>
      </c>
      <c r="Z772">
        <v>0</v>
      </c>
      <c r="AL772" t="s">
        <v>107</v>
      </c>
      <c r="AM772" t="s">
        <v>74</v>
      </c>
      <c r="AR772" t="s">
        <v>97</v>
      </c>
      <c r="AS772" t="s">
        <v>92</v>
      </c>
      <c r="AT772" t="s">
        <v>107</v>
      </c>
      <c r="AU772">
        <v>0</v>
      </c>
      <c r="AV772">
        <v>0</v>
      </c>
      <c r="AW772">
        <v>1</v>
      </c>
      <c r="AX772">
        <v>1</v>
      </c>
      <c r="AY772">
        <v>0</v>
      </c>
      <c r="AZ772" t="s">
        <v>580</v>
      </c>
    </row>
    <row r="773" spans="1:52" x14ac:dyDescent="0.2">
      <c r="A773">
        <v>1</v>
      </c>
      <c r="B773">
        <v>0</v>
      </c>
      <c r="C773">
        <v>0</v>
      </c>
      <c r="D773">
        <v>0</v>
      </c>
      <c r="E773">
        <v>1</v>
      </c>
      <c r="F773">
        <v>0</v>
      </c>
      <c r="G773">
        <v>0</v>
      </c>
      <c r="H773">
        <v>0</v>
      </c>
      <c r="I773">
        <v>0</v>
      </c>
      <c r="L773">
        <v>1</v>
      </c>
      <c r="M773">
        <v>0</v>
      </c>
      <c r="N773">
        <v>0</v>
      </c>
      <c r="O773">
        <v>0</v>
      </c>
      <c r="P773">
        <v>0</v>
      </c>
      <c r="Q773" t="s">
        <v>584</v>
      </c>
      <c r="R773">
        <v>0</v>
      </c>
      <c r="S773">
        <v>0</v>
      </c>
      <c r="T773">
        <v>1</v>
      </c>
      <c r="U773">
        <v>0</v>
      </c>
      <c r="V773">
        <v>0</v>
      </c>
      <c r="W773">
        <v>0</v>
      </c>
      <c r="X773">
        <v>0</v>
      </c>
      <c r="Y773">
        <v>0</v>
      </c>
      <c r="Z773">
        <v>0</v>
      </c>
      <c r="AL773" t="s">
        <v>73</v>
      </c>
      <c r="AM773" t="s">
        <v>87</v>
      </c>
      <c r="AN773" t="s">
        <v>87</v>
      </c>
      <c r="AO773" t="s">
        <v>87</v>
      </c>
      <c r="AP773" t="s">
        <v>87</v>
      </c>
      <c r="AQ773" t="s">
        <v>87</v>
      </c>
      <c r="AR773" t="s">
        <v>159</v>
      </c>
      <c r="AS773" t="s">
        <v>76</v>
      </c>
      <c r="AT773" t="s">
        <v>73</v>
      </c>
      <c r="AU773">
        <v>0</v>
      </c>
      <c r="AV773">
        <v>0</v>
      </c>
      <c r="AW773">
        <v>1</v>
      </c>
      <c r="AX773">
        <v>0</v>
      </c>
      <c r="AY773">
        <v>0</v>
      </c>
      <c r="AZ773" t="s">
        <v>578</v>
      </c>
    </row>
    <row r="774" spans="1:52" x14ac:dyDescent="0.2">
      <c r="A774">
        <v>1</v>
      </c>
      <c r="B774">
        <v>0</v>
      </c>
      <c r="C774">
        <v>0</v>
      </c>
      <c r="D774">
        <v>0</v>
      </c>
      <c r="E774">
        <v>0</v>
      </c>
      <c r="F774">
        <v>1</v>
      </c>
      <c r="G774">
        <v>1</v>
      </c>
      <c r="H774">
        <v>0</v>
      </c>
      <c r="I774">
        <v>0</v>
      </c>
      <c r="J774" t="s">
        <v>88</v>
      </c>
      <c r="K774" t="s">
        <v>89</v>
      </c>
      <c r="L774">
        <v>0</v>
      </c>
      <c r="M774">
        <v>0</v>
      </c>
      <c r="N774">
        <v>1</v>
      </c>
      <c r="O774">
        <v>0</v>
      </c>
      <c r="P774">
        <v>0</v>
      </c>
      <c r="Q774" t="s">
        <v>584</v>
      </c>
      <c r="AA774" t="s">
        <v>81</v>
      </c>
      <c r="AB774" t="s">
        <v>81</v>
      </c>
      <c r="AC774" t="s">
        <v>83</v>
      </c>
      <c r="AD774" t="s">
        <v>81</v>
      </c>
      <c r="AE774" t="s">
        <v>82</v>
      </c>
      <c r="AF774" t="s">
        <v>81</v>
      </c>
      <c r="AG774" t="s">
        <v>83</v>
      </c>
      <c r="AH774" t="s">
        <v>83</v>
      </c>
      <c r="AI774" t="s">
        <v>88</v>
      </c>
      <c r="AJ774" t="s">
        <v>89</v>
      </c>
      <c r="AK774" t="s">
        <v>85</v>
      </c>
      <c r="AL774" t="s">
        <v>107</v>
      </c>
      <c r="AM774" t="s">
        <v>87</v>
      </c>
      <c r="AN774" t="s">
        <v>87</v>
      </c>
      <c r="AO774" t="s">
        <v>87</v>
      </c>
      <c r="AP774" t="s">
        <v>87</v>
      </c>
      <c r="AQ774" t="s">
        <v>87</v>
      </c>
      <c r="AR774" t="s">
        <v>75</v>
      </c>
      <c r="AS774" t="s">
        <v>76</v>
      </c>
      <c r="AT774" t="s">
        <v>107</v>
      </c>
      <c r="AU774">
        <v>0</v>
      </c>
      <c r="AV774">
        <v>0</v>
      </c>
      <c r="AW774">
        <v>0</v>
      </c>
      <c r="AX774">
        <v>1</v>
      </c>
      <c r="AY774">
        <v>0</v>
      </c>
      <c r="AZ774" t="s">
        <v>578</v>
      </c>
    </row>
    <row r="775" spans="1:52" x14ac:dyDescent="0.2">
      <c r="A775">
        <v>1</v>
      </c>
      <c r="B775">
        <v>0</v>
      </c>
      <c r="C775">
        <v>0</v>
      </c>
      <c r="D775">
        <v>0</v>
      </c>
      <c r="E775">
        <v>0</v>
      </c>
      <c r="F775">
        <v>0</v>
      </c>
      <c r="G775">
        <v>0</v>
      </c>
      <c r="H775">
        <v>0</v>
      </c>
      <c r="I775">
        <v>1</v>
      </c>
      <c r="J775" t="s">
        <v>135</v>
      </c>
      <c r="K775" t="s">
        <v>80</v>
      </c>
      <c r="L775">
        <v>1</v>
      </c>
      <c r="M775">
        <v>0</v>
      </c>
      <c r="N775">
        <v>0</v>
      </c>
      <c r="O775">
        <v>0</v>
      </c>
      <c r="P775">
        <v>0</v>
      </c>
      <c r="Q775" t="s">
        <v>584</v>
      </c>
      <c r="R775">
        <v>0</v>
      </c>
      <c r="S775">
        <v>1</v>
      </c>
      <c r="T775">
        <v>0</v>
      </c>
      <c r="U775">
        <v>0</v>
      </c>
      <c r="V775">
        <v>0</v>
      </c>
      <c r="W775">
        <v>0</v>
      </c>
      <c r="X775">
        <v>0</v>
      </c>
      <c r="Y775">
        <v>0</v>
      </c>
      <c r="Z775">
        <v>0</v>
      </c>
      <c r="AL775" t="s">
        <v>73</v>
      </c>
      <c r="AM775" t="s">
        <v>86</v>
      </c>
      <c r="AN775" t="s">
        <v>86</v>
      </c>
      <c r="AO775" t="s">
        <v>86</v>
      </c>
      <c r="AP775" t="s">
        <v>86</v>
      </c>
      <c r="AQ775" t="s">
        <v>86</v>
      </c>
      <c r="AR775" t="s">
        <v>75</v>
      </c>
      <c r="AS775" t="s">
        <v>76</v>
      </c>
      <c r="AT775" t="s">
        <v>73</v>
      </c>
      <c r="AU775">
        <v>0</v>
      </c>
      <c r="AV775">
        <v>0</v>
      </c>
      <c r="AW775">
        <v>0</v>
      </c>
      <c r="AX775">
        <v>1</v>
      </c>
      <c r="AY775">
        <v>0</v>
      </c>
      <c r="AZ775" t="s">
        <v>579</v>
      </c>
    </row>
    <row r="776" spans="1:52" x14ac:dyDescent="0.2">
      <c r="A776">
        <v>1</v>
      </c>
      <c r="B776">
        <v>0</v>
      </c>
      <c r="C776">
        <v>0</v>
      </c>
      <c r="D776">
        <v>0</v>
      </c>
      <c r="E776">
        <v>0</v>
      </c>
      <c r="F776">
        <v>1</v>
      </c>
      <c r="G776">
        <v>0</v>
      </c>
      <c r="H776">
        <v>0</v>
      </c>
      <c r="I776">
        <v>0</v>
      </c>
      <c r="J776" t="s">
        <v>79</v>
      </c>
      <c r="K776" t="s">
        <v>89</v>
      </c>
      <c r="L776">
        <v>1</v>
      </c>
      <c r="M776">
        <v>0</v>
      </c>
      <c r="N776">
        <v>0</v>
      </c>
      <c r="O776">
        <v>0</v>
      </c>
      <c r="P776">
        <v>0</v>
      </c>
      <c r="Q776" t="s">
        <v>584</v>
      </c>
      <c r="R776">
        <v>0</v>
      </c>
      <c r="S776">
        <v>0</v>
      </c>
      <c r="T776">
        <v>1</v>
      </c>
      <c r="U776">
        <v>0</v>
      </c>
      <c r="V776">
        <v>0</v>
      </c>
      <c r="W776">
        <v>0</v>
      </c>
      <c r="X776">
        <v>0</v>
      </c>
      <c r="Y776">
        <v>0</v>
      </c>
      <c r="Z776">
        <v>0</v>
      </c>
      <c r="AL776" t="s">
        <v>73</v>
      </c>
      <c r="AM776" t="s">
        <v>87</v>
      </c>
      <c r="AN776" t="s">
        <v>87</v>
      </c>
      <c r="AO776" t="s">
        <v>87</v>
      </c>
      <c r="AP776" t="s">
        <v>87</v>
      </c>
      <c r="AQ776" t="s">
        <v>87</v>
      </c>
      <c r="AR776" t="s">
        <v>75</v>
      </c>
      <c r="AS776" t="s">
        <v>76</v>
      </c>
      <c r="AT776" t="s">
        <v>73</v>
      </c>
      <c r="AU776">
        <v>0</v>
      </c>
      <c r="AV776">
        <v>0</v>
      </c>
      <c r="AW776">
        <v>0</v>
      </c>
      <c r="AX776">
        <v>1</v>
      </c>
      <c r="AY776">
        <v>0</v>
      </c>
      <c r="AZ776" t="s">
        <v>580</v>
      </c>
    </row>
    <row r="777" spans="1:52" x14ac:dyDescent="0.2">
      <c r="A777">
        <v>1</v>
      </c>
      <c r="B777">
        <v>0</v>
      </c>
      <c r="C777">
        <v>0</v>
      </c>
      <c r="D777">
        <v>0</v>
      </c>
      <c r="E777">
        <v>0</v>
      </c>
      <c r="F777">
        <v>1</v>
      </c>
      <c r="G777">
        <v>1</v>
      </c>
      <c r="H777">
        <v>1</v>
      </c>
      <c r="I777">
        <v>0</v>
      </c>
      <c r="J777" t="s">
        <v>88</v>
      </c>
      <c r="K777" t="s">
        <v>89</v>
      </c>
      <c r="L777">
        <v>0</v>
      </c>
      <c r="M777">
        <v>0</v>
      </c>
      <c r="N777">
        <v>1</v>
      </c>
      <c r="O777">
        <v>0</v>
      </c>
      <c r="P777">
        <v>0</v>
      </c>
      <c r="Q777" t="s">
        <v>584</v>
      </c>
      <c r="AA777" t="s">
        <v>83</v>
      </c>
      <c r="AB777" t="s">
        <v>82</v>
      </c>
      <c r="AC777" t="s">
        <v>81</v>
      </c>
      <c r="AD777" t="s">
        <v>81</v>
      </c>
      <c r="AE777" t="s">
        <v>81</v>
      </c>
      <c r="AF777" t="s">
        <v>83</v>
      </c>
      <c r="AG777" t="s">
        <v>81</v>
      </c>
      <c r="AH777" t="s">
        <v>83</v>
      </c>
      <c r="AI777" t="s">
        <v>88</v>
      </c>
      <c r="AJ777" t="s">
        <v>89</v>
      </c>
      <c r="AK777" t="s">
        <v>100</v>
      </c>
      <c r="AL777" t="s">
        <v>107</v>
      </c>
      <c r="AM777" t="s">
        <v>87</v>
      </c>
      <c r="AN777" t="s">
        <v>87</v>
      </c>
      <c r="AO777" t="s">
        <v>87</v>
      </c>
      <c r="AP777" t="s">
        <v>87</v>
      </c>
      <c r="AQ777" t="s">
        <v>86</v>
      </c>
      <c r="AR777" t="s">
        <v>75</v>
      </c>
      <c r="AS777" t="s">
        <v>76</v>
      </c>
      <c r="AT777" t="s">
        <v>107</v>
      </c>
      <c r="AU777">
        <v>0</v>
      </c>
      <c r="AV777">
        <v>0</v>
      </c>
      <c r="AW777">
        <v>1</v>
      </c>
      <c r="AX777">
        <v>1</v>
      </c>
      <c r="AY777">
        <v>0</v>
      </c>
      <c r="AZ777" t="s">
        <v>579</v>
      </c>
    </row>
    <row r="778" spans="1:52" x14ac:dyDescent="0.2">
      <c r="A778">
        <v>1</v>
      </c>
      <c r="B778">
        <v>0</v>
      </c>
      <c r="C778">
        <v>0</v>
      </c>
      <c r="D778">
        <v>0</v>
      </c>
      <c r="E778">
        <v>0</v>
      </c>
      <c r="F778">
        <v>1</v>
      </c>
      <c r="G778">
        <v>0</v>
      </c>
      <c r="H778">
        <v>0</v>
      </c>
      <c r="I778">
        <v>0</v>
      </c>
      <c r="J778" t="s">
        <v>88</v>
      </c>
      <c r="K778" t="s">
        <v>89</v>
      </c>
      <c r="L778">
        <v>1</v>
      </c>
      <c r="M778">
        <v>0</v>
      </c>
      <c r="N778">
        <v>0</v>
      </c>
      <c r="O778">
        <v>0</v>
      </c>
      <c r="P778">
        <v>0</v>
      </c>
      <c r="Q778" t="s">
        <v>584</v>
      </c>
      <c r="R778">
        <v>0</v>
      </c>
      <c r="S778">
        <v>0</v>
      </c>
      <c r="T778">
        <v>1</v>
      </c>
      <c r="U778">
        <v>0</v>
      </c>
      <c r="V778">
        <v>0</v>
      </c>
      <c r="W778">
        <v>0</v>
      </c>
      <c r="X778">
        <v>1</v>
      </c>
      <c r="Y778">
        <v>0</v>
      </c>
      <c r="Z778">
        <v>0</v>
      </c>
      <c r="AL778" t="s">
        <v>73</v>
      </c>
      <c r="AM778" t="s">
        <v>86</v>
      </c>
      <c r="AN778" t="s">
        <v>86</v>
      </c>
      <c r="AO778" t="s">
        <v>87</v>
      </c>
      <c r="AP778" t="s">
        <v>74</v>
      </c>
      <c r="AQ778" t="s">
        <v>87</v>
      </c>
      <c r="AR778" t="s">
        <v>97</v>
      </c>
      <c r="AS778" t="s">
        <v>76</v>
      </c>
      <c r="AT778" t="s">
        <v>73</v>
      </c>
      <c r="AU778">
        <v>0</v>
      </c>
      <c r="AV778">
        <v>0</v>
      </c>
      <c r="AW778">
        <v>0</v>
      </c>
      <c r="AX778">
        <v>1</v>
      </c>
      <c r="AY778">
        <v>0</v>
      </c>
      <c r="AZ778" t="s">
        <v>581</v>
      </c>
    </row>
    <row r="779" spans="1:52" x14ac:dyDescent="0.2">
      <c r="A779">
        <v>0</v>
      </c>
      <c r="B779">
        <v>1</v>
      </c>
      <c r="C779">
        <v>0</v>
      </c>
      <c r="D779">
        <v>0</v>
      </c>
      <c r="E779">
        <v>0</v>
      </c>
      <c r="F779">
        <v>1</v>
      </c>
      <c r="G779">
        <v>0</v>
      </c>
      <c r="H779">
        <v>0</v>
      </c>
      <c r="I779">
        <v>0</v>
      </c>
      <c r="J779" t="s">
        <v>135</v>
      </c>
      <c r="K779" t="s">
        <v>127</v>
      </c>
      <c r="L779">
        <v>0</v>
      </c>
      <c r="M779">
        <v>1</v>
      </c>
      <c r="N779">
        <v>0</v>
      </c>
      <c r="O779">
        <v>0</v>
      </c>
      <c r="P779">
        <v>0</v>
      </c>
      <c r="Q779" t="s">
        <v>584</v>
      </c>
      <c r="AA779" t="s">
        <v>81</v>
      </c>
      <c r="AB779" t="s">
        <v>81</v>
      </c>
      <c r="AC779" t="s">
        <v>83</v>
      </c>
      <c r="AD779" t="s">
        <v>82</v>
      </c>
      <c r="AE779" t="s">
        <v>82</v>
      </c>
      <c r="AF779" t="s">
        <v>81</v>
      </c>
      <c r="AG779" t="s">
        <v>82</v>
      </c>
      <c r="AH779" t="s">
        <v>83</v>
      </c>
      <c r="AI779" t="s">
        <v>135</v>
      </c>
      <c r="AJ779" t="s">
        <v>127</v>
      </c>
      <c r="AK779" t="s">
        <v>100</v>
      </c>
      <c r="AL779" t="s">
        <v>73</v>
      </c>
      <c r="AM779" t="s">
        <v>86</v>
      </c>
      <c r="AN779" t="s">
        <v>86</v>
      </c>
      <c r="AO779" t="s">
        <v>86</v>
      </c>
      <c r="AP779" t="s">
        <v>74</v>
      </c>
      <c r="AQ779" t="s">
        <v>86</v>
      </c>
      <c r="AR779" t="s">
        <v>75</v>
      </c>
      <c r="AS779" t="s">
        <v>76</v>
      </c>
      <c r="AT779" t="s">
        <v>73</v>
      </c>
      <c r="AU779">
        <v>0</v>
      </c>
      <c r="AV779">
        <v>0</v>
      </c>
      <c r="AW779">
        <v>1</v>
      </c>
      <c r="AX779">
        <v>0</v>
      </c>
      <c r="AY779">
        <v>0</v>
      </c>
      <c r="AZ779" t="s">
        <v>579</v>
      </c>
    </row>
    <row r="780" spans="1:52" x14ac:dyDescent="0.2">
      <c r="A780">
        <v>0</v>
      </c>
      <c r="B780">
        <v>1</v>
      </c>
      <c r="C780">
        <v>0</v>
      </c>
      <c r="D780">
        <v>0</v>
      </c>
      <c r="E780">
        <v>1</v>
      </c>
      <c r="F780">
        <v>0</v>
      </c>
      <c r="G780">
        <v>0</v>
      </c>
      <c r="H780">
        <v>0</v>
      </c>
      <c r="I780">
        <v>0</v>
      </c>
      <c r="L780">
        <v>1</v>
      </c>
      <c r="M780">
        <v>0</v>
      </c>
      <c r="N780">
        <v>0</v>
      </c>
      <c r="O780">
        <v>0</v>
      </c>
      <c r="P780">
        <v>0</v>
      </c>
      <c r="Q780" t="s">
        <v>584</v>
      </c>
      <c r="R780">
        <v>0</v>
      </c>
      <c r="S780">
        <v>0</v>
      </c>
      <c r="T780">
        <v>1</v>
      </c>
      <c r="U780">
        <v>0</v>
      </c>
      <c r="V780">
        <v>0</v>
      </c>
      <c r="W780">
        <v>1</v>
      </c>
      <c r="X780">
        <v>0</v>
      </c>
      <c r="Y780">
        <v>0</v>
      </c>
      <c r="Z780">
        <v>0</v>
      </c>
      <c r="AL780" t="s">
        <v>96</v>
      </c>
      <c r="AM780" t="s">
        <v>87</v>
      </c>
      <c r="AN780" t="s">
        <v>87</v>
      </c>
      <c r="AO780" t="s">
        <v>74</v>
      </c>
      <c r="AP780" t="s">
        <v>87</v>
      </c>
      <c r="AQ780" t="s">
        <v>87</v>
      </c>
      <c r="AR780" t="s">
        <v>97</v>
      </c>
      <c r="AS780" t="s">
        <v>76</v>
      </c>
      <c r="AT780" t="s">
        <v>96</v>
      </c>
      <c r="AU780">
        <v>0</v>
      </c>
      <c r="AV780">
        <v>0</v>
      </c>
      <c r="AW780">
        <v>1</v>
      </c>
      <c r="AX780">
        <v>0</v>
      </c>
      <c r="AY780">
        <v>0</v>
      </c>
      <c r="AZ780" t="s">
        <v>580</v>
      </c>
    </row>
    <row r="781" spans="1:52" x14ac:dyDescent="0.2">
      <c r="A781">
        <v>1</v>
      </c>
      <c r="B781">
        <v>0</v>
      </c>
      <c r="C781">
        <v>0</v>
      </c>
      <c r="D781">
        <v>0</v>
      </c>
      <c r="E781">
        <v>0</v>
      </c>
      <c r="F781">
        <v>0</v>
      </c>
      <c r="G781">
        <v>0</v>
      </c>
      <c r="H781">
        <v>0</v>
      </c>
      <c r="I781">
        <v>1</v>
      </c>
      <c r="J781" t="s">
        <v>127</v>
      </c>
      <c r="K781" t="s">
        <v>127</v>
      </c>
      <c r="L781">
        <v>0</v>
      </c>
      <c r="M781">
        <v>1</v>
      </c>
      <c r="N781">
        <v>0</v>
      </c>
      <c r="O781">
        <v>0</v>
      </c>
      <c r="P781">
        <v>0</v>
      </c>
      <c r="Q781" t="s">
        <v>585</v>
      </c>
      <c r="AA781" t="s">
        <v>90</v>
      </c>
      <c r="AB781" t="s">
        <v>90</v>
      </c>
      <c r="AC781" t="s">
        <v>90</v>
      </c>
      <c r="AD781" t="s">
        <v>90</v>
      </c>
      <c r="AE781" t="s">
        <v>82</v>
      </c>
      <c r="AF781" t="s">
        <v>90</v>
      </c>
      <c r="AG781" t="s">
        <v>90</v>
      </c>
      <c r="AH781" t="s">
        <v>90</v>
      </c>
      <c r="AI781" t="s">
        <v>127</v>
      </c>
      <c r="AJ781" t="s">
        <v>127</v>
      </c>
      <c r="AL781" t="s">
        <v>107</v>
      </c>
      <c r="AM781" t="s">
        <v>74</v>
      </c>
      <c r="AR781" t="s">
        <v>75</v>
      </c>
      <c r="AS781" t="s">
        <v>76</v>
      </c>
      <c r="AT781" t="s">
        <v>107</v>
      </c>
      <c r="AU781">
        <v>0</v>
      </c>
      <c r="AV781">
        <v>1</v>
      </c>
      <c r="AW781">
        <v>1</v>
      </c>
      <c r="AX781">
        <v>0</v>
      </c>
      <c r="AY781">
        <v>0</v>
      </c>
      <c r="AZ781" t="s">
        <v>580</v>
      </c>
    </row>
    <row r="782" spans="1:52" x14ac:dyDescent="0.2">
      <c r="A782">
        <v>1</v>
      </c>
      <c r="B782">
        <v>0</v>
      </c>
      <c r="C782">
        <v>0</v>
      </c>
      <c r="D782">
        <v>0</v>
      </c>
      <c r="E782">
        <v>0</v>
      </c>
      <c r="F782">
        <v>1</v>
      </c>
      <c r="G782">
        <v>0</v>
      </c>
      <c r="H782">
        <v>0</v>
      </c>
      <c r="I782">
        <v>0</v>
      </c>
      <c r="J782" t="s">
        <v>79</v>
      </c>
      <c r="K782" t="s">
        <v>89</v>
      </c>
      <c r="L782">
        <v>0</v>
      </c>
      <c r="M782">
        <v>0</v>
      </c>
      <c r="N782">
        <v>0</v>
      </c>
      <c r="O782">
        <v>0</v>
      </c>
      <c r="P782">
        <v>1</v>
      </c>
      <c r="Q782" t="s">
        <v>584</v>
      </c>
      <c r="AA782" t="s">
        <v>82</v>
      </c>
      <c r="AB782" t="s">
        <v>82</v>
      </c>
      <c r="AC782" t="s">
        <v>81</v>
      </c>
      <c r="AD782" t="s">
        <v>82</v>
      </c>
      <c r="AE782" t="s">
        <v>82</v>
      </c>
      <c r="AF782" t="s">
        <v>81</v>
      </c>
      <c r="AG782" t="s">
        <v>82</v>
      </c>
      <c r="AH782" t="s">
        <v>83</v>
      </c>
      <c r="AI782" t="s">
        <v>88</v>
      </c>
      <c r="AJ782" t="s">
        <v>89</v>
      </c>
      <c r="AK782" t="s">
        <v>85</v>
      </c>
      <c r="AL782" t="s">
        <v>96</v>
      </c>
      <c r="AM782" t="s">
        <v>87</v>
      </c>
      <c r="AN782" t="s">
        <v>87</v>
      </c>
      <c r="AO782" t="s">
        <v>87</v>
      </c>
      <c r="AP782" t="s">
        <v>87</v>
      </c>
      <c r="AQ782" t="s">
        <v>87</v>
      </c>
      <c r="AR782" t="s">
        <v>97</v>
      </c>
      <c r="AS782" t="s">
        <v>92</v>
      </c>
      <c r="AT782" t="s">
        <v>96</v>
      </c>
      <c r="AU782">
        <v>0</v>
      </c>
      <c r="AV782">
        <v>0</v>
      </c>
      <c r="AW782">
        <v>1</v>
      </c>
      <c r="AX782">
        <v>1</v>
      </c>
      <c r="AY782">
        <v>0</v>
      </c>
      <c r="AZ782" t="s">
        <v>580</v>
      </c>
    </row>
    <row r="783" spans="1:52" x14ac:dyDescent="0.2">
      <c r="A783">
        <v>1</v>
      </c>
      <c r="B783">
        <v>0</v>
      </c>
      <c r="C783">
        <v>0</v>
      </c>
      <c r="D783">
        <v>0</v>
      </c>
      <c r="E783">
        <v>0</v>
      </c>
      <c r="F783">
        <v>1</v>
      </c>
      <c r="G783">
        <v>0</v>
      </c>
      <c r="H783">
        <v>1</v>
      </c>
      <c r="I783">
        <v>1</v>
      </c>
      <c r="J783" t="s">
        <v>88</v>
      </c>
      <c r="K783" t="s">
        <v>89</v>
      </c>
      <c r="L783">
        <v>0</v>
      </c>
      <c r="M783">
        <v>1</v>
      </c>
      <c r="N783">
        <v>0</v>
      </c>
      <c r="O783">
        <v>0</v>
      </c>
      <c r="P783">
        <v>0</v>
      </c>
      <c r="Q783" t="s">
        <v>584</v>
      </c>
      <c r="AA783" t="s">
        <v>83</v>
      </c>
      <c r="AB783" t="s">
        <v>82</v>
      </c>
      <c r="AC783" t="s">
        <v>90</v>
      </c>
      <c r="AD783" t="s">
        <v>90</v>
      </c>
      <c r="AE783" t="s">
        <v>90</v>
      </c>
      <c r="AF783" t="s">
        <v>90</v>
      </c>
      <c r="AG783" t="s">
        <v>83</v>
      </c>
      <c r="AH783" t="s">
        <v>90</v>
      </c>
      <c r="AI783" t="s">
        <v>88</v>
      </c>
      <c r="AJ783" t="s">
        <v>89</v>
      </c>
      <c r="AK783" t="s">
        <v>100</v>
      </c>
      <c r="AL783" t="s">
        <v>107</v>
      </c>
      <c r="AM783" t="s">
        <v>86</v>
      </c>
      <c r="AN783" t="s">
        <v>86</v>
      </c>
      <c r="AO783" t="s">
        <v>86</v>
      </c>
      <c r="AP783" t="s">
        <v>87</v>
      </c>
      <c r="AQ783" t="s">
        <v>86</v>
      </c>
      <c r="AR783" t="s">
        <v>108</v>
      </c>
      <c r="AS783" t="s">
        <v>76</v>
      </c>
      <c r="AT783" t="s">
        <v>107</v>
      </c>
      <c r="AU783">
        <v>0</v>
      </c>
      <c r="AV783">
        <v>0</v>
      </c>
      <c r="AW783">
        <v>1</v>
      </c>
      <c r="AX783">
        <v>0</v>
      </c>
      <c r="AY783">
        <v>0</v>
      </c>
      <c r="AZ783" t="s">
        <v>578</v>
      </c>
    </row>
    <row r="784" spans="1:52" x14ac:dyDescent="0.2">
      <c r="A784">
        <v>1</v>
      </c>
      <c r="B784">
        <v>0</v>
      </c>
      <c r="C784">
        <v>0</v>
      </c>
      <c r="D784">
        <v>0</v>
      </c>
      <c r="E784">
        <v>1</v>
      </c>
      <c r="F784">
        <v>0</v>
      </c>
      <c r="G784">
        <v>0</v>
      </c>
      <c r="H784">
        <v>0</v>
      </c>
      <c r="I784">
        <v>0</v>
      </c>
      <c r="L784">
        <v>0</v>
      </c>
      <c r="M784">
        <v>1</v>
      </c>
      <c r="N784">
        <v>0</v>
      </c>
      <c r="O784">
        <v>0</v>
      </c>
      <c r="P784">
        <v>0</v>
      </c>
      <c r="Q784" t="s">
        <v>584</v>
      </c>
      <c r="AA784" t="s">
        <v>83</v>
      </c>
      <c r="AB784" t="s">
        <v>81</v>
      </c>
      <c r="AC784" t="s">
        <v>82</v>
      </c>
      <c r="AD784" t="s">
        <v>83</v>
      </c>
      <c r="AE784" t="s">
        <v>83</v>
      </c>
      <c r="AF784" t="s">
        <v>83</v>
      </c>
      <c r="AG784" t="s">
        <v>83</v>
      </c>
      <c r="AH784" t="s">
        <v>83</v>
      </c>
      <c r="AI784" t="s">
        <v>84</v>
      </c>
      <c r="AJ784" t="s">
        <v>89</v>
      </c>
      <c r="AK784" t="s">
        <v>100</v>
      </c>
      <c r="AL784" t="s">
        <v>107</v>
      </c>
      <c r="AM784" t="s">
        <v>87</v>
      </c>
      <c r="AN784" t="s">
        <v>86</v>
      </c>
      <c r="AO784" t="s">
        <v>86</v>
      </c>
      <c r="AP784" t="s">
        <v>87</v>
      </c>
      <c r="AQ784" t="s">
        <v>86</v>
      </c>
      <c r="AR784" t="s">
        <v>101</v>
      </c>
      <c r="AS784" t="s">
        <v>76</v>
      </c>
      <c r="AT784" t="s">
        <v>107</v>
      </c>
      <c r="AU784">
        <v>0</v>
      </c>
      <c r="AV784">
        <v>0</v>
      </c>
      <c r="AW784">
        <v>0</v>
      </c>
      <c r="AX784">
        <v>1</v>
      </c>
      <c r="AY784">
        <v>0</v>
      </c>
      <c r="AZ784" t="s">
        <v>580</v>
      </c>
    </row>
    <row r="785" spans="1:52" x14ac:dyDescent="0.2">
      <c r="A785">
        <v>1</v>
      </c>
      <c r="B785">
        <v>0</v>
      </c>
      <c r="C785">
        <v>0</v>
      </c>
      <c r="D785">
        <v>0</v>
      </c>
      <c r="E785">
        <v>1</v>
      </c>
      <c r="F785">
        <v>0</v>
      </c>
      <c r="G785">
        <v>0</v>
      </c>
      <c r="H785">
        <v>0</v>
      </c>
      <c r="I785">
        <v>0</v>
      </c>
      <c r="L785">
        <v>1</v>
      </c>
      <c r="M785">
        <v>0</v>
      </c>
      <c r="N785">
        <v>0</v>
      </c>
      <c r="O785">
        <v>0</v>
      </c>
      <c r="P785">
        <v>0</v>
      </c>
      <c r="Q785" t="s">
        <v>584</v>
      </c>
      <c r="R785">
        <v>0</v>
      </c>
      <c r="S785">
        <v>0</v>
      </c>
      <c r="T785">
        <v>1</v>
      </c>
      <c r="U785">
        <v>0</v>
      </c>
      <c r="V785">
        <v>0</v>
      </c>
      <c r="W785">
        <v>0</v>
      </c>
      <c r="X785">
        <v>0</v>
      </c>
      <c r="Y785">
        <v>0</v>
      </c>
      <c r="Z785">
        <v>0</v>
      </c>
      <c r="AL785" t="s">
        <v>107</v>
      </c>
      <c r="AM785" t="s">
        <v>87</v>
      </c>
      <c r="AN785" t="s">
        <v>87</v>
      </c>
      <c r="AO785" t="s">
        <v>87</v>
      </c>
      <c r="AP785" t="s">
        <v>87</v>
      </c>
      <c r="AQ785" t="s">
        <v>87</v>
      </c>
      <c r="AR785" t="s">
        <v>75</v>
      </c>
      <c r="AS785" t="s">
        <v>76</v>
      </c>
      <c r="AT785" t="s">
        <v>107</v>
      </c>
      <c r="AU785">
        <v>0</v>
      </c>
      <c r="AV785">
        <v>0</v>
      </c>
      <c r="AW785">
        <v>1</v>
      </c>
      <c r="AX785">
        <v>0</v>
      </c>
      <c r="AY785">
        <v>0</v>
      </c>
      <c r="AZ785" t="s">
        <v>579</v>
      </c>
    </row>
    <row r="786" spans="1:52" x14ac:dyDescent="0.2">
      <c r="A786">
        <v>1</v>
      </c>
      <c r="B786">
        <v>0</v>
      </c>
      <c r="C786">
        <v>0</v>
      </c>
      <c r="D786">
        <v>0</v>
      </c>
      <c r="E786">
        <v>1</v>
      </c>
      <c r="F786">
        <v>0</v>
      </c>
      <c r="G786">
        <v>0</v>
      </c>
      <c r="H786">
        <v>0</v>
      </c>
      <c r="I786">
        <v>0</v>
      </c>
      <c r="L786">
        <v>0</v>
      </c>
      <c r="M786">
        <v>0</v>
      </c>
      <c r="N786">
        <v>1</v>
      </c>
      <c r="O786">
        <v>0</v>
      </c>
      <c r="P786">
        <v>0</v>
      </c>
      <c r="Q786" t="s">
        <v>584</v>
      </c>
      <c r="AA786" t="s">
        <v>82</v>
      </c>
      <c r="AB786" t="s">
        <v>83</v>
      </c>
      <c r="AC786" t="s">
        <v>83</v>
      </c>
      <c r="AD786" t="s">
        <v>83</v>
      </c>
      <c r="AE786" t="s">
        <v>82</v>
      </c>
      <c r="AF786" t="s">
        <v>81</v>
      </c>
      <c r="AG786" t="s">
        <v>81</v>
      </c>
      <c r="AH786" t="s">
        <v>83</v>
      </c>
      <c r="AI786" t="s">
        <v>84</v>
      </c>
      <c r="AJ786" t="s">
        <v>80</v>
      </c>
      <c r="AK786" t="s">
        <v>85</v>
      </c>
      <c r="AL786" t="s">
        <v>107</v>
      </c>
      <c r="AM786" t="s">
        <v>74</v>
      </c>
      <c r="AR786" t="s">
        <v>101</v>
      </c>
      <c r="AS786" t="s">
        <v>92</v>
      </c>
      <c r="AT786" t="s">
        <v>107</v>
      </c>
      <c r="AU786">
        <v>0</v>
      </c>
      <c r="AV786">
        <v>0</v>
      </c>
      <c r="AW786">
        <v>1</v>
      </c>
      <c r="AX786">
        <v>0</v>
      </c>
      <c r="AY786">
        <v>0</v>
      </c>
      <c r="AZ786" t="s">
        <v>580</v>
      </c>
    </row>
    <row r="787" spans="1:52" x14ac:dyDescent="0.2">
      <c r="A787">
        <v>0</v>
      </c>
      <c r="B787">
        <v>1</v>
      </c>
      <c r="C787">
        <v>0</v>
      </c>
      <c r="D787">
        <v>0</v>
      </c>
      <c r="E787">
        <v>0</v>
      </c>
      <c r="F787">
        <v>1</v>
      </c>
      <c r="G787">
        <v>1</v>
      </c>
      <c r="H787">
        <v>1</v>
      </c>
      <c r="I787">
        <v>0</v>
      </c>
      <c r="J787" t="s">
        <v>88</v>
      </c>
      <c r="K787" t="s">
        <v>89</v>
      </c>
      <c r="L787">
        <v>0</v>
      </c>
      <c r="M787">
        <v>0</v>
      </c>
      <c r="N787">
        <v>0</v>
      </c>
      <c r="O787">
        <v>0</v>
      </c>
      <c r="P787">
        <v>1</v>
      </c>
      <c r="Q787" t="s">
        <v>584</v>
      </c>
      <c r="AA787" t="s">
        <v>83</v>
      </c>
      <c r="AB787" t="s">
        <v>82</v>
      </c>
      <c r="AC787" t="s">
        <v>82</v>
      </c>
      <c r="AD787" t="s">
        <v>82</v>
      </c>
      <c r="AE787" t="s">
        <v>81</v>
      </c>
      <c r="AF787" t="s">
        <v>83</v>
      </c>
      <c r="AG787" t="s">
        <v>83</v>
      </c>
      <c r="AH787" t="s">
        <v>83</v>
      </c>
      <c r="AI787" t="s">
        <v>88</v>
      </c>
      <c r="AJ787" t="s">
        <v>89</v>
      </c>
      <c r="AK787" t="s">
        <v>100</v>
      </c>
      <c r="AL787" t="s">
        <v>96</v>
      </c>
      <c r="AM787" t="s">
        <v>87</v>
      </c>
      <c r="AN787" t="s">
        <v>87</v>
      </c>
      <c r="AO787" t="s">
        <v>87</v>
      </c>
      <c r="AP787" t="s">
        <v>87</v>
      </c>
      <c r="AQ787" t="s">
        <v>87</v>
      </c>
      <c r="AR787" t="s">
        <v>108</v>
      </c>
      <c r="AS787" t="s">
        <v>92</v>
      </c>
      <c r="AT787" t="s">
        <v>96</v>
      </c>
      <c r="AU787">
        <v>0</v>
      </c>
      <c r="AV787">
        <v>0</v>
      </c>
      <c r="AW787">
        <v>1</v>
      </c>
      <c r="AX787">
        <v>0</v>
      </c>
      <c r="AY787">
        <v>0</v>
      </c>
      <c r="AZ787" t="s">
        <v>579</v>
      </c>
    </row>
    <row r="788" spans="1:52" x14ac:dyDescent="0.2">
      <c r="A788">
        <v>1</v>
      </c>
      <c r="B788">
        <v>0</v>
      </c>
      <c r="C788">
        <v>0</v>
      </c>
      <c r="D788">
        <v>0</v>
      </c>
      <c r="E788">
        <v>0</v>
      </c>
      <c r="F788">
        <v>1</v>
      </c>
      <c r="G788">
        <v>0</v>
      </c>
      <c r="H788">
        <v>0</v>
      </c>
      <c r="I788">
        <v>0</v>
      </c>
      <c r="J788" t="s">
        <v>88</v>
      </c>
      <c r="K788" t="s">
        <v>127</v>
      </c>
      <c r="L788">
        <v>0</v>
      </c>
      <c r="M788">
        <v>0</v>
      </c>
      <c r="N788">
        <v>1</v>
      </c>
      <c r="O788">
        <v>0</v>
      </c>
      <c r="P788">
        <v>0</v>
      </c>
      <c r="Q788" t="s">
        <v>584</v>
      </c>
      <c r="AA788" t="s">
        <v>83</v>
      </c>
      <c r="AB788" t="s">
        <v>82</v>
      </c>
      <c r="AC788" t="s">
        <v>81</v>
      </c>
      <c r="AD788" t="s">
        <v>81</v>
      </c>
      <c r="AE788" t="s">
        <v>82</v>
      </c>
      <c r="AF788" t="s">
        <v>83</v>
      </c>
      <c r="AG788" t="s">
        <v>82</v>
      </c>
      <c r="AH788" t="s">
        <v>81</v>
      </c>
      <c r="AI788" t="s">
        <v>127</v>
      </c>
      <c r="AJ788" t="s">
        <v>127</v>
      </c>
      <c r="AL788" t="s">
        <v>107</v>
      </c>
      <c r="AM788" t="s">
        <v>86</v>
      </c>
      <c r="AN788" t="s">
        <v>86</v>
      </c>
      <c r="AO788" t="s">
        <v>87</v>
      </c>
      <c r="AP788" t="s">
        <v>87</v>
      </c>
      <c r="AQ788" t="s">
        <v>87</v>
      </c>
      <c r="AR788" t="s">
        <v>75</v>
      </c>
      <c r="AS788" t="s">
        <v>76</v>
      </c>
      <c r="AT788" t="s">
        <v>107</v>
      </c>
      <c r="AU788">
        <v>0</v>
      </c>
      <c r="AV788">
        <v>0</v>
      </c>
      <c r="AW788">
        <v>1</v>
      </c>
      <c r="AX788">
        <v>0</v>
      </c>
      <c r="AY788">
        <v>0</v>
      </c>
      <c r="AZ788" t="s">
        <v>578</v>
      </c>
    </row>
    <row r="789" spans="1:52" x14ac:dyDescent="0.2">
      <c r="A789">
        <v>1</v>
      </c>
      <c r="B789">
        <v>0</v>
      </c>
      <c r="C789">
        <v>0</v>
      </c>
      <c r="D789">
        <v>0</v>
      </c>
      <c r="E789">
        <v>0</v>
      </c>
      <c r="F789">
        <v>1</v>
      </c>
      <c r="G789">
        <v>1</v>
      </c>
      <c r="H789">
        <v>1</v>
      </c>
      <c r="I789">
        <v>0</v>
      </c>
      <c r="J789" t="s">
        <v>135</v>
      </c>
      <c r="K789" t="s">
        <v>89</v>
      </c>
      <c r="L789">
        <v>0</v>
      </c>
      <c r="M789">
        <v>1</v>
      </c>
      <c r="N789">
        <v>1</v>
      </c>
      <c r="O789">
        <v>0</v>
      </c>
      <c r="P789">
        <v>0</v>
      </c>
      <c r="Q789" t="s">
        <v>584</v>
      </c>
      <c r="AA789" t="s">
        <v>81</v>
      </c>
      <c r="AB789" t="s">
        <v>81</v>
      </c>
      <c r="AC789" t="s">
        <v>81</v>
      </c>
      <c r="AD789" t="s">
        <v>83</v>
      </c>
      <c r="AE789" t="s">
        <v>82</v>
      </c>
      <c r="AF789" t="s">
        <v>83</v>
      </c>
      <c r="AG789" t="s">
        <v>81</v>
      </c>
      <c r="AH789" t="s">
        <v>83</v>
      </c>
      <c r="AI789" t="s">
        <v>88</v>
      </c>
      <c r="AJ789" t="s">
        <v>89</v>
      </c>
      <c r="AK789" t="s">
        <v>100</v>
      </c>
      <c r="AL789" t="s">
        <v>73</v>
      </c>
      <c r="AM789" t="s">
        <v>86</v>
      </c>
      <c r="AN789" t="s">
        <v>86</v>
      </c>
      <c r="AO789" t="s">
        <v>86</v>
      </c>
      <c r="AP789" t="s">
        <v>86</v>
      </c>
      <c r="AQ789" t="s">
        <v>74</v>
      </c>
      <c r="AR789" t="s">
        <v>97</v>
      </c>
      <c r="AS789" t="s">
        <v>76</v>
      </c>
      <c r="AT789" t="s">
        <v>73</v>
      </c>
      <c r="AU789">
        <v>0</v>
      </c>
      <c r="AV789">
        <v>0</v>
      </c>
      <c r="AW789">
        <v>1</v>
      </c>
      <c r="AX789">
        <v>0</v>
      </c>
      <c r="AY789">
        <v>0</v>
      </c>
      <c r="AZ789" t="s">
        <v>580</v>
      </c>
    </row>
    <row r="790" spans="1:52" x14ac:dyDescent="0.2">
      <c r="A790">
        <v>1</v>
      </c>
      <c r="B790">
        <v>0</v>
      </c>
      <c r="C790">
        <v>0</v>
      </c>
      <c r="D790">
        <v>0</v>
      </c>
      <c r="E790">
        <v>0</v>
      </c>
      <c r="F790">
        <v>1</v>
      </c>
      <c r="G790">
        <v>0</v>
      </c>
      <c r="H790">
        <v>0</v>
      </c>
      <c r="I790">
        <v>0</v>
      </c>
      <c r="J790" t="s">
        <v>135</v>
      </c>
      <c r="K790" t="s">
        <v>89</v>
      </c>
      <c r="L790">
        <v>0</v>
      </c>
      <c r="M790">
        <v>0</v>
      </c>
      <c r="N790">
        <v>1</v>
      </c>
      <c r="O790">
        <v>0</v>
      </c>
      <c r="P790">
        <v>0</v>
      </c>
      <c r="Q790" t="s">
        <v>584</v>
      </c>
      <c r="AA790" t="s">
        <v>81</v>
      </c>
      <c r="AB790" t="s">
        <v>82</v>
      </c>
      <c r="AC790" t="s">
        <v>83</v>
      </c>
      <c r="AD790" t="s">
        <v>81</v>
      </c>
      <c r="AE790" t="s">
        <v>81</v>
      </c>
      <c r="AF790" t="s">
        <v>83</v>
      </c>
      <c r="AG790" t="s">
        <v>81</v>
      </c>
      <c r="AH790" t="s">
        <v>83</v>
      </c>
      <c r="AI790" t="s">
        <v>88</v>
      </c>
      <c r="AJ790" t="s">
        <v>89</v>
      </c>
      <c r="AK790" t="s">
        <v>85</v>
      </c>
      <c r="AL790" t="s">
        <v>107</v>
      </c>
      <c r="AM790" t="s">
        <v>87</v>
      </c>
      <c r="AN790" t="s">
        <v>87</v>
      </c>
      <c r="AO790" t="s">
        <v>87</v>
      </c>
      <c r="AP790" t="s">
        <v>86</v>
      </c>
      <c r="AQ790" t="s">
        <v>87</v>
      </c>
      <c r="AR790" t="s">
        <v>75</v>
      </c>
      <c r="AS790" t="s">
        <v>92</v>
      </c>
      <c r="AT790" t="s">
        <v>107</v>
      </c>
      <c r="AU790">
        <v>0</v>
      </c>
      <c r="AV790">
        <v>0</v>
      </c>
      <c r="AW790">
        <v>1</v>
      </c>
      <c r="AX790">
        <v>1</v>
      </c>
      <c r="AY790">
        <v>0</v>
      </c>
      <c r="AZ790" t="s">
        <v>579</v>
      </c>
    </row>
    <row r="791" spans="1:52" x14ac:dyDescent="0.2">
      <c r="A791">
        <v>1</v>
      </c>
      <c r="B791">
        <v>0</v>
      </c>
      <c r="C791">
        <v>0</v>
      </c>
      <c r="D791">
        <v>0</v>
      </c>
      <c r="E791">
        <v>1</v>
      </c>
      <c r="F791">
        <v>0</v>
      </c>
      <c r="G791">
        <v>0</v>
      </c>
      <c r="H791">
        <v>0</v>
      </c>
      <c r="I791">
        <v>0</v>
      </c>
      <c r="L791">
        <v>0</v>
      </c>
      <c r="M791">
        <v>1</v>
      </c>
      <c r="N791">
        <v>0</v>
      </c>
      <c r="O791">
        <v>0</v>
      </c>
      <c r="P791">
        <v>0</v>
      </c>
      <c r="Q791" t="s">
        <v>584</v>
      </c>
      <c r="AA791" t="s">
        <v>83</v>
      </c>
      <c r="AB791" t="s">
        <v>83</v>
      </c>
      <c r="AC791" t="s">
        <v>83</v>
      </c>
      <c r="AD791" t="s">
        <v>83</v>
      </c>
      <c r="AE791" t="s">
        <v>83</v>
      </c>
      <c r="AF791" t="s">
        <v>83</v>
      </c>
      <c r="AG791" t="s">
        <v>83</v>
      </c>
      <c r="AH791" t="s">
        <v>83</v>
      </c>
      <c r="AI791" t="s">
        <v>135</v>
      </c>
      <c r="AJ791" t="s">
        <v>80</v>
      </c>
      <c r="AK791" t="s">
        <v>117</v>
      </c>
      <c r="AL791" t="s">
        <v>96</v>
      </c>
      <c r="AM791" t="s">
        <v>87</v>
      </c>
      <c r="AN791" t="s">
        <v>86</v>
      </c>
      <c r="AO791" t="s">
        <v>86</v>
      </c>
      <c r="AP791" t="s">
        <v>86</v>
      </c>
      <c r="AQ791" t="s">
        <v>86</v>
      </c>
      <c r="AR791" t="s">
        <v>97</v>
      </c>
      <c r="AS791" t="s">
        <v>369</v>
      </c>
      <c r="AT791" t="s">
        <v>96</v>
      </c>
      <c r="AU791">
        <v>0</v>
      </c>
      <c r="AV791">
        <v>0</v>
      </c>
      <c r="AW791">
        <v>0</v>
      </c>
      <c r="AX791">
        <v>1</v>
      </c>
      <c r="AY791">
        <v>0</v>
      </c>
      <c r="AZ791" t="s">
        <v>581</v>
      </c>
    </row>
    <row r="792" spans="1:52" x14ac:dyDescent="0.2">
      <c r="A792">
        <v>0</v>
      </c>
      <c r="B792">
        <v>1</v>
      </c>
      <c r="C792">
        <v>0</v>
      </c>
      <c r="D792">
        <v>0</v>
      </c>
      <c r="E792">
        <v>0</v>
      </c>
      <c r="F792">
        <v>1</v>
      </c>
      <c r="G792">
        <v>0</v>
      </c>
      <c r="H792">
        <v>0</v>
      </c>
      <c r="I792">
        <v>0</v>
      </c>
      <c r="J792" t="s">
        <v>88</v>
      </c>
      <c r="K792" t="s">
        <v>89</v>
      </c>
      <c r="L792">
        <v>0</v>
      </c>
      <c r="M792">
        <v>1</v>
      </c>
      <c r="N792">
        <v>0</v>
      </c>
      <c r="O792">
        <v>0</v>
      </c>
      <c r="P792">
        <v>0</v>
      </c>
      <c r="Q792" t="s">
        <v>584</v>
      </c>
      <c r="AA792" t="s">
        <v>82</v>
      </c>
      <c r="AB792" t="s">
        <v>82</v>
      </c>
      <c r="AC792" t="s">
        <v>81</v>
      </c>
      <c r="AD792" t="s">
        <v>90</v>
      </c>
      <c r="AE792" t="s">
        <v>82</v>
      </c>
      <c r="AF792" t="s">
        <v>83</v>
      </c>
      <c r="AG792" t="s">
        <v>83</v>
      </c>
      <c r="AH792" t="s">
        <v>83</v>
      </c>
      <c r="AI792" t="s">
        <v>84</v>
      </c>
      <c r="AJ792" t="s">
        <v>80</v>
      </c>
      <c r="AK792" t="s">
        <v>117</v>
      </c>
      <c r="AL792" t="s">
        <v>73</v>
      </c>
      <c r="AM792" t="s">
        <v>86</v>
      </c>
      <c r="AN792" t="s">
        <v>74</v>
      </c>
      <c r="AO792" t="s">
        <v>87</v>
      </c>
      <c r="AP792" t="s">
        <v>74</v>
      </c>
      <c r="AQ792" t="s">
        <v>74</v>
      </c>
      <c r="AR792" t="s">
        <v>97</v>
      </c>
      <c r="AS792" t="s">
        <v>92</v>
      </c>
      <c r="AT792" t="s">
        <v>73</v>
      </c>
      <c r="AU792">
        <v>0</v>
      </c>
      <c r="AV792">
        <v>0</v>
      </c>
      <c r="AW792">
        <v>1</v>
      </c>
      <c r="AX792">
        <v>0</v>
      </c>
      <c r="AY792">
        <v>0</v>
      </c>
      <c r="AZ792" t="s">
        <v>580</v>
      </c>
    </row>
    <row r="793" spans="1:52" x14ac:dyDescent="0.2">
      <c r="A793">
        <v>1</v>
      </c>
      <c r="B793">
        <v>1</v>
      </c>
      <c r="C793">
        <v>0</v>
      </c>
      <c r="D793">
        <v>0</v>
      </c>
      <c r="E793">
        <v>0</v>
      </c>
      <c r="F793">
        <v>1</v>
      </c>
      <c r="G793">
        <v>1</v>
      </c>
      <c r="H793">
        <v>1</v>
      </c>
      <c r="I793">
        <v>0</v>
      </c>
      <c r="J793" t="s">
        <v>79</v>
      </c>
      <c r="K793" t="s">
        <v>89</v>
      </c>
      <c r="L793">
        <v>0</v>
      </c>
      <c r="M793">
        <v>1</v>
      </c>
      <c r="N793">
        <v>1</v>
      </c>
      <c r="O793">
        <v>0</v>
      </c>
      <c r="P793">
        <v>0</v>
      </c>
      <c r="Q793" t="s">
        <v>584</v>
      </c>
      <c r="AA793" t="s">
        <v>83</v>
      </c>
      <c r="AB793" t="s">
        <v>82</v>
      </c>
      <c r="AC793" t="s">
        <v>82</v>
      </c>
      <c r="AD793" t="s">
        <v>82</v>
      </c>
      <c r="AE793" t="s">
        <v>82</v>
      </c>
      <c r="AF793" t="s">
        <v>83</v>
      </c>
      <c r="AG793" t="s">
        <v>83</v>
      </c>
      <c r="AH793" t="s">
        <v>83</v>
      </c>
      <c r="AI793" t="s">
        <v>88</v>
      </c>
      <c r="AJ793" t="s">
        <v>89</v>
      </c>
      <c r="AK793" t="s">
        <v>100</v>
      </c>
      <c r="AL793" t="s">
        <v>73</v>
      </c>
      <c r="AM793" t="s">
        <v>87</v>
      </c>
      <c r="AN793" t="s">
        <v>87</v>
      </c>
      <c r="AO793" t="s">
        <v>87</v>
      </c>
      <c r="AP793" t="s">
        <v>87</v>
      </c>
      <c r="AQ793" t="s">
        <v>86</v>
      </c>
      <c r="AR793" t="s">
        <v>97</v>
      </c>
      <c r="AS793" t="s">
        <v>92</v>
      </c>
      <c r="AT793" t="s">
        <v>73</v>
      </c>
      <c r="AU793">
        <v>0</v>
      </c>
      <c r="AV793">
        <v>0</v>
      </c>
      <c r="AW793">
        <v>1</v>
      </c>
      <c r="AX793">
        <v>0</v>
      </c>
      <c r="AY793">
        <v>0</v>
      </c>
      <c r="AZ793" t="s">
        <v>580</v>
      </c>
    </row>
    <row r="794" spans="1:52" x14ac:dyDescent="0.2">
      <c r="A794">
        <v>1</v>
      </c>
      <c r="B794">
        <v>0</v>
      </c>
      <c r="C794">
        <v>0</v>
      </c>
      <c r="D794">
        <v>0</v>
      </c>
      <c r="E794">
        <v>0</v>
      </c>
      <c r="F794">
        <v>1</v>
      </c>
      <c r="G794">
        <v>0</v>
      </c>
      <c r="H794">
        <v>0</v>
      </c>
      <c r="I794">
        <v>0</v>
      </c>
      <c r="J794" t="s">
        <v>79</v>
      </c>
      <c r="K794" t="s">
        <v>80</v>
      </c>
      <c r="L794">
        <v>1</v>
      </c>
      <c r="M794">
        <v>0</v>
      </c>
      <c r="N794">
        <v>0</v>
      </c>
      <c r="O794">
        <v>0</v>
      </c>
      <c r="P794">
        <v>0</v>
      </c>
      <c r="Q794" t="s">
        <v>584</v>
      </c>
      <c r="R794">
        <v>0</v>
      </c>
      <c r="S794">
        <v>0</v>
      </c>
      <c r="T794">
        <v>1</v>
      </c>
      <c r="U794">
        <v>0</v>
      </c>
      <c r="V794">
        <v>0</v>
      </c>
      <c r="W794">
        <v>0</v>
      </c>
      <c r="X794">
        <v>0</v>
      </c>
      <c r="Y794">
        <v>0</v>
      </c>
      <c r="Z794">
        <v>0</v>
      </c>
      <c r="AL794" t="s">
        <v>96</v>
      </c>
      <c r="AM794" t="s">
        <v>87</v>
      </c>
      <c r="AN794" t="s">
        <v>86</v>
      </c>
      <c r="AO794" t="s">
        <v>86</v>
      </c>
      <c r="AP794" t="s">
        <v>87</v>
      </c>
      <c r="AQ794" t="s">
        <v>86</v>
      </c>
      <c r="AR794" t="s">
        <v>159</v>
      </c>
      <c r="AS794" t="s">
        <v>76</v>
      </c>
      <c r="AT794" t="s">
        <v>96</v>
      </c>
      <c r="AU794">
        <v>0</v>
      </c>
      <c r="AV794">
        <v>0</v>
      </c>
      <c r="AW794">
        <v>1</v>
      </c>
      <c r="AX794">
        <v>0</v>
      </c>
      <c r="AY794">
        <v>0</v>
      </c>
      <c r="AZ794" t="s">
        <v>580</v>
      </c>
    </row>
    <row r="795" spans="1:52" x14ac:dyDescent="0.2">
      <c r="A795">
        <v>1</v>
      </c>
      <c r="B795">
        <v>0</v>
      </c>
      <c r="C795">
        <v>0</v>
      </c>
      <c r="D795">
        <v>0</v>
      </c>
      <c r="E795">
        <v>0</v>
      </c>
      <c r="F795">
        <v>0</v>
      </c>
      <c r="G795">
        <v>0</v>
      </c>
      <c r="H795">
        <v>0</v>
      </c>
      <c r="I795">
        <v>1</v>
      </c>
      <c r="J795" t="s">
        <v>88</v>
      </c>
      <c r="K795" t="s">
        <v>89</v>
      </c>
      <c r="L795">
        <v>1</v>
      </c>
      <c r="M795">
        <v>0</v>
      </c>
      <c r="N795">
        <v>0</v>
      </c>
      <c r="O795">
        <v>0</v>
      </c>
      <c r="P795">
        <v>0</v>
      </c>
      <c r="Q795" t="s">
        <v>584</v>
      </c>
      <c r="R795">
        <v>0</v>
      </c>
      <c r="S795">
        <v>0</v>
      </c>
      <c r="T795">
        <v>0</v>
      </c>
      <c r="U795">
        <v>0</v>
      </c>
      <c r="V795">
        <v>0</v>
      </c>
      <c r="W795">
        <v>0</v>
      </c>
      <c r="X795">
        <v>0</v>
      </c>
      <c r="Y795">
        <v>0</v>
      </c>
      <c r="Z795">
        <v>1</v>
      </c>
      <c r="AL795" t="s">
        <v>96</v>
      </c>
      <c r="AM795" t="s">
        <v>86</v>
      </c>
      <c r="AN795" t="s">
        <v>74</v>
      </c>
      <c r="AO795" t="s">
        <v>87</v>
      </c>
      <c r="AP795" t="s">
        <v>74</v>
      </c>
      <c r="AQ795" t="s">
        <v>86</v>
      </c>
      <c r="AR795" t="s">
        <v>97</v>
      </c>
      <c r="AS795" t="s">
        <v>92</v>
      </c>
      <c r="AT795" t="s">
        <v>96</v>
      </c>
      <c r="AU795">
        <v>0</v>
      </c>
      <c r="AV795">
        <v>0</v>
      </c>
      <c r="AW795">
        <v>1</v>
      </c>
      <c r="AX795">
        <v>1</v>
      </c>
      <c r="AY795">
        <v>0</v>
      </c>
      <c r="AZ795" t="s">
        <v>580</v>
      </c>
    </row>
    <row r="796" spans="1:52" x14ac:dyDescent="0.2">
      <c r="A796">
        <v>0</v>
      </c>
      <c r="B796">
        <v>1</v>
      </c>
      <c r="C796">
        <v>0</v>
      </c>
      <c r="D796">
        <v>0</v>
      </c>
      <c r="E796">
        <v>0</v>
      </c>
      <c r="F796">
        <v>1</v>
      </c>
      <c r="G796">
        <v>0</v>
      </c>
      <c r="H796">
        <v>0</v>
      </c>
      <c r="I796">
        <v>0</v>
      </c>
      <c r="J796" t="s">
        <v>135</v>
      </c>
      <c r="K796" t="s">
        <v>80</v>
      </c>
      <c r="L796">
        <v>0</v>
      </c>
      <c r="M796">
        <v>0</v>
      </c>
      <c r="N796">
        <v>0</v>
      </c>
      <c r="O796">
        <v>0</v>
      </c>
      <c r="P796">
        <v>0</v>
      </c>
      <c r="Q796" t="s">
        <v>585</v>
      </c>
      <c r="AA796" t="s">
        <v>82</v>
      </c>
      <c r="AB796" t="s">
        <v>81</v>
      </c>
      <c r="AC796" t="s">
        <v>81</v>
      </c>
      <c r="AD796" t="s">
        <v>82</v>
      </c>
      <c r="AE796" t="s">
        <v>82</v>
      </c>
      <c r="AF796" t="s">
        <v>82</v>
      </c>
      <c r="AG796" t="s">
        <v>82</v>
      </c>
      <c r="AH796" t="s">
        <v>83</v>
      </c>
      <c r="AI796" t="s">
        <v>84</v>
      </c>
      <c r="AJ796" t="s">
        <v>80</v>
      </c>
      <c r="AK796" t="s">
        <v>85</v>
      </c>
      <c r="AL796" t="s">
        <v>107</v>
      </c>
      <c r="AM796" t="s">
        <v>86</v>
      </c>
      <c r="AN796" t="s">
        <v>87</v>
      </c>
      <c r="AO796" t="s">
        <v>87</v>
      </c>
      <c r="AP796" t="s">
        <v>87</v>
      </c>
      <c r="AQ796" t="s">
        <v>86</v>
      </c>
      <c r="AR796" t="s">
        <v>75</v>
      </c>
      <c r="AS796" t="s">
        <v>76</v>
      </c>
      <c r="AT796" t="s">
        <v>107</v>
      </c>
      <c r="AU796">
        <v>0</v>
      </c>
      <c r="AV796">
        <v>0</v>
      </c>
      <c r="AW796">
        <v>1</v>
      </c>
      <c r="AX796">
        <v>0</v>
      </c>
      <c r="AY796">
        <v>0</v>
      </c>
      <c r="AZ796" t="s">
        <v>578</v>
      </c>
    </row>
    <row r="797" spans="1:52" x14ac:dyDescent="0.2">
      <c r="A797">
        <v>1</v>
      </c>
      <c r="B797">
        <v>0</v>
      </c>
      <c r="C797">
        <v>0</v>
      </c>
      <c r="D797">
        <v>0</v>
      </c>
      <c r="E797">
        <v>1</v>
      </c>
      <c r="F797">
        <v>0</v>
      </c>
      <c r="G797">
        <v>0</v>
      </c>
      <c r="H797">
        <v>0</v>
      </c>
      <c r="I797">
        <v>0</v>
      </c>
      <c r="L797">
        <v>0</v>
      </c>
      <c r="M797">
        <v>1</v>
      </c>
      <c r="N797">
        <v>0</v>
      </c>
      <c r="O797">
        <v>0</v>
      </c>
      <c r="P797">
        <v>0</v>
      </c>
      <c r="Q797" t="s">
        <v>584</v>
      </c>
      <c r="AA797" t="s">
        <v>90</v>
      </c>
      <c r="AB797" t="s">
        <v>82</v>
      </c>
      <c r="AC797" t="s">
        <v>83</v>
      </c>
      <c r="AD797" t="s">
        <v>83</v>
      </c>
      <c r="AE797" t="s">
        <v>83</v>
      </c>
      <c r="AF797" t="s">
        <v>90</v>
      </c>
      <c r="AG797" t="s">
        <v>90</v>
      </c>
      <c r="AH797" t="s">
        <v>90</v>
      </c>
      <c r="AI797" t="s">
        <v>135</v>
      </c>
      <c r="AJ797" t="s">
        <v>142</v>
      </c>
      <c r="AK797" t="s">
        <v>85</v>
      </c>
      <c r="AL797" t="s">
        <v>107</v>
      </c>
      <c r="AM797" t="s">
        <v>87</v>
      </c>
      <c r="AN797" t="s">
        <v>74</v>
      </c>
      <c r="AO797" t="s">
        <v>87</v>
      </c>
      <c r="AP797" t="s">
        <v>87</v>
      </c>
      <c r="AQ797" t="s">
        <v>86</v>
      </c>
      <c r="AR797" t="s">
        <v>75</v>
      </c>
      <c r="AS797" t="s">
        <v>76</v>
      </c>
      <c r="AT797" t="s">
        <v>107</v>
      </c>
      <c r="AU797">
        <v>0</v>
      </c>
      <c r="AV797">
        <v>0</v>
      </c>
      <c r="AW797">
        <v>1</v>
      </c>
      <c r="AX797">
        <v>0</v>
      </c>
      <c r="AY797">
        <v>0</v>
      </c>
      <c r="AZ797" t="s">
        <v>580</v>
      </c>
    </row>
    <row r="798" spans="1:52" x14ac:dyDescent="0.2">
      <c r="A798">
        <v>0</v>
      </c>
      <c r="B798">
        <v>1</v>
      </c>
      <c r="C798">
        <v>0</v>
      </c>
      <c r="D798">
        <v>0</v>
      </c>
      <c r="E798">
        <v>0</v>
      </c>
      <c r="F798">
        <v>1</v>
      </c>
      <c r="G798">
        <v>0</v>
      </c>
      <c r="H798">
        <v>0</v>
      </c>
      <c r="I798">
        <v>0</v>
      </c>
      <c r="J798" t="s">
        <v>88</v>
      </c>
      <c r="K798" t="s">
        <v>89</v>
      </c>
      <c r="L798">
        <v>1</v>
      </c>
      <c r="M798">
        <v>0</v>
      </c>
      <c r="N798">
        <v>0</v>
      </c>
      <c r="O798">
        <v>0</v>
      </c>
      <c r="P798">
        <v>0</v>
      </c>
      <c r="Q798" t="s">
        <v>584</v>
      </c>
      <c r="R798">
        <v>0</v>
      </c>
      <c r="S798">
        <v>0</v>
      </c>
      <c r="T798">
        <v>1</v>
      </c>
      <c r="U798">
        <v>0</v>
      </c>
      <c r="V798">
        <v>0</v>
      </c>
      <c r="W798">
        <v>0</v>
      </c>
      <c r="X798">
        <v>0</v>
      </c>
      <c r="Y798">
        <v>0</v>
      </c>
      <c r="Z798">
        <v>0</v>
      </c>
      <c r="AL798" t="s">
        <v>73</v>
      </c>
      <c r="AM798" t="s">
        <v>87</v>
      </c>
      <c r="AN798" t="s">
        <v>87</v>
      </c>
      <c r="AO798" t="s">
        <v>87</v>
      </c>
      <c r="AP798" t="s">
        <v>74</v>
      </c>
      <c r="AQ798" t="s">
        <v>74</v>
      </c>
      <c r="AR798" t="s">
        <v>97</v>
      </c>
      <c r="AS798" t="s">
        <v>92</v>
      </c>
      <c r="AT798" t="s">
        <v>73</v>
      </c>
      <c r="AU798">
        <v>0</v>
      </c>
      <c r="AV798">
        <v>0</v>
      </c>
      <c r="AW798">
        <v>1</v>
      </c>
      <c r="AX798">
        <v>0</v>
      </c>
      <c r="AY798">
        <v>0</v>
      </c>
      <c r="AZ798" t="s">
        <v>580</v>
      </c>
    </row>
    <row r="799" spans="1:52" x14ac:dyDescent="0.2">
      <c r="A799">
        <v>1</v>
      </c>
      <c r="B799">
        <v>0</v>
      </c>
      <c r="C799">
        <v>0</v>
      </c>
      <c r="D799">
        <v>0</v>
      </c>
      <c r="E799">
        <v>0</v>
      </c>
      <c r="F799">
        <v>1</v>
      </c>
      <c r="G799">
        <v>0</v>
      </c>
      <c r="H799">
        <v>0</v>
      </c>
      <c r="I799">
        <v>0</v>
      </c>
      <c r="J799" t="s">
        <v>88</v>
      </c>
      <c r="K799" t="s">
        <v>89</v>
      </c>
      <c r="L799">
        <v>0</v>
      </c>
      <c r="M799">
        <v>0</v>
      </c>
      <c r="N799">
        <v>1</v>
      </c>
      <c r="O799">
        <v>0</v>
      </c>
      <c r="P799">
        <v>0</v>
      </c>
      <c r="Q799" t="s">
        <v>584</v>
      </c>
      <c r="AA799" t="s">
        <v>83</v>
      </c>
      <c r="AB799" t="s">
        <v>81</v>
      </c>
      <c r="AC799" t="s">
        <v>81</v>
      </c>
      <c r="AD799" t="s">
        <v>81</v>
      </c>
      <c r="AE799" t="s">
        <v>82</v>
      </c>
      <c r="AF799" t="s">
        <v>81</v>
      </c>
      <c r="AG799" t="s">
        <v>83</v>
      </c>
      <c r="AH799" t="s">
        <v>83</v>
      </c>
      <c r="AI799" t="s">
        <v>88</v>
      </c>
      <c r="AJ799" t="s">
        <v>89</v>
      </c>
      <c r="AK799" t="s">
        <v>85</v>
      </c>
      <c r="AL799" t="s">
        <v>73</v>
      </c>
      <c r="AM799" t="s">
        <v>87</v>
      </c>
      <c r="AN799" t="s">
        <v>87</v>
      </c>
      <c r="AO799" t="s">
        <v>87</v>
      </c>
      <c r="AP799" t="s">
        <v>87</v>
      </c>
      <c r="AQ799" t="s">
        <v>87</v>
      </c>
      <c r="AR799" t="s">
        <v>75</v>
      </c>
      <c r="AS799" t="s">
        <v>92</v>
      </c>
      <c r="AT799" t="s">
        <v>73</v>
      </c>
      <c r="AU799">
        <v>0</v>
      </c>
      <c r="AV799">
        <v>0</v>
      </c>
      <c r="AW799">
        <v>1</v>
      </c>
      <c r="AX799">
        <v>0</v>
      </c>
      <c r="AY799">
        <v>0</v>
      </c>
      <c r="AZ799" t="s">
        <v>579</v>
      </c>
    </row>
    <row r="800" spans="1:52" x14ac:dyDescent="0.2">
      <c r="A800">
        <v>0</v>
      </c>
      <c r="B800">
        <v>1</v>
      </c>
      <c r="C800">
        <v>0</v>
      </c>
      <c r="D800">
        <v>0</v>
      </c>
      <c r="E800">
        <v>0</v>
      </c>
      <c r="F800">
        <v>1</v>
      </c>
      <c r="G800">
        <v>0</v>
      </c>
      <c r="H800">
        <v>1</v>
      </c>
      <c r="I800">
        <v>0</v>
      </c>
      <c r="J800" t="s">
        <v>135</v>
      </c>
      <c r="K800" t="s">
        <v>80</v>
      </c>
      <c r="L800">
        <v>0</v>
      </c>
      <c r="M800">
        <v>1</v>
      </c>
      <c r="N800">
        <v>0</v>
      </c>
      <c r="O800">
        <v>0</v>
      </c>
      <c r="P800">
        <v>0</v>
      </c>
      <c r="Q800" t="s">
        <v>584</v>
      </c>
      <c r="AA800" t="s">
        <v>83</v>
      </c>
      <c r="AB800" t="s">
        <v>82</v>
      </c>
      <c r="AC800" t="s">
        <v>81</v>
      </c>
      <c r="AD800" t="s">
        <v>83</v>
      </c>
      <c r="AE800" t="s">
        <v>81</v>
      </c>
      <c r="AF800" t="s">
        <v>83</v>
      </c>
      <c r="AG800" t="s">
        <v>90</v>
      </c>
      <c r="AH800" t="s">
        <v>81</v>
      </c>
      <c r="AI800" t="s">
        <v>88</v>
      </c>
      <c r="AJ800" t="s">
        <v>89</v>
      </c>
      <c r="AK800" t="s">
        <v>100</v>
      </c>
      <c r="AL800" t="s">
        <v>73</v>
      </c>
      <c r="AM800" t="s">
        <v>87</v>
      </c>
      <c r="AN800" t="s">
        <v>87</v>
      </c>
      <c r="AO800" t="s">
        <v>87</v>
      </c>
      <c r="AP800" t="s">
        <v>87</v>
      </c>
      <c r="AQ800" t="s">
        <v>87</v>
      </c>
      <c r="AR800" t="s">
        <v>75</v>
      </c>
      <c r="AS800" t="s">
        <v>76</v>
      </c>
      <c r="AT800" t="s">
        <v>73</v>
      </c>
      <c r="AU800">
        <v>1</v>
      </c>
      <c r="AV800">
        <v>0</v>
      </c>
      <c r="AW800">
        <v>0</v>
      </c>
      <c r="AX800">
        <v>0</v>
      </c>
      <c r="AY800">
        <v>0</v>
      </c>
      <c r="AZ800" t="s">
        <v>579</v>
      </c>
    </row>
    <row r="801" spans="1:52" x14ac:dyDescent="0.2">
      <c r="A801">
        <v>1</v>
      </c>
      <c r="B801">
        <v>0</v>
      </c>
      <c r="C801">
        <v>0</v>
      </c>
      <c r="D801">
        <v>0</v>
      </c>
      <c r="E801">
        <v>1</v>
      </c>
      <c r="F801">
        <v>0</v>
      </c>
      <c r="G801">
        <v>0</v>
      </c>
      <c r="H801">
        <v>0</v>
      </c>
      <c r="I801">
        <v>0</v>
      </c>
      <c r="L801">
        <v>1</v>
      </c>
      <c r="M801">
        <v>0</v>
      </c>
      <c r="N801">
        <v>0</v>
      </c>
      <c r="O801">
        <v>0</v>
      </c>
      <c r="P801">
        <v>0</v>
      </c>
      <c r="Q801" t="s">
        <v>584</v>
      </c>
      <c r="R801">
        <v>0</v>
      </c>
      <c r="S801">
        <v>1</v>
      </c>
      <c r="T801">
        <v>0</v>
      </c>
      <c r="U801">
        <v>0</v>
      </c>
      <c r="V801">
        <v>0</v>
      </c>
      <c r="W801">
        <v>0</v>
      </c>
      <c r="X801">
        <v>0</v>
      </c>
      <c r="Y801">
        <v>0</v>
      </c>
      <c r="Z801">
        <v>0</v>
      </c>
      <c r="AL801" t="s">
        <v>107</v>
      </c>
      <c r="AM801" t="s">
        <v>74</v>
      </c>
      <c r="AR801" t="s">
        <v>75</v>
      </c>
      <c r="AS801" t="s">
        <v>76</v>
      </c>
      <c r="AT801" t="s">
        <v>107</v>
      </c>
      <c r="AU801">
        <v>0</v>
      </c>
      <c r="AV801">
        <v>0</v>
      </c>
      <c r="AW801">
        <v>1</v>
      </c>
      <c r="AX801">
        <v>0</v>
      </c>
      <c r="AY801">
        <v>0</v>
      </c>
      <c r="AZ801" t="s">
        <v>579</v>
      </c>
    </row>
    <row r="802" spans="1:52" x14ac:dyDescent="0.2">
      <c r="A802">
        <v>1</v>
      </c>
      <c r="B802">
        <v>0</v>
      </c>
      <c r="C802">
        <v>0</v>
      </c>
      <c r="D802">
        <v>0</v>
      </c>
      <c r="E802">
        <v>1</v>
      </c>
      <c r="F802">
        <v>0</v>
      </c>
      <c r="G802">
        <v>0</v>
      </c>
      <c r="H802">
        <v>0</v>
      </c>
      <c r="I802">
        <v>0</v>
      </c>
      <c r="L802">
        <v>1</v>
      </c>
      <c r="M802">
        <v>0</v>
      </c>
      <c r="N802">
        <v>0</v>
      </c>
      <c r="O802">
        <v>0</v>
      </c>
      <c r="P802">
        <v>0</v>
      </c>
      <c r="Q802" t="s">
        <v>584</v>
      </c>
      <c r="R802">
        <v>0</v>
      </c>
      <c r="S802">
        <v>1</v>
      </c>
      <c r="T802">
        <v>0</v>
      </c>
      <c r="U802">
        <v>0</v>
      </c>
      <c r="V802">
        <v>0</v>
      </c>
      <c r="W802">
        <v>0</v>
      </c>
      <c r="X802">
        <v>0</v>
      </c>
      <c r="Y802">
        <v>0</v>
      </c>
      <c r="Z802">
        <v>0</v>
      </c>
      <c r="AL802" t="s">
        <v>73</v>
      </c>
      <c r="AM802" t="s">
        <v>87</v>
      </c>
      <c r="AN802" t="s">
        <v>86</v>
      </c>
      <c r="AO802" t="s">
        <v>87</v>
      </c>
      <c r="AP802" t="s">
        <v>86</v>
      </c>
      <c r="AQ802" t="s">
        <v>86</v>
      </c>
      <c r="AR802" t="s">
        <v>75</v>
      </c>
      <c r="AS802" t="s">
        <v>92</v>
      </c>
      <c r="AT802" t="s">
        <v>73</v>
      </c>
      <c r="AU802">
        <v>0</v>
      </c>
      <c r="AV802">
        <v>0</v>
      </c>
      <c r="AW802">
        <v>0</v>
      </c>
      <c r="AX802">
        <v>1</v>
      </c>
      <c r="AY802">
        <v>0</v>
      </c>
      <c r="AZ802" t="s">
        <v>580</v>
      </c>
    </row>
    <row r="803" spans="1:52" x14ac:dyDescent="0.2">
      <c r="A803">
        <v>1</v>
      </c>
      <c r="B803">
        <v>0</v>
      </c>
      <c r="C803">
        <v>0</v>
      </c>
      <c r="D803">
        <v>0</v>
      </c>
      <c r="E803">
        <v>0</v>
      </c>
      <c r="F803">
        <v>1</v>
      </c>
      <c r="G803">
        <v>1</v>
      </c>
      <c r="H803">
        <v>1</v>
      </c>
      <c r="I803">
        <v>0</v>
      </c>
      <c r="J803" t="s">
        <v>88</v>
      </c>
      <c r="K803" t="s">
        <v>89</v>
      </c>
      <c r="L803">
        <v>0</v>
      </c>
      <c r="M803">
        <v>0</v>
      </c>
      <c r="N803">
        <v>1</v>
      </c>
      <c r="O803">
        <v>0</v>
      </c>
      <c r="P803">
        <v>0</v>
      </c>
      <c r="Q803" t="s">
        <v>585</v>
      </c>
      <c r="AA803" t="s">
        <v>81</v>
      </c>
      <c r="AB803" t="s">
        <v>81</v>
      </c>
      <c r="AC803" t="s">
        <v>82</v>
      </c>
      <c r="AD803" t="s">
        <v>82</v>
      </c>
      <c r="AE803" t="s">
        <v>81</v>
      </c>
      <c r="AF803" t="s">
        <v>83</v>
      </c>
      <c r="AG803" t="s">
        <v>81</v>
      </c>
      <c r="AH803" t="s">
        <v>83</v>
      </c>
      <c r="AI803" t="s">
        <v>88</v>
      </c>
      <c r="AJ803" t="s">
        <v>89</v>
      </c>
      <c r="AK803" t="s">
        <v>100</v>
      </c>
      <c r="AL803" t="s">
        <v>73</v>
      </c>
      <c r="AM803" t="s">
        <v>86</v>
      </c>
      <c r="AN803" t="s">
        <v>86</v>
      </c>
      <c r="AO803" t="s">
        <v>86</v>
      </c>
      <c r="AP803" t="s">
        <v>86</v>
      </c>
      <c r="AQ803" t="s">
        <v>86</v>
      </c>
      <c r="AR803" t="s">
        <v>97</v>
      </c>
      <c r="AS803" t="s">
        <v>92</v>
      </c>
      <c r="AT803" t="s">
        <v>73</v>
      </c>
      <c r="AU803">
        <v>0</v>
      </c>
      <c r="AV803">
        <v>0</v>
      </c>
      <c r="AW803">
        <v>0</v>
      </c>
      <c r="AX803">
        <v>1</v>
      </c>
      <c r="AY803">
        <v>0</v>
      </c>
      <c r="AZ803" t="s">
        <v>580</v>
      </c>
    </row>
    <row r="804" spans="1:52" x14ac:dyDescent="0.2">
      <c r="A804">
        <v>1</v>
      </c>
      <c r="B804">
        <v>0</v>
      </c>
      <c r="C804">
        <v>0</v>
      </c>
      <c r="D804">
        <v>0</v>
      </c>
      <c r="E804">
        <v>0</v>
      </c>
      <c r="F804">
        <v>0</v>
      </c>
      <c r="G804">
        <v>1</v>
      </c>
      <c r="H804">
        <v>0</v>
      </c>
      <c r="I804">
        <v>1</v>
      </c>
      <c r="J804" t="s">
        <v>88</v>
      </c>
      <c r="K804" t="s">
        <v>89</v>
      </c>
      <c r="L804">
        <v>1</v>
      </c>
      <c r="M804">
        <v>0</v>
      </c>
      <c r="N804">
        <v>0</v>
      </c>
      <c r="O804">
        <v>0</v>
      </c>
      <c r="P804">
        <v>0</v>
      </c>
      <c r="Q804" t="s">
        <v>584</v>
      </c>
      <c r="R804">
        <v>0</v>
      </c>
      <c r="S804">
        <v>0</v>
      </c>
      <c r="T804">
        <v>1</v>
      </c>
      <c r="U804">
        <v>0</v>
      </c>
      <c r="V804">
        <v>0</v>
      </c>
      <c r="W804">
        <v>0</v>
      </c>
      <c r="X804">
        <v>0</v>
      </c>
      <c r="Y804">
        <v>0</v>
      </c>
      <c r="Z804">
        <v>0</v>
      </c>
      <c r="AL804" t="s">
        <v>107</v>
      </c>
      <c r="AM804" t="s">
        <v>86</v>
      </c>
      <c r="AN804" t="s">
        <v>86</v>
      </c>
      <c r="AO804" t="s">
        <v>74</v>
      </c>
      <c r="AP804" t="s">
        <v>74</v>
      </c>
      <c r="AQ804" t="s">
        <v>86</v>
      </c>
      <c r="AR804" t="s">
        <v>159</v>
      </c>
      <c r="AS804" t="s">
        <v>76</v>
      </c>
      <c r="AT804" t="s">
        <v>107</v>
      </c>
      <c r="AU804">
        <v>0</v>
      </c>
      <c r="AV804">
        <v>0</v>
      </c>
      <c r="AW804">
        <v>1</v>
      </c>
      <c r="AX804">
        <v>1</v>
      </c>
      <c r="AY804">
        <v>0</v>
      </c>
      <c r="AZ804" t="s">
        <v>578</v>
      </c>
    </row>
    <row r="805" spans="1:52" x14ac:dyDescent="0.2">
      <c r="A805">
        <v>1</v>
      </c>
      <c r="B805">
        <v>0</v>
      </c>
      <c r="C805">
        <v>0</v>
      </c>
      <c r="D805">
        <v>0</v>
      </c>
      <c r="E805">
        <v>0</v>
      </c>
      <c r="F805">
        <v>0</v>
      </c>
      <c r="G805">
        <v>0</v>
      </c>
      <c r="H805">
        <v>0</v>
      </c>
      <c r="I805">
        <v>1</v>
      </c>
      <c r="J805" t="s">
        <v>88</v>
      </c>
      <c r="K805" t="s">
        <v>89</v>
      </c>
      <c r="L805">
        <v>1</v>
      </c>
      <c r="M805">
        <v>0</v>
      </c>
      <c r="N805">
        <v>0</v>
      </c>
      <c r="O805">
        <v>0</v>
      </c>
      <c r="P805">
        <v>0</v>
      </c>
      <c r="Q805" t="s">
        <v>584</v>
      </c>
      <c r="R805">
        <v>0</v>
      </c>
      <c r="S805">
        <v>0</v>
      </c>
      <c r="T805">
        <v>0</v>
      </c>
      <c r="U805">
        <v>0</v>
      </c>
      <c r="V805">
        <v>0</v>
      </c>
      <c r="W805">
        <v>0</v>
      </c>
      <c r="X805">
        <v>0</v>
      </c>
      <c r="Y805">
        <v>0</v>
      </c>
      <c r="Z805">
        <v>1</v>
      </c>
      <c r="AL805" t="s">
        <v>73</v>
      </c>
      <c r="AM805" t="s">
        <v>86</v>
      </c>
      <c r="AN805" t="s">
        <v>74</v>
      </c>
      <c r="AO805" t="s">
        <v>86</v>
      </c>
      <c r="AP805" t="s">
        <v>86</v>
      </c>
      <c r="AQ805" t="s">
        <v>74</v>
      </c>
      <c r="AR805" t="s">
        <v>97</v>
      </c>
      <c r="AS805" t="s">
        <v>76</v>
      </c>
      <c r="AT805" t="s">
        <v>73</v>
      </c>
      <c r="AU805">
        <v>0</v>
      </c>
      <c r="AV805">
        <v>0</v>
      </c>
      <c r="AW805">
        <v>0</v>
      </c>
      <c r="AX805">
        <v>1</v>
      </c>
      <c r="AY805">
        <v>0</v>
      </c>
      <c r="AZ805" t="s">
        <v>581</v>
      </c>
    </row>
    <row r="806" spans="1:52" x14ac:dyDescent="0.2">
      <c r="A806">
        <v>1</v>
      </c>
      <c r="B806">
        <v>0</v>
      </c>
      <c r="C806">
        <v>0</v>
      </c>
      <c r="D806">
        <v>0</v>
      </c>
      <c r="E806">
        <v>1</v>
      </c>
      <c r="F806">
        <v>0</v>
      </c>
      <c r="G806">
        <v>0</v>
      </c>
      <c r="H806">
        <v>0</v>
      </c>
      <c r="I806">
        <v>0</v>
      </c>
      <c r="L806">
        <v>1</v>
      </c>
      <c r="M806">
        <v>0</v>
      </c>
      <c r="N806">
        <v>0</v>
      </c>
      <c r="O806">
        <v>0</v>
      </c>
      <c r="P806">
        <v>0</v>
      </c>
      <c r="Q806" t="s">
        <v>584</v>
      </c>
      <c r="R806">
        <v>0</v>
      </c>
      <c r="S806">
        <v>0</v>
      </c>
      <c r="T806">
        <v>0</v>
      </c>
      <c r="U806">
        <v>0</v>
      </c>
      <c r="V806">
        <v>0</v>
      </c>
      <c r="W806">
        <v>0</v>
      </c>
      <c r="X806">
        <v>1</v>
      </c>
      <c r="Y806">
        <v>0</v>
      </c>
      <c r="Z806">
        <v>0</v>
      </c>
      <c r="AL806" t="s">
        <v>73</v>
      </c>
      <c r="AM806" t="s">
        <v>74</v>
      </c>
      <c r="AR806" t="s">
        <v>97</v>
      </c>
      <c r="AS806" t="s">
        <v>76</v>
      </c>
      <c r="AT806" t="s">
        <v>73</v>
      </c>
      <c r="AU806">
        <v>0</v>
      </c>
      <c r="AV806">
        <v>0</v>
      </c>
      <c r="AW806">
        <v>1</v>
      </c>
      <c r="AX806">
        <v>0</v>
      </c>
      <c r="AY806">
        <v>0</v>
      </c>
      <c r="AZ806" t="s">
        <v>580</v>
      </c>
    </row>
    <row r="807" spans="1:52" x14ac:dyDescent="0.2">
      <c r="A807">
        <v>1</v>
      </c>
      <c r="B807">
        <v>0</v>
      </c>
      <c r="C807">
        <v>0</v>
      </c>
      <c r="D807">
        <v>0</v>
      </c>
      <c r="E807">
        <v>1</v>
      </c>
      <c r="F807">
        <v>0</v>
      </c>
      <c r="G807">
        <v>0</v>
      </c>
      <c r="H807">
        <v>0</v>
      </c>
      <c r="I807">
        <v>0</v>
      </c>
      <c r="L807">
        <v>0</v>
      </c>
      <c r="M807">
        <v>1</v>
      </c>
      <c r="N807">
        <v>0</v>
      </c>
      <c r="O807">
        <v>0</v>
      </c>
      <c r="P807">
        <v>0</v>
      </c>
      <c r="Q807" t="s">
        <v>584</v>
      </c>
      <c r="AA807" t="s">
        <v>82</v>
      </c>
      <c r="AB807" t="s">
        <v>83</v>
      </c>
      <c r="AC807" t="s">
        <v>83</v>
      </c>
      <c r="AD807" t="s">
        <v>83</v>
      </c>
      <c r="AE807" t="s">
        <v>82</v>
      </c>
      <c r="AF807" t="s">
        <v>81</v>
      </c>
      <c r="AG807" t="s">
        <v>82</v>
      </c>
      <c r="AH807" t="s">
        <v>83</v>
      </c>
      <c r="AI807" t="s">
        <v>88</v>
      </c>
      <c r="AJ807" t="s">
        <v>89</v>
      </c>
      <c r="AK807" t="s">
        <v>85</v>
      </c>
      <c r="AL807" t="s">
        <v>73</v>
      </c>
      <c r="AM807" t="s">
        <v>86</v>
      </c>
      <c r="AN807" t="s">
        <v>74</v>
      </c>
      <c r="AO807" t="s">
        <v>74</v>
      </c>
      <c r="AP807" t="s">
        <v>87</v>
      </c>
      <c r="AQ807" t="s">
        <v>74</v>
      </c>
      <c r="AR807" t="s">
        <v>75</v>
      </c>
      <c r="AS807" t="s">
        <v>92</v>
      </c>
      <c r="AT807" t="s">
        <v>73</v>
      </c>
      <c r="AU807">
        <v>0</v>
      </c>
      <c r="AV807">
        <v>0</v>
      </c>
      <c r="AW807">
        <v>1</v>
      </c>
      <c r="AX807">
        <v>1</v>
      </c>
      <c r="AY807">
        <v>0</v>
      </c>
      <c r="AZ807" t="s">
        <v>580</v>
      </c>
    </row>
    <row r="808" spans="1:52" x14ac:dyDescent="0.2">
      <c r="A808">
        <v>0</v>
      </c>
      <c r="B808">
        <v>1</v>
      </c>
      <c r="C808">
        <v>0</v>
      </c>
      <c r="D808">
        <v>0</v>
      </c>
      <c r="E808">
        <v>1</v>
      </c>
      <c r="F808">
        <v>0</v>
      </c>
      <c r="G808">
        <v>0</v>
      </c>
      <c r="H808">
        <v>0</v>
      </c>
      <c r="I808">
        <v>0</v>
      </c>
      <c r="L808">
        <v>1</v>
      </c>
      <c r="M808">
        <v>0</v>
      </c>
      <c r="N808">
        <v>0</v>
      </c>
      <c r="O808">
        <v>0</v>
      </c>
      <c r="P808">
        <v>0</v>
      </c>
      <c r="Q808" t="s">
        <v>584</v>
      </c>
      <c r="R808">
        <v>0</v>
      </c>
      <c r="S808">
        <v>1</v>
      </c>
      <c r="T808">
        <v>0</v>
      </c>
      <c r="U808">
        <v>0</v>
      </c>
      <c r="V808">
        <v>0</v>
      </c>
      <c r="W808">
        <v>0</v>
      </c>
      <c r="X808">
        <v>0</v>
      </c>
      <c r="Y808">
        <v>0</v>
      </c>
      <c r="Z808">
        <v>0</v>
      </c>
      <c r="AL808" t="s">
        <v>96</v>
      </c>
      <c r="AM808" t="s">
        <v>74</v>
      </c>
      <c r="AR808" t="s">
        <v>101</v>
      </c>
      <c r="AS808" t="s">
        <v>76</v>
      </c>
      <c r="AT808" t="s">
        <v>96</v>
      </c>
      <c r="AU808">
        <v>1</v>
      </c>
      <c r="AV808">
        <v>0</v>
      </c>
      <c r="AW808">
        <v>0</v>
      </c>
      <c r="AX808">
        <v>0</v>
      </c>
      <c r="AY808">
        <v>0</v>
      </c>
      <c r="AZ808" t="s">
        <v>580</v>
      </c>
    </row>
    <row r="809" spans="1:52" x14ac:dyDescent="0.2">
      <c r="A809">
        <v>1</v>
      </c>
      <c r="B809">
        <v>0</v>
      </c>
      <c r="C809">
        <v>0</v>
      </c>
      <c r="D809">
        <v>0</v>
      </c>
      <c r="E809">
        <v>1</v>
      </c>
      <c r="F809">
        <v>0</v>
      </c>
      <c r="G809">
        <v>0</v>
      </c>
      <c r="H809">
        <v>0</v>
      </c>
      <c r="I809">
        <v>0</v>
      </c>
      <c r="L809">
        <v>1</v>
      </c>
      <c r="M809">
        <v>0</v>
      </c>
      <c r="N809">
        <v>0</v>
      </c>
      <c r="O809">
        <v>0</v>
      </c>
      <c r="P809">
        <v>0</v>
      </c>
      <c r="Q809" t="s">
        <v>584</v>
      </c>
      <c r="R809">
        <v>1</v>
      </c>
      <c r="S809">
        <v>0</v>
      </c>
      <c r="T809">
        <v>0</v>
      </c>
      <c r="U809">
        <v>0</v>
      </c>
      <c r="V809">
        <v>0</v>
      </c>
      <c r="W809">
        <v>0</v>
      </c>
      <c r="X809">
        <v>0</v>
      </c>
      <c r="Y809">
        <v>0</v>
      </c>
      <c r="Z809">
        <v>0</v>
      </c>
      <c r="AL809" t="s">
        <v>73</v>
      </c>
      <c r="AM809" t="s">
        <v>87</v>
      </c>
      <c r="AN809" t="s">
        <v>87</v>
      </c>
      <c r="AO809" t="s">
        <v>87</v>
      </c>
      <c r="AP809" t="s">
        <v>87</v>
      </c>
      <c r="AQ809" t="s">
        <v>87</v>
      </c>
      <c r="AR809" t="s">
        <v>97</v>
      </c>
      <c r="AS809" t="s">
        <v>76</v>
      </c>
      <c r="AT809" t="s">
        <v>73</v>
      </c>
      <c r="AU809">
        <v>1</v>
      </c>
      <c r="AV809">
        <v>0</v>
      </c>
      <c r="AW809">
        <v>0</v>
      </c>
      <c r="AX809">
        <v>0</v>
      </c>
      <c r="AY809">
        <v>0</v>
      </c>
      <c r="AZ809" t="s">
        <v>580</v>
      </c>
    </row>
    <row r="810" spans="1:52" x14ac:dyDescent="0.2">
      <c r="A810">
        <v>1</v>
      </c>
      <c r="B810">
        <v>0</v>
      </c>
      <c r="C810">
        <v>0</v>
      </c>
      <c r="D810">
        <v>0</v>
      </c>
      <c r="E810">
        <v>0</v>
      </c>
      <c r="F810">
        <v>0</v>
      </c>
      <c r="G810">
        <v>0</v>
      </c>
      <c r="H810">
        <v>0</v>
      </c>
      <c r="I810">
        <v>1</v>
      </c>
      <c r="J810" t="s">
        <v>135</v>
      </c>
      <c r="K810" t="s">
        <v>89</v>
      </c>
      <c r="L810">
        <v>0</v>
      </c>
      <c r="M810">
        <v>0</v>
      </c>
      <c r="N810">
        <v>1</v>
      </c>
      <c r="O810">
        <v>0</v>
      </c>
      <c r="P810">
        <v>0</v>
      </c>
      <c r="Q810" t="s">
        <v>584</v>
      </c>
      <c r="AA810" t="s">
        <v>83</v>
      </c>
      <c r="AB810" t="s">
        <v>82</v>
      </c>
      <c r="AC810" t="s">
        <v>81</v>
      </c>
      <c r="AD810" t="s">
        <v>81</v>
      </c>
      <c r="AE810" t="s">
        <v>81</v>
      </c>
      <c r="AF810" t="s">
        <v>83</v>
      </c>
      <c r="AG810" t="s">
        <v>83</v>
      </c>
      <c r="AH810" t="s">
        <v>83</v>
      </c>
      <c r="AI810" t="s">
        <v>88</v>
      </c>
      <c r="AJ810" t="s">
        <v>89</v>
      </c>
      <c r="AK810" t="s">
        <v>100</v>
      </c>
      <c r="AL810" t="s">
        <v>73</v>
      </c>
      <c r="AM810" t="s">
        <v>87</v>
      </c>
      <c r="AN810" t="s">
        <v>86</v>
      </c>
      <c r="AO810" t="s">
        <v>87</v>
      </c>
      <c r="AP810" t="s">
        <v>87</v>
      </c>
      <c r="AQ810" t="s">
        <v>74</v>
      </c>
      <c r="AR810" t="s">
        <v>75</v>
      </c>
      <c r="AS810" t="s">
        <v>92</v>
      </c>
      <c r="AT810" t="s">
        <v>73</v>
      </c>
      <c r="AU810">
        <v>0</v>
      </c>
      <c r="AV810">
        <v>1</v>
      </c>
      <c r="AW810">
        <v>0</v>
      </c>
      <c r="AX810">
        <v>0</v>
      </c>
      <c r="AY810">
        <v>0</v>
      </c>
      <c r="AZ810" t="s">
        <v>579</v>
      </c>
    </row>
    <row r="811" spans="1:52" x14ac:dyDescent="0.2">
      <c r="A811">
        <v>1</v>
      </c>
      <c r="B811">
        <v>0</v>
      </c>
      <c r="C811">
        <v>0</v>
      </c>
      <c r="D811">
        <v>0</v>
      </c>
      <c r="E811">
        <v>1</v>
      </c>
      <c r="F811">
        <v>0</v>
      </c>
      <c r="G811">
        <v>0</v>
      </c>
      <c r="H811">
        <v>0</v>
      </c>
      <c r="I811">
        <v>0</v>
      </c>
      <c r="L811">
        <v>1</v>
      </c>
      <c r="M811">
        <v>0</v>
      </c>
      <c r="N811">
        <v>0</v>
      </c>
      <c r="O811">
        <v>0</v>
      </c>
      <c r="P811">
        <v>0</v>
      </c>
      <c r="Q811" t="s">
        <v>584</v>
      </c>
      <c r="R811">
        <v>0</v>
      </c>
      <c r="S811">
        <v>0</v>
      </c>
      <c r="T811">
        <v>0</v>
      </c>
      <c r="U811">
        <v>0</v>
      </c>
      <c r="V811">
        <v>0</v>
      </c>
      <c r="W811">
        <v>0</v>
      </c>
      <c r="X811">
        <v>1</v>
      </c>
      <c r="Y811">
        <v>0</v>
      </c>
      <c r="Z811">
        <v>0</v>
      </c>
      <c r="AL811" t="s">
        <v>73</v>
      </c>
      <c r="AM811" t="s">
        <v>74</v>
      </c>
      <c r="AR811" t="s">
        <v>97</v>
      </c>
      <c r="AS811" t="s">
        <v>76</v>
      </c>
      <c r="AT811" t="s">
        <v>73</v>
      </c>
      <c r="AU811">
        <v>0</v>
      </c>
      <c r="AV811">
        <v>0</v>
      </c>
      <c r="AW811">
        <v>0</v>
      </c>
      <c r="AX811">
        <v>0</v>
      </c>
      <c r="AY811">
        <v>1</v>
      </c>
      <c r="AZ811" t="s">
        <v>581</v>
      </c>
    </row>
    <row r="812" spans="1:52" x14ac:dyDescent="0.2">
      <c r="A812">
        <v>1</v>
      </c>
      <c r="B812">
        <v>0</v>
      </c>
      <c r="C812">
        <v>0</v>
      </c>
      <c r="D812">
        <v>0</v>
      </c>
      <c r="E812">
        <v>0</v>
      </c>
      <c r="F812">
        <v>1</v>
      </c>
      <c r="G812">
        <v>0</v>
      </c>
      <c r="H812">
        <v>1</v>
      </c>
      <c r="I812">
        <v>0</v>
      </c>
      <c r="J812" t="s">
        <v>135</v>
      </c>
      <c r="K812" t="s">
        <v>89</v>
      </c>
      <c r="L812">
        <v>1</v>
      </c>
      <c r="M812">
        <v>0</v>
      </c>
      <c r="N812">
        <v>0</v>
      </c>
      <c r="O812">
        <v>0</v>
      </c>
      <c r="P812">
        <v>0</v>
      </c>
      <c r="Q812" t="s">
        <v>584</v>
      </c>
      <c r="R812">
        <v>0</v>
      </c>
      <c r="S812">
        <v>0</v>
      </c>
      <c r="T812">
        <v>1</v>
      </c>
      <c r="U812">
        <v>0</v>
      </c>
      <c r="V812">
        <v>0</v>
      </c>
      <c r="W812">
        <v>0</v>
      </c>
      <c r="X812">
        <v>0</v>
      </c>
      <c r="Y812">
        <v>0</v>
      </c>
      <c r="Z812">
        <v>0</v>
      </c>
      <c r="AL812" t="s">
        <v>96</v>
      </c>
      <c r="AM812" t="s">
        <v>87</v>
      </c>
      <c r="AN812" t="s">
        <v>87</v>
      </c>
      <c r="AO812" t="s">
        <v>87</v>
      </c>
      <c r="AP812" t="s">
        <v>87</v>
      </c>
      <c r="AQ812" t="s">
        <v>87</v>
      </c>
      <c r="AR812" t="s">
        <v>97</v>
      </c>
      <c r="AS812" t="s">
        <v>76</v>
      </c>
      <c r="AT812" t="s">
        <v>96</v>
      </c>
      <c r="AU812">
        <v>1</v>
      </c>
      <c r="AV812">
        <v>1</v>
      </c>
      <c r="AW812">
        <v>1</v>
      </c>
      <c r="AX812">
        <v>1</v>
      </c>
      <c r="AY812">
        <v>1</v>
      </c>
      <c r="AZ812" t="s">
        <v>579</v>
      </c>
    </row>
    <row r="813" spans="1:52" x14ac:dyDescent="0.2">
      <c r="A813">
        <v>1</v>
      </c>
      <c r="B813">
        <v>0</v>
      </c>
      <c r="C813">
        <v>0</v>
      </c>
      <c r="D813">
        <v>0</v>
      </c>
      <c r="E813">
        <v>0</v>
      </c>
      <c r="F813">
        <v>0</v>
      </c>
      <c r="G813">
        <v>0</v>
      </c>
      <c r="H813">
        <v>0</v>
      </c>
      <c r="I813">
        <v>1</v>
      </c>
      <c r="J813" t="s">
        <v>88</v>
      </c>
      <c r="K813" t="s">
        <v>89</v>
      </c>
      <c r="L813">
        <v>1</v>
      </c>
      <c r="M813">
        <v>0</v>
      </c>
      <c r="N813">
        <v>0</v>
      </c>
      <c r="O813">
        <v>0</v>
      </c>
      <c r="P813">
        <v>0</v>
      </c>
      <c r="Q813" t="s">
        <v>584</v>
      </c>
      <c r="R813">
        <v>0</v>
      </c>
      <c r="S813">
        <v>1</v>
      </c>
      <c r="T813">
        <v>0</v>
      </c>
      <c r="U813">
        <v>0</v>
      </c>
      <c r="V813">
        <v>0</v>
      </c>
      <c r="W813">
        <v>0</v>
      </c>
      <c r="X813">
        <v>0</v>
      </c>
      <c r="Y813">
        <v>0</v>
      </c>
      <c r="Z813">
        <v>0</v>
      </c>
      <c r="AL813" t="s">
        <v>73</v>
      </c>
      <c r="AM813" t="s">
        <v>87</v>
      </c>
      <c r="AN813" t="s">
        <v>87</v>
      </c>
      <c r="AO813" t="s">
        <v>87</v>
      </c>
      <c r="AP813" t="s">
        <v>87</v>
      </c>
      <c r="AQ813" t="s">
        <v>87</v>
      </c>
      <c r="AR813" t="s">
        <v>75</v>
      </c>
      <c r="AS813" t="s">
        <v>92</v>
      </c>
      <c r="AT813" t="s">
        <v>73</v>
      </c>
      <c r="AU813">
        <v>0</v>
      </c>
      <c r="AV813">
        <v>1</v>
      </c>
      <c r="AW813">
        <v>0</v>
      </c>
      <c r="AX813">
        <v>0</v>
      </c>
      <c r="AY813">
        <v>0</v>
      </c>
      <c r="AZ813" t="s">
        <v>580</v>
      </c>
    </row>
    <row r="814" spans="1:52" x14ac:dyDescent="0.2">
      <c r="A814">
        <v>0</v>
      </c>
      <c r="B814">
        <v>1</v>
      </c>
      <c r="C814">
        <v>0</v>
      </c>
      <c r="D814">
        <v>0</v>
      </c>
      <c r="E814">
        <v>1</v>
      </c>
      <c r="F814">
        <v>0</v>
      </c>
      <c r="G814">
        <v>0</v>
      </c>
      <c r="H814">
        <v>0</v>
      </c>
      <c r="I814">
        <v>0</v>
      </c>
      <c r="L814">
        <v>1</v>
      </c>
      <c r="M814">
        <v>0</v>
      </c>
      <c r="N814">
        <v>0</v>
      </c>
      <c r="O814">
        <v>0</v>
      </c>
      <c r="P814">
        <v>0</v>
      </c>
      <c r="Q814" t="s">
        <v>584</v>
      </c>
      <c r="R814">
        <v>1</v>
      </c>
      <c r="S814">
        <v>0</v>
      </c>
      <c r="T814">
        <v>0</v>
      </c>
      <c r="U814">
        <v>0</v>
      </c>
      <c r="V814">
        <v>0</v>
      </c>
      <c r="W814">
        <v>0</v>
      </c>
      <c r="X814">
        <v>0</v>
      </c>
      <c r="Y814">
        <v>0</v>
      </c>
      <c r="Z814">
        <v>0</v>
      </c>
      <c r="AL814" t="s">
        <v>107</v>
      </c>
      <c r="AM814" t="s">
        <v>87</v>
      </c>
      <c r="AN814" t="s">
        <v>87</v>
      </c>
      <c r="AO814" t="s">
        <v>87</v>
      </c>
      <c r="AP814" t="s">
        <v>87</v>
      </c>
      <c r="AQ814" t="s">
        <v>87</v>
      </c>
      <c r="AR814" t="s">
        <v>75</v>
      </c>
      <c r="AS814" t="s">
        <v>76</v>
      </c>
      <c r="AT814" t="s">
        <v>107</v>
      </c>
      <c r="AU814">
        <v>0</v>
      </c>
      <c r="AV814">
        <v>0</v>
      </c>
      <c r="AW814">
        <v>0</v>
      </c>
      <c r="AX814">
        <v>0</v>
      </c>
      <c r="AY814">
        <v>1</v>
      </c>
      <c r="AZ814" t="s">
        <v>580</v>
      </c>
    </row>
    <row r="815" spans="1:52" x14ac:dyDescent="0.2">
      <c r="A815">
        <v>1</v>
      </c>
      <c r="B815">
        <v>0</v>
      </c>
      <c r="C815">
        <v>0</v>
      </c>
      <c r="D815">
        <v>0</v>
      </c>
      <c r="E815">
        <v>1</v>
      </c>
      <c r="F815">
        <v>0</v>
      </c>
      <c r="G815">
        <v>0</v>
      </c>
      <c r="H815">
        <v>0</v>
      </c>
      <c r="I815">
        <v>0</v>
      </c>
      <c r="L815">
        <v>1</v>
      </c>
      <c r="M815">
        <v>0</v>
      </c>
      <c r="N815">
        <v>0</v>
      </c>
      <c r="O815">
        <v>0</v>
      </c>
      <c r="P815">
        <v>0</v>
      </c>
      <c r="Q815" t="s">
        <v>584</v>
      </c>
      <c r="R815">
        <v>0</v>
      </c>
      <c r="S815">
        <v>0</v>
      </c>
      <c r="T815">
        <v>1</v>
      </c>
      <c r="U815">
        <v>0</v>
      </c>
      <c r="V815">
        <v>0</v>
      </c>
      <c r="W815">
        <v>1</v>
      </c>
      <c r="X815">
        <v>1</v>
      </c>
      <c r="Y815">
        <v>0</v>
      </c>
      <c r="Z815">
        <v>0</v>
      </c>
      <c r="AL815" t="s">
        <v>73</v>
      </c>
      <c r="AM815" t="s">
        <v>86</v>
      </c>
      <c r="AN815" t="s">
        <v>86</v>
      </c>
      <c r="AO815" t="s">
        <v>86</v>
      </c>
      <c r="AP815" t="s">
        <v>86</v>
      </c>
      <c r="AQ815" t="s">
        <v>86</v>
      </c>
      <c r="AR815" t="s">
        <v>113</v>
      </c>
      <c r="AS815" t="s">
        <v>76</v>
      </c>
      <c r="AT815" t="s">
        <v>73</v>
      </c>
      <c r="AU815">
        <v>0</v>
      </c>
      <c r="AV815">
        <v>1</v>
      </c>
      <c r="AW815">
        <v>0</v>
      </c>
      <c r="AX815">
        <v>0</v>
      </c>
      <c r="AY815">
        <v>0</v>
      </c>
      <c r="AZ815" t="s">
        <v>579</v>
      </c>
    </row>
    <row r="816" spans="1:52" x14ac:dyDescent="0.2">
      <c r="A816">
        <v>1</v>
      </c>
      <c r="B816">
        <v>0</v>
      </c>
      <c r="C816">
        <v>0</v>
      </c>
      <c r="D816">
        <v>0</v>
      </c>
      <c r="E816">
        <v>1</v>
      </c>
      <c r="F816">
        <v>0</v>
      </c>
      <c r="G816">
        <v>0</v>
      </c>
      <c r="H816">
        <v>0</v>
      </c>
      <c r="I816">
        <v>0</v>
      </c>
      <c r="L816">
        <v>1</v>
      </c>
      <c r="M816">
        <v>0</v>
      </c>
      <c r="N816">
        <v>0</v>
      </c>
      <c r="O816">
        <v>0</v>
      </c>
      <c r="P816">
        <v>0</v>
      </c>
      <c r="Q816" t="s">
        <v>584</v>
      </c>
      <c r="R816">
        <v>0</v>
      </c>
      <c r="S816">
        <v>0</v>
      </c>
      <c r="T816">
        <v>0</v>
      </c>
      <c r="U816">
        <v>0</v>
      </c>
      <c r="V816">
        <v>1</v>
      </c>
      <c r="W816">
        <v>1</v>
      </c>
      <c r="X816">
        <v>1</v>
      </c>
      <c r="Y816">
        <v>0</v>
      </c>
      <c r="Z816">
        <v>1</v>
      </c>
      <c r="AL816" t="s">
        <v>73</v>
      </c>
      <c r="AM816" t="s">
        <v>86</v>
      </c>
      <c r="AN816" t="s">
        <v>74</v>
      </c>
      <c r="AO816" t="s">
        <v>74</v>
      </c>
      <c r="AP816" t="s">
        <v>86</v>
      </c>
      <c r="AQ816" t="s">
        <v>74</v>
      </c>
      <c r="AR816" t="s">
        <v>97</v>
      </c>
      <c r="AS816" t="s">
        <v>76</v>
      </c>
      <c r="AT816" t="s">
        <v>73</v>
      </c>
      <c r="AU816">
        <v>0</v>
      </c>
      <c r="AV816">
        <v>0</v>
      </c>
      <c r="AW816">
        <v>1</v>
      </c>
      <c r="AX816">
        <v>0</v>
      </c>
      <c r="AY816">
        <v>0</v>
      </c>
      <c r="AZ816" t="s">
        <v>581</v>
      </c>
    </row>
    <row r="817" spans="1:52" x14ac:dyDescent="0.2">
      <c r="A817">
        <v>1</v>
      </c>
      <c r="B817">
        <v>0</v>
      </c>
      <c r="C817">
        <v>0</v>
      </c>
      <c r="D817">
        <v>0</v>
      </c>
      <c r="E817">
        <v>0</v>
      </c>
      <c r="F817">
        <v>1</v>
      </c>
      <c r="G817">
        <v>0</v>
      </c>
      <c r="H817">
        <v>0</v>
      </c>
      <c r="I817">
        <v>1</v>
      </c>
      <c r="J817" t="s">
        <v>88</v>
      </c>
      <c r="K817" t="s">
        <v>89</v>
      </c>
      <c r="L817">
        <v>0</v>
      </c>
      <c r="M817">
        <v>0</v>
      </c>
      <c r="N817">
        <v>1</v>
      </c>
      <c r="O817">
        <v>0</v>
      </c>
      <c r="P817">
        <v>0</v>
      </c>
      <c r="Q817" t="s">
        <v>584</v>
      </c>
      <c r="AA817" t="s">
        <v>81</v>
      </c>
      <c r="AB817" t="s">
        <v>82</v>
      </c>
      <c r="AC817" t="s">
        <v>83</v>
      </c>
      <c r="AD817" t="s">
        <v>83</v>
      </c>
      <c r="AE817" t="s">
        <v>81</v>
      </c>
      <c r="AF817" t="s">
        <v>83</v>
      </c>
      <c r="AG817" t="s">
        <v>81</v>
      </c>
      <c r="AH817" t="s">
        <v>83</v>
      </c>
      <c r="AI817" t="s">
        <v>88</v>
      </c>
      <c r="AJ817" t="s">
        <v>89</v>
      </c>
      <c r="AK817" t="s">
        <v>85</v>
      </c>
      <c r="AL817" t="s">
        <v>73</v>
      </c>
      <c r="AM817" t="s">
        <v>87</v>
      </c>
      <c r="AN817" t="s">
        <v>87</v>
      </c>
      <c r="AO817" t="s">
        <v>87</v>
      </c>
      <c r="AP817" t="s">
        <v>86</v>
      </c>
      <c r="AQ817" t="s">
        <v>87</v>
      </c>
      <c r="AR817" t="s">
        <v>108</v>
      </c>
      <c r="AS817" t="s">
        <v>92</v>
      </c>
      <c r="AT817" t="s">
        <v>73</v>
      </c>
      <c r="AU817">
        <v>0</v>
      </c>
      <c r="AV817">
        <v>1</v>
      </c>
      <c r="AW817">
        <v>0</v>
      </c>
      <c r="AX817">
        <v>0</v>
      </c>
      <c r="AY817">
        <v>0</v>
      </c>
      <c r="AZ817" t="s">
        <v>580</v>
      </c>
    </row>
    <row r="818" spans="1:52" x14ac:dyDescent="0.2">
      <c r="A818">
        <v>0</v>
      </c>
      <c r="B818">
        <v>1</v>
      </c>
      <c r="C818">
        <v>0</v>
      </c>
      <c r="D818">
        <v>0</v>
      </c>
      <c r="E818">
        <v>1</v>
      </c>
      <c r="F818">
        <v>0</v>
      </c>
      <c r="G818">
        <v>0</v>
      </c>
      <c r="H818">
        <v>0</v>
      </c>
      <c r="I818">
        <v>0</v>
      </c>
      <c r="L818">
        <v>1</v>
      </c>
      <c r="M818">
        <v>0</v>
      </c>
      <c r="N818">
        <v>0</v>
      </c>
      <c r="O818">
        <v>0</v>
      </c>
      <c r="P818">
        <v>0</v>
      </c>
      <c r="Q818" t="s">
        <v>584</v>
      </c>
      <c r="R818">
        <v>0</v>
      </c>
      <c r="S818">
        <v>0</v>
      </c>
      <c r="T818">
        <v>0</v>
      </c>
      <c r="U818">
        <v>0</v>
      </c>
      <c r="V818">
        <v>0</v>
      </c>
      <c r="W818">
        <v>0</v>
      </c>
      <c r="X818">
        <v>0</v>
      </c>
      <c r="Y818">
        <v>1</v>
      </c>
      <c r="Z818">
        <v>0</v>
      </c>
      <c r="AL818" t="s">
        <v>73</v>
      </c>
      <c r="AM818" t="s">
        <v>74</v>
      </c>
      <c r="AR818" t="s">
        <v>75</v>
      </c>
      <c r="AS818" t="s">
        <v>76</v>
      </c>
      <c r="AT818" t="s">
        <v>73</v>
      </c>
      <c r="AU818">
        <v>0</v>
      </c>
      <c r="AV818">
        <v>1</v>
      </c>
      <c r="AW818">
        <v>0</v>
      </c>
      <c r="AX818">
        <v>0</v>
      </c>
      <c r="AY818">
        <v>0</v>
      </c>
      <c r="AZ818" t="s">
        <v>578</v>
      </c>
    </row>
    <row r="819" spans="1:52" x14ac:dyDescent="0.2">
      <c r="A819">
        <v>1</v>
      </c>
      <c r="B819">
        <v>0</v>
      </c>
      <c r="C819">
        <v>0</v>
      </c>
      <c r="D819">
        <v>0</v>
      </c>
      <c r="E819">
        <v>0</v>
      </c>
      <c r="F819">
        <v>0</v>
      </c>
      <c r="G819">
        <v>0</v>
      </c>
      <c r="H819">
        <v>0</v>
      </c>
      <c r="I819">
        <v>1</v>
      </c>
      <c r="J819" t="s">
        <v>88</v>
      </c>
      <c r="K819" t="s">
        <v>89</v>
      </c>
      <c r="L819">
        <v>1</v>
      </c>
      <c r="M819">
        <v>0</v>
      </c>
      <c r="N819">
        <v>0</v>
      </c>
      <c r="O819">
        <v>0</v>
      </c>
      <c r="P819">
        <v>0</v>
      </c>
      <c r="Q819" t="s">
        <v>584</v>
      </c>
      <c r="R819">
        <v>0</v>
      </c>
      <c r="S819">
        <v>0</v>
      </c>
      <c r="T819">
        <v>1</v>
      </c>
      <c r="U819">
        <v>0</v>
      </c>
      <c r="V819">
        <v>0</v>
      </c>
      <c r="W819">
        <v>0</v>
      </c>
      <c r="X819">
        <v>1</v>
      </c>
      <c r="Y819">
        <v>0</v>
      </c>
      <c r="Z819">
        <v>0</v>
      </c>
      <c r="AL819" t="s">
        <v>73</v>
      </c>
      <c r="AM819" t="s">
        <v>87</v>
      </c>
      <c r="AN819" t="s">
        <v>74</v>
      </c>
      <c r="AO819" t="s">
        <v>74</v>
      </c>
      <c r="AP819" t="s">
        <v>74</v>
      </c>
      <c r="AQ819" t="s">
        <v>87</v>
      </c>
      <c r="AR819" t="s">
        <v>75</v>
      </c>
      <c r="AS819" t="s">
        <v>76</v>
      </c>
      <c r="AT819" t="s">
        <v>73</v>
      </c>
      <c r="AU819">
        <v>0</v>
      </c>
      <c r="AV819">
        <v>1</v>
      </c>
      <c r="AW819">
        <v>0</v>
      </c>
      <c r="AX819">
        <v>0</v>
      </c>
      <c r="AY819">
        <v>0</v>
      </c>
      <c r="AZ819" t="s">
        <v>578</v>
      </c>
    </row>
    <row r="820" spans="1:52" x14ac:dyDescent="0.2">
      <c r="A820">
        <v>0</v>
      </c>
      <c r="B820">
        <v>1</v>
      </c>
      <c r="C820">
        <v>0</v>
      </c>
      <c r="D820">
        <v>0</v>
      </c>
      <c r="E820">
        <v>1</v>
      </c>
      <c r="F820">
        <v>0</v>
      </c>
      <c r="G820">
        <v>0</v>
      </c>
      <c r="H820">
        <v>0</v>
      </c>
      <c r="I820">
        <v>0</v>
      </c>
      <c r="L820">
        <v>1</v>
      </c>
      <c r="M820">
        <v>0</v>
      </c>
      <c r="N820">
        <v>0</v>
      </c>
      <c r="O820">
        <v>0</v>
      </c>
      <c r="P820">
        <v>0</v>
      </c>
      <c r="Q820" t="s">
        <v>584</v>
      </c>
      <c r="R820">
        <v>0</v>
      </c>
      <c r="S820">
        <v>1</v>
      </c>
      <c r="T820">
        <v>0</v>
      </c>
      <c r="U820">
        <v>0</v>
      </c>
      <c r="V820">
        <v>0</v>
      </c>
      <c r="W820">
        <v>0</v>
      </c>
      <c r="X820">
        <v>0</v>
      </c>
      <c r="Y820">
        <v>0</v>
      </c>
      <c r="Z820">
        <v>0</v>
      </c>
      <c r="AL820" t="s">
        <v>73</v>
      </c>
      <c r="AM820" t="s">
        <v>87</v>
      </c>
      <c r="AN820" t="s">
        <v>86</v>
      </c>
      <c r="AO820" t="s">
        <v>87</v>
      </c>
      <c r="AP820" t="s">
        <v>87</v>
      </c>
      <c r="AQ820" t="s">
        <v>87</v>
      </c>
      <c r="AR820" t="s">
        <v>159</v>
      </c>
      <c r="AS820" t="s">
        <v>76</v>
      </c>
      <c r="AT820" t="s">
        <v>73</v>
      </c>
      <c r="AU820">
        <v>0</v>
      </c>
      <c r="AV820">
        <v>1</v>
      </c>
      <c r="AW820">
        <v>0</v>
      </c>
      <c r="AX820">
        <v>0</v>
      </c>
      <c r="AY820">
        <v>0</v>
      </c>
      <c r="AZ820" t="s">
        <v>579</v>
      </c>
    </row>
    <row r="821" spans="1:52" x14ac:dyDescent="0.2">
      <c r="A821">
        <v>1</v>
      </c>
      <c r="B821">
        <v>0</v>
      </c>
      <c r="C821">
        <v>0</v>
      </c>
      <c r="D821">
        <v>0</v>
      </c>
      <c r="E821">
        <v>1</v>
      </c>
      <c r="F821">
        <v>0</v>
      </c>
      <c r="G821">
        <v>0</v>
      </c>
      <c r="H821">
        <v>0</v>
      </c>
      <c r="I821">
        <v>0</v>
      </c>
      <c r="L821">
        <v>1</v>
      </c>
      <c r="M821">
        <v>0</v>
      </c>
      <c r="N821">
        <v>0</v>
      </c>
      <c r="O821">
        <v>0</v>
      </c>
      <c r="P821">
        <v>0</v>
      </c>
      <c r="Q821" t="s">
        <v>584</v>
      </c>
      <c r="R821">
        <v>0</v>
      </c>
      <c r="S821">
        <v>1</v>
      </c>
      <c r="T821">
        <v>0</v>
      </c>
      <c r="U821">
        <v>0</v>
      </c>
      <c r="V821">
        <v>0</v>
      </c>
      <c r="W821">
        <v>0</v>
      </c>
      <c r="X821">
        <v>0</v>
      </c>
      <c r="Y821">
        <v>0</v>
      </c>
      <c r="Z821">
        <v>0</v>
      </c>
      <c r="AL821" t="s">
        <v>107</v>
      </c>
      <c r="AM821" t="s">
        <v>87</v>
      </c>
      <c r="AN821" t="s">
        <v>87</v>
      </c>
      <c r="AO821" t="s">
        <v>87</v>
      </c>
      <c r="AP821" t="s">
        <v>87</v>
      </c>
      <c r="AQ821" t="s">
        <v>87</v>
      </c>
      <c r="AR821" t="s">
        <v>101</v>
      </c>
      <c r="AS821" t="s">
        <v>92</v>
      </c>
      <c r="AT821" t="s">
        <v>107</v>
      </c>
      <c r="AU821">
        <v>0</v>
      </c>
      <c r="AV821">
        <v>0</v>
      </c>
      <c r="AW821">
        <v>1</v>
      </c>
      <c r="AX821">
        <v>1</v>
      </c>
      <c r="AY821">
        <v>0</v>
      </c>
      <c r="AZ821" t="s">
        <v>580</v>
      </c>
    </row>
    <row r="822" spans="1:52" x14ac:dyDescent="0.2">
      <c r="A822">
        <v>1</v>
      </c>
      <c r="B822">
        <v>0</v>
      </c>
      <c r="C822">
        <v>0</v>
      </c>
      <c r="D822">
        <v>0</v>
      </c>
      <c r="E822">
        <v>1</v>
      </c>
      <c r="F822">
        <v>0</v>
      </c>
      <c r="G822">
        <v>0</v>
      </c>
      <c r="H822">
        <v>0</v>
      </c>
      <c r="I822">
        <v>0</v>
      </c>
      <c r="L822">
        <v>0</v>
      </c>
      <c r="M822">
        <v>0</v>
      </c>
      <c r="N822">
        <v>0</v>
      </c>
      <c r="O822">
        <v>0</v>
      </c>
      <c r="P822">
        <v>0</v>
      </c>
      <c r="Q822" t="s">
        <v>585</v>
      </c>
      <c r="AA822" t="s">
        <v>90</v>
      </c>
      <c r="AB822" t="s">
        <v>82</v>
      </c>
      <c r="AC822" t="s">
        <v>90</v>
      </c>
      <c r="AD822" t="s">
        <v>90</v>
      </c>
      <c r="AE822" t="s">
        <v>90</v>
      </c>
      <c r="AF822" t="s">
        <v>90</v>
      </c>
      <c r="AG822" t="s">
        <v>90</v>
      </c>
      <c r="AH822" t="s">
        <v>81</v>
      </c>
      <c r="AI822" t="s">
        <v>88</v>
      </c>
      <c r="AJ822" t="s">
        <v>89</v>
      </c>
      <c r="AK822" t="s">
        <v>85</v>
      </c>
      <c r="AL822" t="s">
        <v>73</v>
      </c>
      <c r="AM822" t="s">
        <v>74</v>
      </c>
      <c r="AR822" t="s">
        <v>108</v>
      </c>
      <c r="AS822" t="s">
        <v>92</v>
      </c>
      <c r="AT822" t="s">
        <v>73</v>
      </c>
      <c r="AU822">
        <v>0</v>
      </c>
      <c r="AV822">
        <v>1</v>
      </c>
      <c r="AW822">
        <v>0</v>
      </c>
      <c r="AX822">
        <v>0</v>
      </c>
      <c r="AY822">
        <v>0</v>
      </c>
      <c r="AZ822" t="s">
        <v>581</v>
      </c>
    </row>
    <row r="823" spans="1:52" x14ac:dyDescent="0.2">
      <c r="A823">
        <v>1</v>
      </c>
      <c r="B823">
        <v>0</v>
      </c>
      <c r="C823">
        <v>0</v>
      </c>
      <c r="D823">
        <v>0</v>
      </c>
      <c r="E823">
        <v>1</v>
      </c>
      <c r="F823">
        <v>0</v>
      </c>
      <c r="G823">
        <v>0</v>
      </c>
      <c r="H823">
        <v>0</v>
      </c>
      <c r="I823">
        <v>0</v>
      </c>
      <c r="L823">
        <v>1</v>
      </c>
      <c r="M823">
        <v>0</v>
      </c>
      <c r="N823">
        <v>0</v>
      </c>
      <c r="O823">
        <v>0</v>
      </c>
      <c r="P823">
        <v>0</v>
      </c>
      <c r="Q823" t="s">
        <v>584</v>
      </c>
      <c r="R823">
        <v>0</v>
      </c>
      <c r="S823">
        <v>0</v>
      </c>
      <c r="T823">
        <v>1</v>
      </c>
      <c r="U823">
        <v>0</v>
      </c>
      <c r="V823">
        <v>0</v>
      </c>
      <c r="W823">
        <v>0</v>
      </c>
      <c r="X823">
        <v>0</v>
      </c>
      <c r="Y823">
        <v>0</v>
      </c>
      <c r="Z823">
        <v>0</v>
      </c>
      <c r="AL823" t="s">
        <v>107</v>
      </c>
      <c r="AM823" t="s">
        <v>87</v>
      </c>
      <c r="AN823" t="s">
        <v>87</v>
      </c>
      <c r="AO823" t="s">
        <v>87</v>
      </c>
      <c r="AP823" t="s">
        <v>87</v>
      </c>
      <c r="AQ823" t="s">
        <v>87</v>
      </c>
      <c r="AR823" t="s">
        <v>75</v>
      </c>
      <c r="AS823" t="s">
        <v>76</v>
      </c>
      <c r="AT823" t="s">
        <v>107</v>
      </c>
      <c r="AU823">
        <v>0</v>
      </c>
      <c r="AV823">
        <v>1</v>
      </c>
      <c r="AW823">
        <v>0</v>
      </c>
      <c r="AX823">
        <v>0</v>
      </c>
      <c r="AY823">
        <v>0</v>
      </c>
      <c r="AZ823" t="s">
        <v>580</v>
      </c>
    </row>
    <row r="824" spans="1:52" x14ac:dyDescent="0.2">
      <c r="A824">
        <v>1</v>
      </c>
      <c r="B824">
        <v>0</v>
      </c>
      <c r="C824">
        <v>0</v>
      </c>
      <c r="D824">
        <v>0</v>
      </c>
      <c r="E824">
        <v>0</v>
      </c>
      <c r="F824">
        <v>1</v>
      </c>
      <c r="G824">
        <v>1</v>
      </c>
      <c r="H824">
        <v>1</v>
      </c>
      <c r="I824">
        <v>0</v>
      </c>
      <c r="J824" t="s">
        <v>88</v>
      </c>
      <c r="K824" t="s">
        <v>89</v>
      </c>
      <c r="L824">
        <v>0</v>
      </c>
      <c r="M824">
        <v>0</v>
      </c>
      <c r="N824">
        <v>1</v>
      </c>
      <c r="O824">
        <v>0</v>
      </c>
      <c r="P824">
        <v>0</v>
      </c>
      <c r="Q824" t="s">
        <v>584</v>
      </c>
      <c r="AA824" t="s">
        <v>83</v>
      </c>
      <c r="AB824" t="s">
        <v>82</v>
      </c>
      <c r="AC824" t="s">
        <v>82</v>
      </c>
      <c r="AD824" t="s">
        <v>82</v>
      </c>
      <c r="AE824" t="s">
        <v>81</v>
      </c>
      <c r="AF824" t="s">
        <v>83</v>
      </c>
      <c r="AG824" t="s">
        <v>81</v>
      </c>
      <c r="AH824" t="s">
        <v>83</v>
      </c>
      <c r="AI824" t="s">
        <v>88</v>
      </c>
      <c r="AJ824" t="s">
        <v>89</v>
      </c>
      <c r="AK824" t="s">
        <v>100</v>
      </c>
      <c r="AL824" t="s">
        <v>107</v>
      </c>
      <c r="AM824" t="s">
        <v>86</v>
      </c>
      <c r="AN824" t="s">
        <v>86</v>
      </c>
      <c r="AO824" t="s">
        <v>86</v>
      </c>
      <c r="AP824" t="s">
        <v>87</v>
      </c>
      <c r="AQ824" t="s">
        <v>74</v>
      </c>
      <c r="AR824" t="s">
        <v>75</v>
      </c>
      <c r="AS824" t="s">
        <v>76</v>
      </c>
      <c r="AT824" t="s">
        <v>107</v>
      </c>
      <c r="AU824">
        <v>0</v>
      </c>
      <c r="AV824">
        <v>0</v>
      </c>
      <c r="AW824">
        <v>1</v>
      </c>
      <c r="AX824">
        <v>1</v>
      </c>
      <c r="AY824">
        <v>0</v>
      </c>
      <c r="AZ824" t="s">
        <v>579</v>
      </c>
    </row>
    <row r="825" spans="1:52" x14ac:dyDescent="0.2">
      <c r="A825">
        <v>0</v>
      </c>
      <c r="B825">
        <v>1</v>
      </c>
      <c r="C825">
        <v>0</v>
      </c>
      <c r="D825">
        <v>0</v>
      </c>
      <c r="E825">
        <v>1</v>
      </c>
      <c r="F825">
        <v>0</v>
      </c>
      <c r="G825">
        <v>0</v>
      </c>
      <c r="H825">
        <v>0</v>
      </c>
      <c r="I825">
        <v>0</v>
      </c>
      <c r="L825">
        <v>0</v>
      </c>
      <c r="M825">
        <v>0</v>
      </c>
      <c r="N825">
        <v>0</v>
      </c>
      <c r="O825">
        <v>0</v>
      </c>
      <c r="P825">
        <v>1</v>
      </c>
      <c r="Q825" t="s">
        <v>584</v>
      </c>
      <c r="AA825" t="s">
        <v>90</v>
      </c>
      <c r="AB825" t="s">
        <v>90</v>
      </c>
      <c r="AC825" t="s">
        <v>90</v>
      </c>
      <c r="AD825" t="s">
        <v>90</v>
      </c>
      <c r="AE825" t="s">
        <v>82</v>
      </c>
      <c r="AF825" t="s">
        <v>90</v>
      </c>
      <c r="AG825" t="s">
        <v>90</v>
      </c>
      <c r="AH825" t="s">
        <v>90</v>
      </c>
      <c r="AI825" t="s">
        <v>127</v>
      </c>
      <c r="AJ825" t="s">
        <v>127</v>
      </c>
      <c r="AL825" t="s">
        <v>96</v>
      </c>
      <c r="AM825" t="s">
        <v>87</v>
      </c>
      <c r="AN825" t="s">
        <v>74</v>
      </c>
      <c r="AO825" t="s">
        <v>74</v>
      </c>
      <c r="AP825" t="s">
        <v>74</v>
      </c>
      <c r="AQ825" t="s">
        <v>74</v>
      </c>
      <c r="AR825" t="s">
        <v>97</v>
      </c>
      <c r="AS825" t="s">
        <v>76</v>
      </c>
      <c r="AT825" t="s">
        <v>96</v>
      </c>
      <c r="AU825">
        <v>0</v>
      </c>
      <c r="AV825">
        <v>1</v>
      </c>
      <c r="AW825">
        <v>0</v>
      </c>
      <c r="AX825">
        <v>0</v>
      </c>
      <c r="AY825">
        <v>0</v>
      </c>
      <c r="AZ825" t="s">
        <v>581</v>
      </c>
    </row>
    <row r="826" spans="1:52" x14ac:dyDescent="0.2">
      <c r="A826">
        <v>0</v>
      </c>
      <c r="B826">
        <v>1</v>
      </c>
      <c r="C826">
        <v>0</v>
      </c>
      <c r="D826">
        <v>0</v>
      </c>
      <c r="E826">
        <v>0</v>
      </c>
      <c r="F826">
        <v>0</v>
      </c>
      <c r="G826">
        <v>1</v>
      </c>
      <c r="H826">
        <v>0</v>
      </c>
      <c r="I826">
        <v>0</v>
      </c>
      <c r="J826" t="s">
        <v>79</v>
      </c>
      <c r="K826" t="s">
        <v>80</v>
      </c>
      <c r="L826">
        <v>0</v>
      </c>
      <c r="M826">
        <v>0</v>
      </c>
      <c r="N826">
        <v>0</v>
      </c>
      <c r="O826">
        <v>0</v>
      </c>
      <c r="P826">
        <v>1</v>
      </c>
      <c r="Q826" t="s">
        <v>584</v>
      </c>
      <c r="AA826" t="s">
        <v>83</v>
      </c>
      <c r="AB826" t="s">
        <v>82</v>
      </c>
      <c r="AC826" t="s">
        <v>83</v>
      </c>
      <c r="AD826" t="s">
        <v>82</v>
      </c>
      <c r="AE826" t="s">
        <v>82</v>
      </c>
      <c r="AF826" t="s">
        <v>83</v>
      </c>
      <c r="AG826" t="s">
        <v>83</v>
      </c>
      <c r="AH826" t="s">
        <v>81</v>
      </c>
      <c r="AI826" t="s">
        <v>135</v>
      </c>
      <c r="AJ826" t="s">
        <v>80</v>
      </c>
      <c r="AK826" t="s">
        <v>85</v>
      </c>
      <c r="AL826" t="s">
        <v>73</v>
      </c>
      <c r="AM826" t="s">
        <v>74</v>
      </c>
      <c r="AR826" t="s">
        <v>75</v>
      </c>
      <c r="AS826" t="s">
        <v>76</v>
      </c>
      <c r="AT826" t="s">
        <v>73</v>
      </c>
      <c r="AU826">
        <v>0</v>
      </c>
      <c r="AV826">
        <v>0</v>
      </c>
      <c r="AW826">
        <v>1</v>
      </c>
      <c r="AX826">
        <v>0</v>
      </c>
      <c r="AY826">
        <v>0</v>
      </c>
      <c r="AZ826" t="s">
        <v>578</v>
      </c>
    </row>
    <row r="827" spans="1:52" x14ac:dyDescent="0.2">
      <c r="A827">
        <v>1</v>
      </c>
      <c r="B827">
        <v>0</v>
      </c>
      <c r="C827">
        <v>0</v>
      </c>
      <c r="D827">
        <v>0</v>
      </c>
      <c r="E827">
        <v>0</v>
      </c>
      <c r="F827">
        <v>1</v>
      </c>
      <c r="G827">
        <v>1</v>
      </c>
      <c r="H827">
        <v>1</v>
      </c>
      <c r="I827">
        <v>0</v>
      </c>
      <c r="J827" t="s">
        <v>88</v>
      </c>
      <c r="K827" t="s">
        <v>89</v>
      </c>
      <c r="L827">
        <v>0</v>
      </c>
      <c r="M827">
        <v>0</v>
      </c>
      <c r="N827">
        <v>1</v>
      </c>
      <c r="O827">
        <v>0</v>
      </c>
      <c r="P827">
        <v>0</v>
      </c>
      <c r="Q827" t="s">
        <v>584</v>
      </c>
      <c r="AA827" t="s">
        <v>81</v>
      </c>
      <c r="AB827" t="s">
        <v>82</v>
      </c>
      <c r="AC827" t="s">
        <v>82</v>
      </c>
      <c r="AD827" t="s">
        <v>81</v>
      </c>
      <c r="AE827" t="s">
        <v>83</v>
      </c>
      <c r="AF827" t="s">
        <v>83</v>
      </c>
      <c r="AG827" t="s">
        <v>83</v>
      </c>
      <c r="AH827" t="s">
        <v>83</v>
      </c>
      <c r="AI827" t="s">
        <v>88</v>
      </c>
      <c r="AJ827" t="s">
        <v>89</v>
      </c>
      <c r="AK827" t="s">
        <v>100</v>
      </c>
      <c r="AL827" t="s">
        <v>73</v>
      </c>
      <c r="AM827" t="s">
        <v>87</v>
      </c>
      <c r="AN827" t="s">
        <v>87</v>
      </c>
      <c r="AO827" t="s">
        <v>87</v>
      </c>
      <c r="AP827" t="s">
        <v>87</v>
      </c>
      <c r="AQ827" t="s">
        <v>87</v>
      </c>
      <c r="AR827" t="s">
        <v>75</v>
      </c>
      <c r="AS827" t="s">
        <v>92</v>
      </c>
      <c r="AT827" t="s">
        <v>73</v>
      </c>
      <c r="AU827">
        <v>0</v>
      </c>
      <c r="AV827">
        <v>1</v>
      </c>
      <c r="AW827">
        <v>0</v>
      </c>
      <c r="AX827">
        <v>0</v>
      </c>
      <c r="AY827">
        <v>0</v>
      </c>
      <c r="AZ827" t="s">
        <v>578</v>
      </c>
    </row>
    <row r="828" spans="1:52" x14ac:dyDescent="0.2">
      <c r="A828">
        <v>1</v>
      </c>
      <c r="B828">
        <v>0</v>
      </c>
      <c r="C828">
        <v>0</v>
      </c>
      <c r="D828">
        <v>0</v>
      </c>
      <c r="E828">
        <v>0</v>
      </c>
      <c r="F828">
        <v>1</v>
      </c>
      <c r="G828">
        <v>0</v>
      </c>
      <c r="H828">
        <v>0</v>
      </c>
      <c r="I828">
        <v>0</v>
      </c>
      <c r="J828" t="s">
        <v>88</v>
      </c>
      <c r="K828" t="s">
        <v>89</v>
      </c>
      <c r="L828">
        <v>0</v>
      </c>
      <c r="M828">
        <v>0</v>
      </c>
      <c r="N828">
        <v>1</v>
      </c>
      <c r="O828">
        <v>0</v>
      </c>
      <c r="P828">
        <v>0</v>
      </c>
      <c r="Q828" t="s">
        <v>584</v>
      </c>
      <c r="AA828" t="s">
        <v>81</v>
      </c>
      <c r="AB828" t="s">
        <v>82</v>
      </c>
      <c r="AC828" t="s">
        <v>83</v>
      </c>
      <c r="AD828" t="s">
        <v>81</v>
      </c>
      <c r="AE828" t="s">
        <v>82</v>
      </c>
      <c r="AF828" t="s">
        <v>83</v>
      </c>
      <c r="AG828" t="s">
        <v>83</v>
      </c>
      <c r="AH828" t="s">
        <v>83</v>
      </c>
      <c r="AI828" t="s">
        <v>88</v>
      </c>
      <c r="AJ828" t="s">
        <v>89</v>
      </c>
      <c r="AK828" t="s">
        <v>85</v>
      </c>
      <c r="AL828" t="s">
        <v>73</v>
      </c>
      <c r="AM828" t="s">
        <v>87</v>
      </c>
      <c r="AN828" t="s">
        <v>87</v>
      </c>
      <c r="AO828" t="s">
        <v>87</v>
      </c>
      <c r="AP828" t="s">
        <v>87</v>
      </c>
      <c r="AQ828" t="s">
        <v>87</v>
      </c>
      <c r="AR828" t="s">
        <v>159</v>
      </c>
      <c r="AS828" t="s">
        <v>76</v>
      </c>
      <c r="AT828" t="s">
        <v>73</v>
      </c>
      <c r="AU828">
        <v>0</v>
      </c>
      <c r="AV828">
        <v>1</v>
      </c>
      <c r="AW828">
        <v>0</v>
      </c>
      <c r="AX828">
        <v>0</v>
      </c>
      <c r="AY828">
        <v>0</v>
      </c>
      <c r="AZ828" t="s">
        <v>578</v>
      </c>
    </row>
    <row r="829" spans="1:52" x14ac:dyDescent="0.2">
      <c r="A829">
        <v>1</v>
      </c>
      <c r="B829">
        <v>0</v>
      </c>
      <c r="C829">
        <v>0</v>
      </c>
      <c r="D829">
        <v>0</v>
      </c>
      <c r="E829">
        <v>1</v>
      </c>
      <c r="F829">
        <v>0</v>
      </c>
      <c r="G829">
        <v>0</v>
      </c>
      <c r="H829">
        <v>0</v>
      </c>
      <c r="I829">
        <v>0</v>
      </c>
      <c r="L829">
        <v>1</v>
      </c>
      <c r="M829">
        <v>0</v>
      </c>
      <c r="N829">
        <v>0</v>
      </c>
      <c r="O829">
        <v>0</v>
      </c>
      <c r="P829">
        <v>0</v>
      </c>
      <c r="Q829" t="s">
        <v>584</v>
      </c>
      <c r="R829">
        <v>0</v>
      </c>
      <c r="S829">
        <v>1</v>
      </c>
      <c r="T829">
        <v>0</v>
      </c>
      <c r="U829">
        <v>0</v>
      </c>
      <c r="V829">
        <v>0</v>
      </c>
      <c r="W829">
        <v>0</v>
      </c>
      <c r="X829">
        <v>0</v>
      </c>
      <c r="Y829">
        <v>0</v>
      </c>
      <c r="Z829">
        <v>0</v>
      </c>
      <c r="AL829" t="s">
        <v>73</v>
      </c>
      <c r="AM829" t="s">
        <v>86</v>
      </c>
      <c r="AN829" t="s">
        <v>74</v>
      </c>
      <c r="AO829" t="s">
        <v>74</v>
      </c>
      <c r="AP829" t="s">
        <v>87</v>
      </c>
      <c r="AQ829" t="s">
        <v>74</v>
      </c>
      <c r="AR829" t="s">
        <v>75</v>
      </c>
      <c r="AS829" t="s">
        <v>76</v>
      </c>
      <c r="AT829" t="s">
        <v>73</v>
      </c>
      <c r="AU829">
        <v>1</v>
      </c>
      <c r="AV829">
        <v>0</v>
      </c>
      <c r="AW829">
        <v>0</v>
      </c>
      <c r="AX829">
        <v>0</v>
      </c>
      <c r="AY829">
        <v>0</v>
      </c>
      <c r="AZ829" t="s">
        <v>580</v>
      </c>
    </row>
    <row r="830" spans="1:52" x14ac:dyDescent="0.2">
      <c r="A830">
        <v>1</v>
      </c>
      <c r="B830">
        <v>0</v>
      </c>
      <c r="C830">
        <v>0</v>
      </c>
      <c r="D830">
        <v>0</v>
      </c>
      <c r="E830">
        <v>1</v>
      </c>
      <c r="F830">
        <v>0</v>
      </c>
      <c r="G830">
        <v>0</v>
      </c>
      <c r="H830">
        <v>0</v>
      </c>
      <c r="I830">
        <v>0</v>
      </c>
      <c r="L830">
        <v>0</v>
      </c>
      <c r="M830">
        <v>0</v>
      </c>
      <c r="N830">
        <v>1</v>
      </c>
      <c r="O830">
        <v>0</v>
      </c>
      <c r="P830">
        <v>0</v>
      </c>
      <c r="Q830" t="s">
        <v>584</v>
      </c>
      <c r="AA830" t="s">
        <v>83</v>
      </c>
      <c r="AB830" t="s">
        <v>81</v>
      </c>
      <c r="AC830" t="s">
        <v>83</v>
      </c>
      <c r="AD830" t="s">
        <v>83</v>
      </c>
      <c r="AE830" t="s">
        <v>82</v>
      </c>
      <c r="AF830" t="s">
        <v>83</v>
      </c>
      <c r="AG830" t="s">
        <v>83</v>
      </c>
      <c r="AH830" t="s">
        <v>81</v>
      </c>
      <c r="AI830" t="s">
        <v>135</v>
      </c>
      <c r="AJ830" t="s">
        <v>80</v>
      </c>
      <c r="AK830" t="s">
        <v>117</v>
      </c>
      <c r="AL830" t="s">
        <v>96</v>
      </c>
      <c r="AM830" t="s">
        <v>87</v>
      </c>
      <c r="AN830" t="s">
        <v>86</v>
      </c>
      <c r="AO830" t="s">
        <v>86</v>
      </c>
      <c r="AP830" t="s">
        <v>86</v>
      </c>
      <c r="AQ830" t="s">
        <v>86</v>
      </c>
      <c r="AR830" t="s">
        <v>113</v>
      </c>
      <c r="AS830" t="s">
        <v>76</v>
      </c>
      <c r="AT830" t="s">
        <v>96</v>
      </c>
      <c r="AU830">
        <v>1</v>
      </c>
      <c r="AV830">
        <v>0</v>
      </c>
      <c r="AW830">
        <v>0</v>
      </c>
      <c r="AX830">
        <v>0</v>
      </c>
      <c r="AY830">
        <v>0</v>
      </c>
      <c r="AZ830" t="s">
        <v>578</v>
      </c>
    </row>
    <row r="831" spans="1:52" x14ac:dyDescent="0.2">
      <c r="A831">
        <v>0</v>
      </c>
      <c r="B831">
        <v>1</v>
      </c>
      <c r="C831">
        <v>0</v>
      </c>
      <c r="D831">
        <v>0</v>
      </c>
      <c r="E831">
        <v>1</v>
      </c>
      <c r="F831">
        <v>0</v>
      </c>
      <c r="G831">
        <v>0</v>
      </c>
      <c r="H831">
        <v>0</v>
      </c>
      <c r="I831">
        <v>0</v>
      </c>
      <c r="L831">
        <v>1</v>
      </c>
      <c r="M831">
        <v>0</v>
      </c>
      <c r="N831">
        <v>0</v>
      </c>
      <c r="O831">
        <v>0</v>
      </c>
      <c r="P831">
        <v>0</v>
      </c>
      <c r="Q831" t="s">
        <v>584</v>
      </c>
      <c r="R831">
        <v>0</v>
      </c>
      <c r="S831">
        <v>1</v>
      </c>
      <c r="T831">
        <v>0</v>
      </c>
      <c r="U831">
        <v>0</v>
      </c>
      <c r="V831">
        <v>0</v>
      </c>
      <c r="W831">
        <v>0</v>
      </c>
      <c r="X831">
        <v>0</v>
      </c>
      <c r="Y831">
        <v>0</v>
      </c>
      <c r="Z831">
        <v>0</v>
      </c>
      <c r="AL831" t="s">
        <v>96</v>
      </c>
      <c r="AM831" t="s">
        <v>86</v>
      </c>
      <c r="AN831" t="s">
        <v>86</v>
      </c>
      <c r="AO831" t="s">
        <v>86</v>
      </c>
      <c r="AP831" t="s">
        <v>87</v>
      </c>
      <c r="AQ831" t="s">
        <v>87</v>
      </c>
      <c r="AR831" t="s">
        <v>75</v>
      </c>
      <c r="AS831" t="s">
        <v>76</v>
      </c>
      <c r="AT831" t="s">
        <v>96</v>
      </c>
      <c r="AU831">
        <v>1</v>
      </c>
      <c r="AV831">
        <v>0</v>
      </c>
      <c r="AW831">
        <v>0</v>
      </c>
      <c r="AX831">
        <v>0</v>
      </c>
      <c r="AY831">
        <v>0</v>
      </c>
      <c r="AZ831" t="s">
        <v>580</v>
      </c>
    </row>
    <row r="832" spans="1:52" x14ac:dyDescent="0.2">
      <c r="A832">
        <v>1</v>
      </c>
      <c r="B832">
        <v>0</v>
      </c>
      <c r="C832">
        <v>0</v>
      </c>
      <c r="D832">
        <v>0</v>
      </c>
      <c r="E832">
        <v>0</v>
      </c>
      <c r="F832">
        <v>1</v>
      </c>
      <c r="G832">
        <v>0</v>
      </c>
      <c r="H832">
        <v>0</v>
      </c>
      <c r="I832">
        <v>0</v>
      </c>
      <c r="J832" t="s">
        <v>88</v>
      </c>
      <c r="K832" t="s">
        <v>89</v>
      </c>
      <c r="L832">
        <v>0</v>
      </c>
      <c r="M832">
        <v>1</v>
      </c>
      <c r="N832">
        <v>0</v>
      </c>
      <c r="O832">
        <v>0</v>
      </c>
      <c r="P832">
        <v>0</v>
      </c>
      <c r="Q832" t="s">
        <v>584</v>
      </c>
      <c r="AA832" t="s">
        <v>81</v>
      </c>
      <c r="AB832" t="s">
        <v>82</v>
      </c>
      <c r="AC832" t="s">
        <v>83</v>
      </c>
      <c r="AD832" t="s">
        <v>83</v>
      </c>
      <c r="AE832" t="s">
        <v>82</v>
      </c>
      <c r="AF832" t="s">
        <v>81</v>
      </c>
      <c r="AG832" t="s">
        <v>83</v>
      </c>
      <c r="AH832" t="s">
        <v>83</v>
      </c>
      <c r="AI832" t="s">
        <v>88</v>
      </c>
      <c r="AJ832" t="s">
        <v>89</v>
      </c>
      <c r="AK832" t="s">
        <v>85</v>
      </c>
      <c r="AL832" t="s">
        <v>73</v>
      </c>
      <c r="AM832" t="s">
        <v>87</v>
      </c>
      <c r="AN832" t="s">
        <v>86</v>
      </c>
      <c r="AO832" t="s">
        <v>87</v>
      </c>
      <c r="AP832" t="s">
        <v>86</v>
      </c>
      <c r="AQ832" t="s">
        <v>87</v>
      </c>
      <c r="AR832" t="s">
        <v>97</v>
      </c>
      <c r="AS832" t="s">
        <v>76</v>
      </c>
      <c r="AT832" t="s">
        <v>73</v>
      </c>
      <c r="AU832">
        <v>1</v>
      </c>
      <c r="AV832">
        <v>0</v>
      </c>
      <c r="AW832">
        <v>0</v>
      </c>
      <c r="AX832">
        <v>0</v>
      </c>
      <c r="AY832">
        <v>0</v>
      </c>
      <c r="AZ832" t="s">
        <v>580</v>
      </c>
    </row>
    <row r="833" spans="1:52" x14ac:dyDescent="0.2">
      <c r="A833">
        <v>0</v>
      </c>
      <c r="B833">
        <v>1</v>
      </c>
      <c r="C833">
        <v>0</v>
      </c>
      <c r="D833">
        <v>0</v>
      </c>
      <c r="E833">
        <v>0</v>
      </c>
      <c r="F833">
        <v>1</v>
      </c>
      <c r="G833">
        <v>0</v>
      </c>
      <c r="H833">
        <v>0</v>
      </c>
      <c r="I833">
        <v>0</v>
      </c>
      <c r="J833" t="s">
        <v>88</v>
      </c>
      <c r="K833" t="s">
        <v>89</v>
      </c>
      <c r="L833">
        <v>0</v>
      </c>
      <c r="M833">
        <v>0</v>
      </c>
      <c r="N833">
        <v>0</v>
      </c>
      <c r="O833">
        <v>0</v>
      </c>
      <c r="P833">
        <v>0</v>
      </c>
      <c r="Q833" t="s">
        <v>585</v>
      </c>
      <c r="AA833" t="s">
        <v>83</v>
      </c>
      <c r="AB833" t="s">
        <v>82</v>
      </c>
      <c r="AC833" t="s">
        <v>82</v>
      </c>
      <c r="AD833" t="s">
        <v>82</v>
      </c>
      <c r="AE833" t="s">
        <v>81</v>
      </c>
      <c r="AF833" t="s">
        <v>83</v>
      </c>
      <c r="AG833" t="s">
        <v>83</v>
      </c>
      <c r="AH833" t="s">
        <v>83</v>
      </c>
      <c r="AI833" t="s">
        <v>88</v>
      </c>
      <c r="AJ833" t="s">
        <v>89</v>
      </c>
      <c r="AK833" t="s">
        <v>100</v>
      </c>
      <c r="AL833" t="s">
        <v>73</v>
      </c>
      <c r="AM833" t="s">
        <v>86</v>
      </c>
      <c r="AN833" t="s">
        <v>74</v>
      </c>
      <c r="AO833" t="s">
        <v>87</v>
      </c>
      <c r="AP833" t="s">
        <v>87</v>
      </c>
      <c r="AQ833" t="s">
        <v>74</v>
      </c>
      <c r="AR833" t="s">
        <v>113</v>
      </c>
      <c r="AS833" t="s">
        <v>76</v>
      </c>
      <c r="AT833" t="s">
        <v>73</v>
      </c>
      <c r="AU833">
        <v>1</v>
      </c>
      <c r="AV833">
        <v>0</v>
      </c>
      <c r="AW833">
        <v>0</v>
      </c>
      <c r="AX833">
        <v>0</v>
      </c>
      <c r="AY833">
        <v>0</v>
      </c>
      <c r="AZ833" t="s">
        <v>579</v>
      </c>
    </row>
    <row r="834" spans="1:52" x14ac:dyDescent="0.2">
      <c r="A834">
        <v>0</v>
      </c>
      <c r="B834">
        <v>1</v>
      </c>
      <c r="C834">
        <v>0</v>
      </c>
      <c r="D834">
        <v>0</v>
      </c>
      <c r="E834">
        <v>1</v>
      </c>
      <c r="F834">
        <v>0</v>
      </c>
      <c r="G834">
        <v>0</v>
      </c>
      <c r="H834">
        <v>0</v>
      </c>
      <c r="I834">
        <v>0</v>
      </c>
      <c r="L834">
        <v>1</v>
      </c>
      <c r="M834">
        <v>0</v>
      </c>
      <c r="N834">
        <v>0</v>
      </c>
      <c r="O834">
        <v>0</v>
      </c>
      <c r="P834">
        <v>0</v>
      </c>
      <c r="Q834" t="s">
        <v>584</v>
      </c>
      <c r="R834">
        <v>1</v>
      </c>
      <c r="S834">
        <v>0</v>
      </c>
      <c r="T834">
        <v>0</v>
      </c>
      <c r="U834">
        <v>0</v>
      </c>
      <c r="V834">
        <v>0</v>
      </c>
      <c r="W834">
        <v>0</v>
      </c>
      <c r="X834">
        <v>0</v>
      </c>
      <c r="Y834">
        <v>0</v>
      </c>
      <c r="Z834">
        <v>0</v>
      </c>
      <c r="AL834" t="s">
        <v>107</v>
      </c>
      <c r="AM834" t="s">
        <v>74</v>
      </c>
      <c r="AR834" t="s">
        <v>75</v>
      </c>
      <c r="AS834" t="s">
        <v>76</v>
      </c>
      <c r="AT834" t="s">
        <v>107</v>
      </c>
      <c r="AU834">
        <v>0</v>
      </c>
      <c r="AV834">
        <v>0</v>
      </c>
      <c r="AW834">
        <v>0</v>
      </c>
      <c r="AX834">
        <v>0</v>
      </c>
      <c r="AY834">
        <v>1</v>
      </c>
      <c r="AZ834" t="s">
        <v>579</v>
      </c>
    </row>
    <row r="835" spans="1:52" x14ac:dyDescent="0.2">
      <c r="A835">
        <v>1</v>
      </c>
      <c r="B835">
        <v>0</v>
      </c>
      <c r="C835">
        <v>0</v>
      </c>
      <c r="D835">
        <v>0</v>
      </c>
      <c r="E835">
        <v>0</v>
      </c>
      <c r="F835">
        <v>1</v>
      </c>
      <c r="G835">
        <v>1</v>
      </c>
      <c r="H835">
        <v>1</v>
      </c>
      <c r="I835">
        <v>0</v>
      </c>
      <c r="J835" t="s">
        <v>79</v>
      </c>
      <c r="K835" t="s">
        <v>80</v>
      </c>
      <c r="L835">
        <v>0</v>
      </c>
      <c r="M835">
        <v>1</v>
      </c>
      <c r="N835">
        <v>1</v>
      </c>
      <c r="O835">
        <v>0</v>
      </c>
      <c r="P835">
        <v>0</v>
      </c>
      <c r="Q835" t="s">
        <v>584</v>
      </c>
      <c r="AA835" t="s">
        <v>83</v>
      </c>
      <c r="AB835" t="s">
        <v>82</v>
      </c>
      <c r="AC835" t="s">
        <v>81</v>
      </c>
      <c r="AD835" t="s">
        <v>81</v>
      </c>
      <c r="AE835" t="s">
        <v>81</v>
      </c>
      <c r="AF835" t="s">
        <v>83</v>
      </c>
      <c r="AG835" t="s">
        <v>83</v>
      </c>
      <c r="AH835" t="s">
        <v>81</v>
      </c>
      <c r="AI835" t="s">
        <v>84</v>
      </c>
      <c r="AJ835" t="s">
        <v>80</v>
      </c>
      <c r="AK835" t="s">
        <v>100</v>
      </c>
      <c r="AL835" t="s">
        <v>96</v>
      </c>
      <c r="AM835" t="s">
        <v>87</v>
      </c>
      <c r="AN835" t="s">
        <v>87</v>
      </c>
      <c r="AO835" t="s">
        <v>87</v>
      </c>
      <c r="AP835" t="s">
        <v>87</v>
      </c>
      <c r="AQ835" t="s">
        <v>87</v>
      </c>
      <c r="AR835" t="s">
        <v>75</v>
      </c>
      <c r="AS835" t="s">
        <v>76</v>
      </c>
      <c r="AT835" t="s">
        <v>96</v>
      </c>
      <c r="AU835">
        <v>1</v>
      </c>
      <c r="AV835">
        <v>0</v>
      </c>
      <c r="AW835">
        <v>0</v>
      </c>
      <c r="AX835">
        <v>0</v>
      </c>
      <c r="AY835">
        <v>0</v>
      </c>
      <c r="AZ835" t="s">
        <v>578</v>
      </c>
    </row>
    <row r="836" spans="1:52" x14ac:dyDescent="0.2">
      <c r="A836">
        <v>1</v>
      </c>
      <c r="B836">
        <v>0</v>
      </c>
      <c r="C836">
        <v>0</v>
      </c>
      <c r="D836">
        <v>0</v>
      </c>
      <c r="E836">
        <v>1</v>
      </c>
      <c r="F836">
        <v>0</v>
      </c>
      <c r="G836">
        <v>0</v>
      </c>
      <c r="H836">
        <v>0</v>
      </c>
      <c r="I836">
        <v>0</v>
      </c>
      <c r="L836">
        <v>0</v>
      </c>
      <c r="M836">
        <v>0</v>
      </c>
      <c r="N836">
        <v>1</v>
      </c>
      <c r="O836">
        <v>0</v>
      </c>
      <c r="P836">
        <v>0</v>
      </c>
      <c r="Q836" t="s">
        <v>584</v>
      </c>
      <c r="AA836" t="s">
        <v>81</v>
      </c>
      <c r="AB836" t="s">
        <v>82</v>
      </c>
      <c r="AC836" t="s">
        <v>90</v>
      </c>
      <c r="AD836" t="s">
        <v>82</v>
      </c>
      <c r="AE836" t="s">
        <v>82</v>
      </c>
      <c r="AF836" t="s">
        <v>83</v>
      </c>
      <c r="AG836" t="s">
        <v>83</v>
      </c>
      <c r="AH836" t="s">
        <v>81</v>
      </c>
      <c r="AI836" t="s">
        <v>88</v>
      </c>
      <c r="AJ836" t="s">
        <v>89</v>
      </c>
      <c r="AK836" t="s">
        <v>85</v>
      </c>
      <c r="AL836" t="s">
        <v>96</v>
      </c>
      <c r="AM836" t="s">
        <v>86</v>
      </c>
      <c r="AN836" t="s">
        <v>86</v>
      </c>
      <c r="AO836" t="s">
        <v>86</v>
      </c>
      <c r="AP836" t="s">
        <v>74</v>
      </c>
      <c r="AQ836" t="s">
        <v>86</v>
      </c>
      <c r="AR836" t="s">
        <v>113</v>
      </c>
      <c r="AS836" t="s">
        <v>92</v>
      </c>
      <c r="AT836" t="s">
        <v>96</v>
      </c>
      <c r="AU836">
        <v>0</v>
      </c>
      <c r="AV836">
        <v>0</v>
      </c>
      <c r="AW836">
        <v>0</v>
      </c>
      <c r="AX836">
        <v>1</v>
      </c>
      <c r="AY836">
        <v>0</v>
      </c>
      <c r="AZ836" t="s">
        <v>577</v>
      </c>
    </row>
    <row r="837" spans="1:52" x14ac:dyDescent="0.2">
      <c r="A837">
        <v>1</v>
      </c>
      <c r="B837">
        <v>0</v>
      </c>
      <c r="C837">
        <v>0</v>
      </c>
      <c r="D837">
        <v>0</v>
      </c>
      <c r="E837">
        <v>0</v>
      </c>
      <c r="F837">
        <v>1</v>
      </c>
      <c r="G837">
        <v>0</v>
      </c>
      <c r="H837">
        <v>1</v>
      </c>
      <c r="I837">
        <v>0</v>
      </c>
      <c r="J837" t="s">
        <v>88</v>
      </c>
      <c r="K837" t="s">
        <v>142</v>
      </c>
      <c r="L837">
        <v>0</v>
      </c>
      <c r="M837">
        <v>1</v>
      </c>
      <c r="N837">
        <v>0</v>
      </c>
      <c r="O837">
        <v>0</v>
      </c>
      <c r="P837">
        <v>0</v>
      </c>
      <c r="Q837" t="s">
        <v>584</v>
      </c>
      <c r="AA837" t="s">
        <v>83</v>
      </c>
      <c r="AB837" t="s">
        <v>82</v>
      </c>
      <c r="AC837" t="s">
        <v>81</v>
      </c>
      <c r="AD837" t="s">
        <v>83</v>
      </c>
      <c r="AE837" t="s">
        <v>82</v>
      </c>
      <c r="AF837" t="s">
        <v>81</v>
      </c>
      <c r="AG837" t="s">
        <v>81</v>
      </c>
      <c r="AH837" t="s">
        <v>81</v>
      </c>
      <c r="AI837" t="s">
        <v>88</v>
      </c>
      <c r="AJ837" t="s">
        <v>89</v>
      </c>
      <c r="AK837" t="s">
        <v>100</v>
      </c>
      <c r="AL837" t="s">
        <v>73</v>
      </c>
      <c r="AM837" t="s">
        <v>87</v>
      </c>
      <c r="AN837" t="s">
        <v>74</v>
      </c>
      <c r="AO837" t="s">
        <v>87</v>
      </c>
      <c r="AP837" t="s">
        <v>87</v>
      </c>
      <c r="AQ837" t="s">
        <v>86</v>
      </c>
      <c r="AR837" t="s">
        <v>75</v>
      </c>
      <c r="AS837" t="s">
        <v>76</v>
      </c>
      <c r="AT837" t="s">
        <v>73</v>
      </c>
      <c r="AU837">
        <v>1</v>
      </c>
      <c r="AV837">
        <v>0</v>
      </c>
      <c r="AW837">
        <v>0</v>
      </c>
      <c r="AX837">
        <v>0</v>
      </c>
      <c r="AY837">
        <v>0</v>
      </c>
      <c r="AZ837" t="s">
        <v>579</v>
      </c>
    </row>
    <row r="838" spans="1:52" x14ac:dyDescent="0.2">
      <c r="A838">
        <v>0</v>
      </c>
      <c r="B838">
        <v>1</v>
      </c>
      <c r="C838">
        <v>0</v>
      </c>
      <c r="D838">
        <v>0</v>
      </c>
      <c r="E838">
        <v>0</v>
      </c>
      <c r="F838">
        <v>1</v>
      </c>
      <c r="G838">
        <v>1</v>
      </c>
      <c r="H838">
        <v>0</v>
      </c>
      <c r="I838">
        <v>0</v>
      </c>
      <c r="J838" t="s">
        <v>88</v>
      </c>
      <c r="K838" t="s">
        <v>89</v>
      </c>
      <c r="L838">
        <v>0</v>
      </c>
      <c r="M838">
        <v>0</v>
      </c>
      <c r="N838">
        <v>0</v>
      </c>
      <c r="O838">
        <v>0</v>
      </c>
      <c r="P838">
        <v>1</v>
      </c>
      <c r="Q838" t="s">
        <v>585</v>
      </c>
      <c r="AA838" t="s">
        <v>83</v>
      </c>
      <c r="AB838" t="s">
        <v>82</v>
      </c>
      <c r="AC838" t="s">
        <v>83</v>
      </c>
      <c r="AD838" t="s">
        <v>81</v>
      </c>
      <c r="AE838" t="s">
        <v>81</v>
      </c>
      <c r="AF838" t="s">
        <v>83</v>
      </c>
      <c r="AG838" t="s">
        <v>83</v>
      </c>
      <c r="AH838" t="s">
        <v>83</v>
      </c>
      <c r="AI838" t="s">
        <v>88</v>
      </c>
      <c r="AJ838" t="s">
        <v>89</v>
      </c>
      <c r="AK838" t="s">
        <v>117</v>
      </c>
      <c r="AL838" t="s">
        <v>107</v>
      </c>
      <c r="AM838" t="s">
        <v>86</v>
      </c>
      <c r="AN838" t="s">
        <v>86</v>
      </c>
      <c r="AO838" t="s">
        <v>86</v>
      </c>
      <c r="AP838" t="s">
        <v>74</v>
      </c>
      <c r="AQ838" t="s">
        <v>86</v>
      </c>
      <c r="AR838" t="s">
        <v>159</v>
      </c>
      <c r="AS838" t="s">
        <v>76</v>
      </c>
      <c r="AT838" t="s">
        <v>107</v>
      </c>
      <c r="AU838">
        <v>1</v>
      </c>
      <c r="AV838">
        <v>0</v>
      </c>
      <c r="AW838">
        <v>0</v>
      </c>
      <c r="AX838">
        <v>0</v>
      </c>
      <c r="AY838">
        <v>0</v>
      </c>
      <c r="AZ838" t="s">
        <v>579</v>
      </c>
    </row>
    <row r="839" spans="1:52" x14ac:dyDescent="0.2">
      <c r="A839">
        <v>1</v>
      </c>
      <c r="B839">
        <v>0</v>
      </c>
      <c r="C839">
        <v>0</v>
      </c>
      <c r="D839">
        <v>0</v>
      </c>
      <c r="E839">
        <v>0</v>
      </c>
      <c r="F839">
        <v>1</v>
      </c>
      <c r="G839">
        <v>0</v>
      </c>
      <c r="H839">
        <v>0</v>
      </c>
      <c r="I839">
        <v>0</v>
      </c>
      <c r="J839" t="s">
        <v>88</v>
      </c>
      <c r="K839" t="s">
        <v>89</v>
      </c>
      <c r="L839">
        <v>0</v>
      </c>
      <c r="M839">
        <v>0</v>
      </c>
      <c r="N839">
        <v>1</v>
      </c>
      <c r="O839">
        <v>0</v>
      </c>
      <c r="P839">
        <v>0</v>
      </c>
      <c r="Q839" t="s">
        <v>584</v>
      </c>
      <c r="AA839" t="s">
        <v>83</v>
      </c>
      <c r="AB839" t="s">
        <v>82</v>
      </c>
      <c r="AC839" t="s">
        <v>81</v>
      </c>
      <c r="AD839" t="s">
        <v>83</v>
      </c>
      <c r="AE839" t="s">
        <v>81</v>
      </c>
      <c r="AF839" t="s">
        <v>83</v>
      </c>
      <c r="AG839" t="s">
        <v>83</v>
      </c>
      <c r="AH839" t="s">
        <v>83</v>
      </c>
      <c r="AI839" t="s">
        <v>88</v>
      </c>
      <c r="AJ839" t="s">
        <v>89</v>
      </c>
      <c r="AK839" t="s">
        <v>85</v>
      </c>
      <c r="AL839" t="s">
        <v>107</v>
      </c>
      <c r="AM839" t="s">
        <v>86</v>
      </c>
      <c r="AN839" t="s">
        <v>87</v>
      </c>
      <c r="AO839" t="s">
        <v>87</v>
      </c>
      <c r="AP839" t="s">
        <v>87</v>
      </c>
      <c r="AQ839" t="s">
        <v>87</v>
      </c>
      <c r="AR839" t="s">
        <v>75</v>
      </c>
      <c r="AS839" t="s">
        <v>76</v>
      </c>
      <c r="AT839" t="s">
        <v>107</v>
      </c>
      <c r="AU839">
        <v>0</v>
      </c>
      <c r="AV839">
        <v>0</v>
      </c>
      <c r="AW839">
        <v>0</v>
      </c>
      <c r="AX839">
        <v>1</v>
      </c>
      <c r="AY839">
        <v>0</v>
      </c>
      <c r="AZ839" t="s">
        <v>578</v>
      </c>
    </row>
    <row r="840" spans="1:52" x14ac:dyDescent="0.2">
      <c r="A840">
        <v>1</v>
      </c>
      <c r="B840">
        <v>0</v>
      </c>
      <c r="C840">
        <v>0</v>
      </c>
      <c r="D840">
        <v>0</v>
      </c>
      <c r="E840">
        <v>0</v>
      </c>
      <c r="F840">
        <v>1</v>
      </c>
      <c r="G840">
        <v>0</v>
      </c>
      <c r="H840">
        <v>0</v>
      </c>
      <c r="I840">
        <v>0</v>
      </c>
      <c r="J840" t="s">
        <v>88</v>
      </c>
      <c r="K840" t="s">
        <v>89</v>
      </c>
      <c r="L840">
        <v>0</v>
      </c>
      <c r="M840">
        <v>0</v>
      </c>
      <c r="N840">
        <v>1</v>
      </c>
      <c r="O840">
        <v>1</v>
      </c>
      <c r="P840">
        <v>0</v>
      </c>
      <c r="Q840" t="s">
        <v>584</v>
      </c>
      <c r="AA840" t="s">
        <v>81</v>
      </c>
      <c r="AB840" t="s">
        <v>82</v>
      </c>
      <c r="AC840" t="s">
        <v>83</v>
      </c>
      <c r="AD840" t="s">
        <v>81</v>
      </c>
      <c r="AE840" t="s">
        <v>82</v>
      </c>
      <c r="AF840" t="s">
        <v>81</v>
      </c>
      <c r="AG840" t="s">
        <v>81</v>
      </c>
      <c r="AH840" t="s">
        <v>83</v>
      </c>
      <c r="AI840" t="s">
        <v>88</v>
      </c>
      <c r="AJ840" t="s">
        <v>89</v>
      </c>
      <c r="AK840" t="s">
        <v>85</v>
      </c>
      <c r="AL840" t="s">
        <v>73</v>
      </c>
      <c r="AM840" t="s">
        <v>87</v>
      </c>
      <c r="AN840" t="s">
        <v>87</v>
      </c>
      <c r="AO840" t="s">
        <v>87</v>
      </c>
      <c r="AP840" t="s">
        <v>87</v>
      </c>
      <c r="AQ840" t="s">
        <v>86</v>
      </c>
      <c r="AR840" t="s">
        <v>97</v>
      </c>
      <c r="AS840" t="s">
        <v>76</v>
      </c>
      <c r="AT840" t="s">
        <v>73</v>
      </c>
      <c r="AU840">
        <v>1</v>
      </c>
      <c r="AV840">
        <v>0</v>
      </c>
      <c r="AW840">
        <v>0</v>
      </c>
      <c r="AX840">
        <v>0</v>
      </c>
      <c r="AY840">
        <v>0</v>
      </c>
      <c r="AZ840" t="s">
        <v>580</v>
      </c>
    </row>
    <row r="841" spans="1:52" x14ac:dyDescent="0.2">
      <c r="A841">
        <v>1</v>
      </c>
      <c r="B841">
        <v>0</v>
      </c>
      <c r="C841">
        <v>0</v>
      </c>
      <c r="D841">
        <v>0</v>
      </c>
      <c r="E841">
        <v>1</v>
      </c>
      <c r="F841">
        <v>0</v>
      </c>
      <c r="G841">
        <v>0</v>
      </c>
      <c r="H841">
        <v>0</v>
      </c>
      <c r="I841">
        <v>0</v>
      </c>
      <c r="L841">
        <v>1</v>
      </c>
      <c r="M841">
        <v>0</v>
      </c>
      <c r="N841">
        <v>0</v>
      </c>
      <c r="O841">
        <v>0</v>
      </c>
      <c r="P841">
        <v>0</v>
      </c>
      <c r="Q841" t="s">
        <v>584</v>
      </c>
      <c r="R841">
        <v>0</v>
      </c>
      <c r="S841">
        <v>0</v>
      </c>
      <c r="T841">
        <v>1</v>
      </c>
      <c r="U841">
        <v>0</v>
      </c>
      <c r="V841">
        <v>0</v>
      </c>
      <c r="W841">
        <v>0</v>
      </c>
      <c r="X841">
        <v>0</v>
      </c>
      <c r="Y841">
        <v>0</v>
      </c>
      <c r="Z841">
        <v>0</v>
      </c>
      <c r="AL841" t="s">
        <v>73</v>
      </c>
      <c r="AM841" t="s">
        <v>87</v>
      </c>
      <c r="AN841" t="s">
        <v>87</v>
      </c>
      <c r="AO841" t="s">
        <v>87</v>
      </c>
      <c r="AP841" t="s">
        <v>87</v>
      </c>
      <c r="AQ841" t="s">
        <v>87</v>
      </c>
      <c r="AR841" t="s">
        <v>75</v>
      </c>
      <c r="AS841" t="s">
        <v>76</v>
      </c>
      <c r="AT841" t="s">
        <v>73</v>
      </c>
      <c r="AU841">
        <v>1</v>
      </c>
      <c r="AV841">
        <v>0</v>
      </c>
      <c r="AW841">
        <v>0</v>
      </c>
      <c r="AX841">
        <v>0</v>
      </c>
      <c r="AY841">
        <v>0</v>
      </c>
      <c r="AZ841" t="s">
        <v>579</v>
      </c>
    </row>
    <row r="842" spans="1:52" x14ac:dyDescent="0.2">
      <c r="A842">
        <v>1</v>
      </c>
      <c r="B842">
        <v>0</v>
      </c>
      <c r="C842">
        <v>0</v>
      </c>
      <c r="D842">
        <v>0</v>
      </c>
      <c r="E842">
        <v>1</v>
      </c>
      <c r="F842">
        <v>0</v>
      </c>
      <c r="G842">
        <v>0</v>
      </c>
      <c r="H842">
        <v>0</v>
      </c>
      <c r="I842">
        <v>0</v>
      </c>
      <c r="L842">
        <v>1</v>
      </c>
      <c r="M842">
        <v>0</v>
      </c>
      <c r="N842">
        <v>0</v>
      </c>
      <c r="O842">
        <v>0</v>
      </c>
      <c r="P842">
        <v>0</v>
      </c>
      <c r="Q842" t="s">
        <v>584</v>
      </c>
      <c r="R842">
        <v>0</v>
      </c>
      <c r="S842">
        <v>1</v>
      </c>
      <c r="T842">
        <v>0</v>
      </c>
      <c r="U842">
        <v>0</v>
      </c>
      <c r="V842">
        <v>0</v>
      </c>
      <c r="W842">
        <v>0</v>
      </c>
      <c r="X842">
        <v>0</v>
      </c>
      <c r="Y842">
        <v>0</v>
      </c>
      <c r="Z842">
        <v>0</v>
      </c>
      <c r="AL842" t="s">
        <v>107</v>
      </c>
      <c r="AM842" t="s">
        <v>87</v>
      </c>
      <c r="AN842" t="s">
        <v>87</v>
      </c>
      <c r="AO842" t="s">
        <v>87</v>
      </c>
      <c r="AP842" t="s">
        <v>87</v>
      </c>
      <c r="AQ842" t="s">
        <v>87</v>
      </c>
      <c r="AR842" t="s">
        <v>75</v>
      </c>
      <c r="AS842" t="s">
        <v>76</v>
      </c>
      <c r="AT842" t="s">
        <v>107</v>
      </c>
      <c r="AU842">
        <v>0</v>
      </c>
      <c r="AV842">
        <v>0</v>
      </c>
      <c r="AW842">
        <v>0</v>
      </c>
      <c r="AX842">
        <v>1</v>
      </c>
      <c r="AY842">
        <v>0</v>
      </c>
      <c r="AZ842" t="s">
        <v>577</v>
      </c>
    </row>
    <row r="843" spans="1:52" x14ac:dyDescent="0.2">
      <c r="A843">
        <v>1</v>
      </c>
      <c r="B843">
        <v>0</v>
      </c>
      <c r="C843">
        <v>0</v>
      </c>
      <c r="D843">
        <v>0</v>
      </c>
      <c r="E843">
        <v>0</v>
      </c>
      <c r="F843">
        <v>1</v>
      </c>
      <c r="G843">
        <v>1</v>
      </c>
      <c r="H843">
        <v>0</v>
      </c>
      <c r="I843">
        <v>0</v>
      </c>
      <c r="J843" t="s">
        <v>88</v>
      </c>
      <c r="K843" t="s">
        <v>89</v>
      </c>
      <c r="L843">
        <v>0</v>
      </c>
      <c r="M843">
        <v>1</v>
      </c>
      <c r="N843">
        <v>1</v>
      </c>
      <c r="O843">
        <v>0</v>
      </c>
      <c r="P843">
        <v>0</v>
      </c>
      <c r="Q843" t="s">
        <v>584</v>
      </c>
      <c r="AA843" t="s">
        <v>82</v>
      </c>
      <c r="AB843" t="s">
        <v>82</v>
      </c>
      <c r="AC843" t="s">
        <v>83</v>
      </c>
      <c r="AD843" t="s">
        <v>82</v>
      </c>
      <c r="AE843" t="s">
        <v>82</v>
      </c>
      <c r="AF843" t="s">
        <v>82</v>
      </c>
      <c r="AG843" t="s">
        <v>81</v>
      </c>
      <c r="AH843" t="s">
        <v>82</v>
      </c>
      <c r="AI843" t="s">
        <v>88</v>
      </c>
      <c r="AJ843" t="s">
        <v>89</v>
      </c>
      <c r="AK843" t="s">
        <v>100</v>
      </c>
      <c r="AL843" t="s">
        <v>73</v>
      </c>
      <c r="AM843" t="s">
        <v>87</v>
      </c>
      <c r="AN843" t="s">
        <v>86</v>
      </c>
      <c r="AO843" t="s">
        <v>86</v>
      </c>
      <c r="AP843" t="s">
        <v>74</v>
      </c>
      <c r="AQ843" t="s">
        <v>86</v>
      </c>
      <c r="AR843" t="s">
        <v>75</v>
      </c>
      <c r="AS843" t="s">
        <v>76</v>
      </c>
      <c r="AT843" t="s">
        <v>73</v>
      </c>
      <c r="AU843">
        <v>1</v>
      </c>
      <c r="AV843">
        <v>0</v>
      </c>
      <c r="AW843">
        <v>0</v>
      </c>
      <c r="AX843">
        <v>0</v>
      </c>
      <c r="AY843">
        <v>0</v>
      </c>
      <c r="AZ843" t="s">
        <v>580</v>
      </c>
    </row>
    <row r="844" spans="1:52" x14ac:dyDescent="0.2">
      <c r="A844">
        <v>1</v>
      </c>
      <c r="B844">
        <v>0</v>
      </c>
      <c r="C844">
        <v>0</v>
      </c>
      <c r="D844">
        <v>0</v>
      </c>
      <c r="E844">
        <v>1</v>
      </c>
      <c r="F844">
        <v>0</v>
      </c>
      <c r="G844">
        <v>0</v>
      </c>
      <c r="H844">
        <v>0</v>
      </c>
      <c r="I844">
        <v>0</v>
      </c>
      <c r="L844">
        <v>0</v>
      </c>
      <c r="M844">
        <v>1</v>
      </c>
      <c r="N844">
        <v>0</v>
      </c>
      <c r="O844">
        <v>0</v>
      </c>
      <c r="P844">
        <v>0</v>
      </c>
      <c r="Q844" t="s">
        <v>584</v>
      </c>
      <c r="AA844" t="s">
        <v>83</v>
      </c>
      <c r="AB844" t="s">
        <v>82</v>
      </c>
      <c r="AC844" t="s">
        <v>82</v>
      </c>
      <c r="AD844" t="s">
        <v>82</v>
      </c>
      <c r="AE844" t="s">
        <v>83</v>
      </c>
      <c r="AF844" t="s">
        <v>83</v>
      </c>
      <c r="AG844" t="s">
        <v>83</v>
      </c>
      <c r="AH844" t="s">
        <v>83</v>
      </c>
      <c r="AI844" t="s">
        <v>127</v>
      </c>
      <c r="AJ844" t="s">
        <v>127</v>
      </c>
      <c r="AL844" t="s">
        <v>120</v>
      </c>
      <c r="AM844" t="s">
        <v>87</v>
      </c>
      <c r="AN844" t="s">
        <v>87</v>
      </c>
      <c r="AO844" t="s">
        <v>87</v>
      </c>
      <c r="AP844" t="s">
        <v>87</v>
      </c>
      <c r="AQ844" t="s">
        <v>74</v>
      </c>
      <c r="AR844" t="s">
        <v>113</v>
      </c>
      <c r="AS844" t="s">
        <v>76</v>
      </c>
      <c r="AT844" t="s">
        <v>120</v>
      </c>
      <c r="AU844">
        <v>1</v>
      </c>
      <c r="AV844">
        <v>0</v>
      </c>
      <c r="AW844">
        <v>0</v>
      </c>
      <c r="AX844">
        <v>0</v>
      </c>
      <c r="AY844">
        <v>0</v>
      </c>
      <c r="AZ844" t="s">
        <v>580</v>
      </c>
    </row>
    <row r="845" spans="1:52" x14ac:dyDescent="0.2">
      <c r="A845">
        <v>1</v>
      </c>
      <c r="B845">
        <v>0</v>
      </c>
      <c r="C845">
        <v>0</v>
      </c>
      <c r="D845">
        <v>0</v>
      </c>
      <c r="E845">
        <v>0</v>
      </c>
      <c r="F845">
        <v>1</v>
      </c>
      <c r="G845">
        <v>1</v>
      </c>
      <c r="H845">
        <v>1</v>
      </c>
      <c r="I845">
        <v>0</v>
      </c>
      <c r="J845" t="s">
        <v>79</v>
      </c>
      <c r="K845" t="s">
        <v>89</v>
      </c>
      <c r="L845">
        <v>0</v>
      </c>
      <c r="M845">
        <v>0</v>
      </c>
      <c r="N845">
        <v>1</v>
      </c>
      <c r="O845">
        <v>0</v>
      </c>
      <c r="P845">
        <v>0</v>
      </c>
      <c r="Q845" t="s">
        <v>584</v>
      </c>
      <c r="AA845" t="s">
        <v>83</v>
      </c>
      <c r="AB845" t="s">
        <v>82</v>
      </c>
      <c r="AC845" t="s">
        <v>81</v>
      </c>
      <c r="AD845" t="s">
        <v>81</v>
      </c>
      <c r="AE845" t="s">
        <v>81</v>
      </c>
      <c r="AF845" t="s">
        <v>83</v>
      </c>
      <c r="AG845" t="s">
        <v>83</v>
      </c>
      <c r="AH845" t="s">
        <v>81</v>
      </c>
      <c r="AI845" t="s">
        <v>135</v>
      </c>
      <c r="AJ845" t="s">
        <v>142</v>
      </c>
      <c r="AK845" t="s">
        <v>85</v>
      </c>
      <c r="AL845" t="s">
        <v>107</v>
      </c>
      <c r="AM845" t="s">
        <v>87</v>
      </c>
      <c r="AN845" t="s">
        <v>87</v>
      </c>
      <c r="AO845" t="s">
        <v>87</v>
      </c>
      <c r="AP845" t="s">
        <v>87</v>
      </c>
      <c r="AQ845" t="s">
        <v>87</v>
      </c>
      <c r="AR845" t="s">
        <v>75</v>
      </c>
      <c r="AS845" t="s">
        <v>76</v>
      </c>
      <c r="AT845" t="s">
        <v>107</v>
      </c>
      <c r="AU845">
        <v>0</v>
      </c>
      <c r="AV845">
        <v>0</v>
      </c>
      <c r="AW845">
        <v>0</v>
      </c>
      <c r="AX845">
        <v>1</v>
      </c>
      <c r="AY845">
        <v>0</v>
      </c>
      <c r="AZ845" t="s">
        <v>577</v>
      </c>
    </row>
    <row r="846" spans="1:52" x14ac:dyDescent="0.2">
      <c r="A846">
        <v>1</v>
      </c>
      <c r="B846">
        <v>1</v>
      </c>
      <c r="C846">
        <v>0</v>
      </c>
      <c r="D846">
        <v>0</v>
      </c>
      <c r="E846">
        <v>1</v>
      </c>
      <c r="F846">
        <v>0</v>
      </c>
      <c r="G846">
        <v>0</v>
      </c>
      <c r="H846">
        <v>0</v>
      </c>
      <c r="I846">
        <v>0</v>
      </c>
      <c r="L846">
        <v>1</v>
      </c>
      <c r="M846">
        <v>0</v>
      </c>
      <c r="N846">
        <v>0</v>
      </c>
      <c r="O846">
        <v>0</v>
      </c>
      <c r="P846">
        <v>0</v>
      </c>
      <c r="Q846" t="s">
        <v>584</v>
      </c>
      <c r="R846">
        <v>0</v>
      </c>
      <c r="S846">
        <v>0</v>
      </c>
      <c r="T846">
        <v>0</v>
      </c>
      <c r="U846">
        <v>0</v>
      </c>
      <c r="V846">
        <v>0</v>
      </c>
      <c r="W846">
        <v>1</v>
      </c>
      <c r="X846">
        <v>0</v>
      </c>
      <c r="Y846">
        <v>0</v>
      </c>
      <c r="Z846">
        <v>0</v>
      </c>
      <c r="AL846" t="s">
        <v>96</v>
      </c>
      <c r="AM846" t="s">
        <v>86</v>
      </c>
      <c r="AN846" t="s">
        <v>87</v>
      </c>
      <c r="AO846" t="s">
        <v>87</v>
      </c>
      <c r="AP846" t="s">
        <v>86</v>
      </c>
      <c r="AQ846" t="s">
        <v>86</v>
      </c>
      <c r="AR846" t="s">
        <v>75</v>
      </c>
      <c r="AS846" t="s">
        <v>76</v>
      </c>
      <c r="AT846" t="s">
        <v>96</v>
      </c>
      <c r="AU846">
        <v>0</v>
      </c>
      <c r="AV846">
        <v>0</v>
      </c>
      <c r="AW846">
        <v>0</v>
      </c>
      <c r="AX846">
        <v>0</v>
      </c>
      <c r="AY846">
        <v>1</v>
      </c>
      <c r="AZ846" t="s">
        <v>579</v>
      </c>
    </row>
    <row r="847" spans="1:52" x14ac:dyDescent="0.2">
      <c r="A847">
        <v>1</v>
      </c>
      <c r="B847">
        <v>0</v>
      </c>
      <c r="C847">
        <v>0</v>
      </c>
      <c r="D847">
        <v>0</v>
      </c>
      <c r="E847">
        <v>0</v>
      </c>
      <c r="F847">
        <v>1</v>
      </c>
      <c r="G847">
        <v>0</v>
      </c>
      <c r="H847">
        <v>0</v>
      </c>
      <c r="I847">
        <v>0</v>
      </c>
      <c r="J847" t="s">
        <v>88</v>
      </c>
      <c r="K847" t="s">
        <v>89</v>
      </c>
      <c r="L847">
        <v>1</v>
      </c>
      <c r="M847">
        <v>0</v>
      </c>
      <c r="N847">
        <v>0</v>
      </c>
      <c r="O847">
        <v>0</v>
      </c>
      <c r="P847">
        <v>0</v>
      </c>
      <c r="Q847" t="s">
        <v>584</v>
      </c>
      <c r="R847">
        <v>0</v>
      </c>
      <c r="S847">
        <v>0</v>
      </c>
      <c r="T847">
        <v>0</v>
      </c>
      <c r="U847">
        <v>0</v>
      </c>
      <c r="V847">
        <v>0</v>
      </c>
      <c r="W847">
        <v>0</v>
      </c>
      <c r="X847">
        <v>0</v>
      </c>
      <c r="Y847">
        <v>0</v>
      </c>
      <c r="Z847">
        <v>1</v>
      </c>
      <c r="AL847" t="s">
        <v>73</v>
      </c>
      <c r="AM847" t="s">
        <v>87</v>
      </c>
      <c r="AN847" t="s">
        <v>87</v>
      </c>
      <c r="AO847" t="s">
        <v>87</v>
      </c>
      <c r="AP847" t="s">
        <v>86</v>
      </c>
      <c r="AQ847" t="s">
        <v>87</v>
      </c>
      <c r="AR847" t="s">
        <v>75</v>
      </c>
      <c r="AS847" t="s">
        <v>76</v>
      </c>
      <c r="AT847" t="s">
        <v>73</v>
      </c>
      <c r="AU847">
        <v>1</v>
      </c>
      <c r="AV847">
        <v>0</v>
      </c>
      <c r="AW847">
        <v>0</v>
      </c>
      <c r="AX847">
        <v>0</v>
      </c>
      <c r="AY847">
        <v>0</v>
      </c>
      <c r="AZ847" t="s">
        <v>580</v>
      </c>
    </row>
    <row r="848" spans="1:52" x14ac:dyDescent="0.2">
      <c r="A848">
        <v>0</v>
      </c>
      <c r="B848">
        <v>1</v>
      </c>
      <c r="C848">
        <v>0</v>
      </c>
      <c r="D848">
        <v>0</v>
      </c>
      <c r="E848">
        <v>0</v>
      </c>
      <c r="F848">
        <v>1</v>
      </c>
      <c r="G848">
        <v>0</v>
      </c>
      <c r="H848">
        <v>1</v>
      </c>
      <c r="I848">
        <v>0</v>
      </c>
      <c r="J848" t="s">
        <v>135</v>
      </c>
      <c r="K848" t="s">
        <v>89</v>
      </c>
      <c r="L848">
        <v>0</v>
      </c>
      <c r="M848">
        <v>0</v>
      </c>
      <c r="N848">
        <v>0</v>
      </c>
      <c r="O848">
        <v>0</v>
      </c>
      <c r="P848">
        <v>1</v>
      </c>
      <c r="Q848" t="s">
        <v>584</v>
      </c>
      <c r="AA848" t="s">
        <v>83</v>
      </c>
      <c r="AB848" t="s">
        <v>83</v>
      </c>
      <c r="AC848" t="s">
        <v>81</v>
      </c>
      <c r="AD848" t="s">
        <v>82</v>
      </c>
      <c r="AE848" t="s">
        <v>81</v>
      </c>
      <c r="AF848" t="s">
        <v>83</v>
      </c>
      <c r="AG848" t="s">
        <v>83</v>
      </c>
      <c r="AH848" t="s">
        <v>90</v>
      </c>
      <c r="AI848" t="s">
        <v>135</v>
      </c>
      <c r="AJ848" t="s">
        <v>89</v>
      </c>
      <c r="AK848" t="s">
        <v>117</v>
      </c>
      <c r="AL848" t="s">
        <v>96</v>
      </c>
      <c r="AM848" t="s">
        <v>87</v>
      </c>
      <c r="AN848" t="s">
        <v>87</v>
      </c>
      <c r="AO848" t="s">
        <v>87</v>
      </c>
      <c r="AP848" t="s">
        <v>87</v>
      </c>
      <c r="AQ848" t="s">
        <v>87</v>
      </c>
      <c r="AR848" t="s">
        <v>97</v>
      </c>
      <c r="AS848" t="s">
        <v>76</v>
      </c>
      <c r="AT848" t="s">
        <v>96</v>
      </c>
      <c r="AU848">
        <v>1</v>
      </c>
      <c r="AV848">
        <v>0</v>
      </c>
      <c r="AW848">
        <v>0</v>
      </c>
      <c r="AX848">
        <v>0</v>
      </c>
      <c r="AY848">
        <v>0</v>
      </c>
      <c r="AZ848" t="s">
        <v>580</v>
      </c>
    </row>
    <row r="849" spans="1:52" x14ac:dyDescent="0.2">
      <c r="A849">
        <v>1</v>
      </c>
      <c r="B849">
        <v>0</v>
      </c>
      <c r="C849">
        <v>0</v>
      </c>
      <c r="D849">
        <v>0</v>
      </c>
      <c r="E849">
        <v>0</v>
      </c>
      <c r="F849">
        <v>1</v>
      </c>
      <c r="G849">
        <v>0</v>
      </c>
      <c r="H849">
        <v>0</v>
      </c>
      <c r="I849">
        <v>0</v>
      </c>
      <c r="J849" t="s">
        <v>88</v>
      </c>
      <c r="K849" t="s">
        <v>89</v>
      </c>
      <c r="L849">
        <v>0</v>
      </c>
      <c r="M849">
        <v>0</v>
      </c>
      <c r="N849">
        <v>1</v>
      </c>
      <c r="O849">
        <v>0</v>
      </c>
      <c r="P849">
        <v>0</v>
      </c>
      <c r="Q849" t="s">
        <v>584</v>
      </c>
      <c r="AA849" t="s">
        <v>81</v>
      </c>
      <c r="AB849" t="s">
        <v>81</v>
      </c>
      <c r="AC849" t="s">
        <v>83</v>
      </c>
      <c r="AD849" t="s">
        <v>82</v>
      </c>
      <c r="AE849" t="s">
        <v>82</v>
      </c>
      <c r="AF849" t="s">
        <v>83</v>
      </c>
      <c r="AG849" t="s">
        <v>81</v>
      </c>
      <c r="AH849" t="s">
        <v>83</v>
      </c>
      <c r="AI849" t="s">
        <v>88</v>
      </c>
      <c r="AJ849" t="s">
        <v>89</v>
      </c>
      <c r="AK849" t="s">
        <v>85</v>
      </c>
      <c r="AL849" t="s">
        <v>107</v>
      </c>
      <c r="AM849" t="s">
        <v>86</v>
      </c>
      <c r="AN849" t="s">
        <v>87</v>
      </c>
      <c r="AO849" t="s">
        <v>87</v>
      </c>
      <c r="AP849" t="s">
        <v>86</v>
      </c>
      <c r="AQ849" t="s">
        <v>86</v>
      </c>
      <c r="AR849" t="s">
        <v>97</v>
      </c>
      <c r="AS849" t="s">
        <v>76</v>
      </c>
      <c r="AT849" t="s">
        <v>107</v>
      </c>
      <c r="AU849">
        <v>1</v>
      </c>
      <c r="AV849">
        <v>0</v>
      </c>
      <c r="AW849">
        <v>0</v>
      </c>
      <c r="AX849">
        <v>0</v>
      </c>
      <c r="AY849">
        <v>0</v>
      </c>
      <c r="AZ849" t="s">
        <v>580</v>
      </c>
    </row>
    <row r="850" spans="1:52" x14ac:dyDescent="0.2">
      <c r="A850">
        <v>1</v>
      </c>
      <c r="B850">
        <v>0</v>
      </c>
      <c r="C850">
        <v>0</v>
      </c>
      <c r="D850">
        <v>0</v>
      </c>
      <c r="E850">
        <v>1</v>
      </c>
      <c r="F850">
        <v>0</v>
      </c>
      <c r="G850">
        <v>0</v>
      </c>
      <c r="H850">
        <v>0</v>
      </c>
      <c r="I850">
        <v>0</v>
      </c>
      <c r="L850">
        <v>1</v>
      </c>
      <c r="M850">
        <v>0</v>
      </c>
      <c r="N850">
        <v>0</v>
      </c>
      <c r="O850">
        <v>0</v>
      </c>
      <c r="P850">
        <v>0</v>
      </c>
      <c r="Q850" t="s">
        <v>584</v>
      </c>
      <c r="R850">
        <v>0</v>
      </c>
      <c r="S850">
        <v>0</v>
      </c>
      <c r="T850">
        <v>0</v>
      </c>
      <c r="U850">
        <v>0</v>
      </c>
      <c r="V850">
        <v>0</v>
      </c>
      <c r="W850">
        <v>0</v>
      </c>
      <c r="X850">
        <v>1</v>
      </c>
      <c r="Y850">
        <v>0</v>
      </c>
      <c r="Z850">
        <v>0</v>
      </c>
      <c r="AL850" t="s">
        <v>107</v>
      </c>
      <c r="AM850" t="s">
        <v>74</v>
      </c>
      <c r="AR850" t="s">
        <v>75</v>
      </c>
      <c r="AS850" t="s">
        <v>76</v>
      </c>
      <c r="AT850" t="s">
        <v>107</v>
      </c>
      <c r="AU850">
        <v>0</v>
      </c>
      <c r="AV850">
        <v>1</v>
      </c>
      <c r="AW850">
        <v>0</v>
      </c>
      <c r="AX850">
        <v>0</v>
      </c>
      <c r="AY850">
        <v>0</v>
      </c>
      <c r="AZ850" t="s">
        <v>580</v>
      </c>
    </row>
    <row r="851" spans="1:52" x14ac:dyDescent="0.2">
      <c r="A851">
        <v>1</v>
      </c>
      <c r="B851">
        <v>0</v>
      </c>
      <c r="C851">
        <v>0</v>
      </c>
      <c r="D851">
        <v>0</v>
      </c>
      <c r="E851">
        <v>0</v>
      </c>
      <c r="F851">
        <v>1</v>
      </c>
      <c r="G851">
        <v>0</v>
      </c>
      <c r="H851">
        <v>0</v>
      </c>
      <c r="I851">
        <v>0</v>
      </c>
      <c r="J851" t="s">
        <v>135</v>
      </c>
      <c r="K851" t="s">
        <v>89</v>
      </c>
      <c r="L851">
        <v>0</v>
      </c>
      <c r="M851">
        <v>1</v>
      </c>
      <c r="N851">
        <v>1</v>
      </c>
      <c r="O851">
        <v>0</v>
      </c>
      <c r="P851">
        <v>0</v>
      </c>
      <c r="Q851" t="s">
        <v>584</v>
      </c>
      <c r="AA851" t="s">
        <v>83</v>
      </c>
      <c r="AB851" t="s">
        <v>81</v>
      </c>
      <c r="AC851" t="s">
        <v>83</v>
      </c>
      <c r="AD851" t="s">
        <v>83</v>
      </c>
      <c r="AE851" t="s">
        <v>82</v>
      </c>
      <c r="AF851" t="s">
        <v>83</v>
      </c>
      <c r="AG851" t="s">
        <v>83</v>
      </c>
      <c r="AH851" t="s">
        <v>83</v>
      </c>
      <c r="AI851" t="s">
        <v>88</v>
      </c>
      <c r="AJ851" t="s">
        <v>89</v>
      </c>
      <c r="AK851" t="s">
        <v>85</v>
      </c>
      <c r="AL851" t="s">
        <v>73</v>
      </c>
      <c r="AM851" t="s">
        <v>87</v>
      </c>
      <c r="AN851" t="s">
        <v>87</v>
      </c>
      <c r="AO851" t="s">
        <v>87</v>
      </c>
      <c r="AP851" t="s">
        <v>74</v>
      </c>
      <c r="AQ851" t="s">
        <v>87</v>
      </c>
      <c r="AR851" t="s">
        <v>75</v>
      </c>
      <c r="AS851" t="s">
        <v>76</v>
      </c>
      <c r="AT851" t="s">
        <v>73</v>
      </c>
      <c r="AU851">
        <v>1</v>
      </c>
      <c r="AV851">
        <v>0</v>
      </c>
      <c r="AW851">
        <v>0</v>
      </c>
      <c r="AX851">
        <v>0</v>
      </c>
      <c r="AY851">
        <v>0</v>
      </c>
      <c r="AZ851" t="s">
        <v>579</v>
      </c>
    </row>
    <row r="852" spans="1:52" x14ac:dyDescent="0.2">
      <c r="A852">
        <v>1</v>
      </c>
      <c r="B852">
        <v>0</v>
      </c>
      <c r="C852">
        <v>0</v>
      </c>
      <c r="D852">
        <v>0</v>
      </c>
      <c r="E852">
        <v>0</v>
      </c>
      <c r="F852">
        <v>1</v>
      </c>
      <c r="G852">
        <v>0</v>
      </c>
      <c r="H852">
        <v>0</v>
      </c>
      <c r="I852">
        <v>0</v>
      </c>
      <c r="J852" t="s">
        <v>79</v>
      </c>
      <c r="K852" t="s">
        <v>127</v>
      </c>
      <c r="L852">
        <v>1</v>
      </c>
      <c r="M852">
        <v>0</v>
      </c>
      <c r="N852">
        <v>0</v>
      </c>
      <c r="O852">
        <v>0</v>
      </c>
      <c r="P852">
        <v>0</v>
      </c>
      <c r="Q852" t="s">
        <v>584</v>
      </c>
      <c r="R852">
        <v>1</v>
      </c>
      <c r="S852">
        <v>0</v>
      </c>
      <c r="T852">
        <v>0</v>
      </c>
      <c r="U852">
        <v>0</v>
      </c>
      <c r="V852">
        <v>0</v>
      </c>
      <c r="W852">
        <v>0</v>
      </c>
      <c r="X852">
        <v>0</v>
      </c>
      <c r="Y852">
        <v>0</v>
      </c>
      <c r="Z852">
        <v>0</v>
      </c>
      <c r="AL852" t="s">
        <v>107</v>
      </c>
      <c r="AM852" t="s">
        <v>87</v>
      </c>
      <c r="AN852" t="s">
        <v>87</v>
      </c>
      <c r="AO852" t="s">
        <v>87</v>
      </c>
      <c r="AP852" t="s">
        <v>87</v>
      </c>
      <c r="AQ852" t="s">
        <v>87</v>
      </c>
      <c r="AR852" t="s">
        <v>159</v>
      </c>
      <c r="AS852" t="s">
        <v>76</v>
      </c>
      <c r="AT852" t="s">
        <v>107</v>
      </c>
      <c r="AU852">
        <v>1</v>
      </c>
      <c r="AV852">
        <v>0</v>
      </c>
      <c r="AW852">
        <v>0</v>
      </c>
      <c r="AX852">
        <v>0</v>
      </c>
      <c r="AY852">
        <v>0</v>
      </c>
      <c r="AZ852" t="s">
        <v>580</v>
      </c>
    </row>
    <row r="853" spans="1:52" x14ac:dyDescent="0.2">
      <c r="A853">
        <v>0</v>
      </c>
      <c r="B853">
        <v>1</v>
      </c>
      <c r="C853">
        <v>0</v>
      </c>
      <c r="D853">
        <v>0</v>
      </c>
      <c r="E853">
        <v>0</v>
      </c>
      <c r="F853">
        <v>1</v>
      </c>
      <c r="G853">
        <v>1</v>
      </c>
      <c r="H853">
        <v>0</v>
      </c>
      <c r="I853">
        <v>0</v>
      </c>
      <c r="J853" t="s">
        <v>88</v>
      </c>
      <c r="K853" t="s">
        <v>89</v>
      </c>
      <c r="L853">
        <v>0</v>
      </c>
      <c r="M853">
        <v>1</v>
      </c>
      <c r="N853">
        <v>0</v>
      </c>
      <c r="O853">
        <v>0</v>
      </c>
      <c r="P853">
        <v>0</v>
      </c>
      <c r="Q853" t="s">
        <v>584</v>
      </c>
      <c r="AA853" t="s">
        <v>83</v>
      </c>
      <c r="AB853" t="s">
        <v>81</v>
      </c>
      <c r="AC853" t="s">
        <v>81</v>
      </c>
      <c r="AD853" t="s">
        <v>81</v>
      </c>
      <c r="AE853" t="s">
        <v>82</v>
      </c>
      <c r="AF853" t="s">
        <v>83</v>
      </c>
      <c r="AG853" t="s">
        <v>83</v>
      </c>
      <c r="AH853" t="s">
        <v>83</v>
      </c>
      <c r="AI853" t="s">
        <v>88</v>
      </c>
      <c r="AJ853" t="s">
        <v>89</v>
      </c>
      <c r="AK853" t="s">
        <v>100</v>
      </c>
      <c r="AL853" t="s">
        <v>107</v>
      </c>
      <c r="AM853" t="s">
        <v>86</v>
      </c>
      <c r="AN853" t="s">
        <v>86</v>
      </c>
      <c r="AO853" t="s">
        <v>86</v>
      </c>
      <c r="AP853" t="s">
        <v>86</v>
      </c>
      <c r="AQ853" t="s">
        <v>74</v>
      </c>
      <c r="AR853" t="s">
        <v>159</v>
      </c>
      <c r="AS853" t="s">
        <v>76</v>
      </c>
      <c r="AT853" t="s">
        <v>107</v>
      </c>
      <c r="AU853">
        <v>0</v>
      </c>
      <c r="AV853">
        <v>0</v>
      </c>
      <c r="AW853">
        <v>0</v>
      </c>
      <c r="AX853">
        <v>1</v>
      </c>
      <c r="AY853">
        <v>1</v>
      </c>
      <c r="AZ853" t="s">
        <v>579</v>
      </c>
    </row>
    <row r="854" spans="1:52" x14ac:dyDescent="0.2">
      <c r="A854">
        <v>1</v>
      </c>
      <c r="B854">
        <v>1</v>
      </c>
      <c r="C854">
        <v>0</v>
      </c>
      <c r="D854">
        <v>0</v>
      </c>
      <c r="E854">
        <v>1</v>
      </c>
      <c r="F854">
        <v>0</v>
      </c>
      <c r="G854">
        <v>0</v>
      </c>
      <c r="H854">
        <v>0</v>
      </c>
      <c r="I854">
        <v>0</v>
      </c>
      <c r="L854">
        <v>1</v>
      </c>
      <c r="M854">
        <v>0</v>
      </c>
      <c r="N854">
        <v>0</v>
      </c>
      <c r="O854">
        <v>0</v>
      </c>
      <c r="P854">
        <v>0</v>
      </c>
      <c r="Q854" t="s">
        <v>584</v>
      </c>
      <c r="R854">
        <v>0</v>
      </c>
      <c r="S854">
        <v>0</v>
      </c>
      <c r="T854">
        <v>0</v>
      </c>
      <c r="U854">
        <v>0</v>
      </c>
      <c r="V854">
        <v>0</v>
      </c>
      <c r="W854">
        <v>0</v>
      </c>
      <c r="X854">
        <v>1</v>
      </c>
      <c r="Y854">
        <v>0</v>
      </c>
      <c r="Z854">
        <v>0</v>
      </c>
      <c r="AL854" t="s">
        <v>120</v>
      </c>
      <c r="AM854" t="s">
        <v>74</v>
      </c>
      <c r="AR854" t="s">
        <v>159</v>
      </c>
      <c r="AS854" t="s">
        <v>76</v>
      </c>
      <c r="AT854" t="s">
        <v>120</v>
      </c>
      <c r="AU854">
        <v>1</v>
      </c>
      <c r="AV854">
        <v>0</v>
      </c>
      <c r="AW854">
        <v>0</v>
      </c>
      <c r="AX854">
        <v>0</v>
      </c>
      <c r="AY854">
        <v>0</v>
      </c>
      <c r="AZ854" t="s">
        <v>580</v>
      </c>
    </row>
    <row r="855" spans="1:52" x14ac:dyDescent="0.2">
      <c r="A855">
        <v>1</v>
      </c>
      <c r="B855">
        <v>0</v>
      </c>
      <c r="C855">
        <v>0</v>
      </c>
      <c r="D855">
        <v>0</v>
      </c>
      <c r="E855">
        <v>1</v>
      </c>
      <c r="F855">
        <v>0</v>
      </c>
      <c r="G855">
        <v>0</v>
      </c>
      <c r="H855">
        <v>0</v>
      </c>
      <c r="I855">
        <v>0</v>
      </c>
      <c r="L855">
        <v>1</v>
      </c>
      <c r="M855">
        <v>0</v>
      </c>
      <c r="N855">
        <v>0</v>
      </c>
      <c r="O855">
        <v>0</v>
      </c>
      <c r="P855">
        <v>0</v>
      </c>
      <c r="Q855" t="s">
        <v>584</v>
      </c>
      <c r="R855">
        <v>0</v>
      </c>
      <c r="S855">
        <v>0</v>
      </c>
      <c r="T855">
        <v>1</v>
      </c>
      <c r="U855">
        <v>0</v>
      </c>
      <c r="V855">
        <v>0</v>
      </c>
      <c r="W855">
        <v>0</v>
      </c>
      <c r="X855">
        <v>0</v>
      </c>
      <c r="Y855">
        <v>0</v>
      </c>
      <c r="Z855">
        <v>0</v>
      </c>
      <c r="AL855" t="s">
        <v>107</v>
      </c>
      <c r="AM855" t="s">
        <v>86</v>
      </c>
      <c r="AN855" t="s">
        <v>74</v>
      </c>
      <c r="AO855" t="s">
        <v>86</v>
      </c>
      <c r="AP855" t="s">
        <v>87</v>
      </c>
      <c r="AQ855" t="s">
        <v>87</v>
      </c>
      <c r="AR855" t="s">
        <v>97</v>
      </c>
      <c r="AS855" t="s">
        <v>76</v>
      </c>
      <c r="AT855" t="s">
        <v>107</v>
      </c>
      <c r="AU855">
        <v>1</v>
      </c>
      <c r="AV855">
        <v>0</v>
      </c>
      <c r="AW855">
        <v>0</v>
      </c>
      <c r="AX855">
        <v>0</v>
      </c>
      <c r="AY855">
        <v>0</v>
      </c>
      <c r="AZ855" t="s">
        <v>580</v>
      </c>
    </row>
    <row r="856" spans="1:52" x14ac:dyDescent="0.2">
      <c r="A856">
        <v>1</v>
      </c>
      <c r="B856">
        <v>0</v>
      </c>
      <c r="C856">
        <v>0</v>
      </c>
      <c r="D856">
        <v>0</v>
      </c>
      <c r="E856">
        <v>0</v>
      </c>
      <c r="F856">
        <v>1</v>
      </c>
      <c r="G856">
        <v>0</v>
      </c>
      <c r="H856">
        <v>0</v>
      </c>
      <c r="I856">
        <v>0</v>
      </c>
      <c r="J856" t="s">
        <v>88</v>
      </c>
      <c r="K856" t="s">
        <v>89</v>
      </c>
      <c r="L856">
        <v>1</v>
      </c>
      <c r="M856">
        <v>0</v>
      </c>
      <c r="N856">
        <v>0</v>
      </c>
      <c r="O856">
        <v>0</v>
      </c>
      <c r="P856">
        <v>0</v>
      </c>
      <c r="Q856" t="s">
        <v>584</v>
      </c>
      <c r="R856">
        <v>0</v>
      </c>
      <c r="S856">
        <v>0</v>
      </c>
      <c r="T856">
        <v>0</v>
      </c>
      <c r="U856">
        <v>0</v>
      </c>
      <c r="V856">
        <v>0</v>
      </c>
      <c r="W856">
        <v>0</v>
      </c>
      <c r="X856">
        <v>1</v>
      </c>
      <c r="Y856">
        <v>0</v>
      </c>
      <c r="Z856">
        <v>0</v>
      </c>
      <c r="AL856" t="s">
        <v>73</v>
      </c>
      <c r="AM856" t="s">
        <v>86</v>
      </c>
      <c r="AN856" t="s">
        <v>86</v>
      </c>
      <c r="AO856" t="s">
        <v>87</v>
      </c>
      <c r="AP856" t="s">
        <v>74</v>
      </c>
      <c r="AQ856" t="s">
        <v>87</v>
      </c>
      <c r="AR856" t="s">
        <v>113</v>
      </c>
      <c r="AS856" t="s">
        <v>92</v>
      </c>
      <c r="AT856" t="s">
        <v>73</v>
      </c>
      <c r="AU856">
        <v>0</v>
      </c>
      <c r="AV856">
        <v>1</v>
      </c>
      <c r="AW856">
        <v>0</v>
      </c>
      <c r="AX856">
        <v>0</v>
      </c>
      <c r="AY856">
        <v>0</v>
      </c>
      <c r="AZ856" t="s">
        <v>578</v>
      </c>
    </row>
    <row r="857" spans="1:52" x14ac:dyDescent="0.2">
      <c r="A857">
        <v>1</v>
      </c>
      <c r="B857">
        <v>0</v>
      </c>
      <c r="C857">
        <v>0</v>
      </c>
      <c r="D857">
        <v>0</v>
      </c>
      <c r="E857">
        <v>1</v>
      </c>
      <c r="F857">
        <v>0</v>
      </c>
      <c r="G857">
        <v>0</v>
      </c>
      <c r="H857">
        <v>0</v>
      </c>
      <c r="I857">
        <v>0</v>
      </c>
      <c r="L857">
        <v>0</v>
      </c>
      <c r="M857">
        <v>0</v>
      </c>
      <c r="N857">
        <v>1</v>
      </c>
      <c r="O857">
        <v>0</v>
      </c>
      <c r="P857">
        <v>0</v>
      </c>
      <c r="Q857" t="s">
        <v>584</v>
      </c>
      <c r="AA857" t="s">
        <v>83</v>
      </c>
      <c r="AB857" t="s">
        <v>83</v>
      </c>
      <c r="AC857" t="s">
        <v>83</v>
      </c>
      <c r="AD857" t="s">
        <v>83</v>
      </c>
      <c r="AE857" t="s">
        <v>82</v>
      </c>
      <c r="AF857" t="s">
        <v>83</v>
      </c>
      <c r="AG857" t="s">
        <v>83</v>
      </c>
      <c r="AH857" t="s">
        <v>81</v>
      </c>
      <c r="AI857" t="s">
        <v>135</v>
      </c>
      <c r="AJ857" t="s">
        <v>80</v>
      </c>
      <c r="AK857" t="s">
        <v>85</v>
      </c>
      <c r="AL857" t="s">
        <v>107</v>
      </c>
      <c r="AM857" t="s">
        <v>86</v>
      </c>
      <c r="AN857" t="s">
        <v>86</v>
      </c>
      <c r="AO857" t="s">
        <v>86</v>
      </c>
      <c r="AP857" t="s">
        <v>86</v>
      </c>
      <c r="AQ857" t="s">
        <v>86</v>
      </c>
      <c r="AR857" t="s">
        <v>101</v>
      </c>
      <c r="AS857" t="s">
        <v>76</v>
      </c>
      <c r="AT857" t="s">
        <v>107</v>
      </c>
      <c r="AU857">
        <v>1</v>
      </c>
      <c r="AV857">
        <v>0</v>
      </c>
      <c r="AW857">
        <v>0</v>
      </c>
      <c r="AX857">
        <v>0</v>
      </c>
      <c r="AY857">
        <v>0</v>
      </c>
      <c r="AZ857" t="s">
        <v>579</v>
      </c>
    </row>
    <row r="858" spans="1:52" x14ac:dyDescent="0.2">
      <c r="A858">
        <v>1</v>
      </c>
      <c r="B858">
        <v>0</v>
      </c>
      <c r="C858">
        <v>0</v>
      </c>
      <c r="D858">
        <v>0</v>
      </c>
      <c r="E858">
        <v>1</v>
      </c>
      <c r="F858">
        <v>0</v>
      </c>
      <c r="G858">
        <v>0</v>
      </c>
      <c r="H858">
        <v>0</v>
      </c>
      <c r="I858">
        <v>0</v>
      </c>
      <c r="L858">
        <v>1</v>
      </c>
      <c r="M858">
        <v>0</v>
      </c>
      <c r="N858">
        <v>0</v>
      </c>
      <c r="O858">
        <v>0</v>
      </c>
      <c r="P858">
        <v>0</v>
      </c>
      <c r="Q858" t="s">
        <v>584</v>
      </c>
      <c r="R858">
        <v>0</v>
      </c>
      <c r="S858">
        <v>0</v>
      </c>
      <c r="T858">
        <v>1</v>
      </c>
      <c r="U858">
        <v>0</v>
      </c>
      <c r="V858">
        <v>1</v>
      </c>
      <c r="W858">
        <v>0</v>
      </c>
      <c r="X858">
        <v>1</v>
      </c>
      <c r="Y858">
        <v>1</v>
      </c>
      <c r="Z858">
        <v>1</v>
      </c>
      <c r="AL858" t="s">
        <v>73</v>
      </c>
      <c r="AM858" t="s">
        <v>74</v>
      </c>
      <c r="AR858" t="s">
        <v>101</v>
      </c>
      <c r="AS858" t="s">
        <v>76</v>
      </c>
      <c r="AT858" t="s">
        <v>73</v>
      </c>
      <c r="AU858">
        <v>0</v>
      </c>
      <c r="AV858">
        <v>0</v>
      </c>
      <c r="AW858">
        <v>0</v>
      </c>
      <c r="AX858">
        <v>1</v>
      </c>
      <c r="AY858">
        <v>1</v>
      </c>
      <c r="AZ858" t="s">
        <v>580</v>
      </c>
    </row>
    <row r="859" spans="1:52" x14ac:dyDescent="0.2">
      <c r="A859">
        <v>0</v>
      </c>
      <c r="B859">
        <v>1</v>
      </c>
      <c r="C859">
        <v>0</v>
      </c>
      <c r="D859">
        <v>0</v>
      </c>
      <c r="E859">
        <v>0</v>
      </c>
      <c r="F859">
        <v>1</v>
      </c>
      <c r="G859">
        <v>0</v>
      </c>
      <c r="H859">
        <v>1</v>
      </c>
      <c r="I859">
        <v>1</v>
      </c>
      <c r="J859" t="s">
        <v>88</v>
      </c>
      <c r="K859" t="s">
        <v>80</v>
      </c>
      <c r="L859">
        <v>0</v>
      </c>
      <c r="M859">
        <v>0</v>
      </c>
      <c r="N859">
        <v>0</v>
      </c>
      <c r="O859">
        <v>1</v>
      </c>
      <c r="P859">
        <v>0</v>
      </c>
      <c r="Q859" t="s">
        <v>584</v>
      </c>
      <c r="AA859" t="s">
        <v>83</v>
      </c>
      <c r="AB859" t="s">
        <v>82</v>
      </c>
      <c r="AC859" t="s">
        <v>81</v>
      </c>
      <c r="AD859" t="s">
        <v>81</v>
      </c>
      <c r="AE859" t="s">
        <v>83</v>
      </c>
      <c r="AF859" t="s">
        <v>83</v>
      </c>
      <c r="AG859" t="s">
        <v>81</v>
      </c>
      <c r="AH859" t="s">
        <v>83</v>
      </c>
      <c r="AI859" t="s">
        <v>88</v>
      </c>
      <c r="AJ859" t="s">
        <v>89</v>
      </c>
      <c r="AK859" t="s">
        <v>100</v>
      </c>
      <c r="AL859" t="s">
        <v>73</v>
      </c>
      <c r="AM859" t="s">
        <v>87</v>
      </c>
      <c r="AN859" t="s">
        <v>86</v>
      </c>
      <c r="AO859" t="s">
        <v>86</v>
      </c>
      <c r="AP859" t="s">
        <v>86</v>
      </c>
      <c r="AQ859" t="s">
        <v>86</v>
      </c>
      <c r="AR859" t="s">
        <v>97</v>
      </c>
      <c r="AS859" t="s">
        <v>92</v>
      </c>
      <c r="AT859" t="s">
        <v>73</v>
      </c>
      <c r="AU859">
        <v>0</v>
      </c>
      <c r="AV859">
        <v>0</v>
      </c>
      <c r="AW859">
        <v>1</v>
      </c>
      <c r="AX859">
        <v>0</v>
      </c>
      <c r="AY859">
        <v>1</v>
      </c>
      <c r="AZ859" t="s">
        <v>580</v>
      </c>
    </row>
    <row r="860" spans="1:52" x14ac:dyDescent="0.2">
      <c r="A860">
        <v>1</v>
      </c>
      <c r="B860">
        <v>0</v>
      </c>
      <c r="C860">
        <v>0</v>
      </c>
      <c r="D860">
        <v>0</v>
      </c>
      <c r="E860">
        <v>0</v>
      </c>
      <c r="F860">
        <v>1</v>
      </c>
      <c r="G860">
        <v>1</v>
      </c>
      <c r="H860">
        <v>1</v>
      </c>
      <c r="I860">
        <v>0</v>
      </c>
      <c r="J860" t="s">
        <v>88</v>
      </c>
      <c r="K860" t="s">
        <v>89</v>
      </c>
      <c r="L860">
        <v>0</v>
      </c>
      <c r="M860">
        <v>0</v>
      </c>
      <c r="N860">
        <v>1</v>
      </c>
      <c r="O860">
        <v>0</v>
      </c>
      <c r="P860">
        <v>0</v>
      </c>
      <c r="Q860" t="s">
        <v>584</v>
      </c>
      <c r="AA860" t="s">
        <v>83</v>
      </c>
      <c r="AB860" t="s">
        <v>82</v>
      </c>
      <c r="AC860" t="s">
        <v>81</v>
      </c>
      <c r="AD860" t="s">
        <v>81</v>
      </c>
      <c r="AE860" t="s">
        <v>81</v>
      </c>
      <c r="AF860" t="s">
        <v>83</v>
      </c>
      <c r="AG860" t="s">
        <v>83</v>
      </c>
      <c r="AH860" t="s">
        <v>83</v>
      </c>
      <c r="AI860" t="s">
        <v>88</v>
      </c>
      <c r="AJ860" t="s">
        <v>89</v>
      </c>
      <c r="AK860" t="s">
        <v>100</v>
      </c>
      <c r="AL860" t="s">
        <v>107</v>
      </c>
      <c r="AM860" t="s">
        <v>87</v>
      </c>
      <c r="AN860" t="s">
        <v>87</v>
      </c>
      <c r="AO860" t="s">
        <v>87</v>
      </c>
      <c r="AP860" t="s">
        <v>87</v>
      </c>
      <c r="AQ860" t="s">
        <v>87</v>
      </c>
      <c r="AR860" t="s">
        <v>75</v>
      </c>
      <c r="AS860" t="s">
        <v>76</v>
      </c>
      <c r="AT860" t="s">
        <v>107</v>
      </c>
      <c r="AU860">
        <v>0</v>
      </c>
      <c r="AV860">
        <v>0</v>
      </c>
      <c r="AW860">
        <v>0</v>
      </c>
      <c r="AX860">
        <v>1</v>
      </c>
      <c r="AY860">
        <v>0</v>
      </c>
      <c r="AZ860" t="s">
        <v>577</v>
      </c>
    </row>
    <row r="861" spans="1:52" x14ac:dyDescent="0.2">
      <c r="A861">
        <v>1</v>
      </c>
      <c r="B861">
        <v>0</v>
      </c>
      <c r="C861">
        <v>0</v>
      </c>
      <c r="D861">
        <v>0</v>
      </c>
      <c r="E861">
        <v>1</v>
      </c>
      <c r="F861">
        <v>0</v>
      </c>
      <c r="G861">
        <v>0</v>
      </c>
      <c r="H861">
        <v>0</v>
      </c>
      <c r="I861">
        <v>0</v>
      </c>
      <c r="L861">
        <v>1</v>
      </c>
      <c r="M861">
        <v>0</v>
      </c>
      <c r="N861">
        <v>0</v>
      </c>
      <c r="O861">
        <v>0</v>
      </c>
      <c r="P861">
        <v>0</v>
      </c>
      <c r="Q861" t="s">
        <v>584</v>
      </c>
      <c r="R861">
        <v>0</v>
      </c>
      <c r="S861">
        <v>0</v>
      </c>
      <c r="T861">
        <v>0</v>
      </c>
      <c r="U861">
        <v>0</v>
      </c>
      <c r="V861">
        <v>0</v>
      </c>
      <c r="W861">
        <v>0</v>
      </c>
      <c r="X861">
        <v>0</v>
      </c>
      <c r="Y861">
        <v>0</v>
      </c>
      <c r="Z861">
        <v>1</v>
      </c>
      <c r="AL861" t="s">
        <v>107</v>
      </c>
      <c r="AM861" t="s">
        <v>74</v>
      </c>
      <c r="AR861" t="s">
        <v>97</v>
      </c>
      <c r="AS861" t="s">
        <v>92</v>
      </c>
      <c r="AT861" t="s">
        <v>107</v>
      </c>
      <c r="AU861">
        <v>0</v>
      </c>
      <c r="AV861">
        <v>0</v>
      </c>
      <c r="AW861">
        <v>0</v>
      </c>
      <c r="AX861">
        <v>1</v>
      </c>
      <c r="AY861">
        <v>0</v>
      </c>
      <c r="AZ861" t="s">
        <v>581</v>
      </c>
    </row>
    <row r="862" spans="1:52" x14ac:dyDescent="0.2">
      <c r="A862">
        <v>0</v>
      </c>
      <c r="B862">
        <v>1</v>
      </c>
      <c r="C862">
        <v>0</v>
      </c>
      <c r="D862">
        <v>0</v>
      </c>
      <c r="E862">
        <v>1</v>
      </c>
      <c r="F862">
        <v>0</v>
      </c>
      <c r="G862">
        <v>0</v>
      </c>
      <c r="H862">
        <v>0</v>
      </c>
      <c r="I862">
        <v>0</v>
      </c>
      <c r="L862">
        <v>0</v>
      </c>
      <c r="M862">
        <v>1</v>
      </c>
      <c r="N862">
        <v>0</v>
      </c>
      <c r="O862">
        <v>0</v>
      </c>
      <c r="P862">
        <v>0</v>
      </c>
      <c r="Q862" t="s">
        <v>584</v>
      </c>
      <c r="AA862" t="s">
        <v>82</v>
      </c>
      <c r="AB862" t="s">
        <v>82</v>
      </c>
      <c r="AC862" t="s">
        <v>82</v>
      </c>
      <c r="AD862" t="s">
        <v>82</v>
      </c>
      <c r="AE862" t="s">
        <v>82</v>
      </c>
      <c r="AF862" t="s">
        <v>83</v>
      </c>
      <c r="AG862" t="s">
        <v>83</v>
      </c>
      <c r="AH862" t="s">
        <v>81</v>
      </c>
      <c r="AI862" t="s">
        <v>88</v>
      </c>
      <c r="AJ862" t="s">
        <v>89</v>
      </c>
      <c r="AK862" t="s">
        <v>100</v>
      </c>
      <c r="AL862" t="s">
        <v>96</v>
      </c>
      <c r="AM862" t="s">
        <v>87</v>
      </c>
      <c r="AN862" t="s">
        <v>87</v>
      </c>
      <c r="AO862" t="s">
        <v>87</v>
      </c>
      <c r="AP862" t="s">
        <v>87</v>
      </c>
      <c r="AQ862" t="s">
        <v>87</v>
      </c>
      <c r="AR862" t="s">
        <v>97</v>
      </c>
      <c r="AS862" t="s">
        <v>76</v>
      </c>
      <c r="AT862" t="s">
        <v>96</v>
      </c>
      <c r="AU862">
        <v>1</v>
      </c>
      <c r="AV862">
        <v>0</v>
      </c>
      <c r="AW862">
        <v>0</v>
      </c>
      <c r="AX862">
        <v>0</v>
      </c>
      <c r="AY862">
        <v>0</v>
      </c>
      <c r="AZ862" t="s">
        <v>580</v>
      </c>
    </row>
    <row r="863" spans="1:52" x14ac:dyDescent="0.2">
      <c r="A863">
        <v>0</v>
      </c>
      <c r="B863">
        <v>1</v>
      </c>
      <c r="C863">
        <v>0</v>
      </c>
      <c r="D863">
        <v>0</v>
      </c>
      <c r="E863">
        <v>1</v>
      </c>
      <c r="F863">
        <v>0</v>
      </c>
      <c r="G863">
        <v>0</v>
      </c>
      <c r="H863">
        <v>0</v>
      </c>
      <c r="I863">
        <v>0</v>
      </c>
      <c r="L863">
        <v>0</v>
      </c>
      <c r="M863">
        <v>1</v>
      </c>
      <c r="N863">
        <v>0</v>
      </c>
      <c r="O863">
        <v>0</v>
      </c>
      <c r="P863">
        <v>0</v>
      </c>
      <c r="Q863" t="s">
        <v>584</v>
      </c>
      <c r="AA863" t="s">
        <v>83</v>
      </c>
      <c r="AB863" t="s">
        <v>82</v>
      </c>
      <c r="AC863" t="s">
        <v>81</v>
      </c>
      <c r="AD863" t="s">
        <v>81</v>
      </c>
      <c r="AE863" t="s">
        <v>90</v>
      </c>
      <c r="AF863" t="s">
        <v>83</v>
      </c>
      <c r="AG863" t="s">
        <v>90</v>
      </c>
      <c r="AH863" t="s">
        <v>83</v>
      </c>
      <c r="AI863" t="s">
        <v>84</v>
      </c>
      <c r="AJ863" t="s">
        <v>142</v>
      </c>
      <c r="AK863" t="s">
        <v>85</v>
      </c>
      <c r="AL863" t="s">
        <v>107</v>
      </c>
      <c r="AM863" t="s">
        <v>86</v>
      </c>
      <c r="AN863" t="s">
        <v>86</v>
      </c>
      <c r="AO863" t="s">
        <v>87</v>
      </c>
      <c r="AP863" t="s">
        <v>86</v>
      </c>
      <c r="AQ863" t="s">
        <v>87</v>
      </c>
      <c r="AR863" t="s">
        <v>75</v>
      </c>
      <c r="AS863" t="s">
        <v>76</v>
      </c>
      <c r="AT863" t="s">
        <v>107</v>
      </c>
      <c r="AU863">
        <v>1</v>
      </c>
      <c r="AV863">
        <v>0</v>
      </c>
      <c r="AW863">
        <v>0</v>
      </c>
      <c r="AX863">
        <v>0</v>
      </c>
      <c r="AY863">
        <v>0</v>
      </c>
      <c r="AZ863" t="s">
        <v>579</v>
      </c>
    </row>
    <row r="864" spans="1:52" x14ac:dyDescent="0.2">
      <c r="A864">
        <v>0</v>
      </c>
      <c r="B864">
        <v>1</v>
      </c>
      <c r="C864">
        <v>0</v>
      </c>
      <c r="D864">
        <v>0</v>
      </c>
      <c r="E864">
        <v>1</v>
      </c>
      <c r="F864">
        <v>0</v>
      </c>
      <c r="G864">
        <v>0</v>
      </c>
      <c r="H864">
        <v>0</v>
      </c>
      <c r="I864">
        <v>0</v>
      </c>
      <c r="L864">
        <v>1</v>
      </c>
      <c r="M864">
        <v>0</v>
      </c>
      <c r="N864">
        <v>0</v>
      </c>
      <c r="O864">
        <v>0</v>
      </c>
      <c r="P864">
        <v>0</v>
      </c>
      <c r="Q864" t="s">
        <v>584</v>
      </c>
      <c r="R864">
        <v>0</v>
      </c>
      <c r="S864">
        <v>0</v>
      </c>
      <c r="T864">
        <v>0</v>
      </c>
      <c r="U864">
        <v>0</v>
      </c>
      <c r="V864">
        <v>0</v>
      </c>
      <c r="W864">
        <v>0</v>
      </c>
      <c r="X864">
        <v>0</v>
      </c>
      <c r="Y864">
        <v>0</v>
      </c>
      <c r="Z864">
        <v>1</v>
      </c>
      <c r="AL864" t="s">
        <v>107</v>
      </c>
      <c r="AM864" t="s">
        <v>87</v>
      </c>
      <c r="AN864" t="s">
        <v>87</v>
      </c>
      <c r="AO864" t="s">
        <v>87</v>
      </c>
      <c r="AP864" t="s">
        <v>87</v>
      </c>
      <c r="AQ864" t="s">
        <v>87</v>
      </c>
      <c r="AR864" t="s">
        <v>75</v>
      </c>
      <c r="AS864" t="s">
        <v>92</v>
      </c>
      <c r="AT864" t="s">
        <v>107</v>
      </c>
      <c r="AU864">
        <v>0</v>
      </c>
      <c r="AV864">
        <v>0</v>
      </c>
      <c r="AW864">
        <v>1</v>
      </c>
      <c r="AX864">
        <v>0</v>
      </c>
      <c r="AY864">
        <v>0</v>
      </c>
      <c r="AZ864" t="s">
        <v>580</v>
      </c>
    </row>
    <row r="865" spans="1:52" x14ac:dyDescent="0.2">
      <c r="A865">
        <v>1</v>
      </c>
      <c r="B865">
        <v>0</v>
      </c>
      <c r="C865">
        <v>0</v>
      </c>
      <c r="D865">
        <v>0</v>
      </c>
      <c r="E865">
        <v>0</v>
      </c>
      <c r="F865">
        <v>1</v>
      </c>
      <c r="G865">
        <v>0</v>
      </c>
      <c r="H865">
        <v>0</v>
      </c>
      <c r="I865">
        <v>0</v>
      </c>
      <c r="J865" t="s">
        <v>88</v>
      </c>
      <c r="K865" t="s">
        <v>89</v>
      </c>
      <c r="L865">
        <v>1</v>
      </c>
      <c r="M865">
        <v>0</v>
      </c>
      <c r="N865">
        <v>0</v>
      </c>
      <c r="O865">
        <v>0</v>
      </c>
      <c r="P865">
        <v>0</v>
      </c>
      <c r="Q865" t="s">
        <v>584</v>
      </c>
      <c r="R865">
        <v>0</v>
      </c>
      <c r="S865">
        <v>1</v>
      </c>
      <c r="T865">
        <v>0</v>
      </c>
      <c r="U865">
        <v>0</v>
      </c>
      <c r="V865">
        <v>0</v>
      </c>
      <c r="W865">
        <v>0</v>
      </c>
      <c r="X865">
        <v>0</v>
      </c>
      <c r="Y865">
        <v>0</v>
      </c>
      <c r="Z865">
        <v>0</v>
      </c>
      <c r="AL865" t="s">
        <v>73</v>
      </c>
      <c r="AM865" t="s">
        <v>86</v>
      </c>
      <c r="AN865" t="s">
        <v>74</v>
      </c>
      <c r="AO865" t="s">
        <v>86</v>
      </c>
      <c r="AP865" t="s">
        <v>74</v>
      </c>
      <c r="AQ865" t="s">
        <v>74</v>
      </c>
      <c r="AR865" t="s">
        <v>97</v>
      </c>
      <c r="AS865" t="s">
        <v>76</v>
      </c>
      <c r="AT865" t="s">
        <v>73</v>
      </c>
      <c r="AU865">
        <v>1</v>
      </c>
      <c r="AV865">
        <v>0</v>
      </c>
      <c r="AW865">
        <v>0</v>
      </c>
      <c r="AX865">
        <v>0</v>
      </c>
      <c r="AY865">
        <v>0</v>
      </c>
      <c r="AZ865" t="s">
        <v>580</v>
      </c>
    </row>
    <row r="866" spans="1:52" x14ac:dyDescent="0.2">
      <c r="A866">
        <v>1</v>
      </c>
      <c r="B866">
        <v>0</v>
      </c>
      <c r="C866">
        <v>0</v>
      </c>
      <c r="D866">
        <v>0</v>
      </c>
      <c r="E866">
        <v>0</v>
      </c>
      <c r="F866">
        <v>1</v>
      </c>
      <c r="G866">
        <v>0</v>
      </c>
      <c r="H866">
        <v>0</v>
      </c>
      <c r="I866">
        <v>0</v>
      </c>
      <c r="J866" t="s">
        <v>135</v>
      </c>
      <c r="K866" t="s">
        <v>80</v>
      </c>
      <c r="L866">
        <v>0</v>
      </c>
      <c r="M866">
        <v>0</v>
      </c>
      <c r="N866">
        <v>1</v>
      </c>
      <c r="O866">
        <v>0</v>
      </c>
      <c r="P866">
        <v>0</v>
      </c>
      <c r="Q866" t="s">
        <v>584</v>
      </c>
      <c r="AA866" t="s">
        <v>81</v>
      </c>
      <c r="AB866" t="s">
        <v>82</v>
      </c>
      <c r="AC866" t="s">
        <v>83</v>
      </c>
      <c r="AD866" t="s">
        <v>82</v>
      </c>
      <c r="AE866" t="s">
        <v>81</v>
      </c>
      <c r="AF866" t="s">
        <v>81</v>
      </c>
      <c r="AG866" t="s">
        <v>83</v>
      </c>
      <c r="AH866" t="s">
        <v>83</v>
      </c>
      <c r="AI866" t="s">
        <v>135</v>
      </c>
      <c r="AJ866" t="s">
        <v>80</v>
      </c>
      <c r="AK866" t="s">
        <v>117</v>
      </c>
      <c r="AL866" t="s">
        <v>73</v>
      </c>
      <c r="AM866" t="s">
        <v>74</v>
      </c>
      <c r="AR866" t="s">
        <v>75</v>
      </c>
      <c r="AS866" t="s">
        <v>76</v>
      </c>
      <c r="AT866" t="s">
        <v>73</v>
      </c>
      <c r="AU866">
        <v>1</v>
      </c>
      <c r="AV866">
        <v>0</v>
      </c>
      <c r="AW866">
        <v>0</v>
      </c>
      <c r="AX866">
        <v>0</v>
      </c>
      <c r="AY866">
        <v>0</v>
      </c>
      <c r="AZ866" t="s">
        <v>580</v>
      </c>
    </row>
    <row r="867" spans="1:52" x14ac:dyDescent="0.2">
      <c r="A867">
        <v>1</v>
      </c>
      <c r="B867">
        <v>0</v>
      </c>
      <c r="C867">
        <v>0</v>
      </c>
      <c r="D867">
        <v>0</v>
      </c>
      <c r="E867">
        <v>0</v>
      </c>
      <c r="F867">
        <v>1</v>
      </c>
      <c r="G867">
        <v>0</v>
      </c>
      <c r="H867">
        <v>0</v>
      </c>
      <c r="I867">
        <v>0</v>
      </c>
      <c r="J867" t="s">
        <v>79</v>
      </c>
      <c r="K867" t="s">
        <v>80</v>
      </c>
      <c r="L867">
        <v>0</v>
      </c>
      <c r="M867">
        <v>1</v>
      </c>
      <c r="N867">
        <v>0</v>
      </c>
      <c r="O867">
        <v>0</v>
      </c>
      <c r="P867">
        <v>0</v>
      </c>
      <c r="Q867" t="s">
        <v>584</v>
      </c>
      <c r="AA867" t="s">
        <v>90</v>
      </c>
      <c r="AB867" t="s">
        <v>82</v>
      </c>
      <c r="AC867" t="s">
        <v>81</v>
      </c>
      <c r="AD867" t="s">
        <v>82</v>
      </c>
      <c r="AE867" t="s">
        <v>90</v>
      </c>
      <c r="AF867" t="s">
        <v>90</v>
      </c>
      <c r="AG867" t="s">
        <v>90</v>
      </c>
      <c r="AH867" t="s">
        <v>83</v>
      </c>
      <c r="AI867" t="s">
        <v>84</v>
      </c>
      <c r="AJ867" t="s">
        <v>80</v>
      </c>
      <c r="AK867" t="s">
        <v>100</v>
      </c>
      <c r="AL867" t="s">
        <v>107</v>
      </c>
      <c r="AM867" t="s">
        <v>87</v>
      </c>
      <c r="AN867" t="s">
        <v>87</v>
      </c>
      <c r="AO867" t="s">
        <v>87</v>
      </c>
      <c r="AP867" t="s">
        <v>74</v>
      </c>
      <c r="AQ867" t="s">
        <v>74</v>
      </c>
      <c r="AR867" t="s">
        <v>75</v>
      </c>
      <c r="AS867" t="s">
        <v>76</v>
      </c>
      <c r="AT867" t="s">
        <v>107</v>
      </c>
      <c r="AU867">
        <v>1</v>
      </c>
      <c r="AV867">
        <v>0</v>
      </c>
      <c r="AW867">
        <v>0</v>
      </c>
      <c r="AX867">
        <v>0</v>
      </c>
      <c r="AY867">
        <v>0</v>
      </c>
      <c r="AZ867" t="s">
        <v>580</v>
      </c>
    </row>
    <row r="868" spans="1:52" x14ac:dyDescent="0.2">
      <c r="A868">
        <v>1</v>
      </c>
      <c r="B868">
        <v>0</v>
      </c>
      <c r="C868">
        <v>0</v>
      </c>
      <c r="D868">
        <v>0</v>
      </c>
      <c r="E868">
        <v>0</v>
      </c>
      <c r="F868">
        <v>0</v>
      </c>
      <c r="G868">
        <v>0</v>
      </c>
      <c r="H868">
        <v>0</v>
      </c>
      <c r="I868">
        <v>1</v>
      </c>
      <c r="J868" t="s">
        <v>127</v>
      </c>
      <c r="K868" t="s">
        <v>127</v>
      </c>
      <c r="L868">
        <v>0</v>
      </c>
      <c r="M868">
        <v>1</v>
      </c>
      <c r="N868">
        <v>0</v>
      </c>
      <c r="O868">
        <v>0</v>
      </c>
      <c r="P868">
        <v>0</v>
      </c>
      <c r="Q868" t="s">
        <v>584</v>
      </c>
      <c r="AA868" t="s">
        <v>83</v>
      </c>
      <c r="AB868" t="s">
        <v>83</v>
      </c>
      <c r="AC868" t="s">
        <v>81</v>
      </c>
      <c r="AD868" t="s">
        <v>82</v>
      </c>
      <c r="AE868" t="s">
        <v>83</v>
      </c>
      <c r="AF868" t="s">
        <v>81</v>
      </c>
      <c r="AG868" t="s">
        <v>83</v>
      </c>
      <c r="AH868" t="s">
        <v>81</v>
      </c>
      <c r="AI868" t="s">
        <v>88</v>
      </c>
      <c r="AJ868" t="s">
        <v>89</v>
      </c>
      <c r="AK868" t="s">
        <v>100</v>
      </c>
      <c r="AL868" t="s">
        <v>120</v>
      </c>
      <c r="AM868" t="s">
        <v>86</v>
      </c>
      <c r="AN868" t="s">
        <v>86</v>
      </c>
      <c r="AO868" t="s">
        <v>87</v>
      </c>
      <c r="AP868" t="s">
        <v>86</v>
      </c>
      <c r="AQ868" t="s">
        <v>86</v>
      </c>
      <c r="AR868" t="s">
        <v>97</v>
      </c>
      <c r="AS868" t="s">
        <v>76</v>
      </c>
      <c r="AT868" t="s">
        <v>120</v>
      </c>
      <c r="AU868">
        <v>1</v>
      </c>
      <c r="AV868">
        <v>0</v>
      </c>
      <c r="AW868">
        <v>0</v>
      </c>
      <c r="AX868">
        <v>0</v>
      </c>
      <c r="AY868">
        <v>0</v>
      </c>
      <c r="AZ868" t="s">
        <v>580</v>
      </c>
    </row>
    <row r="869" spans="1:52" x14ac:dyDescent="0.2">
      <c r="A869">
        <v>1</v>
      </c>
      <c r="B869">
        <v>0</v>
      </c>
      <c r="C869">
        <v>0</v>
      </c>
      <c r="D869">
        <v>0</v>
      </c>
      <c r="E869">
        <v>0</v>
      </c>
      <c r="F869">
        <v>1</v>
      </c>
      <c r="G869">
        <v>1</v>
      </c>
      <c r="H869">
        <v>1</v>
      </c>
      <c r="I869">
        <v>0</v>
      </c>
      <c r="J869" t="s">
        <v>88</v>
      </c>
      <c r="K869" t="s">
        <v>89</v>
      </c>
      <c r="L869">
        <v>0</v>
      </c>
      <c r="M869">
        <v>0</v>
      </c>
      <c r="N869">
        <v>1</v>
      </c>
      <c r="O869">
        <v>0</v>
      </c>
      <c r="P869">
        <v>0</v>
      </c>
      <c r="Q869" t="s">
        <v>584</v>
      </c>
      <c r="AA869" t="s">
        <v>83</v>
      </c>
      <c r="AB869" t="s">
        <v>82</v>
      </c>
      <c r="AC869" t="s">
        <v>81</v>
      </c>
      <c r="AD869" t="s">
        <v>81</v>
      </c>
      <c r="AE869" t="s">
        <v>83</v>
      </c>
      <c r="AF869" t="s">
        <v>81</v>
      </c>
      <c r="AG869" t="s">
        <v>83</v>
      </c>
      <c r="AH869" t="s">
        <v>83</v>
      </c>
      <c r="AI869" t="s">
        <v>88</v>
      </c>
      <c r="AJ869" t="s">
        <v>89</v>
      </c>
      <c r="AK869" t="s">
        <v>85</v>
      </c>
      <c r="AL869" t="s">
        <v>73</v>
      </c>
      <c r="AM869" t="s">
        <v>87</v>
      </c>
      <c r="AN869" t="s">
        <v>86</v>
      </c>
      <c r="AO869" t="s">
        <v>87</v>
      </c>
      <c r="AP869" t="s">
        <v>87</v>
      </c>
      <c r="AQ869" t="s">
        <v>87</v>
      </c>
      <c r="AR869" t="s">
        <v>75</v>
      </c>
      <c r="AS869" t="s">
        <v>76</v>
      </c>
      <c r="AT869" t="s">
        <v>73</v>
      </c>
      <c r="AU869">
        <v>1</v>
      </c>
      <c r="AV869">
        <v>0</v>
      </c>
      <c r="AW869">
        <v>0</v>
      </c>
      <c r="AX869">
        <v>0</v>
      </c>
      <c r="AY869">
        <v>0</v>
      </c>
      <c r="AZ869" t="s">
        <v>579</v>
      </c>
    </row>
    <row r="870" spans="1:52" x14ac:dyDescent="0.2">
      <c r="A870">
        <v>0</v>
      </c>
      <c r="B870">
        <v>0</v>
      </c>
      <c r="C870">
        <v>0</v>
      </c>
      <c r="D870">
        <v>1</v>
      </c>
      <c r="L870">
        <v>1</v>
      </c>
      <c r="M870">
        <v>0</v>
      </c>
      <c r="N870">
        <v>0</v>
      </c>
      <c r="O870">
        <v>0</v>
      </c>
      <c r="P870">
        <v>0</v>
      </c>
      <c r="Q870" t="s">
        <v>584</v>
      </c>
      <c r="R870">
        <v>0</v>
      </c>
      <c r="S870">
        <v>0</v>
      </c>
      <c r="T870">
        <v>1</v>
      </c>
      <c r="U870">
        <v>0</v>
      </c>
      <c r="V870">
        <v>0</v>
      </c>
      <c r="W870">
        <v>0</v>
      </c>
      <c r="X870">
        <v>0</v>
      </c>
      <c r="Y870">
        <v>0</v>
      </c>
      <c r="Z870">
        <v>0</v>
      </c>
      <c r="AL870" t="s">
        <v>107</v>
      </c>
      <c r="AR870" t="s">
        <v>97</v>
      </c>
      <c r="AS870" t="s">
        <v>76</v>
      </c>
      <c r="AT870" t="s">
        <v>107</v>
      </c>
      <c r="AU870">
        <v>1</v>
      </c>
      <c r="AV870">
        <v>0</v>
      </c>
      <c r="AW870">
        <v>0</v>
      </c>
      <c r="AX870">
        <v>0</v>
      </c>
      <c r="AY870">
        <v>0</v>
      </c>
      <c r="AZ870" t="s">
        <v>580</v>
      </c>
    </row>
    <row r="871" spans="1:52" x14ac:dyDescent="0.2">
      <c r="A871">
        <v>1</v>
      </c>
      <c r="B871">
        <v>0</v>
      </c>
      <c r="C871">
        <v>0</v>
      </c>
      <c r="D871">
        <v>0</v>
      </c>
      <c r="E871">
        <v>0</v>
      </c>
      <c r="F871">
        <v>1</v>
      </c>
      <c r="G871">
        <v>1</v>
      </c>
      <c r="H871">
        <v>1</v>
      </c>
      <c r="I871">
        <v>0</v>
      </c>
      <c r="J871" t="s">
        <v>88</v>
      </c>
      <c r="K871" t="s">
        <v>89</v>
      </c>
      <c r="L871">
        <v>0</v>
      </c>
      <c r="M871">
        <v>1</v>
      </c>
      <c r="N871">
        <v>0</v>
      </c>
      <c r="O871">
        <v>0</v>
      </c>
      <c r="P871">
        <v>0</v>
      </c>
      <c r="Q871" t="s">
        <v>584</v>
      </c>
      <c r="AA871" t="s">
        <v>83</v>
      </c>
      <c r="AB871" t="s">
        <v>81</v>
      </c>
      <c r="AC871" t="s">
        <v>82</v>
      </c>
      <c r="AD871" t="s">
        <v>81</v>
      </c>
      <c r="AE871" t="s">
        <v>83</v>
      </c>
      <c r="AF871" t="s">
        <v>83</v>
      </c>
      <c r="AG871" t="s">
        <v>90</v>
      </c>
      <c r="AH871" t="s">
        <v>83</v>
      </c>
      <c r="AI871" t="s">
        <v>88</v>
      </c>
      <c r="AJ871" t="s">
        <v>89</v>
      </c>
      <c r="AK871" t="s">
        <v>100</v>
      </c>
      <c r="AL871" t="s">
        <v>73</v>
      </c>
      <c r="AM871" t="s">
        <v>74</v>
      </c>
      <c r="AR871" t="s">
        <v>75</v>
      </c>
      <c r="AS871" t="s">
        <v>76</v>
      </c>
      <c r="AT871" t="s">
        <v>73</v>
      </c>
      <c r="AU871">
        <v>0</v>
      </c>
      <c r="AV871">
        <v>0</v>
      </c>
      <c r="AW871">
        <v>0</v>
      </c>
      <c r="AX871">
        <v>1</v>
      </c>
      <c r="AY871">
        <v>0</v>
      </c>
      <c r="AZ871" t="s">
        <v>578</v>
      </c>
    </row>
    <row r="872" spans="1:52" x14ac:dyDescent="0.2">
      <c r="A872">
        <v>1</v>
      </c>
      <c r="B872">
        <v>0</v>
      </c>
      <c r="C872">
        <v>0</v>
      </c>
      <c r="D872">
        <v>0</v>
      </c>
      <c r="E872">
        <v>0</v>
      </c>
      <c r="F872">
        <v>1</v>
      </c>
      <c r="G872">
        <v>0</v>
      </c>
      <c r="H872">
        <v>0</v>
      </c>
      <c r="I872">
        <v>0</v>
      </c>
      <c r="J872" t="s">
        <v>88</v>
      </c>
      <c r="K872" t="s">
        <v>89</v>
      </c>
      <c r="L872">
        <v>1</v>
      </c>
      <c r="M872">
        <v>0</v>
      </c>
      <c r="N872">
        <v>0</v>
      </c>
      <c r="O872">
        <v>0</v>
      </c>
      <c r="P872">
        <v>0</v>
      </c>
      <c r="Q872" t="s">
        <v>584</v>
      </c>
      <c r="R872">
        <v>0</v>
      </c>
      <c r="S872">
        <v>1</v>
      </c>
      <c r="T872">
        <v>0</v>
      </c>
      <c r="U872">
        <v>0</v>
      </c>
      <c r="V872">
        <v>0</v>
      </c>
      <c r="W872">
        <v>0</v>
      </c>
      <c r="X872">
        <v>0</v>
      </c>
      <c r="Y872">
        <v>0</v>
      </c>
      <c r="Z872">
        <v>0</v>
      </c>
      <c r="AL872" t="s">
        <v>107</v>
      </c>
      <c r="AM872" t="s">
        <v>86</v>
      </c>
      <c r="AN872" t="s">
        <v>86</v>
      </c>
      <c r="AO872" t="s">
        <v>87</v>
      </c>
      <c r="AP872" t="s">
        <v>74</v>
      </c>
      <c r="AQ872" t="s">
        <v>86</v>
      </c>
      <c r="AR872" t="s">
        <v>108</v>
      </c>
      <c r="AS872" t="s">
        <v>76</v>
      </c>
      <c r="AT872" t="s">
        <v>107</v>
      </c>
      <c r="AU872">
        <v>1</v>
      </c>
      <c r="AV872">
        <v>0</v>
      </c>
      <c r="AW872">
        <v>0</v>
      </c>
      <c r="AX872">
        <v>0</v>
      </c>
      <c r="AY872">
        <v>0</v>
      </c>
      <c r="AZ872" t="s">
        <v>580</v>
      </c>
    </row>
    <row r="873" spans="1:52" x14ac:dyDescent="0.2">
      <c r="A873">
        <v>0</v>
      </c>
      <c r="B873">
        <v>1</v>
      </c>
      <c r="C873">
        <v>0</v>
      </c>
      <c r="D873">
        <v>0</v>
      </c>
      <c r="E873">
        <v>0</v>
      </c>
      <c r="F873">
        <v>1</v>
      </c>
      <c r="G873">
        <v>1</v>
      </c>
      <c r="H873">
        <v>0</v>
      </c>
      <c r="I873">
        <v>0</v>
      </c>
      <c r="J873" t="s">
        <v>135</v>
      </c>
      <c r="K873" t="s">
        <v>89</v>
      </c>
      <c r="L873">
        <v>0</v>
      </c>
      <c r="M873">
        <v>1</v>
      </c>
      <c r="N873">
        <v>0</v>
      </c>
      <c r="O873">
        <v>0</v>
      </c>
      <c r="P873">
        <v>0</v>
      </c>
      <c r="Q873" t="s">
        <v>584</v>
      </c>
      <c r="AA873" t="s">
        <v>90</v>
      </c>
      <c r="AB873" t="s">
        <v>82</v>
      </c>
      <c r="AC873" t="s">
        <v>90</v>
      </c>
      <c r="AD873" t="s">
        <v>82</v>
      </c>
      <c r="AE873" t="s">
        <v>90</v>
      </c>
      <c r="AF873" t="s">
        <v>90</v>
      </c>
      <c r="AG873" t="s">
        <v>90</v>
      </c>
      <c r="AH873" t="s">
        <v>90</v>
      </c>
      <c r="AI873" t="s">
        <v>135</v>
      </c>
      <c r="AJ873" t="s">
        <v>89</v>
      </c>
      <c r="AK873" t="s">
        <v>85</v>
      </c>
      <c r="AL873" t="s">
        <v>107</v>
      </c>
      <c r="AM873" t="s">
        <v>86</v>
      </c>
      <c r="AN873" t="s">
        <v>74</v>
      </c>
      <c r="AO873" t="s">
        <v>87</v>
      </c>
      <c r="AP873" t="s">
        <v>74</v>
      </c>
      <c r="AQ873" t="s">
        <v>86</v>
      </c>
      <c r="AR873" t="s">
        <v>75</v>
      </c>
      <c r="AS873" t="s">
        <v>76</v>
      </c>
      <c r="AT873" t="s">
        <v>107</v>
      </c>
      <c r="AU873">
        <v>0</v>
      </c>
      <c r="AV873">
        <v>1</v>
      </c>
      <c r="AW873">
        <v>0</v>
      </c>
      <c r="AX873">
        <v>0</v>
      </c>
      <c r="AY873">
        <v>0</v>
      </c>
      <c r="AZ873" t="s">
        <v>579</v>
      </c>
    </row>
    <row r="874" spans="1:52" x14ac:dyDescent="0.2">
      <c r="A874">
        <v>1</v>
      </c>
      <c r="B874">
        <v>0</v>
      </c>
      <c r="C874">
        <v>0</v>
      </c>
      <c r="D874">
        <v>0</v>
      </c>
      <c r="E874">
        <v>0</v>
      </c>
      <c r="F874">
        <v>1</v>
      </c>
      <c r="G874">
        <v>1</v>
      </c>
      <c r="H874">
        <v>0</v>
      </c>
      <c r="I874">
        <v>0</v>
      </c>
      <c r="J874" t="s">
        <v>135</v>
      </c>
      <c r="K874" t="s">
        <v>127</v>
      </c>
      <c r="L874">
        <v>0</v>
      </c>
      <c r="M874">
        <v>0</v>
      </c>
      <c r="N874">
        <v>1</v>
      </c>
      <c r="O874">
        <v>0</v>
      </c>
      <c r="P874">
        <v>0</v>
      </c>
      <c r="Q874" t="s">
        <v>584</v>
      </c>
      <c r="AA874" t="s">
        <v>83</v>
      </c>
      <c r="AB874" t="s">
        <v>82</v>
      </c>
      <c r="AC874" t="s">
        <v>83</v>
      </c>
      <c r="AD874" t="s">
        <v>83</v>
      </c>
      <c r="AE874" t="s">
        <v>82</v>
      </c>
      <c r="AF874" t="s">
        <v>83</v>
      </c>
      <c r="AG874" t="s">
        <v>82</v>
      </c>
      <c r="AH874" t="s">
        <v>83</v>
      </c>
      <c r="AI874" t="s">
        <v>135</v>
      </c>
      <c r="AJ874" t="s">
        <v>127</v>
      </c>
      <c r="AK874" t="s">
        <v>153</v>
      </c>
      <c r="AL874" t="s">
        <v>73</v>
      </c>
      <c r="AM874" t="s">
        <v>74</v>
      </c>
      <c r="AR874" t="s">
        <v>75</v>
      </c>
      <c r="AS874" t="s">
        <v>76</v>
      </c>
      <c r="AT874" t="s">
        <v>73</v>
      </c>
      <c r="AU874">
        <v>0</v>
      </c>
      <c r="AV874">
        <v>1</v>
      </c>
      <c r="AW874">
        <v>0</v>
      </c>
      <c r="AX874">
        <v>0</v>
      </c>
      <c r="AY874">
        <v>0</v>
      </c>
      <c r="AZ874" t="s">
        <v>579</v>
      </c>
    </row>
    <row r="875" spans="1:52" x14ac:dyDescent="0.2">
      <c r="A875">
        <v>0</v>
      </c>
      <c r="B875">
        <v>1</v>
      </c>
      <c r="C875">
        <v>0</v>
      </c>
      <c r="D875">
        <v>0</v>
      </c>
      <c r="E875">
        <v>1</v>
      </c>
      <c r="F875">
        <v>0</v>
      </c>
      <c r="G875">
        <v>0</v>
      </c>
      <c r="H875">
        <v>0</v>
      </c>
      <c r="I875">
        <v>0</v>
      </c>
      <c r="L875">
        <v>1</v>
      </c>
      <c r="M875">
        <v>0</v>
      </c>
      <c r="N875">
        <v>0</v>
      </c>
      <c r="O875">
        <v>0</v>
      </c>
      <c r="P875">
        <v>0</v>
      </c>
      <c r="Q875" t="s">
        <v>584</v>
      </c>
      <c r="R875">
        <v>0</v>
      </c>
      <c r="S875">
        <v>0</v>
      </c>
      <c r="T875">
        <v>1</v>
      </c>
      <c r="U875">
        <v>0</v>
      </c>
      <c r="V875">
        <v>0</v>
      </c>
      <c r="W875">
        <v>0</v>
      </c>
      <c r="X875">
        <v>0</v>
      </c>
      <c r="Y875">
        <v>0</v>
      </c>
      <c r="Z875">
        <v>0</v>
      </c>
      <c r="AL875" t="s">
        <v>107</v>
      </c>
      <c r="AM875" t="s">
        <v>87</v>
      </c>
      <c r="AN875" t="s">
        <v>87</v>
      </c>
      <c r="AO875" t="s">
        <v>86</v>
      </c>
      <c r="AP875" t="s">
        <v>87</v>
      </c>
      <c r="AQ875" t="s">
        <v>87</v>
      </c>
      <c r="AR875" t="s">
        <v>75</v>
      </c>
      <c r="AS875" t="s">
        <v>76</v>
      </c>
      <c r="AT875" t="s">
        <v>107</v>
      </c>
      <c r="AU875">
        <v>1</v>
      </c>
      <c r="AV875">
        <v>0</v>
      </c>
      <c r="AW875">
        <v>0</v>
      </c>
      <c r="AX875">
        <v>0</v>
      </c>
      <c r="AY875">
        <v>0</v>
      </c>
      <c r="AZ875" t="s">
        <v>580</v>
      </c>
    </row>
    <row r="876" spans="1:52" x14ac:dyDescent="0.2">
      <c r="A876">
        <v>0</v>
      </c>
      <c r="B876">
        <v>1</v>
      </c>
      <c r="C876">
        <v>0</v>
      </c>
      <c r="D876">
        <v>0</v>
      </c>
      <c r="E876">
        <v>1</v>
      </c>
      <c r="F876">
        <v>0</v>
      </c>
      <c r="G876">
        <v>0</v>
      </c>
      <c r="H876">
        <v>0</v>
      </c>
      <c r="I876">
        <v>0</v>
      </c>
      <c r="L876">
        <v>1</v>
      </c>
      <c r="M876">
        <v>0</v>
      </c>
      <c r="N876">
        <v>0</v>
      </c>
      <c r="O876">
        <v>0</v>
      </c>
      <c r="P876">
        <v>0</v>
      </c>
      <c r="Q876" t="s">
        <v>584</v>
      </c>
      <c r="R876">
        <v>0</v>
      </c>
      <c r="S876">
        <v>0</v>
      </c>
      <c r="T876">
        <v>0</v>
      </c>
      <c r="U876">
        <v>0</v>
      </c>
      <c r="V876">
        <v>1</v>
      </c>
      <c r="W876">
        <v>0</v>
      </c>
      <c r="X876">
        <v>0</v>
      </c>
      <c r="Y876">
        <v>0</v>
      </c>
      <c r="Z876">
        <v>1</v>
      </c>
      <c r="AL876" t="s">
        <v>96</v>
      </c>
      <c r="AM876" t="s">
        <v>74</v>
      </c>
      <c r="AR876" t="s">
        <v>97</v>
      </c>
      <c r="AS876" t="s">
        <v>76</v>
      </c>
      <c r="AT876" t="s">
        <v>96</v>
      </c>
      <c r="AU876">
        <v>1</v>
      </c>
      <c r="AV876">
        <v>0</v>
      </c>
      <c r="AW876">
        <v>0</v>
      </c>
      <c r="AX876">
        <v>0</v>
      </c>
      <c r="AY876">
        <v>0</v>
      </c>
      <c r="AZ876" t="s">
        <v>580</v>
      </c>
    </row>
    <row r="877" spans="1:52" x14ac:dyDescent="0.2">
      <c r="A877">
        <v>0</v>
      </c>
      <c r="B877">
        <v>1</v>
      </c>
      <c r="C877">
        <v>0</v>
      </c>
      <c r="D877">
        <v>0</v>
      </c>
      <c r="E877">
        <v>1</v>
      </c>
      <c r="F877">
        <v>0</v>
      </c>
      <c r="G877">
        <v>0</v>
      </c>
      <c r="H877">
        <v>0</v>
      </c>
      <c r="I877">
        <v>0</v>
      </c>
      <c r="L877">
        <v>1</v>
      </c>
      <c r="M877">
        <v>0</v>
      </c>
      <c r="N877">
        <v>0</v>
      </c>
      <c r="O877">
        <v>0</v>
      </c>
      <c r="P877">
        <v>0</v>
      </c>
      <c r="Q877" t="s">
        <v>584</v>
      </c>
      <c r="R877">
        <v>0</v>
      </c>
      <c r="S877">
        <v>0</v>
      </c>
      <c r="T877">
        <v>1</v>
      </c>
      <c r="U877">
        <v>0</v>
      </c>
      <c r="V877">
        <v>0</v>
      </c>
      <c r="W877">
        <v>1</v>
      </c>
      <c r="X877">
        <v>0</v>
      </c>
      <c r="Y877">
        <v>0</v>
      </c>
      <c r="Z877">
        <v>0</v>
      </c>
      <c r="AL877" t="s">
        <v>96</v>
      </c>
      <c r="AM877" t="s">
        <v>86</v>
      </c>
      <c r="AN877" t="s">
        <v>87</v>
      </c>
      <c r="AO877" t="s">
        <v>74</v>
      </c>
      <c r="AP877" t="s">
        <v>74</v>
      </c>
      <c r="AQ877" t="s">
        <v>87</v>
      </c>
      <c r="AR877" t="s">
        <v>108</v>
      </c>
      <c r="AS877" t="s">
        <v>76</v>
      </c>
      <c r="AT877" t="s">
        <v>96</v>
      </c>
      <c r="AU877">
        <v>1</v>
      </c>
      <c r="AV877">
        <v>0</v>
      </c>
      <c r="AW877">
        <v>0</v>
      </c>
      <c r="AX877">
        <v>0</v>
      </c>
      <c r="AY877">
        <v>0</v>
      </c>
      <c r="AZ877" t="s">
        <v>579</v>
      </c>
    </row>
    <row r="878" spans="1:52" x14ac:dyDescent="0.2">
      <c r="A878">
        <v>1</v>
      </c>
      <c r="B878">
        <v>0</v>
      </c>
      <c r="C878">
        <v>0</v>
      </c>
      <c r="D878">
        <v>0</v>
      </c>
      <c r="E878">
        <v>1</v>
      </c>
      <c r="F878">
        <v>0</v>
      </c>
      <c r="G878">
        <v>0</v>
      </c>
      <c r="H878">
        <v>0</v>
      </c>
      <c r="I878">
        <v>0</v>
      </c>
      <c r="L878">
        <v>1</v>
      </c>
      <c r="M878">
        <v>0</v>
      </c>
      <c r="N878">
        <v>0</v>
      </c>
      <c r="O878">
        <v>0</v>
      </c>
      <c r="P878">
        <v>0</v>
      </c>
      <c r="Q878" t="s">
        <v>584</v>
      </c>
      <c r="R878">
        <v>0</v>
      </c>
      <c r="S878">
        <v>0</v>
      </c>
      <c r="T878">
        <v>0</v>
      </c>
      <c r="U878">
        <v>0</v>
      </c>
      <c r="V878">
        <v>0</v>
      </c>
      <c r="W878">
        <v>0</v>
      </c>
      <c r="X878">
        <v>0</v>
      </c>
      <c r="Y878">
        <v>0</v>
      </c>
      <c r="Z878">
        <v>1</v>
      </c>
      <c r="AL878" t="s">
        <v>73</v>
      </c>
      <c r="AM878" t="s">
        <v>86</v>
      </c>
      <c r="AN878" t="s">
        <v>86</v>
      </c>
      <c r="AO878" t="s">
        <v>74</v>
      </c>
      <c r="AP878" t="s">
        <v>87</v>
      </c>
      <c r="AQ878" t="s">
        <v>74</v>
      </c>
      <c r="AR878" t="s">
        <v>75</v>
      </c>
      <c r="AS878" t="s">
        <v>92</v>
      </c>
      <c r="AT878" t="s">
        <v>73</v>
      </c>
      <c r="AU878">
        <v>0</v>
      </c>
      <c r="AV878">
        <v>1</v>
      </c>
      <c r="AW878">
        <v>0</v>
      </c>
      <c r="AX878">
        <v>0</v>
      </c>
      <c r="AY878">
        <v>0</v>
      </c>
      <c r="AZ878" t="s">
        <v>579</v>
      </c>
    </row>
    <row r="879" spans="1:52" x14ac:dyDescent="0.2">
      <c r="A879">
        <v>0</v>
      </c>
      <c r="B879">
        <v>1</v>
      </c>
      <c r="C879">
        <v>0</v>
      </c>
      <c r="D879">
        <v>0</v>
      </c>
      <c r="E879">
        <v>1</v>
      </c>
      <c r="F879">
        <v>0</v>
      </c>
      <c r="G879">
        <v>0</v>
      </c>
      <c r="H879">
        <v>0</v>
      </c>
      <c r="I879">
        <v>0</v>
      </c>
      <c r="L879">
        <v>1</v>
      </c>
      <c r="M879">
        <v>0</v>
      </c>
      <c r="N879">
        <v>0</v>
      </c>
      <c r="O879">
        <v>0</v>
      </c>
      <c r="P879">
        <v>0</v>
      </c>
      <c r="Q879" t="s">
        <v>584</v>
      </c>
      <c r="R879">
        <v>0</v>
      </c>
      <c r="S879">
        <v>0</v>
      </c>
      <c r="T879">
        <v>1</v>
      </c>
      <c r="U879">
        <v>0</v>
      </c>
      <c r="V879">
        <v>0</v>
      </c>
      <c r="W879">
        <v>0</v>
      </c>
      <c r="X879">
        <v>0</v>
      </c>
      <c r="Y879">
        <v>0</v>
      </c>
      <c r="Z879">
        <v>0</v>
      </c>
      <c r="AL879" t="s">
        <v>96</v>
      </c>
      <c r="AM879" t="s">
        <v>74</v>
      </c>
      <c r="AR879" t="s">
        <v>97</v>
      </c>
      <c r="AS879" t="s">
        <v>76</v>
      </c>
      <c r="AT879" t="s">
        <v>96</v>
      </c>
      <c r="AU879">
        <v>1</v>
      </c>
      <c r="AV879">
        <v>0</v>
      </c>
      <c r="AW879">
        <v>0</v>
      </c>
      <c r="AX879">
        <v>0</v>
      </c>
      <c r="AY879">
        <v>0</v>
      </c>
      <c r="AZ879" t="s">
        <v>580</v>
      </c>
    </row>
    <row r="880" spans="1:52" x14ac:dyDescent="0.2">
      <c r="A880">
        <v>1</v>
      </c>
      <c r="B880">
        <v>0</v>
      </c>
      <c r="C880">
        <v>0</v>
      </c>
      <c r="D880">
        <v>0</v>
      </c>
      <c r="E880">
        <v>0</v>
      </c>
      <c r="F880">
        <v>1</v>
      </c>
      <c r="G880">
        <v>0</v>
      </c>
      <c r="H880">
        <v>0</v>
      </c>
      <c r="I880">
        <v>0</v>
      </c>
      <c r="J880" t="s">
        <v>88</v>
      </c>
      <c r="K880" t="s">
        <v>89</v>
      </c>
      <c r="L880">
        <v>0</v>
      </c>
      <c r="M880">
        <v>0</v>
      </c>
      <c r="N880">
        <v>1</v>
      </c>
      <c r="O880">
        <v>0</v>
      </c>
      <c r="P880">
        <v>0</v>
      </c>
      <c r="Q880" t="s">
        <v>584</v>
      </c>
      <c r="AA880" t="s">
        <v>81</v>
      </c>
      <c r="AB880" t="s">
        <v>81</v>
      </c>
      <c r="AC880" t="s">
        <v>83</v>
      </c>
      <c r="AD880" t="s">
        <v>83</v>
      </c>
      <c r="AE880" t="s">
        <v>82</v>
      </c>
      <c r="AF880" t="s">
        <v>83</v>
      </c>
      <c r="AG880" t="s">
        <v>82</v>
      </c>
      <c r="AH880" t="s">
        <v>83</v>
      </c>
      <c r="AI880" t="s">
        <v>88</v>
      </c>
      <c r="AJ880" t="s">
        <v>89</v>
      </c>
      <c r="AK880" t="s">
        <v>85</v>
      </c>
      <c r="AL880" t="s">
        <v>107</v>
      </c>
      <c r="AM880" t="s">
        <v>86</v>
      </c>
      <c r="AN880" t="s">
        <v>74</v>
      </c>
      <c r="AO880" t="s">
        <v>87</v>
      </c>
      <c r="AP880" t="s">
        <v>74</v>
      </c>
      <c r="AQ880" t="s">
        <v>74</v>
      </c>
      <c r="AR880" t="s">
        <v>108</v>
      </c>
      <c r="AS880" t="s">
        <v>76</v>
      </c>
      <c r="AT880" t="s">
        <v>107</v>
      </c>
      <c r="AU880">
        <v>0</v>
      </c>
      <c r="AV880">
        <v>0</v>
      </c>
      <c r="AW880">
        <v>0</v>
      </c>
      <c r="AX880">
        <v>1</v>
      </c>
      <c r="AY880">
        <v>0</v>
      </c>
      <c r="AZ880" t="s">
        <v>580</v>
      </c>
    </row>
    <row r="881" spans="1:52" x14ac:dyDescent="0.2">
      <c r="A881">
        <v>1</v>
      </c>
      <c r="B881">
        <v>0</v>
      </c>
      <c r="C881">
        <v>0</v>
      </c>
      <c r="D881">
        <v>0</v>
      </c>
      <c r="E881">
        <v>1</v>
      </c>
      <c r="F881">
        <v>0</v>
      </c>
      <c r="G881">
        <v>0</v>
      </c>
      <c r="H881">
        <v>0</v>
      </c>
      <c r="I881">
        <v>0</v>
      </c>
      <c r="L881">
        <v>1</v>
      </c>
      <c r="M881">
        <v>0</v>
      </c>
      <c r="N881">
        <v>0</v>
      </c>
      <c r="O881">
        <v>0</v>
      </c>
      <c r="P881">
        <v>0</v>
      </c>
      <c r="Q881" t="s">
        <v>584</v>
      </c>
      <c r="R881">
        <v>1</v>
      </c>
      <c r="S881">
        <v>0</v>
      </c>
      <c r="T881">
        <v>0</v>
      </c>
      <c r="U881">
        <v>0</v>
      </c>
      <c r="V881">
        <v>0</v>
      </c>
      <c r="W881">
        <v>0</v>
      </c>
      <c r="X881">
        <v>0</v>
      </c>
      <c r="Y881">
        <v>0</v>
      </c>
      <c r="Z881">
        <v>0</v>
      </c>
      <c r="AL881" t="s">
        <v>107</v>
      </c>
      <c r="AM881" t="s">
        <v>74</v>
      </c>
      <c r="AR881" t="s">
        <v>75</v>
      </c>
      <c r="AS881" t="s">
        <v>76</v>
      </c>
      <c r="AT881" t="s">
        <v>107</v>
      </c>
      <c r="AU881">
        <v>0</v>
      </c>
      <c r="AV881">
        <v>0</v>
      </c>
      <c r="AW881">
        <v>0</v>
      </c>
      <c r="AX881">
        <v>0</v>
      </c>
      <c r="AY881">
        <v>1</v>
      </c>
      <c r="AZ881" t="s">
        <v>580</v>
      </c>
    </row>
    <row r="882" spans="1:52" x14ac:dyDescent="0.2">
      <c r="A882">
        <v>1</v>
      </c>
      <c r="B882">
        <v>0</v>
      </c>
      <c r="C882">
        <v>0</v>
      </c>
      <c r="D882">
        <v>0</v>
      </c>
      <c r="E882">
        <v>0</v>
      </c>
      <c r="F882">
        <v>1</v>
      </c>
      <c r="G882">
        <v>0</v>
      </c>
      <c r="H882">
        <v>0</v>
      </c>
      <c r="I882">
        <v>0</v>
      </c>
      <c r="J882" t="s">
        <v>88</v>
      </c>
      <c r="K882" t="s">
        <v>89</v>
      </c>
      <c r="L882">
        <v>0</v>
      </c>
      <c r="M882">
        <v>0</v>
      </c>
      <c r="N882">
        <v>1</v>
      </c>
      <c r="O882">
        <v>0</v>
      </c>
      <c r="P882">
        <v>0</v>
      </c>
      <c r="Q882" t="s">
        <v>584</v>
      </c>
      <c r="AA882" t="s">
        <v>81</v>
      </c>
      <c r="AB882" t="s">
        <v>81</v>
      </c>
      <c r="AC882" t="s">
        <v>90</v>
      </c>
      <c r="AD882" t="s">
        <v>90</v>
      </c>
      <c r="AE882" t="s">
        <v>82</v>
      </c>
      <c r="AF882" t="s">
        <v>81</v>
      </c>
      <c r="AG882" t="s">
        <v>82</v>
      </c>
      <c r="AH882" t="s">
        <v>83</v>
      </c>
      <c r="AI882" t="s">
        <v>88</v>
      </c>
      <c r="AJ882" t="s">
        <v>80</v>
      </c>
      <c r="AK882" t="s">
        <v>85</v>
      </c>
      <c r="AL882" t="s">
        <v>73</v>
      </c>
      <c r="AM882" t="s">
        <v>87</v>
      </c>
      <c r="AN882" t="s">
        <v>87</v>
      </c>
      <c r="AO882" t="s">
        <v>87</v>
      </c>
      <c r="AP882" t="s">
        <v>87</v>
      </c>
      <c r="AQ882" t="s">
        <v>87</v>
      </c>
      <c r="AR882" t="s">
        <v>75</v>
      </c>
      <c r="AS882" t="s">
        <v>76</v>
      </c>
      <c r="AT882" t="s">
        <v>73</v>
      </c>
      <c r="AU882">
        <v>1</v>
      </c>
      <c r="AV882">
        <v>0</v>
      </c>
      <c r="AW882">
        <v>0</v>
      </c>
      <c r="AX882">
        <v>0</v>
      </c>
      <c r="AY882">
        <v>0</v>
      </c>
      <c r="AZ882" t="s">
        <v>580</v>
      </c>
    </row>
    <row r="883" spans="1:52" x14ac:dyDescent="0.2">
      <c r="A883">
        <v>1</v>
      </c>
      <c r="B883">
        <v>0</v>
      </c>
      <c r="C883">
        <v>0</v>
      </c>
      <c r="D883">
        <v>0</v>
      </c>
      <c r="E883">
        <v>1</v>
      </c>
      <c r="F883">
        <v>0</v>
      </c>
      <c r="G883">
        <v>0</v>
      </c>
      <c r="H883">
        <v>0</v>
      </c>
      <c r="I883">
        <v>0</v>
      </c>
      <c r="L883">
        <v>0</v>
      </c>
      <c r="M883">
        <v>0</v>
      </c>
      <c r="N883">
        <v>1</v>
      </c>
      <c r="O883">
        <v>0</v>
      </c>
      <c r="P883">
        <v>0</v>
      </c>
      <c r="Q883" t="s">
        <v>584</v>
      </c>
      <c r="AA883" t="s">
        <v>83</v>
      </c>
      <c r="AB883" t="s">
        <v>82</v>
      </c>
      <c r="AC883" t="s">
        <v>83</v>
      </c>
      <c r="AD883" t="s">
        <v>82</v>
      </c>
      <c r="AE883" t="s">
        <v>81</v>
      </c>
      <c r="AF883" t="s">
        <v>83</v>
      </c>
      <c r="AG883" t="s">
        <v>83</v>
      </c>
      <c r="AH883" t="s">
        <v>83</v>
      </c>
      <c r="AI883" t="s">
        <v>135</v>
      </c>
      <c r="AJ883" t="s">
        <v>80</v>
      </c>
      <c r="AK883" t="s">
        <v>117</v>
      </c>
      <c r="AL883" t="s">
        <v>107</v>
      </c>
      <c r="AM883" t="s">
        <v>74</v>
      </c>
      <c r="AR883" t="s">
        <v>75</v>
      </c>
      <c r="AS883" t="s">
        <v>76</v>
      </c>
      <c r="AT883" t="s">
        <v>107</v>
      </c>
      <c r="AU883">
        <v>1</v>
      </c>
      <c r="AV883">
        <v>0</v>
      </c>
      <c r="AW883">
        <v>0</v>
      </c>
      <c r="AX883">
        <v>0</v>
      </c>
      <c r="AY883">
        <v>0</v>
      </c>
      <c r="AZ883" t="s">
        <v>580</v>
      </c>
    </row>
    <row r="884" spans="1:52" x14ac:dyDescent="0.2">
      <c r="A884">
        <v>0</v>
      </c>
      <c r="B884">
        <v>0</v>
      </c>
      <c r="C884">
        <v>0</v>
      </c>
      <c r="D884">
        <v>1</v>
      </c>
      <c r="L884">
        <v>1</v>
      </c>
      <c r="M884">
        <v>0</v>
      </c>
      <c r="N884">
        <v>0</v>
      </c>
      <c r="O884">
        <v>0</v>
      </c>
      <c r="P884">
        <v>0</v>
      </c>
      <c r="Q884" t="s">
        <v>584</v>
      </c>
      <c r="R884">
        <v>0</v>
      </c>
      <c r="S884">
        <v>0</v>
      </c>
      <c r="T884">
        <v>0</v>
      </c>
      <c r="U884">
        <v>0</v>
      </c>
      <c r="V884">
        <v>0</v>
      </c>
      <c r="W884">
        <v>0</v>
      </c>
      <c r="X884">
        <v>1</v>
      </c>
      <c r="Y884">
        <v>0</v>
      </c>
      <c r="Z884">
        <v>0</v>
      </c>
      <c r="AL884" t="s">
        <v>107</v>
      </c>
      <c r="AR884" t="s">
        <v>97</v>
      </c>
      <c r="AS884" t="s">
        <v>76</v>
      </c>
      <c r="AT884" t="s">
        <v>107</v>
      </c>
      <c r="AU884">
        <v>0</v>
      </c>
      <c r="AV884">
        <v>0</v>
      </c>
      <c r="AW884">
        <v>0</v>
      </c>
      <c r="AX884">
        <v>1</v>
      </c>
      <c r="AY884">
        <v>0</v>
      </c>
      <c r="AZ884" t="s">
        <v>581</v>
      </c>
    </row>
    <row r="885" spans="1:52" x14ac:dyDescent="0.2">
      <c r="A885">
        <v>0</v>
      </c>
      <c r="B885">
        <v>1</v>
      </c>
      <c r="C885">
        <v>0</v>
      </c>
      <c r="D885">
        <v>0</v>
      </c>
      <c r="E885">
        <v>1</v>
      </c>
      <c r="F885">
        <v>0</v>
      </c>
      <c r="G885">
        <v>0</v>
      </c>
      <c r="H885">
        <v>0</v>
      </c>
      <c r="I885">
        <v>0</v>
      </c>
      <c r="L885">
        <v>1</v>
      </c>
      <c r="M885">
        <v>0</v>
      </c>
      <c r="N885">
        <v>0</v>
      </c>
      <c r="O885">
        <v>0</v>
      </c>
      <c r="P885">
        <v>0</v>
      </c>
      <c r="Q885" t="s">
        <v>584</v>
      </c>
      <c r="R885">
        <v>0</v>
      </c>
      <c r="S885">
        <v>0</v>
      </c>
      <c r="T885">
        <v>0</v>
      </c>
      <c r="U885">
        <v>0</v>
      </c>
      <c r="V885">
        <v>0</v>
      </c>
      <c r="W885">
        <v>0</v>
      </c>
      <c r="X885">
        <v>0</v>
      </c>
      <c r="Y885">
        <v>1</v>
      </c>
      <c r="Z885">
        <v>0</v>
      </c>
      <c r="AL885" t="s">
        <v>73</v>
      </c>
      <c r="AM885" t="s">
        <v>87</v>
      </c>
      <c r="AN885" t="s">
        <v>87</v>
      </c>
      <c r="AO885" t="s">
        <v>87</v>
      </c>
      <c r="AP885" t="s">
        <v>87</v>
      </c>
      <c r="AQ885" t="s">
        <v>87</v>
      </c>
      <c r="AR885" t="s">
        <v>75</v>
      </c>
      <c r="AS885" t="s">
        <v>225</v>
      </c>
      <c r="AT885" t="s">
        <v>73</v>
      </c>
      <c r="AU885">
        <v>0</v>
      </c>
      <c r="AV885">
        <v>0</v>
      </c>
      <c r="AW885">
        <v>0</v>
      </c>
      <c r="AX885">
        <v>0</v>
      </c>
      <c r="AY885">
        <v>1</v>
      </c>
      <c r="AZ885" t="s">
        <v>578</v>
      </c>
    </row>
    <row r="886" spans="1:52" x14ac:dyDescent="0.2">
      <c r="A886">
        <v>1</v>
      </c>
      <c r="B886">
        <v>0</v>
      </c>
      <c r="C886">
        <v>0</v>
      </c>
      <c r="D886">
        <v>0</v>
      </c>
      <c r="E886">
        <v>1</v>
      </c>
      <c r="F886">
        <v>0</v>
      </c>
      <c r="G886">
        <v>0</v>
      </c>
      <c r="H886">
        <v>0</v>
      </c>
      <c r="I886">
        <v>0</v>
      </c>
      <c r="L886">
        <v>0</v>
      </c>
      <c r="M886">
        <v>0</v>
      </c>
      <c r="N886">
        <v>1</v>
      </c>
      <c r="O886">
        <v>0</v>
      </c>
      <c r="P886">
        <v>0</v>
      </c>
      <c r="Q886" t="s">
        <v>584</v>
      </c>
      <c r="AA886" t="s">
        <v>83</v>
      </c>
      <c r="AB886" t="s">
        <v>82</v>
      </c>
      <c r="AC886" t="s">
        <v>81</v>
      </c>
      <c r="AD886" t="s">
        <v>83</v>
      </c>
      <c r="AE886" t="s">
        <v>83</v>
      </c>
      <c r="AF886" t="s">
        <v>83</v>
      </c>
      <c r="AG886" t="s">
        <v>90</v>
      </c>
      <c r="AH886" t="s">
        <v>83</v>
      </c>
      <c r="AI886" t="s">
        <v>88</v>
      </c>
      <c r="AJ886" t="s">
        <v>89</v>
      </c>
      <c r="AK886" t="s">
        <v>100</v>
      </c>
      <c r="AL886" t="s">
        <v>73</v>
      </c>
      <c r="AM886" t="s">
        <v>87</v>
      </c>
      <c r="AN886" t="s">
        <v>86</v>
      </c>
      <c r="AO886" t="s">
        <v>87</v>
      </c>
      <c r="AP886" t="s">
        <v>87</v>
      </c>
      <c r="AQ886" t="s">
        <v>87</v>
      </c>
      <c r="AR886" t="s">
        <v>75</v>
      </c>
      <c r="AS886" t="s">
        <v>76</v>
      </c>
      <c r="AT886" t="s">
        <v>73</v>
      </c>
      <c r="AU886">
        <v>0</v>
      </c>
      <c r="AV886">
        <v>0</v>
      </c>
      <c r="AW886">
        <v>0</v>
      </c>
      <c r="AX886">
        <v>1</v>
      </c>
      <c r="AY886">
        <v>0</v>
      </c>
      <c r="AZ886" t="s">
        <v>579</v>
      </c>
    </row>
    <row r="887" spans="1:52" x14ac:dyDescent="0.2">
      <c r="A887">
        <v>0</v>
      </c>
      <c r="B887">
        <v>1</v>
      </c>
      <c r="C887">
        <v>0</v>
      </c>
      <c r="D887">
        <v>0</v>
      </c>
      <c r="E887">
        <v>1</v>
      </c>
      <c r="F887">
        <v>0</v>
      </c>
      <c r="G887">
        <v>0</v>
      </c>
      <c r="H887">
        <v>0</v>
      </c>
      <c r="I887">
        <v>0</v>
      </c>
      <c r="L887">
        <v>0</v>
      </c>
      <c r="M887">
        <v>0</v>
      </c>
      <c r="N887">
        <v>0</v>
      </c>
      <c r="O887">
        <v>0</v>
      </c>
      <c r="P887">
        <v>0</v>
      </c>
      <c r="Q887" t="s">
        <v>585</v>
      </c>
      <c r="AA887" t="s">
        <v>90</v>
      </c>
      <c r="AB887" t="s">
        <v>82</v>
      </c>
      <c r="AC887" t="s">
        <v>82</v>
      </c>
      <c r="AD887" t="s">
        <v>81</v>
      </c>
      <c r="AE887" t="s">
        <v>83</v>
      </c>
      <c r="AF887" t="s">
        <v>90</v>
      </c>
      <c r="AG887" t="s">
        <v>90</v>
      </c>
      <c r="AH887" t="s">
        <v>83</v>
      </c>
      <c r="AI887" t="s">
        <v>127</v>
      </c>
      <c r="AJ887" t="s">
        <v>127</v>
      </c>
      <c r="AL887" t="s">
        <v>96</v>
      </c>
      <c r="AM887" t="s">
        <v>87</v>
      </c>
      <c r="AN887" t="s">
        <v>87</v>
      </c>
      <c r="AO887" t="s">
        <v>87</v>
      </c>
      <c r="AP887" t="s">
        <v>87</v>
      </c>
      <c r="AQ887" t="s">
        <v>86</v>
      </c>
      <c r="AR887" t="s">
        <v>101</v>
      </c>
      <c r="AS887" t="s">
        <v>76</v>
      </c>
      <c r="AT887" t="s">
        <v>96</v>
      </c>
      <c r="AU887">
        <v>0</v>
      </c>
      <c r="AV887">
        <v>0</v>
      </c>
      <c r="AW887">
        <v>0</v>
      </c>
      <c r="AX887">
        <v>0</v>
      </c>
      <c r="AY887">
        <v>1</v>
      </c>
      <c r="AZ887" t="s">
        <v>580</v>
      </c>
    </row>
    <row r="888" spans="1:52" x14ac:dyDescent="0.2">
      <c r="A888">
        <v>1</v>
      </c>
      <c r="B888">
        <v>0</v>
      </c>
      <c r="C888">
        <v>0</v>
      </c>
      <c r="D888">
        <v>0</v>
      </c>
      <c r="E888">
        <v>0</v>
      </c>
      <c r="F888">
        <v>1</v>
      </c>
      <c r="G888">
        <v>0</v>
      </c>
      <c r="H888">
        <v>0</v>
      </c>
      <c r="I888">
        <v>1</v>
      </c>
      <c r="J888" t="s">
        <v>88</v>
      </c>
      <c r="K888" t="s">
        <v>89</v>
      </c>
      <c r="L888">
        <v>0</v>
      </c>
      <c r="M888">
        <v>0</v>
      </c>
      <c r="N888">
        <v>1</v>
      </c>
      <c r="O888">
        <v>0</v>
      </c>
      <c r="P888">
        <v>0</v>
      </c>
      <c r="Q888" t="s">
        <v>584</v>
      </c>
      <c r="AA888" t="s">
        <v>83</v>
      </c>
      <c r="AB888" t="s">
        <v>81</v>
      </c>
      <c r="AC888" t="s">
        <v>90</v>
      </c>
      <c r="AD888" t="s">
        <v>82</v>
      </c>
      <c r="AE888" t="s">
        <v>81</v>
      </c>
      <c r="AF888" t="s">
        <v>83</v>
      </c>
      <c r="AG888" t="s">
        <v>90</v>
      </c>
      <c r="AH888" t="s">
        <v>83</v>
      </c>
      <c r="AI888" t="s">
        <v>127</v>
      </c>
      <c r="AJ888" t="s">
        <v>127</v>
      </c>
      <c r="AL888" t="s">
        <v>73</v>
      </c>
      <c r="AM888" t="s">
        <v>86</v>
      </c>
      <c r="AN888" t="s">
        <v>87</v>
      </c>
      <c r="AO888" t="s">
        <v>87</v>
      </c>
      <c r="AP888" t="s">
        <v>87</v>
      </c>
      <c r="AQ888" t="s">
        <v>74</v>
      </c>
      <c r="AR888" t="s">
        <v>97</v>
      </c>
      <c r="AS888" t="s">
        <v>92</v>
      </c>
      <c r="AT888" t="s">
        <v>73</v>
      </c>
      <c r="AU888">
        <v>0</v>
      </c>
      <c r="AV888">
        <v>0</v>
      </c>
      <c r="AW888">
        <v>1</v>
      </c>
      <c r="AX888">
        <v>1</v>
      </c>
      <c r="AY888">
        <v>0</v>
      </c>
      <c r="AZ888" t="s">
        <v>580</v>
      </c>
    </row>
    <row r="889" spans="1:52" x14ac:dyDescent="0.2">
      <c r="A889">
        <v>1</v>
      </c>
      <c r="B889">
        <v>0</v>
      </c>
      <c r="C889">
        <v>0</v>
      </c>
      <c r="D889">
        <v>0</v>
      </c>
      <c r="E889">
        <v>1</v>
      </c>
      <c r="F889">
        <v>0</v>
      </c>
      <c r="G889">
        <v>0</v>
      </c>
      <c r="H889">
        <v>0</v>
      </c>
      <c r="I889">
        <v>0</v>
      </c>
      <c r="L889">
        <v>0</v>
      </c>
      <c r="M889">
        <v>0</v>
      </c>
      <c r="N889">
        <v>1</v>
      </c>
      <c r="O889">
        <v>0</v>
      </c>
      <c r="P889">
        <v>0</v>
      </c>
      <c r="Q889" t="s">
        <v>584</v>
      </c>
      <c r="AA889" t="s">
        <v>82</v>
      </c>
      <c r="AB889" t="s">
        <v>83</v>
      </c>
      <c r="AC889" t="s">
        <v>90</v>
      </c>
      <c r="AD889" t="s">
        <v>83</v>
      </c>
      <c r="AE889" t="s">
        <v>81</v>
      </c>
      <c r="AF889" t="s">
        <v>81</v>
      </c>
      <c r="AG889" t="s">
        <v>83</v>
      </c>
      <c r="AH889" t="s">
        <v>83</v>
      </c>
      <c r="AI889" t="s">
        <v>88</v>
      </c>
      <c r="AJ889" t="s">
        <v>89</v>
      </c>
      <c r="AK889" t="s">
        <v>100</v>
      </c>
      <c r="AL889" t="s">
        <v>96</v>
      </c>
      <c r="AM889" t="s">
        <v>74</v>
      </c>
      <c r="AR889" t="s">
        <v>75</v>
      </c>
      <c r="AS889" t="s">
        <v>92</v>
      </c>
      <c r="AT889" t="s">
        <v>96</v>
      </c>
      <c r="AU889">
        <v>0</v>
      </c>
      <c r="AV889">
        <v>0</v>
      </c>
      <c r="AW889">
        <v>1</v>
      </c>
      <c r="AX889">
        <v>0</v>
      </c>
      <c r="AY889">
        <v>0</v>
      </c>
      <c r="AZ889" t="s">
        <v>579</v>
      </c>
    </row>
    <row r="890" spans="1:52" x14ac:dyDescent="0.2">
      <c r="A890">
        <v>0</v>
      </c>
      <c r="B890">
        <v>1</v>
      </c>
      <c r="C890">
        <v>0</v>
      </c>
      <c r="D890">
        <v>0</v>
      </c>
      <c r="E890">
        <v>1</v>
      </c>
      <c r="F890">
        <v>0</v>
      </c>
      <c r="G890">
        <v>0</v>
      </c>
      <c r="H890">
        <v>0</v>
      </c>
      <c r="I890">
        <v>0</v>
      </c>
      <c r="L890">
        <v>0</v>
      </c>
      <c r="M890">
        <v>1</v>
      </c>
      <c r="N890">
        <v>0</v>
      </c>
      <c r="O890">
        <v>1</v>
      </c>
      <c r="P890">
        <v>0</v>
      </c>
      <c r="Q890" t="s">
        <v>584</v>
      </c>
      <c r="AA890" t="s">
        <v>83</v>
      </c>
      <c r="AB890" t="s">
        <v>82</v>
      </c>
      <c r="AC890" t="s">
        <v>81</v>
      </c>
      <c r="AD890" t="s">
        <v>83</v>
      </c>
      <c r="AE890" t="s">
        <v>83</v>
      </c>
      <c r="AF890" t="s">
        <v>83</v>
      </c>
      <c r="AG890" t="s">
        <v>81</v>
      </c>
      <c r="AH890" t="s">
        <v>83</v>
      </c>
      <c r="AI890" t="s">
        <v>88</v>
      </c>
      <c r="AJ890" t="s">
        <v>89</v>
      </c>
      <c r="AK890" t="s">
        <v>100</v>
      </c>
      <c r="AL890" t="s">
        <v>96</v>
      </c>
      <c r="AM890" t="s">
        <v>87</v>
      </c>
      <c r="AN890" t="s">
        <v>86</v>
      </c>
      <c r="AO890" t="s">
        <v>87</v>
      </c>
      <c r="AP890" t="s">
        <v>87</v>
      </c>
      <c r="AQ890" t="s">
        <v>86</v>
      </c>
      <c r="AR890" t="s">
        <v>97</v>
      </c>
      <c r="AS890" t="s">
        <v>76</v>
      </c>
      <c r="AT890" t="s">
        <v>96</v>
      </c>
      <c r="AU890">
        <v>1</v>
      </c>
      <c r="AV890">
        <v>0</v>
      </c>
      <c r="AW890">
        <v>0</v>
      </c>
      <c r="AX890">
        <v>0</v>
      </c>
      <c r="AY890">
        <v>0</v>
      </c>
      <c r="AZ890" t="s">
        <v>580</v>
      </c>
    </row>
    <row r="891" spans="1:52" x14ac:dyDescent="0.2">
      <c r="A891">
        <v>1</v>
      </c>
      <c r="B891">
        <v>0</v>
      </c>
      <c r="C891">
        <v>0</v>
      </c>
      <c r="D891">
        <v>0</v>
      </c>
      <c r="E891">
        <v>0</v>
      </c>
      <c r="F891">
        <v>1</v>
      </c>
      <c r="G891">
        <v>1</v>
      </c>
      <c r="H891">
        <v>0</v>
      </c>
      <c r="I891">
        <v>0</v>
      </c>
      <c r="J891" t="s">
        <v>88</v>
      </c>
      <c r="K891" t="s">
        <v>89</v>
      </c>
      <c r="L891">
        <v>0</v>
      </c>
      <c r="M891">
        <v>0</v>
      </c>
      <c r="N891">
        <v>1</v>
      </c>
      <c r="O891">
        <v>0</v>
      </c>
      <c r="P891">
        <v>0</v>
      </c>
      <c r="Q891" t="s">
        <v>584</v>
      </c>
      <c r="AA891" t="s">
        <v>81</v>
      </c>
      <c r="AB891" t="s">
        <v>82</v>
      </c>
      <c r="AC891" t="s">
        <v>83</v>
      </c>
      <c r="AD891" t="s">
        <v>82</v>
      </c>
      <c r="AE891" t="s">
        <v>81</v>
      </c>
      <c r="AF891" t="s">
        <v>83</v>
      </c>
      <c r="AG891" t="s">
        <v>83</v>
      </c>
      <c r="AH891" t="s">
        <v>81</v>
      </c>
      <c r="AI891" t="s">
        <v>88</v>
      </c>
      <c r="AJ891" t="s">
        <v>89</v>
      </c>
      <c r="AK891" t="s">
        <v>85</v>
      </c>
      <c r="AL891" t="s">
        <v>107</v>
      </c>
      <c r="AM891" t="s">
        <v>87</v>
      </c>
      <c r="AN891" t="s">
        <v>87</v>
      </c>
      <c r="AO891" t="s">
        <v>87</v>
      </c>
      <c r="AP891" t="s">
        <v>87</v>
      </c>
      <c r="AQ891" t="s">
        <v>87</v>
      </c>
      <c r="AR891" t="s">
        <v>108</v>
      </c>
      <c r="AS891" t="s">
        <v>92</v>
      </c>
      <c r="AT891" t="s">
        <v>107</v>
      </c>
      <c r="AU891">
        <v>0</v>
      </c>
      <c r="AV891">
        <v>1</v>
      </c>
      <c r="AW891">
        <v>0</v>
      </c>
      <c r="AX891">
        <v>0</v>
      </c>
      <c r="AY891">
        <v>0</v>
      </c>
      <c r="AZ891" t="s">
        <v>579</v>
      </c>
    </row>
    <row r="892" spans="1:52" x14ac:dyDescent="0.2">
      <c r="A892">
        <v>1</v>
      </c>
      <c r="B892">
        <v>0</v>
      </c>
      <c r="C892">
        <v>0</v>
      </c>
      <c r="D892">
        <v>0</v>
      </c>
      <c r="E892">
        <v>1</v>
      </c>
      <c r="F892">
        <v>0</v>
      </c>
      <c r="G892">
        <v>0</v>
      </c>
      <c r="H892">
        <v>0</v>
      </c>
      <c r="I892">
        <v>0</v>
      </c>
      <c r="L892">
        <v>1</v>
      </c>
      <c r="M892">
        <v>0</v>
      </c>
      <c r="N892">
        <v>0</v>
      </c>
      <c r="O892">
        <v>0</v>
      </c>
      <c r="P892">
        <v>0</v>
      </c>
      <c r="Q892" t="s">
        <v>584</v>
      </c>
      <c r="R892">
        <v>1</v>
      </c>
      <c r="S892">
        <v>0</v>
      </c>
      <c r="T892">
        <v>0</v>
      </c>
      <c r="U892">
        <v>0</v>
      </c>
      <c r="V892">
        <v>0</v>
      </c>
      <c r="W892">
        <v>0</v>
      </c>
      <c r="X892">
        <v>0</v>
      </c>
      <c r="Y892">
        <v>0</v>
      </c>
      <c r="Z892">
        <v>0</v>
      </c>
      <c r="AL892" t="s">
        <v>96</v>
      </c>
      <c r="AM892" t="s">
        <v>87</v>
      </c>
      <c r="AN892" t="s">
        <v>87</v>
      </c>
      <c r="AO892" t="s">
        <v>86</v>
      </c>
      <c r="AP892" t="s">
        <v>87</v>
      </c>
      <c r="AQ892" t="s">
        <v>86</v>
      </c>
      <c r="AR892" t="s">
        <v>97</v>
      </c>
      <c r="AS892" t="s">
        <v>92</v>
      </c>
      <c r="AT892" t="s">
        <v>96</v>
      </c>
      <c r="AU892">
        <v>0</v>
      </c>
      <c r="AV892">
        <v>0</v>
      </c>
      <c r="AW892">
        <v>0</v>
      </c>
      <c r="AX892">
        <v>0</v>
      </c>
      <c r="AY892">
        <v>1</v>
      </c>
      <c r="AZ892" t="s">
        <v>580</v>
      </c>
    </row>
    <row r="893" spans="1:52" x14ac:dyDescent="0.2">
      <c r="A893">
        <v>1</v>
      </c>
      <c r="B893">
        <v>0</v>
      </c>
      <c r="C893">
        <v>0</v>
      </c>
      <c r="D893">
        <v>0</v>
      </c>
      <c r="E893">
        <v>0</v>
      </c>
      <c r="F893">
        <v>1</v>
      </c>
      <c r="G893">
        <v>1</v>
      </c>
      <c r="H893">
        <v>0</v>
      </c>
      <c r="I893">
        <v>0</v>
      </c>
      <c r="J893" t="s">
        <v>88</v>
      </c>
      <c r="K893" t="s">
        <v>80</v>
      </c>
      <c r="L893">
        <v>0</v>
      </c>
      <c r="M893">
        <v>0</v>
      </c>
      <c r="N893">
        <v>1</v>
      </c>
      <c r="O893">
        <v>0</v>
      </c>
      <c r="P893">
        <v>0</v>
      </c>
      <c r="Q893" t="s">
        <v>584</v>
      </c>
      <c r="AA893" t="s">
        <v>83</v>
      </c>
      <c r="AB893" t="s">
        <v>81</v>
      </c>
      <c r="AC893" t="s">
        <v>81</v>
      </c>
      <c r="AD893" t="s">
        <v>81</v>
      </c>
      <c r="AE893" t="s">
        <v>81</v>
      </c>
      <c r="AF893" t="s">
        <v>90</v>
      </c>
      <c r="AG893" t="s">
        <v>83</v>
      </c>
      <c r="AH893" t="s">
        <v>81</v>
      </c>
      <c r="AI893" t="s">
        <v>88</v>
      </c>
      <c r="AJ893" t="s">
        <v>80</v>
      </c>
      <c r="AK893" t="s">
        <v>117</v>
      </c>
      <c r="AL893" t="s">
        <v>73</v>
      </c>
      <c r="AM893" t="s">
        <v>74</v>
      </c>
      <c r="AR893" t="s">
        <v>75</v>
      </c>
      <c r="AS893" t="s">
        <v>92</v>
      </c>
      <c r="AT893" t="s">
        <v>73</v>
      </c>
      <c r="AU893">
        <v>0</v>
      </c>
      <c r="AV893">
        <v>0</v>
      </c>
      <c r="AW893">
        <v>0</v>
      </c>
      <c r="AX893">
        <v>1</v>
      </c>
      <c r="AY893">
        <v>0</v>
      </c>
      <c r="AZ893" t="s">
        <v>578</v>
      </c>
    </row>
    <row r="894" spans="1:52" x14ac:dyDescent="0.2">
      <c r="A894">
        <v>1</v>
      </c>
      <c r="B894">
        <v>1</v>
      </c>
      <c r="C894">
        <v>0</v>
      </c>
      <c r="D894">
        <v>0</v>
      </c>
      <c r="E894">
        <v>0</v>
      </c>
      <c r="F894">
        <v>1</v>
      </c>
      <c r="G894">
        <v>1</v>
      </c>
      <c r="H894">
        <v>1</v>
      </c>
      <c r="I894">
        <v>0</v>
      </c>
      <c r="J894" t="s">
        <v>88</v>
      </c>
      <c r="K894" t="s">
        <v>89</v>
      </c>
      <c r="L894">
        <v>0</v>
      </c>
      <c r="M894">
        <v>1</v>
      </c>
      <c r="N894">
        <v>1</v>
      </c>
      <c r="O894">
        <v>0</v>
      </c>
      <c r="P894">
        <v>0</v>
      </c>
      <c r="Q894" t="s">
        <v>584</v>
      </c>
      <c r="AA894" t="s">
        <v>81</v>
      </c>
      <c r="AB894" t="s">
        <v>82</v>
      </c>
      <c r="AC894" t="s">
        <v>82</v>
      </c>
      <c r="AD894" t="s">
        <v>82</v>
      </c>
      <c r="AE894" t="s">
        <v>81</v>
      </c>
      <c r="AF894" t="s">
        <v>81</v>
      </c>
      <c r="AG894" t="s">
        <v>81</v>
      </c>
      <c r="AH894" t="s">
        <v>83</v>
      </c>
      <c r="AI894" t="s">
        <v>88</v>
      </c>
      <c r="AJ894" t="s">
        <v>89</v>
      </c>
      <c r="AK894" t="s">
        <v>100</v>
      </c>
      <c r="AL894" t="s">
        <v>73</v>
      </c>
      <c r="AM894" t="s">
        <v>87</v>
      </c>
      <c r="AN894" t="s">
        <v>87</v>
      </c>
      <c r="AO894" t="s">
        <v>87</v>
      </c>
      <c r="AP894" t="s">
        <v>87</v>
      </c>
      <c r="AQ894" t="s">
        <v>87</v>
      </c>
      <c r="AR894" t="s">
        <v>75</v>
      </c>
      <c r="AS894" t="s">
        <v>92</v>
      </c>
      <c r="AT894" t="s">
        <v>73</v>
      </c>
      <c r="AU894">
        <v>0</v>
      </c>
      <c r="AV894">
        <v>0</v>
      </c>
      <c r="AW894">
        <v>0</v>
      </c>
      <c r="AX894">
        <v>1</v>
      </c>
      <c r="AY894">
        <v>0</v>
      </c>
      <c r="AZ894" t="s">
        <v>578</v>
      </c>
    </row>
    <row r="895" spans="1:52" x14ac:dyDescent="0.2">
      <c r="A895">
        <v>1</v>
      </c>
      <c r="B895">
        <v>0</v>
      </c>
      <c r="C895">
        <v>0</v>
      </c>
      <c r="D895">
        <v>0</v>
      </c>
      <c r="E895">
        <v>0</v>
      </c>
      <c r="F895">
        <v>1</v>
      </c>
      <c r="G895">
        <v>1</v>
      </c>
      <c r="H895">
        <v>0</v>
      </c>
      <c r="I895">
        <v>0</v>
      </c>
      <c r="J895" t="s">
        <v>79</v>
      </c>
      <c r="K895" t="s">
        <v>80</v>
      </c>
      <c r="L895">
        <v>0</v>
      </c>
      <c r="M895">
        <v>0</v>
      </c>
      <c r="N895">
        <v>1</v>
      </c>
      <c r="O895">
        <v>0</v>
      </c>
      <c r="P895">
        <v>0</v>
      </c>
      <c r="Q895" t="s">
        <v>584</v>
      </c>
      <c r="AA895" t="s">
        <v>83</v>
      </c>
      <c r="AB895" t="s">
        <v>82</v>
      </c>
      <c r="AC895" t="s">
        <v>83</v>
      </c>
      <c r="AD895" t="s">
        <v>82</v>
      </c>
      <c r="AE895" t="s">
        <v>82</v>
      </c>
      <c r="AF895" t="s">
        <v>81</v>
      </c>
      <c r="AG895" t="s">
        <v>81</v>
      </c>
      <c r="AH895" t="s">
        <v>83</v>
      </c>
      <c r="AI895" t="s">
        <v>88</v>
      </c>
      <c r="AJ895" t="s">
        <v>89</v>
      </c>
      <c r="AK895" t="s">
        <v>85</v>
      </c>
      <c r="AL895" t="s">
        <v>107</v>
      </c>
      <c r="AM895" t="s">
        <v>87</v>
      </c>
      <c r="AN895" t="s">
        <v>87</v>
      </c>
      <c r="AO895" t="s">
        <v>86</v>
      </c>
      <c r="AP895" t="s">
        <v>86</v>
      </c>
      <c r="AQ895" t="s">
        <v>86</v>
      </c>
      <c r="AR895" t="s">
        <v>97</v>
      </c>
      <c r="AS895" t="s">
        <v>92</v>
      </c>
      <c r="AT895" t="s">
        <v>107</v>
      </c>
      <c r="AU895">
        <v>0</v>
      </c>
      <c r="AV895">
        <v>0</v>
      </c>
      <c r="AW895">
        <v>0</v>
      </c>
      <c r="AX895">
        <v>1</v>
      </c>
      <c r="AY895">
        <v>0</v>
      </c>
      <c r="AZ895" t="s">
        <v>580</v>
      </c>
    </row>
    <row r="896" spans="1:52" x14ac:dyDescent="0.2">
      <c r="A896">
        <v>1</v>
      </c>
      <c r="B896">
        <v>0</v>
      </c>
      <c r="C896">
        <v>0</v>
      </c>
      <c r="D896">
        <v>0</v>
      </c>
      <c r="E896">
        <v>0</v>
      </c>
      <c r="F896">
        <v>1</v>
      </c>
      <c r="G896">
        <v>1</v>
      </c>
      <c r="H896">
        <v>1</v>
      </c>
      <c r="I896">
        <v>0</v>
      </c>
      <c r="J896" t="s">
        <v>88</v>
      </c>
      <c r="K896" t="s">
        <v>80</v>
      </c>
      <c r="L896">
        <v>0</v>
      </c>
      <c r="M896">
        <v>0</v>
      </c>
      <c r="N896">
        <v>1</v>
      </c>
      <c r="O896">
        <v>0</v>
      </c>
      <c r="P896">
        <v>0</v>
      </c>
      <c r="Q896" t="s">
        <v>584</v>
      </c>
      <c r="AA896" t="s">
        <v>83</v>
      </c>
      <c r="AB896" t="s">
        <v>82</v>
      </c>
      <c r="AC896" t="s">
        <v>83</v>
      </c>
      <c r="AD896" t="s">
        <v>81</v>
      </c>
      <c r="AE896" t="s">
        <v>83</v>
      </c>
      <c r="AF896" t="s">
        <v>83</v>
      </c>
      <c r="AG896" t="s">
        <v>83</v>
      </c>
      <c r="AH896" t="s">
        <v>81</v>
      </c>
      <c r="AI896" t="s">
        <v>88</v>
      </c>
      <c r="AJ896" t="s">
        <v>80</v>
      </c>
      <c r="AK896" t="s">
        <v>85</v>
      </c>
      <c r="AL896" t="s">
        <v>96</v>
      </c>
      <c r="AM896" t="s">
        <v>86</v>
      </c>
      <c r="AN896" t="s">
        <v>87</v>
      </c>
      <c r="AO896" t="s">
        <v>87</v>
      </c>
      <c r="AP896" t="s">
        <v>87</v>
      </c>
      <c r="AQ896" t="s">
        <v>87</v>
      </c>
      <c r="AR896" t="s">
        <v>108</v>
      </c>
      <c r="AS896" t="s">
        <v>76</v>
      </c>
      <c r="AT896" t="s">
        <v>96</v>
      </c>
      <c r="AU896">
        <v>0</v>
      </c>
      <c r="AV896">
        <v>1</v>
      </c>
      <c r="AW896">
        <v>0</v>
      </c>
      <c r="AX896">
        <v>0</v>
      </c>
      <c r="AY896">
        <v>0</v>
      </c>
      <c r="AZ896" t="s">
        <v>577</v>
      </c>
    </row>
    <row r="897" spans="1:52" x14ac:dyDescent="0.2">
      <c r="A897">
        <v>0</v>
      </c>
      <c r="B897">
        <v>1</v>
      </c>
      <c r="C897">
        <v>0</v>
      </c>
      <c r="D897">
        <v>0</v>
      </c>
      <c r="E897">
        <v>1</v>
      </c>
      <c r="F897">
        <v>0</v>
      </c>
      <c r="G897">
        <v>0</v>
      </c>
      <c r="H897">
        <v>0</v>
      </c>
      <c r="I897">
        <v>0</v>
      </c>
      <c r="L897">
        <v>1</v>
      </c>
      <c r="M897">
        <v>0</v>
      </c>
      <c r="N897">
        <v>0</v>
      </c>
      <c r="O897">
        <v>0</v>
      </c>
      <c r="P897">
        <v>0</v>
      </c>
      <c r="Q897" t="s">
        <v>584</v>
      </c>
      <c r="R897">
        <v>0</v>
      </c>
      <c r="S897">
        <v>0</v>
      </c>
      <c r="T897">
        <v>0</v>
      </c>
      <c r="U897">
        <v>0</v>
      </c>
      <c r="V897">
        <v>0</v>
      </c>
      <c r="W897">
        <v>1</v>
      </c>
      <c r="X897">
        <v>0</v>
      </c>
      <c r="Y897">
        <v>0</v>
      </c>
      <c r="Z897">
        <v>0</v>
      </c>
      <c r="AL897" t="s">
        <v>107</v>
      </c>
      <c r="AM897" t="s">
        <v>87</v>
      </c>
      <c r="AN897" t="s">
        <v>87</v>
      </c>
      <c r="AO897" t="s">
        <v>87</v>
      </c>
      <c r="AP897" t="s">
        <v>87</v>
      </c>
      <c r="AQ897" t="s">
        <v>87</v>
      </c>
      <c r="AR897" t="s">
        <v>75</v>
      </c>
      <c r="AS897" t="s">
        <v>76</v>
      </c>
      <c r="AT897" t="s">
        <v>107</v>
      </c>
      <c r="AU897">
        <v>0</v>
      </c>
      <c r="AV897">
        <v>0</v>
      </c>
      <c r="AW897">
        <v>0</v>
      </c>
      <c r="AX897">
        <v>1</v>
      </c>
      <c r="AY897">
        <v>0</v>
      </c>
      <c r="AZ897" t="s">
        <v>580</v>
      </c>
    </row>
    <row r="898" spans="1:52" x14ac:dyDescent="0.2">
      <c r="A898">
        <v>1</v>
      </c>
      <c r="B898">
        <v>0</v>
      </c>
      <c r="C898">
        <v>0</v>
      </c>
      <c r="D898">
        <v>0</v>
      </c>
      <c r="E898">
        <v>0</v>
      </c>
      <c r="F898">
        <v>1</v>
      </c>
      <c r="G898">
        <v>1</v>
      </c>
      <c r="H898">
        <v>1</v>
      </c>
      <c r="I898">
        <v>0</v>
      </c>
      <c r="J898" t="s">
        <v>79</v>
      </c>
      <c r="K898" t="s">
        <v>80</v>
      </c>
      <c r="L898">
        <v>0</v>
      </c>
      <c r="M898">
        <v>0</v>
      </c>
      <c r="N898">
        <v>1</v>
      </c>
      <c r="O898">
        <v>0</v>
      </c>
      <c r="P898">
        <v>0</v>
      </c>
      <c r="Q898" t="s">
        <v>584</v>
      </c>
      <c r="AA898" t="s">
        <v>81</v>
      </c>
      <c r="AB898" t="s">
        <v>81</v>
      </c>
      <c r="AC898" t="s">
        <v>81</v>
      </c>
      <c r="AD898" t="s">
        <v>82</v>
      </c>
      <c r="AE898" t="s">
        <v>82</v>
      </c>
      <c r="AF898" t="s">
        <v>81</v>
      </c>
      <c r="AG898" t="s">
        <v>83</v>
      </c>
      <c r="AH898" t="s">
        <v>83</v>
      </c>
      <c r="AI898" t="s">
        <v>88</v>
      </c>
      <c r="AJ898" t="s">
        <v>89</v>
      </c>
      <c r="AK898" t="s">
        <v>100</v>
      </c>
      <c r="AL898" t="s">
        <v>107</v>
      </c>
      <c r="AM898" t="s">
        <v>87</v>
      </c>
      <c r="AN898" t="s">
        <v>87</v>
      </c>
      <c r="AO898" t="s">
        <v>87</v>
      </c>
      <c r="AP898" t="s">
        <v>87</v>
      </c>
      <c r="AQ898" t="s">
        <v>86</v>
      </c>
      <c r="AR898" t="s">
        <v>159</v>
      </c>
      <c r="AS898" t="s">
        <v>76</v>
      </c>
      <c r="AT898" t="s">
        <v>107</v>
      </c>
      <c r="AU898">
        <v>0</v>
      </c>
      <c r="AV898">
        <v>0</v>
      </c>
      <c r="AW898">
        <v>0</v>
      </c>
      <c r="AX898">
        <v>1</v>
      </c>
      <c r="AY898">
        <v>0</v>
      </c>
      <c r="AZ898" t="s">
        <v>579</v>
      </c>
    </row>
    <row r="899" spans="1:52" x14ac:dyDescent="0.2">
      <c r="A899">
        <v>1</v>
      </c>
      <c r="B899">
        <v>0</v>
      </c>
      <c r="C899">
        <v>0</v>
      </c>
      <c r="D899">
        <v>0</v>
      </c>
      <c r="E899">
        <v>1</v>
      </c>
      <c r="F899">
        <v>0</v>
      </c>
      <c r="G899">
        <v>0</v>
      </c>
      <c r="H899">
        <v>0</v>
      </c>
      <c r="I899">
        <v>0</v>
      </c>
      <c r="L899">
        <v>0</v>
      </c>
      <c r="M899">
        <v>0</v>
      </c>
      <c r="N899">
        <v>0</v>
      </c>
      <c r="O899">
        <v>1</v>
      </c>
      <c r="P899">
        <v>0</v>
      </c>
      <c r="Q899" t="s">
        <v>584</v>
      </c>
      <c r="AA899" t="s">
        <v>90</v>
      </c>
      <c r="AB899" t="s">
        <v>82</v>
      </c>
      <c r="AC899" t="s">
        <v>83</v>
      </c>
      <c r="AD899" t="s">
        <v>82</v>
      </c>
      <c r="AE899" t="s">
        <v>81</v>
      </c>
      <c r="AF899" t="s">
        <v>90</v>
      </c>
      <c r="AG899" t="s">
        <v>90</v>
      </c>
      <c r="AH899" t="s">
        <v>81</v>
      </c>
      <c r="AI899" t="s">
        <v>88</v>
      </c>
      <c r="AJ899" t="s">
        <v>89</v>
      </c>
      <c r="AK899" t="s">
        <v>100</v>
      </c>
      <c r="AL899" t="s">
        <v>107</v>
      </c>
      <c r="AM899" t="s">
        <v>87</v>
      </c>
      <c r="AN899" t="s">
        <v>87</v>
      </c>
      <c r="AO899" t="s">
        <v>87</v>
      </c>
      <c r="AP899" t="s">
        <v>86</v>
      </c>
      <c r="AQ899" t="s">
        <v>87</v>
      </c>
      <c r="AR899" t="s">
        <v>75</v>
      </c>
      <c r="AS899" t="s">
        <v>76</v>
      </c>
      <c r="AT899" t="s">
        <v>107</v>
      </c>
      <c r="AU899">
        <v>0</v>
      </c>
      <c r="AV899">
        <v>0</v>
      </c>
      <c r="AW899">
        <v>0</v>
      </c>
      <c r="AX899">
        <v>1</v>
      </c>
      <c r="AY899">
        <v>0</v>
      </c>
      <c r="AZ899" t="s">
        <v>577</v>
      </c>
    </row>
    <row r="900" spans="1:52" x14ac:dyDescent="0.2">
      <c r="A900">
        <v>0</v>
      </c>
      <c r="B900">
        <v>1</v>
      </c>
      <c r="C900">
        <v>0</v>
      </c>
      <c r="D900">
        <v>0</v>
      </c>
      <c r="E900">
        <v>0</v>
      </c>
      <c r="F900">
        <v>1</v>
      </c>
      <c r="G900">
        <v>0</v>
      </c>
      <c r="H900">
        <v>0</v>
      </c>
      <c r="I900">
        <v>0</v>
      </c>
      <c r="J900" t="s">
        <v>135</v>
      </c>
      <c r="K900" t="s">
        <v>80</v>
      </c>
      <c r="L900">
        <v>0</v>
      </c>
      <c r="M900">
        <v>1</v>
      </c>
      <c r="N900">
        <v>0</v>
      </c>
      <c r="O900">
        <v>0</v>
      </c>
      <c r="P900">
        <v>0</v>
      </c>
      <c r="Q900" t="s">
        <v>584</v>
      </c>
      <c r="AA900" t="s">
        <v>83</v>
      </c>
      <c r="AB900" t="s">
        <v>81</v>
      </c>
      <c r="AC900" t="s">
        <v>82</v>
      </c>
      <c r="AD900" t="s">
        <v>83</v>
      </c>
      <c r="AE900" t="s">
        <v>83</v>
      </c>
      <c r="AF900" t="s">
        <v>83</v>
      </c>
      <c r="AG900" t="s">
        <v>83</v>
      </c>
      <c r="AH900" t="s">
        <v>83</v>
      </c>
      <c r="AI900" t="s">
        <v>88</v>
      </c>
      <c r="AJ900" t="s">
        <v>89</v>
      </c>
      <c r="AK900" t="s">
        <v>100</v>
      </c>
      <c r="AL900" t="s">
        <v>107</v>
      </c>
      <c r="AM900" t="s">
        <v>86</v>
      </c>
      <c r="AN900" t="s">
        <v>87</v>
      </c>
      <c r="AO900" t="s">
        <v>87</v>
      </c>
      <c r="AP900" t="s">
        <v>87</v>
      </c>
      <c r="AQ900" t="s">
        <v>87</v>
      </c>
      <c r="AR900" t="s">
        <v>75</v>
      </c>
      <c r="AS900" t="s">
        <v>76</v>
      </c>
      <c r="AT900" t="s">
        <v>107</v>
      </c>
      <c r="AU900">
        <v>0</v>
      </c>
      <c r="AV900">
        <v>0</v>
      </c>
      <c r="AW900">
        <v>0</v>
      </c>
      <c r="AX900">
        <v>1</v>
      </c>
      <c r="AY900">
        <v>0</v>
      </c>
      <c r="AZ900" t="s">
        <v>578</v>
      </c>
    </row>
    <row r="901" spans="1:52" x14ac:dyDescent="0.2">
      <c r="A901">
        <v>1</v>
      </c>
      <c r="B901">
        <v>1</v>
      </c>
      <c r="C901">
        <v>0</v>
      </c>
      <c r="D901">
        <v>0</v>
      </c>
      <c r="E901">
        <v>0</v>
      </c>
      <c r="F901">
        <v>1</v>
      </c>
      <c r="G901">
        <v>1</v>
      </c>
      <c r="H901">
        <v>1</v>
      </c>
      <c r="I901">
        <v>0</v>
      </c>
      <c r="J901" t="s">
        <v>88</v>
      </c>
      <c r="K901" t="s">
        <v>89</v>
      </c>
      <c r="L901">
        <v>0</v>
      </c>
      <c r="M901">
        <v>1</v>
      </c>
      <c r="N901">
        <v>0</v>
      </c>
      <c r="O901">
        <v>0</v>
      </c>
      <c r="P901">
        <v>0</v>
      </c>
      <c r="Q901" t="s">
        <v>585</v>
      </c>
      <c r="AA901" t="s">
        <v>81</v>
      </c>
      <c r="AB901" t="s">
        <v>81</v>
      </c>
      <c r="AC901" t="s">
        <v>81</v>
      </c>
      <c r="AD901" t="s">
        <v>82</v>
      </c>
      <c r="AE901" t="s">
        <v>83</v>
      </c>
      <c r="AF901" t="s">
        <v>90</v>
      </c>
      <c r="AG901" t="s">
        <v>90</v>
      </c>
      <c r="AH901" t="s">
        <v>83</v>
      </c>
      <c r="AI901" t="s">
        <v>135</v>
      </c>
      <c r="AJ901" t="s">
        <v>80</v>
      </c>
      <c r="AK901" t="s">
        <v>100</v>
      </c>
      <c r="AL901" t="s">
        <v>96</v>
      </c>
      <c r="AM901" t="s">
        <v>87</v>
      </c>
      <c r="AN901" t="s">
        <v>87</v>
      </c>
      <c r="AO901" t="s">
        <v>87</v>
      </c>
      <c r="AP901" t="s">
        <v>87</v>
      </c>
      <c r="AQ901" t="s">
        <v>87</v>
      </c>
      <c r="AR901" t="s">
        <v>101</v>
      </c>
      <c r="AS901" t="s">
        <v>278</v>
      </c>
      <c r="AT901" t="s">
        <v>96</v>
      </c>
      <c r="AU901">
        <v>0</v>
      </c>
      <c r="AV901">
        <v>0</v>
      </c>
      <c r="AW901">
        <v>0</v>
      </c>
      <c r="AX901">
        <v>1</v>
      </c>
      <c r="AY901">
        <v>0</v>
      </c>
      <c r="AZ901" t="s">
        <v>577</v>
      </c>
    </row>
    <row r="902" spans="1:52" x14ac:dyDescent="0.2">
      <c r="A902">
        <v>0</v>
      </c>
      <c r="B902">
        <v>1</v>
      </c>
      <c r="C902">
        <v>0</v>
      </c>
      <c r="D902">
        <v>0</v>
      </c>
      <c r="E902">
        <v>1</v>
      </c>
      <c r="F902">
        <v>0</v>
      </c>
      <c r="G902">
        <v>0</v>
      </c>
      <c r="H902">
        <v>0</v>
      </c>
      <c r="I902">
        <v>0</v>
      </c>
      <c r="L902">
        <v>1</v>
      </c>
      <c r="M902">
        <v>0</v>
      </c>
      <c r="N902">
        <v>0</v>
      </c>
      <c r="O902">
        <v>0</v>
      </c>
      <c r="P902">
        <v>0</v>
      </c>
      <c r="Q902" t="s">
        <v>584</v>
      </c>
      <c r="R902">
        <v>0</v>
      </c>
      <c r="S902">
        <v>0</v>
      </c>
      <c r="T902">
        <v>0</v>
      </c>
      <c r="U902">
        <v>0</v>
      </c>
      <c r="V902">
        <v>0</v>
      </c>
      <c r="W902">
        <v>0</v>
      </c>
      <c r="X902">
        <v>0</v>
      </c>
      <c r="Y902">
        <v>0</v>
      </c>
      <c r="Z902">
        <v>1</v>
      </c>
      <c r="AL902" t="s">
        <v>107</v>
      </c>
      <c r="AM902" t="s">
        <v>86</v>
      </c>
      <c r="AN902" t="s">
        <v>86</v>
      </c>
      <c r="AO902" t="s">
        <v>86</v>
      </c>
      <c r="AP902" t="s">
        <v>86</v>
      </c>
      <c r="AQ902" t="s">
        <v>86</v>
      </c>
      <c r="AR902" t="s">
        <v>75</v>
      </c>
      <c r="AS902" t="s">
        <v>225</v>
      </c>
      <c r="AT902" t="s">
        <v>107</v>
      </c>
      <c r="AU902">
        <v>0</v>
      </c>
      <c r="AV902">
        <v>0</v>
      </c>
      <c r="AW902">
        <v>0</v>
      </c>
      <c r="AX902">
        <v>1</v>
      </c>
      <c r="AY902">
        <v>0</v>
      </c>
      <c r="AZ902" t="s">
        <v>578</v>
      </c>
    </row>
    <row r="903" spans="1:52" x14ac:dyDescent="0.2">
      <c r="A903">
        <v>1</v>
      </c>
      <c r="B903">
        <v>0</v>
      </c>
      <c r="C903">
        <v>0</v>
      </c>
      <c r="D903">
        <v>0</v>
      </c>
      <c r="E903">
        <v>0</v>
      </c>
      <c r="F903">
        <v>1</v>
      </c>
      <c r="G903">
        <v>1</v>
      </c>
      <c r="H903">
        <v>0</v>
      </c>
      <c r="I903">
        <v>0</v>
      </c>
      <c r="J903" t="s">
        <v>135</v>
      </c>
      <c r="K903" t="s">
        <v>89</v>
      </c>
      <c r="L903">
        <v>0</v>
      </c>
      <c r="M903">
        <v>0</v>
      </c>
      <c r="N903">
        <v>1</v>
      </c>
      <c r="O903">
        <v>0</v>
      </c>
      <c r="P903">
        <v>0</v>
      </c>
      <c r="Q903" t="s">
        <v>584</v>
      </c>
      <c r="AA903" t="s">
        <v>83</v>
      </c>
      <c r="AB903" t="s">
        <v>82</v>
      </c>
      <c r="AC903" t="s">
        <v>82</v>
      </c>
      <c r="AD903" t="s">
        <v>82</v>
      </c>
      <c r="AE903" t="s">
        <v>81</v>
      </c>
      <c r="AF903" t="s">
        <v>81</v>
      </c>
      <c r="AG903" t="s">
        <v>83</v>
      </c>
      <c r="AH903" t="s">
        <v>81</v>
      </c>
      <c r="AI903" t="s">
        <v>88</v>
      </c>
      <c r="AJ903" t="s">
        <v>89</v>
      </c>
      <c r="AK903" t="s">
        <v>100</v>
      </c>
      <c r="AL903" t="s">
        <v>96</v>
      </c>
      <c r="AM903" t="s">
        <v>87</v>
      </c>
      <c r="AN903" t="s">
        <v>87</v>
      </c>
      <c r="AO903" t="s">
        <v>87</v>
      </c>
      <c r="AP903" t="s">
        <v>74</v>
      </c>
      <c r="AQ903" t="s">
        <v>86</v>
      </c>
      <c r="AR903" t="s">
        <v>75</v>
      </c>
      <c r="AS903" t="s">
        <v>92</v>
      </c>
      <c r="AT903" t="s">
        <v>96</v>
      </c>
      <c r="AU903">
        <v>0</v>
      </c>
      <c r="AV903">
        <v>0</v>
      </c>
      <c r="AW903">
        <v>0</v>
      </c>
      <c r="AX903">
        <v>1</v>
      </c>
      <c r="AY903">
        <v>0</v>
      </c>
      <c r="AZ903" t="s">
        <v>577</v>
      </c>
    </row>
    <row r="904" spans="1:52" x14ac:dyDescent="0.2">
      <c r="A904">
        <v>0</v>
      </c>
      <c r="B904">
        <v>0</v>
      </c>
      <c r="C904">
        <v>1</v>
      </c>
      <c r="D904">
        <v>0</v>
      </c>
      <c r="E904">
        <v>0</v>
      </c>
      <c r="F904">
        <v>0</v>
      </c>
      <c r="G904">
        <v>1</v>
      </c>
      <c r="H904">
        <v>0</v>
      </c>
      <c r="I904">
        <v>0</v>
      </c>
      <c r="J904" t="s">
        <v>135</v>
      </c>
      <c r="K904" t="s">
        <v>80</v>
      </c>
      <c r="L904">
        <v>1</v>
      </c>
      <c r="M904">
        <v>0</v>
      </c>
      <c r="N904">
        <v>0</v>
      </c>
      <c r="O904">
        <v>0</v>
      </c>
      <c r="P904">
        <v>0</v>
      </c>
      <c r="Q904" t="s">
        <v>584</v>
      </c>
      <c r="R904">
        <v>0</v>
      </c>
      <c r="S904">
        <v>1</v>
      </c>
      <c r="T904">
        <v>0</v>
      </c>
      <c r="U904">
        <v>0</v>
      </c>
      <c r="V904">
        <v>0</v>
      </c>
      <c r="W904">
        <v>0</v>
      </c>
      <c r="X904">
        <v>0</v>
      </c>
      <c r="Y904">
        <v>0</v>
      </c>
      <c r="Z904">
        <v>0</v>
      </c>
      <c r="AL904" t="s">
        <v>96</v>
      </c>
      <c r="AM904" t="s">
        <v>86</v>
      </c>
      <c r="AN904" t="s">
        <v>86</v>
      </c>
      <c r="AO904" t="s">
        <v>74</v>
      </c>
      <c r="AP904" t="s">
        <v>74</v>
      </c>
      <c r="AQ904" t="s">
        <v>86</v>
      </c>
      <c r="AR904" t="s">
        <v>159</v>
      </c>
      <c r="AS904" t="s">
        <v>419</v>
      </c>
      <c r="AT904" t="s">
        <v>96</v>
      </c>
      <c r="AU904">
        <v>0</v>
      </c>
      <c r="AV904">
        <v>0</v>
      </c>
      <c r="AW904">
        <v>0</v>
      </c>
      <c r="AX904">
        <v>1</v>
      </c>
      <c r="AY904">
        <v>0</v>
      </c>
      <c r="AZ904" t="s">
        <v>577</v>
      </c>
    </row>
    <row r="905" spans="1:52" x14ac:dyDescent="0.2">
      <c r="A905">
        <v>0</v>
      </c>
      <c r="B905">
        <v>1</v>
      </c>
      <c r="C905">
        <v>0</v>
      </c>
      <c r="D905">
        <v>0</v>
      </c>
      <c r="E905">
        <v>0</v>
      </c>
      <c r="F905">
        <v>0</v>
      </c>
      <c r="G905">
        <v>1</v>
      </c>
      <c r="H905">
        <v>1</v>
      </c>
      <c r="I905">
        <v>0</v>
      </c>
      <c r="J905" t="s">
        <v>88</v>
      </c>
      <c r="K905" t="s">
        <v>89</v>
      </c>
      <c r="L905">
        <v>0</v>
      </c>
      <c r="M905">
        <v>0</v>
      </c>
      <c r="N905">
        <v>0</v>
      </c>
      <c r="O905">
        <v>0</v>
      </c>
      <c r="P905">
        <v>0</v>
      </c>
      <c r="Q905" t="s">
        <v>585</v>
      </c>
      <c r="AA905" t="s">
        <v>90</v>
      </c>
      <c r="AB905" t="s">
        <v>81</v>
      </c>
      <c r="AC905" t="s">
        <v>82</v>
      </c>
      <c r="AD905" t="s">
        <v>82</v>
      </c>
      <c r="AE905" t="s">
        <v>90</v>
      </c>
      <c r="AF905" t="s">
        <v>90</v>
      </c>
      <c r="AG905" t="s">
        <v>90</v>
      </c>
      <c r="AH905" t="s">
        <v>83</v>
      </c>
      <c r="AI905" t="s">
        <v>88</v>
      </c>
      <c r="AJ905" t="s">
        <v>89</v>
      </c>
      <c r="AK905" t="s">
        <v>169</v>
      </c>
      <c r="AL905" t="s">
        <v>96</v>
      </c>
      <c r="AM905" t="s">
        <v>87</v>
      </c>
      <c r="AN905" t="s">
        <v>87</v>
      </c>
      <c r="AO905" t="s">
        <v>87</v>
      </c>
      <c r="AP905" t="s">
        <v>87</v>
      </c>
      <c r="AQ905" t="s">
        <v>87</v>
      </c>
      <c r="AR905" t="s">
        <v>159</v>
      </c>
      <c r="AS905" t="s">
        <v>76</v>
      </c>
      <c r="AT905" t="s">
        <v>96</v>
      </c>
      <c r="AU905">
        <v>0</v>
      </c>
      <c r="AV905">
        <v>0</v>
      </c>
      <c r="AW905">
        <v>1</v>
      </c>
      <c r="AX905">
        <v>1</v>
      </c>
      <c r="AY905">
        <v>0</v>
      </c>
      <c r="AZ905" t="s">
        <v>577</v>
      </c>
    </row>
    <row r="906" spans="1:52" x14ac:dyDescent="0.2">
      <c r="A906">
        <v>1</v>
      </c>
      <c r="B906">
        <v>0</v>
      </c>
      <c r="C906">
        <v>0</v>
      </c>
      <c r="D906">
        <v>0</v>
      </c>
      <c r="E906">
        <v>1</v>
      </c>
      <c r="F906">
        <v>0</v>
      </c>
      <c r="G906">
        <v>0</v>
      </c>
      <c r="H906">
        <v>0</v>
      </c>
      <c r="I906">
        <v>0</v>
      </c>
      <c r="L906">
        <v>0</v>
      </c>
      <c r="M906">
        <v>1</v>
      </c>
      <c r="N906">
        <v>1</v>
      </c>
      <c r="O906">
        <v>0</v>
      </c>
      <c r="P906">
        <v>0</v>
      </c>
      <c r="Q906" t="s">
        <v>584</v>
      </c>
      <c r="AA906" t="s">
        <v>83</v>
      </c>
      <c r="AB906" t="s">
        <v>82</v>
      </c>
      <c r="AC906" t="s">
        <v>82</v>
      </c>
      <c r="AD906" t="s">
        <v>83</v>
      </c>
      <c r="AE906" t="s">
        <v>83</v>
      </c>
      <c r="AF906" t="s">
        <v>83</v>
      </c>
      <c r="AG906" t="s">
        <v>81</v>
      </c>
      <c r="AH906" t="s">
        <v>83</v>
      </c>
      <c r="AI906" t="s">
        <v>88</v>
      </c>
      <c r="AJ906" t="s">
        <v>89</v>
      </c>
      <c r="AK906" t="s">
        <v>100</v>
      </c>
      <c r="AL906" t="s">
        <v>73</v>
      </c>
      <c r="AM906" t="s">
        <v>87</v>
      </c>
      <c r="AN906" t="s">
        <v>87</v>
      </c>
      <c r="AO906" t="s">
        <v>87</v>
      </c>
      <c r="AP906" t="s">
        <v>87</v>
      </c>
      <c r="AQ906" t="s">
        <v>87</v>
      </c>
      <c r="AR906" t="s">
        <v>75</v>
      </c>
      <c r="AS906" t="s">
        <v>76</v>
      </c>
      <c r="AT906" t="s">
        <v>73</v>
      </c>
      <c r="AU906">
        <v>0</v>
      </c>
      <c r="AV906">
        <v>1</v>
      </c>
      <c r="AW906">
        <v>0</v>
      </c>
      <c r="AX906">
        <v>0</v>
      </c>
      <c r="AY906">
        <v>0</v>
      </c>
      <c r="AZ906" t="s">
        <v>579</v>
      </c>
    </row>
    <row r="907" spans="1:52" x14ac:dyDescent="0.2">
      <c r="A907">
        <v>1</v>
      </c>
      <c r="B907">
        <v>0</v>
      </c>
      <c r="C907">
        <v>0</v>
      </c>
      <c r="D907">
        <v>0</v>
      </c>
      <c r="E907">
        <v>0</v>
      </c>
      <c r="F907">
        <v>0</v>
      </c>
      <c r="G907">
        <v>1</v>
      </c>
      <c r="H907">
        <v>0</v>
      </c>
      <c r="I907">
        <v>0</v>
      </c>
      <c r="J907" t="s">
        <v>135</v>
      </c>
      <c r="K907" t="s">
        <v>80</v>
      </c>
      <c r="L907">
        <v>1</v>
      </c>
      <c r="M907">
        <v>0</v>
      </c>
      <c r="N907">
        <v>0</v>
      </c>
      <c r="O907">
        <v>0</v>
      </c>
      <c r="P907">
        <v>0</v>
      </c>
      <c r="Q907" t="s">
        <v>584</v>
      </c>
      <c r="R907">
        <v>0</v>
      </c>
      <c r="S907">
        <v>1</v>
      </c>
      <c r="T907">
        <v>0</v>
      </c>
      <c r="U907">
        <v>0</v>
      </c>
      <c r="V907">
        <v>0</v>
      </c>
      <c r="W907">
        <v>0</v>
      </c>
      <c r="X907">
        <v>0</v>
      </c>
      <c r="Y907">
        <v>0</v>
      </c>
      <c r="Z907">
        <v>0</v>
      </c>
      <c r="AL907" t="s">
        <v>107</v>
      </c>
      <c r="AM907" t="s">
        <v>74</v>
      </c>
      <c r="AR907" t="s">
        <v>159</v>
      </c>
      <c r="AS907" t="s">
        <v>76</v>
      </c>
      <c r="AT907" t="s">
        <v>107</v>
      </c>
      <c r="AU907">
        <v>0</v>
      </c>
      <c r="AV907">
        <v>0</v>
      </c>
      <c r="AW907">
        <v>0</v>
      </c>
      <c r="AX907">
        <v>1</v>
      </c>
      <c r="AY907">
        <v>0</v>
      </c>
      <c r="AZ907" t="s">
        <v>578</v>
      </c>
    </row>
    <row r="908" spans="1:52" x14ac:dyDescent="0.2">
      <c r="A908">
        <v>1</v>
      </c>
      <c r="B908">
        <v>0</v>
      </c>
      <c r="C908">
        <v>0</v>
      </c>
      <c r="D908">
        <v>0</v>
      </c>
      <c r="E908">
        <v>1</v>
      </c>
      <c r="F908">
        <v>0</v>
      </c>
      <c r="G908">
        <v>0</v>
      </c>
      <c r="H908">
        <v>0</v>
      </c>
      <c r="I908">
        <v>0</v>
      </c>
      <c r="L908">
        <v>1</v>
      </c>
      <c r="M908">
        <v>0</v>
      </c>
      <c r="N908">
        <v>0</v>
      </c>
      <c r="O908">
        <v>0</v>
      </c>
      <c r="P908">
        <v>0</v>
      </c>
      <c r="Q908" t="s">
        <v>584</v>
      </c>
      <c r="R908">
        <v>0</v>
      </c>
      <c r="S908">
        <v>0</v>
      </c>
      <c r="T908">
        <v>0</v>
      </c>
      <c r="U908">
        <v>0</v>
      </c>
      <c r="V908">
        <v>0</v>
      </c>
      <c r="W908">
        <v>0</v>
      </c>
      <c r="X908">
        <v>0</v>
      </c>
      <c r="Y908">
        <v>0</v>
      </c>
      <c r="Z908">
        <v>1</v>
      </c>
      <c r="AL908" t="s">
        <v>73</v>
      </c>
      <c r="AM908" t="s">
        <v>74</v>
      </c>
      <c r="AR908" t="s">
        <v>75</v>
      </c>
      <c r="AS908" t="s">
        <v>369</v>
      </c>
      <c r="AT908" t="s">
        <v>73</v>
      </c>
      <c r="AU908">
        <v>0</v>
      </c>
      <c r="AV908">
        <v>0</v>
      </c>
      <c r="AW908">
        <v>0</v>
      </c>
      <c r="AX908">
        <v>1</v>
      </c>
      <c r="AY908">
        <v>0</v>
      </c>
      <c r="AZ908" t="s">
        <v>579</v>
      </c>
    </row>
    <row r="909" spans="1:52" x14ac:dyDescent="0.2">
      <c r="A909">
        <v>0</v>
      </c>
      <c r="B909">
        <v>1</v>
      </c>
      <c r="C909">
        <v>0</v>
      </c>
      <c r="D909">
        <v>0</v>
      </c>
      <c r="E909">
        <v>0</v>
      </c>
      <c r="F909">
        <v>1</v>
      </c>
      <c r="G909">
        <v>1</v>
      </c>
      <c r="H909">
        <v>0</v>
      </c>
      <c r="I909">
        <v>0</v>
      </c>
      <c r="J909" t="s">
        <v>88</v>
      </c>
      <c r="K909" t="s">
        <v>80</v>
      </c>
      <c r="L909">
        <v>0</v>
      </c>
      <c r="M909">
        <v>0</v>
      </c>
      <c r="N909">
        <v>0</v>
      </c>
      <c r="O909">
        <v>0</v>
      </c>
      <c r="P909">
        <v>1</v>
      </c>
      <c r="Q909" t="s">
        <v>584</v>
      </c>
      <c r="AA909" t="s">
        <v>83</v>
      </c>
      <c r="AB909" t="s">
        <v>82</v>
      </c>
      <c r="AC909" t="s">
        <v>81</v>
      </c>
      <c r="AD909" t="s">
        <v>81</v>
      </c>
      <c r="AE909" t="s">
        <v>82</v>
      </c>
      <c r="AF909" t="s">
        <v>83</v>
      </c>
      <c r="AG909" t="s">
        <v>82</v>
      </c>
      <c r="AH909" t="s">
        <v>81</v>
      </c>
      <c r="AI909" t="s">
        <v>88</v>
      </c>
      <c r="AJ909" t="s">
        <v>89</v>
      </c>
      <c r="AK909" t="s">
        <v>85</v>
      </c>
      <c r="AL909" t="s">
        <v>107</v>
      </c>
      <c r="AM909" t="s">
        <v>87</v>
      </c>
      <c r="AN909" t="s">
        <v>87</v>
      </c>
      <c r="AO909" t="s">
        <v>87</v>
      </c>
      <c r="AP909" t="s">
        <v>87</v>
      </c>
      <c r="AQ909" t="s">
        <v>87</v>
      </c>
      <c r="AR909" t="s">
        <v>75</v>
      </c>
      <c r="AS909" t="s">
        <v>76</v>
      </c>
      <c r="AT909" t="s">
        <v>107</v>
      </c>
      <c r="AU909">
        <v>0</v>
      </c>
      <c r="AV909">
        <v>0</v>
      </c>
      <c r="AW909">
        <v>0</v>
      </c>
      <c r="AX909">
        <v>1</v>
      </c>
      <c r="AY909">
        <v>0</v>
      </c>
      <c r="AZ909" t="s">
        <v>579</v>
      </c>
    </row>
    <row r="910" spans="1:52" x14ac:dyDescent="0.2">
      <c r="A910">
        <v>1</v>
      </c>
      <c r="B910">
        <v>0</v>
      </c>
      <c r="C910">
        <v>0</v>
      </c>
      <c r="D910">
        <v>0</v>
      </c>
      <c r="E910">
        <v>0</v>
      </c>
      <c r="F910">
        <v>1</v>
      </c>
      <c r="G910">
        <v>0</v>
      </c>
      <c r="H910">
        <v>0</v>
      </c>
      <c r="I910">
        <v>0</v>
      </c>
      <c r="J910" t="s">
        <v>135</v>
      </c>
      <c r="K910" t="s">
        <v>80</v>
      </c>
      <c r="L910">
        <v>0</v>
      </c>
      <c r="M910">
        <v>1</v>
      </c>
      <c r="N910">
        <v>0</v>
      </c>
      <c r="O910">
        <v>0</v>
      </c>
      <c r="P910">
        <v>0</v>
      </c>
      <c r="Q910" t="s">
        <v>584</v>
      </c>
      <c r="AA910" t="s">
        <v>81</v>
      </c>
      <c r="AB910" t="s">
        <v>82</v>
      </c>
      <c r="AC910" t="s">
        <v>81</v>
      </c>
      <c r="AD910" t="s">
        <v>90</v>
      </c>
      <c r="AE910" t="s">
        <v>82</v>
      </c>
      <c r="AF910" t="s">
        <v>83</v>
      </c>
      <c r="AG910" t="s">
        <v>83</v>
      </c>
      <c r="AH910" t="s">
        <v>83</v>
      </c>
      <c r="AI910" t="s">
        <v>84</v>
      </c>
      <c r="AJ910" t="s">
        <v>80</v>
      </c>
      <c r="AK910" t="s">
        <v>100</v>
      </c>
      <c r="AL910" t="s">
        <v>96</v>
      </c>
      <c r="AM910" t="s">
        <v>86</v>
      </c>
      <c r="AN910" t="s">
        <v>86</v>
      </c>
      <c r="AO910" t="s">
        <v>86</v>
      </c>
      <c r="AP910" t="s">
        <v>86</v>
      </c>
      <c r="AQ910" t="s">
        <v>74</v>
      </c>
      <c r="AR910" t="s">
        <v>75</v>
      </c>
      <c r="AS910" t="s">
        <v>76</v>
      </c>
      <c r="AT910" t="s">
        <v>96</v>
      </c>
      <c r="AU910">
        <v>0</v>
      </c>
      <c r="AV910">
        <v>0</v>
      </c>
      <c r="AW910">
        <v>0</v>
      </c>
      <c r="AX910">
        <v>0</v>
      </c>
      <c r="AY910">
        <v>1</v>
      </c>
      <c r="AZ910" t="s">
        <v>578</v>
      </c>
    </row>
    <row r="911" spans="1:52" x14ac:dyDescent="0.2">
      <c r="A911">
        <v>1</v>
      </c>
      <c r="B911">
        <v>0</v>
      </c>
      <c r="C911">
        <v>0</v>
      </c>
      <c r="D911">
        <v>0</v>
      </c>
      <c r="E911">
        <v>1</v>
      </c>
      <c r="F911">
        <v>0</v>
      </c>
      <c r="G911">
        <v>0</v>
      </c>
      <c r="H911">
        <v>0</v>
      </c>
      <c r="I911">
        <v>0</v>
      </c>
      <c r="L911">
        <v>1</v>
      </c>
      <c r="M911">
        <v>0</v>
      </c>
      <c r="N911">
        <v>0</v>
      </c>
      <c r="O911">
        <v>0</v>
      </c>
      <c r="P911">
        <v>0</v>
      </c>
      <c r="Q911" t="s">
        <v>584</v>
      </c>
      <c r="R911">
        <v>0</v>
      </c>
      <c r="S911">
        <v>0</v>
      </c>
      <c r="T911">
        <v>1</v>
      </c>
      <c r="U911">
        <v>0</v>
      </c>
      <c r="V911">
        <v>0</v>
      </c>
      <c r="W911">
        <v>0</v>
      </c>
      <c r="X911">
        <v>0</v>
      </c>
      <c r="Y911">
        <v>0</v>
      </c>
      <c r="Z911">
        <v>0</v>
      </c>
      <c r="AL911" t="s">
        <v>120</v>
      </c>
      <c r="AM911" t="s">
        <v>87</v>
      </c>
      <c r="AN911" t="s">
        <v>87</v>
      </c>
      <c r="AO911" t="s">
        <v>87</v>
      </c>
      <c r="AP911" t="s">
        <v>87</v>
      </c>
      <c r="AQ911" t="s">
        <v>87</v>
      </c>
      <c r="AR911" t="s">
        <v>101</v>
      </c>
      <c r="AS911" t="s">
        <v>278</v>
      </c>
      <c r="AT911" t="s">
        <v>120</v>
      </c>
      <c r="AU911">
        <v>0</v>
      </c>
      <c r="AV911">
        <v>0</v>
      </c>
      <c r="AW911">
        <v>0</v>
      </c>
      <c r="AX911">
        <v>1</v>
      </c>
      <c r="AY911">
        <v>0</v>
      </c>
      <c r="AZ911" t="s">
        <v>577</v>
      </c>
    </row>
    <row r="912" spans="1:52" x14ac:dyDescent="0.2">
      <c r="A912">
        <v>1</v>
      </c>
      <c r="B912">
        <v>0</v>
      </c>
      <c r="C912">
        <v>0</v>
      </c>
      <c r="D912">
        <v>0</v>
      </c>
      <c r="E912">
        <v>0</v>
      </c>
      <c r="F912">
        <v>1</v>
      </c>
      <c r="G912">
        <v>0</v>
      </c>
      <c r="H912">
        <v>1</v>
      </c>
      <c r="I912">
        <v>0</v>
      </c>
      <c r="J912" t="s">
        <v>88</v>
      </c>
      <c r="K912" t="s">
        <v>89</v>
      </c>
      <c r="L912">
        <v>0</v>
      </c>
      <c r="M912">
        <v>1</v>
      </c>
      <c r="N912">
        <v>0</v>
      </c>
      <c r="O912">
        <v>0</v>
      </c>
      <c r="P912">
        <v>0</v>
      </c>
      <c r="Q912" t="s">
        <v>584</v>
      </c>
      <c r="AA912" t="s">
        <v>83</v>
      </c>
      <c r="AB912" t="s">
        <v>81</v>
      </c>
      <c r="AC912" t="s">
        <v>82</v>
      </c>
      <c r="AD912" t="s">
        <v>82</v>
      </c>
      <c r="AE912" t="s">
        <v>83</v>
      </c>
      <c r="AF912" t="s">
        <v>83</v>
      </c>
      <c r="AG912" t="s">
        <v>83</v>
      </c>
      <c r="AH912" t="s">
        <v>83</v>
      </c>
      <c r="AI912" t="s">
        <v>88</v>
      </c>
      <c r="AJ912" t="s">
        <v>89</v>
      </c>
      <c r="AK912" t="s">
        <v>100</v>
      </c>
      <c r="AL912" t="s">
        <v>107</v>
      </c>
      <c r="AM912" t="s">
        <v>86</v>
      </c>
      <c r="AN912" t="s">
        <v>87</v>
      </c>
      <c r="AO912" t="s">
        <v>87</v>
      </c>
      <c r="AP912" t="s">
        <v>87</v>
      </c>
      <c r="AQ912" t="s">
        <v>87</v>
      </c>
      <c r="AR912" t="s">
        <v>75</v>
      </c>
      <c r="AS912" t="s">
        <v>76</v>
      </c>
      <c r="AT912" t="s">
        <v>107</v>
      </c>
      <c r="AU912">
        <v>0</v>
      </c>
      <c r="AV912">
        <v>0</v>
      </c>
      <c r="AW912">
        <v>0</v>
      </c>
      <c r="AX912">
        <v>1</v>
      </c>
      <c r="AY912">
        <v>0</v>
      </c>
      <c r="AZ912" t="s">
        <v>578</v>
      </c>
    </row>
    <row r="913" spans="1:52" x14ac:dyDescent="0.2">
      <c r="A913">
        <v>1</v>
      </c>
      <c r="B913">
        <v>0</v>
      </c>
      <c r="C913">
        <v>0</v>
      </c>
      <c r="D913">
        <v>0</v>
      </c>
      <c r="E913">
        <v>1</v>
      </c>
      <c r="F913">
        <v>0</v>
      </c>
      <c r="G913">
        <v>0</v>
      </c>
      <c r="H913">
        <v>0</v>
      </c>
      <c r="I913">
        <v>0</v>
      </c>
      <c r="L913">
        <v>1</v>
      </c>
      <c r="M913">
        <v>0</v>
      </c>
      <c r="N913">
        <v>0</v>
      </c>
      <c r="O913">
        <v>0</v>
      </c>
      <c r="P913">
        <v>0</v>
      </c>
      <c r="Q913" t="s">
        <v>584</v>
      </c>
      <c r="R913">
        <v>0</v>
      </c>
      <c r="S913">
        <v>0</v>
      </c>
      <c r="T913">
        <v>0</v>
      </c>
      <c r="U913">
        <v>0</v>
      </c>
      <c r="V913">
        <v>0</v>
      </c>
      <c r="W913">
        <v>0</v>
      </c>
      <c r="X913">
        <v>1</v>
      </c>
      <c r="Y913">
        <v>0</v>
      </c>
      <c r="Z913">
        <v>0</v>
      </c>
      <c r="AL913" t="s">
        <v>73</v>
      </c>
      <c r="AM913" t="s">
        <v>86</v>
      </c>
      <c r="AN913" t="s">
        <v>86</v>
      </c>
      <c r="AO913" t="s">
        <v>86</v>
      </c>
      <c r="AP913" t="s">
        <v>86</v>
      </c>
      <c r="AQ913" t="s">
        <v>86</v>
      </c>
      <c r="AR913" t="s">
        <v>108</v>
      </c>
      <c r="AS913" t="s">
        <v>76</v>
      </c>
      <c r="AT913" t="s">
        <v>73</v>
      </c>
      <c r="AU913">
        <v>0</v>
      </c>
      <c r="AV913">
        <v>0</v>
      </c>
      <c r="AW913">
        <v>0</v>
      </c>
      <c r="AX913">
        <v>0</v>
      </c>
      <c r="AY913">
        <v>1</v>
      </c>
      <c r="AZ913" t="s">
        <v>579</v>
      </c>
    </row>
    <row r="914" spans="1:52" x14ac:dyDescent="0.2">
      <c r="A914">
        <v>0</v>
      </c>
      <c r="B914">
        <v>1</v>
      </c>
      <c r="C914">
        <v>0</v>
      </c>
      <c r="D914">
        <v>0</v>
      </c>
      <c r="E914">
        <v>0</v>
      </c>
      <c r="F914">
        <v>1</v>
      </c>
      <c r="G914">
        <v>0</v>
      </c>
      <c r="H914">
        <v>0</v>
      </c>
      <c r="I914">
        <v>0</v>
      </c>
      <c r="J914" t="s">
        <v>88</v>
      </c>
      <c r="K914" t="s">
        <v>89</v>
      </c>
      <c r="L914">
        <v>0</v>
      </c>
      <c r="M914">
        <v>0</v>
      </c>
      <c r="N914">
        <v>0</v>
      </c>
      <c r="O914">
        <v>1</v>
      </c>
      <c r="P914">
        <v>0</v>
      </c>
      <c r="Q914" t="s">
        <v>584</v>
      </c>
      <c r="AA914" t="s">
        <v>83</v>
      </c>
      <c r="AB914" t="s">
        <v>82</v>
      </c>
      <c r="AC914" t="s">
        <v>83</v>
      </c>
      <c r="AD914" t="s">
        <v>83</v>
      </c>
      <c r="AE914" t="s">
        <v>83</v>
      </c>
      <c r="AF914" t="s">
        <v>83</v>
      </c>
      <c r="AG914" t="s">
        <v>83</v>
      </c>
      <c r="AH914" t="s">
        <v>83</v>
      </c>
      <c r="AI914" t="s">
        <v>135</v>
      </c>
      <c r="AJ914" t="s">
        <v>89</v>
      </c>
      <c r="AK914" t="s">
        <v>153</v>
      </c>
      <c r="AL914" t="s">
        <v>73</v>
      </c>
      <c r="AM914" t="s">
        <v>87</v>
      </c>
      <c r="AN914" t="s">
        <v>74</v>
      </c>
      <c r="AO914" t="s">
        <v>87</v>
      </c>
      <c r="AP914" t="s">
        <v>74</v>
      </c>
      <c r="AQ914" t="s">
        <v>74</v>
      </c>
      <c r="AR914" t="s">
        <v>75</v>
      </c>
      <c r="AS914" t="s">
        <v>76</v>
      </c>
      <c r="AT914" t="s">
        <v>73</v>
      </c>
      <c r="AU914">
        <v>0</v>
      </c>
      <c r="AV914">
        <v>0</v>
      </c>
      <c r="AW914">
        <v>0</v>
      </c>
      <c r="AX914">
        <v>1</v>
      </c>
      <c r="AY914">
        <v>0</v>
      </c>
      <c r="AZ914" t="s">
        <v>579</v>
      </c>
    </row>
    <row r="915" spans="1:52" x14ac:dyDescent="0.2">
      <c r="A915">
        <v>0</v>
      </c>
      <c r="B915">
        <v>0</v>
      </c>
      <c r="C915">
        <v>0</v>
      </c>
      <c r="D915">
        <v>1</v>
      </c>
      <c r="L915">
        <v>0</v>
      </c>
      <c r="M915">
        <v>1</v>
      </c>
      <c r="N915">
        <v>0</v>
      </c>
      <c r="O915">
        <v>0</v>
      </c>
      <c r="P915">
        <v>0</v>
      </c>
      <c r="Q915" t="s">
        <v>584</v>
      </c>
      <c r="AA915" t="s">
        <v>90</v>
      </c>
      <c r="AB915" t="s">
        <v>82</v>
      </c>
      <c r="AC915" t="s">
        <v>90</v>
      </c>
      <c r="AD915" t="s">
        <v>90</v>
      </c>
      <c r="AE915" t="s">
        <v>90</v>
      </c>
      <c r="AF915" t="s">
        <v>90</v>
      </c>
      <c r="AG915" t="s">
        <v>90</v>
      </c>
      <c r="AH915" t="s">
        <v>90</v>
      </c>
      <c r="AI915" t="s">
        <v>88</v>
      </c>
      <c r="AJ915" t="s">
        <v>89</v>
      </c>
      <c r="AK915" t="s">
        <v>85</v>
      </c>
      <c r="AL915" t="s">
        <v>107</v>
      </c>
      <c r="AM915" t="s">
        <v>86</v>
      </c>
      <c r="AN915" t="s">
        <v>74</v>
      </c>
      <c r="AO915" t="s">
        <v>86</v>
      </c>
      <c r="AP915" t="s">
        <v>74</v>
      </c>
      <c r="AQ915" t="s">
        <v>74</v>
      </c>
      <c r="AR915" t="s">
        <v>97</v>
      </c>
      <c r="AS915" t="s">
        <v>76</v>
      </c>
      <c r="AT915" t="s">
        <v>107</v>
      </c>
      <c r="AU915">
        <v>0</v>
      </c>
      <c r="AV915">
        <v>1</v>
      </c>
      <c r="AW915">
        <v>0</v>
      </c>
      <c r="AX915">
        <v>0</v>
      </c>
      <c r="AY915">
        <v>0</v>
      </c>
      <c r="AZ915" t="s">
        <v>581</v>
      </c>
    </row>
    <row r="916" spans="1:52" x14ac:dyDescent="0.2">
      <c r="A916">
        <v>1</v>
      </c>
      <c r="B916">
        <v>0</v>
      </c>
      <c r="C916">
        <v>0</v>
      </c>
      <c r="D916">
        <v>0</v>
      </c>
      <c r="E916">
        <v>0</v>
      </c>
      <c r="F916">
        <v>1</v>
      </c>
      <c r="G916">
        <v>0</v>
      </c>
      <c r="H916">
        <v>0</v>
      </c>
      <c r="I916">
        <v>0</v>
      </c>
      <c r="J916" t="s">
        <v>79</v>
      </c>
      <c r="K916" t="s">
        <v>223</v>
      </c>
      <c r="L916">
        <v>0</v>
      </c>
      <c r="M916">
        <v>1</v>
      </c>
      <c r="N916">
        <v>0</v>
      </c>
      <c r="O916">
        <v>0</v>
      </c>
      <c r="P916">
        <v>0</v>
      </c>
      <c r="Q916" t="s">
        <v>584</v>
      </c>
      <c r="AA916" t="s">
        <v>83</v>
      </c>
      <c r="AB916" t="s">
        <v>82</v>
      </c>
      <c r="AC916" t="s">
        <v>83</v>
      </c>
      <c r="AD916" t="s">
        <v>90</v>
      </c>
      <c r="AE916" t="s">
        <v>83</v>
      </c>
      <c r="AF916" t="s">
        <v>83</v>
      </c>
      <c r="AG916" t="s">
        <v>82</v>
      </c>
      <c r="AH916" t="s">
        <v>81</v>
      </c>
      <c r="AI916" t="s">
        <v>88</v>
      </c>
      <c r="AJ916" t="s">
        <v>223</v>
      </c>
      <c r="AK916" t="s">
        <v>85</v>
      </c>
      <c r="AL916" t="s">
        <v>73</v>
      </c>
      <c r="AM916" t="s">
        <v>74</v>
      </c>
      <c r="AR916" t="s">
        <v>159</v>
      </c>
      <c r="AS916" t="s">
        <v>76</v>
      </c>
      <c r="AT916" t="s">
        <v>73</v>
      </c>
      <c r="AU916">
        <v>0</v>
      </c>
      <c r="AV916">
        <v>1</v>
      </c>
      <c r="AW916">
        <v>0</v>
      </c>
      <c r="AX916">
        <v>0</v>
      </c>
      <c r="AY916">
        <v>0</v>
      </c>
      <c r="AZ916" t="s">
        <v>578</v>
      </c>
    </row>
    <row r="917" spans="1:52" x14ac:dyDescent="0.2">
      <c r="A917">
        <v>1</v>
      </c>
      <c r="B917">
        <v>0</v>
      </c>
      <c r="C917">
        <v>0</v>
      </c>
      <c r="D917">
        <v>0</v>
      </c>
      <c r="E917">
        <v>0</v>
      </c>
      <c r="F917">
        <v>1</v>
      </c>
      <c r="G917">
        <v>0</v>
      </c>
      <c r="H917">
        <v>1</v>
      </c>
      <c r="I917">
        <v>0</v>
      </c>
      <c r="J917" t="s">
        <v>88</v>
      </c>
      <c r="K917" t="s">
        <v>89</v>
      </c>
      <c r="L917">
        <v>0</v>
      </c>
      <c r="M917">
        <v>0</v>
      </c>
      <c r="N917">
        <v>1</v>
      </c>
      <c r="O917">
        <v>0</v>
      </c>
      <c r="P917">
        <v>0</v>
      </c>
      <c r="Q917" t="s">
        <v>584</v>
      </c>
      <c r="AA917" t="s">
        <v>81</v>
      </c>
      <c r="AB917" t="s">
        <v>82</v>
      </c>
      <c r="AC917" t="s">
        <v>82</v>
      </c>
      <c r="AD917" t="s">
        <v>81</v>
      </c>
      <c r="AE917" t="s">
        <v>82</v>
      </c>
      <c r="AF917" t="s">
        <v>82</v>
      </c>
      <c r="AG917" t="s">
        <v>81</v>
      </c>
      <c r="AH917" t="s">
        <v>81</v>
      </c>
      <c r="AI917" t="s">
        <v>88</v>
      </c>
      <c r="AJ917" t="s">
        <v>89</v>
      </c>
      <c r="AK917" t="s">
        <v>85</v>
      </c>
      <c r="AL917" t="s">
        <v>73</v>
      </c>
      <c r="AM917" t="s">
        <v>87</v>
      </c>
      <c r="AN917" t="s">
        <v>87</v>
      </c>
      <c r="AO917" t="s">
        <v>87</v>
      </c>
      <c r="AP917" t="s">
        <v>87</v>
      </c>
      <c r="AQ917" t="s">
        <v>87</v>
      </c>
      <c r="AR917" t="s">
        <v>75</v>
      </c>
      <c r="AS917" t="s">
        <v>92</v>
      </c>
      <c r="AT917" t="s">
        <v>73</v>
      </c>
      <c r="AU917">
        <v>0</v>
      </c>
      <c r="AV917">
        <v>1</v>
      </c>
      <c r="AW917">
        <v>0</v>
      </c>
      <c r="AX917">
        <v>0</v>
      </c>
      <c r="AY917">
        <v>0</v>
      </c>
      <c r="AZ917" t="s">
        <v>579</v>
      </c>
    </row>
    <row r="918" spans="1:52" x14ac:dyDescent="0.2">
      <c r="A918">
        <v>1</v>
      </c>
      <c r="B918">
        <v>0</v>
      </c>
      <c r="C918">
        <v>0</v>
      </c>
      <c r="D918">
        <v>0</v>
      </c>
      <c r="E918">
        <v>0</v>
      </c>
      <c r="F918">
        <v>1</v>
      </c>
      <c r="G918">
        <v>0</v>
      </c>
      <c r="H918">
        <v>0</v>
      </c>
      <c r="I918">
        <v>0</v>
      </c>
      <c r="J918" t="s">
        <v>88</v>
      </c>
      <c r="K918" t="s">
        <v>89</v>
      </c>
      <c r="L918">
        <v>0</v>
      </c>
      <c r="M918">
        <v>0</v>
      </c>
      <c r="N918">
        <v>1</v>
      </c>
      <c r="O918">
        <v>0</v>
      </c>
      <c r="P918">
        <v>0</v>
      </c>
      <c r="Q918" t="s">
        <v>584</v>
      </c>
      <c r="AA918" t="s">
        <v>83</v>
      </c>
      <c r="AB918" t="s">
        <v>82</v>
      </c>
      <c r="AC918" t="s">
        <v>83</v>
      </c>
      <c r="AD918" t="s">
        <v>81</v>
      </c>
      <c r="AE918" t="s">
        <v>82</v>
      </c>
      <c r="AF918" t="s">
        <v>83</v>
      </c>
      <c r="AG918" t="s">
        <v>81</v>
      </c>
      <c r="AH918" t="s">
        <v>83</v>
      </c>
      <c r="AI918" t="s">
        <v>88</v>
      </c>
      <c r="AJ918" t="s">
        <v>89</v>
      </c>
      <c r="AK918" t="s">
        <v>85</v>
      </c>
      <c r="AL918" t="s">
        <v>96</v>
      </c>
      <c r="AM918" t="s">
        <v>87</v>
      </c>
      <c r="AN918" t="s">
        <v>87</v>
      </c>
      <c r="AO918" t="s">
        <v>87</v>
      </c>
      <c r="AP918" t="s">
        <v>87</v>
      </c>
      <c r="AQ918" t="s">
        <v>74</v>
      </c>
      <c r="AR918" t="s">
        <v>108</v>
      </c>
      <c r="AS918" t="s">
        <v>92</v>
      </c>
      <c r="AT918" t="s">
        <v>96</v>
      </c>
      <c r="AU918">
        <v>0</v>
      </c>
      <c r="AV918">
        <v>0</v>
      </c>
      <c r="AW918">
        <v>0</v>
      </c>
      <c r="AX918">
        <v>1</v>
      </c>
      <c r="AY918">
        <v>0</v>
      </c>
      <c r="AZ918" t="s">
        <v>577</v>
      </c>
    </row>
    <row r="919" spans="1:52" x14ac:dyDescent="0.2">
      <c r="A919">
        <v>0</v>
      </c>
      <c r="B919">
        <v>1</v>
      </c>
      <c r="C919">
        <v>0</v>
      </c>
      <c r="D919">
        <v>0</v>
      </c>
      <c r="E919">
        <v>0</v>
      </c>
      <c r="F919">
        <v>0</v>
      </c>
      <c r="G919">
        <v>0</v>
      </c>
      <c r="H919">
        <v>1</v>
      </c>
      <c r="I919">
        <v>0</v>
      </c>
      <c r="J919" t="s">
        <v>135</v>
      </c>
      <c r="K919" t="s">
        <v>89</v>
      </c>
      <c r="L919">
        <v>0</v>
      </c>
      <c r="M919">
        <v>0</v>
      </c>
      <c r="N919">
        <v>1</v>
      </c>
      <c r="O919">
        <v>0</v>
      </c>
      <c r="P919">
        <v>0</v>
      </c>
      <c r="Q919" t="s">
        <v>584</v>
      </c>
      <c r="AA919" t="s">
        <v>82</v>
      </c>
      <c r="AB919" t="s">
        <v>82</v>
      </c>
      <c r="AC919" t="s">
        <v>82</v>
      </c>
      <c r="AD919" t="s">
        <v>82</v>
      </c>
      <c r="AE919" t="s">
        <v>82</v>
      </c>
      <c r="AF919" t="s">
        <v>82</v>
      </c>
      <c r="AG919" t="s">
        <v>82</v>
      </c>
      <c r="AH919" t="s">
        <v>82</v>
      </c>
      <c r="AI919" t="s">
        <v>135</v>
      </c>
      <c r="AJ919" t="s">
        <v>142</v>
      </c>
      <c r="AK919" t="s">
        <v>169</v>
      </c>
      <c r="AL919" t="s">
        <v>73</v>
      </c>
      <c r="AM919" t="s">
        <v>87</v>
      </c>
      <c r="AN919" t="s">
        <v>87</v>
      </c>
      <c r="AO919" t="s">
        <v>87</v>
      </c>
      <c r="AP919" t="s">
        <v>87</v>
      </c>
      <c r="AQ919" t="s">
        <v>87</v>
      </c>
      <c r="AR919" t="s">
        <v>159</v>
      </c>
      <c r="AS919" t="s">
        <v>92</v>
      </c>
      <c r="AT919" t="s">
        <v>73</v>
      </c>
      <c r="AU919">
        <v>0</v>
      </c>
      <c r="AV919">
        <v>1</v>
      </c>
      <c r="AW919">
        <v>0</v>
      </c>
      <c r="AX919">
        <v>0</v>
      </c>
      <c r="AY919">
        <v>0</v>
      </c>
      <c r="AZ919" t="s">
        <v>578</v>
      </c>
    </row>
    <row r="920" spans="1:52" x14ac:dyDescent="0.2">
      <c r="A920">
        <v>0</v>
      </c>
      <c r="B920">
        <v>1</v>
      </c>
      <c r="C920">
        <v>0</v>
      </c>
      <c r="D920">
        <v>0</v>
      </c>
      <c r="E920">
        <v>0</v>
      </c>
      <c r="F920">
        <v>1</v>
      </c>
      <c r="G920">
        <v>1</v>
      </c>
      <c r="H920">
        <v>0</v>
      </c>
      <c r="I920">
        <v>0</v>
      </c>
      <c r="J920" t="s">
        <v>88</v>
      </c>
      <c r="K920" t="s">
        <v>89</v>
      </c>
      <c r="L920">
        <v>0</v>
      </c>
      <c r="M920">
        <v>1</v>
      </c>
      <c r="N920">
        <v>0</v>
      </c>
      <c r="O920">
        <v>0</v>
      </c>
      <c r="P920">
        <v>0</v>
      </c>
      <c r="Q920" t="s">
        <v>584</v>
      </c>
      <c r="AA920" t="s">
        <v>83</v>
      </c>
      <c r="AB920" t="s">
        <v>82</v>
      </c>
      <c r="AC920" t="s">
        <v>83</v>
      </c>
      <c r="AD920" t="s">
        <v>81</v>
      </c>
      <c r="AE920" t="s">
        <v>83</v>
      </c>
      <c r="AF920" t="s">
        <v>83</v>
      </c>
      <c r="AG920" t="s">
        <v>83</v>
      </c>
      <c r="AH920" t="s">
        <v>83</v>
      </c>
      <c r="AI920" t="s">
        <v>88</v>
      </c>
      <c r="AJ920" t="s">
        <v>89</v>
      </c>
      <c r="AK920" t="s">
        <v>85</v>
      </c>
      <c r="AL920" t="s">
        <v>73</v>
      </c>
      <c r="AM920" t="s">
        <v>87</v>
      </c>
      <c r="AN920" t="s">
        <v>86</v>
      </c>
      <c r="AO920" t="s">
        <v>87</v>
      </c>
      <c r="AP920" t="s">
        <v>74</v>
      </c>
      <c r="AQ920" t="s">
        <v>87</v>
      </c>
      <c r="AR920" t="s">
        <v>75</v>
      </c>
      <c r="AS920" t="s">
        <v>76</v>
      </c>
      <c r="AT920" t="s">
        <v>73</v>
      </c>
      <c r="AU920">
        <v>0</v>
      </c>
      <c r="AV920">
        <v>1</v>
      </c>
      <c r="AW920">
        <v>0</v>
      </c>
      <c r="AX920">
        <v>0</v>
      </c>
      <c r="AY920">
        <v>0</v>
      </c>
      <c r="AZ920" t="s">
        <v>579</v>
      </c>
    </row>
    <row r="921" spans="1:52" x14ac:dyDescent="0.2">
      <c r="A921">
        <v>0</v>
      </c>
      <c r="B921">
        <v>1</v>
      </c>
      <c r="C921">
        <v>0</v>
      </c>
      <c r="D921">
        <v>0</v>
      </c>
      <c r="E921">
        <v>0</v>
      </c>
      <c r="F921">
        <v>0</v>
      </c>
      <c r="G921">
        <v>1</v>
      </c>
      <c r="H921">
        <v>1</v>
      </c>
      <c r="I921">
        <v>0</v>
      </c>
      <c r="J921" t="s">
        <v>88</v>
      </c>
      <c r="K921" t="s">
        <v>89</v>
      </c>
      <c r="L921">
        <v>1</v>
      </c>
      <c r="M921">
        <v>0</v>
      </c>
      <c r="N921">
        <v>0</v>
      </c>
      <c r="O921">
        <v>0</v>
      </c>
      <c r="P921">
        <v>0</v>
      </c>
      <c r="Q921" t="s">
        <v>584</v>
      </c>
      <c r="R921">
        <v>0</v>
      </c>
      <c r="S921">
        <v>0</v>
      </c>
      <c r="T921">
        <v>1</v>
      </c>
      <c r="U921">
        <v>0</v>
      </c>
      <c r="V921">
        <v>0</v>
      </c>
      <c r="W921">
        <v>0</v>
      </c>
      <c r="X921">
        <v>0</v>
      </c>
      <c r="Y921">
        <v>0</v>
      </c>
      <c r="Z921">
        <v>0</v>
      </c>
      <c r="AL921" t="s">
        <v>96</v>
      </c>
      <c r="AM921" t="s">
        <v>87</v>
      </c>
      <c r="AN921" t="s">
        <v>87</v>
      </c>
      <c r="AO921" t="s">
        <v>87</v>
      </c>
      <c r="AP921" t="s">
        <v>87</v>
      </c>
      <c r="AQ921" t="s">
        <v>87</v>
      </c>
      <c r="AR921" t="s">
        <v>101</v>
      </c>
      <c r="AS921" t="s">
        <v>76</v>
      </c>
      <c r="AT921" t="s">
        <v>96</v>
      </c>
      <c r="AU921">
        <v>0</v>
      </c>
      <c r="AV921">
        <v>0</v>
      </c>
      <c r="AW921">
        <v>0</v>
      </c>
      <c r="AX921">
        <v>1</v>
      </c>
      <c r="AY921">
        <v>0</v>
      </c>
      <c r="AZ921" t="s">
        <v>577</v>
      </c>
    </row>
    <row r="922" spans="1:52" x14ac:dyDescent="0.2">
      <c r="A922">
        <v>1</v>
      </c>
      <c r="B922">
        <v>0</v>
      </c>
      <c r="C922">
        <v>0</v>
      </c>
      <c r="D922">
        <v>0</v>
      </c>
      <c r="E922">
        <v>0</v>
      </c>
      <c r="F922">
        <v>1</v>
      </c>
      <c r="G922">
        <v>1</v>
      </c>
      <c r="H922">
        <v>1</v>
      </c>
      <c r="I922">
        <v>0</v>
      </c>
      <c r="J922" t="s">
        <v>88</v>
      </c>
      <c r="K922" t="s">
        <v>89</v>
      </c>
      <c r="L922">
        <v>0</v>
      </c>
      <c r="M922">
        <v>0</v>
      </c>
      <c r="N922">
        <v>1</v>
      </c>
      <c r="O922">
        <v>0</v>
      </c>
      <c r="P922">
        <v>0</v>
      </c>
      <c r="Q922" t="s">
        <v>584</v>
      </c>
      <c r="AA922" t="s">
        <v>83</v>
      </c>
      <c r="AB922" t="s">
        <v>81</v>
      </c>
      <c r="AC922" t="s">
        <v>81</v>
      </c>
      <c r="AD922" t="s">
        <v>82</v>
      </c>
      <c r="AE922" t="s">
        <v>81</v>
      </c>
      <c r="AF922" t="s">
        <v>83</v>
      </c>
      <c r="AG922" t="s">
        <v>83</v>
      </c>
      <c r="AH922" t="s">
        <v>81</v>
      </c>
      <c r="AI922" t="s">
        <v>88</v>
      </c>
      <c r="AJ922" t="s">
        <v>89</v>
      </c>
      <c r="AK922" t="s">
        <v>100</v>
      </c>
      <c r="AL922" t="s">
        <v>107</v>
      </c>
      <c r="AM922" t="s">
        <v>86</v>
      </c>
      <c r="AN922" t="s">
        <v>86</v>
      </c>
      <c r="AO922" t="s">
        <v>86</v>
      </c>
      <c r="AP922" t="s">
        <v>87</v>
      </c>
      <c r="AQ922" t="s">
        <v>86</v>
      </c>
      <c r="AR922" t="s">
        <v>75</v>
      </c>
      <c r="AS922" t="s">
        <v>76</v>
      </c>
      <c r="AT922" t="s">
        <v>107</v>
      </c>
      <c r="AU922">
        <v>0</v>
      </c>
      <c r="AV922">
        <v>0</v>
      </c>
      <c r="AW922">
        <v>0</v>
      </c>
      <c r="AX922">
        <v>1</v>
      </c>
      <c r="AY922">
        <v>0</v>
      </c>
      <c r="AZ922" t="s">
        <v>577</v>
      </c>
    </row>
    <row r="923" spans="1:52" x14ac:dyDescent="0.2">
      <c r="A923">
        <v>0</v>
      </c>
      <c r="B923">
        <v>1</v>
      </c>
      <c r="C923">
        <v>0</v>
      </c>
      <c r="D923">
        <v>0</v>
      </c>
      <c r="E923">
        <v>1</v>
      </c>
      <c r="F923">
        <v>0</v>
      </c>
      <c r="G923">
        <v>0</v>
      </c>
      <c r="H923">
        <v>0</v>
      </c>
      <c r="I923">
        <v>0</v>
      </c>
      <c r="L923">
        <v>0</v>
      </c>
      <c r="M923">
        <v>1</v>
      </c>
      <c r="N923">
        <v>0</v>
      </c>
      <c r="O923">
        <v>0</v>
      </c>
      <c r="P923">
        <v>0</v>
      </c>
      <c r="Q923" t="s">
        <v>584</v>
      </c>
      <c r="AA923" t="s">
        <v>90</v>
      </c>
      <c r="AB923" t="s">
        <v>81</v>
      </c>
      <c r="AC923" t="s">
        <v>81</v>
      </c>
      <c r="AD923" t="s">
        <v>82</v>
      </c>
      <c r="AE923" t="s">
        <v>83</v>
      </c>
      <c r="AF923" t="s">
        <v>90</v>
      </c>
      <c r="AG923" t="s">
        <v>90</v>
      </c>
      <c r="AH923" t="s">
        <v>83</v>
      </c>
      <c r="AI923" t="s">
        <v>88</v>
      </c>
      <c r="AJ923" t="s">
        <v>89</v>
      </c>
      <c r="AK923" t="s">
        <v>100</v>
      </c>
      <c r="AL923" t="s">
        <v>73</v>
      </c>
      <c r="AM923" t="s">
        <v>86</v>
      </c>
      <c r="AN923" t="s">
        <v>86</v>
      </c>
      <c r="AO923" t="s">
        <v>86</v>
      </c>
      <c r="AP923" t="s">
        <v>87</v>
      </c>
      <c r="AQ923" t="s">
        <v>86</v>
      </c>
      <c r="AR923" t="s">
        <v>75</v>
      </c>
      <c r="AS923" t="s">
        <v>76</v>
      </c>
      <c r="AT923" t="s">
        <v>73</v>
      </c>
      <c r="AU923">
        <v>0</v>
      </c>
      <c r="AV923">
        <v>1</v>
      </c>
      <c r="AW923">
        <v>0</v>
      </c>
      <c r="AX923">
        <v>0</v>
      </c>
      <c r="AY923">
        <v>0</v>
      </c>
      <c r="AZ923" t="s">
        <v>578</v>
      </c>
    </row>
    <row r="924" spans="1:52" x14ac:dyDescent="0.2">
      <c r="A924">
        <v>1</v>
      </c>
      <c r="B924">
        <v>0</v>
      </c>
      <c r="C924">
        <v>0</v>
      </c>
      <c r="D924">
        <v>0</v>
      </c>
      <c r="E924">
        <v>1</v>
      </c>
      <c r="F924">
        <v>0</v>
      </c>
      <c r="G924">
        <v>0</v>
      </c>
      <c r="H924">
        <v>0</v>
      </c>
      <c r="I924">
        <v>0</v>
      </c>
      <c r="L924">
        <v>1</v>
      </c>
      <c r="M924">
        <v>0</v>
      </c>
      <c r="N924">
        <v>0</v>
      </c>
      <c r="O924">
        <v>0</v>
      </c>
      <c r="P924">
        <v>0</v>
      </c>
      <c r="Q924" t="s">
        <v>584</v>
      </c>
      <c r="R924">
        <v>0</v>
      </c>
      <c r="S924">
        <v>0</v>
      </c>
      <c r="T924">
        <v>1</v>
      </c>
      <c r="U924">
        <v>0</v>
      </c>
      <c r="V924">
        <v>0</v>
      </c>
      <c r="W924">
        <v>0</v>
      </c>
      <c r="X924">
        <v>0</v>
      </c>
      <c r="Y924">
        <v>0</v>
      </c>
      <c r="Z924">
        <v>0</v>
      </c>
      <c r="AL924" t="s">
        <v>107</v>
      </c>
      <c r="AM924" t="s">
        <v>87</v>
      </c>
      <c r="AN924" t="s">
        <v>74</v>
      </c>
      <c r="AO924" t="s">
        <v>87</v>
      </c>
      <c r="AP924" t="s">
        <v>87</v>
      </c>
      <c r="AQ924" t="s">
        <v>74</v>
      </c>
      <c r="AR924" t="s">
        <v>97</v>
      </c>
      <c r="AS924" t="s">
        <v>76</v>
      </c>
      <c r="AT924" t="s">
        <v>107</v>
      </c>
      <c r="AU924">
        <v>0</v>
      </c>
      <c r="AV924">
        <v>0</v>
      </c>
      <c r="AW924">
        <v>0</v>
      </c>
      <c r="AX924">
        <v>1</v>
      </c>
      <c r="AY924">
        <v>0</v>
      </c>
      <c r="AZ924" t="s">
        <v>580</v>
      </c>
    </row>
    <row r="925" spans="1:52" x14ac:dyDescent="0.2">
      <c r="A925">
        <v>0</v>
      </c>
      <c r="B925">
        <v>1</v>
      </c>
      <c r="C925">
        <v>0</v>
      </c>
      <c r="D925">
        <v>0</v>
      </c>
      <c r="E925">
        <v>1</v>
      </c>
      <c r="F925">
        <v>0</v>
      </c>
      <c r="G925">
        <v>0</v>
      </c>
      <c r="H925">
        <v>0</v>
      </c>
      <c r="I925">
        <v>0</v>
      </c>
      <c r="L925">
        <v>0</v>
      </c>
      <c r="M925">
        <v>1</v>
      </c>
      <c r="N925">
        <v>0</v>
      </c>
      <c r="O925">
        <v>0</v>
      </c>
      <c r="P925">
        <v>1</v>
      </c>
      <c r="Q925" t="s">
        <v>585</v>
      </c>
      <c r="AA925" t="s">
        <v>81</v>
      </c>
      <c r="AB925" t="s">
        <v>82</v>
      </c>
      <c r="AC925" t="s">
        <v>81</v>
      </c>
      <c r="AD925" t="s">
        <v>82</v>
      </c>
      <c r="AE925" t="s">
        <v>81</v>
      </c>
      <c r="AF925" t="s">
        <v>83</v>
      </c>
      <c r="AG925" t="s">
        <v>83</v>
      </c>
      <c r="AH925" t="s">
        <v>83</v>
      </c>
      <c r="AI925" t="s">
        <v>84</v>
      </c>
      <c r="AJ925" t="s">
        <v>80</v>
      </c>
      <c r="AK925" t="s">
        <v>100</v>
      </c>
      <c r="AL925" t="s">
        <v>73</v>
      </c>
      <c r="AM925" t="s">
        <v>74</v>
      </c>
      <c r="AR925" t="s">
        <v>97</v>
      </c>
      <c r="AS925" t="s">
        <v>76</v>
      </c>
      <c r="AT925" t="s">
        <v>73</v>
      </c>
      <c r="AU925">
        <v>0</v>
      </c>
      <c r="AV925">
        <v>1</v>
      </c>
      <c r="AW925">
        <v>0</v>
      </c>
      <c r="AX925">
        <v>0</v>
      </c>
      <c r="AY925">
        <v>0</v>
      </c>
      <c r="AZ925" t="s">
        <v>580</v>
      </c>
    </row>
    <row r="926" spans="1:52" x14ac:dyDescent="0.2">
      <c r="A926">
        <v>1</v>
      </c>
      <c r="B926">
        <v>0</v>
      </c>
      <c r="C926">
        <v>0</v>
      </c>
      <c r="D926">
        <v>0</v>
      </c>
      <c r="E926">
        <v>1</v>
      </c>
      <c r="F926">
        <v>0</v>
      </c>
      <c r="G926">
        <v>0</v>
      </c>
      <c r="H926">
        <v>0</v>
      </c>
      <c r="I926">
        <v>0</v>
      </c>
      <c r="L926">
        <v>1</v>
      </c>
      <c r="M926">
        <v>0</v>
      </c>
      <c r="N926">
        <v>0</v>
      </c>
      <c r="O926">
        <v>0</v>
      </c>
      <c r="P926">
        <v>0</v>
      </c>
      <c r="Q926" t="s">
        <v>584</v>
      </c>
      <c r="R926">
        <v>0</v>
      </c>
      <c r="S926">
        <v>0</v>
      </c>
      <c r="T926">
        <v>0</v>
      </c>
      <c r="U926">
        <v>0</v>
      </c>
      <c r="V926">
        <v>0</v>
      </c>
      <c r="W926">
        <v>0</v>
      </c>
      <c r="X926">
        <v>0</v>
      </c>
      <c r="Y926">
        <v>1</v>
      </c>
      <c r="Z926">
        <v>1</v>
      </c>
      <c r="AL926" t="s">
        <v>107</v>
      </c>
      <c r="AM926" t="s">
        <v>86</v>
      </c>
      <c r="AN926" t="s">
        <v>74</v>
      </c>
      <c r="AO926" t="s">
        <v>87</v>
      </c>
      <c r="AP926" t="s">
        <v>74</v>
      </c>
      <c r="AQ926" t="s">
        <v>74</v>
      </c>
      <c r="AR926" t="s">
        <v>75</v>
      </c>
      <c r="AS926" t="s">
        <v>92</v>
      </c>
      <c r="AT926" t="s">
        <v>107</v>
      </c>
      <c r="AU926">
        <v>0</v>
      </c>
      <c r="AV926">
        <v>1</v>
      </c>
      <c r="AW926">
        <v>0</v>
      </c>
      <c r="AX926">
        <v>0</v>
      </c>
      <c r="AY926">
        <v>0</v>
      </c>
      <c r="AZ926" t="s">
        <v>579</v>
      </c>
    </row>
    <row r="927" spans="1:52" x14ac:dyDescent="0.2">
      <c r="A927">
        <v>1</v>
      </c>
      <c r="B927">
        <v>0</v>
      </c>
      <c r="C927">
        <v>0</v>
      </c>
      <c r="D927">
        <v>0</v>
      </c>
      <c r="E927">
        <v>0</v>
      </c>
      <c r="F927">
        <v>1</v>
      </c>
      <c r="G927">
        <v>0</v>
      </c>
      <c r="H927">
        <v>1</v>
      </c>
      <c r="I927">
        <v>0</v>
      </c>
      <c r="J927" t="s">
        <v>88</v>
      </c>
      <c r="K927" t="s">
        <v>89</v>
      </c>
      <c r="L927">
        <v>0</v>
      </c>
      <c r="M927">
        <v>0</v>
      </c>
      <c r="N927">
        <v>1</v>
      </c>
      <c r="O927">
        <v>0</v>
      </c>
      <c r="P927">
        <v>0</v>
      </c>
      <c r="Q927" t="s">
        <v>584</v>
      </c>
      <c r="AA927" t="s">
        <v>83</v>
      </c>
      <c r="AB927" t="s">
        <v>82</v>
      </c>
      <c r="AC927" t="s">
        <v>83</v>
      </c>
      <c r="AD927" t="s">
        <v>83</v>
      </c>
      <c r="AE927" t="s">
        <v>81</v>
      </c>
      <c r="AF927" t="s">
        <v>83</v>
      </c>
      <c r="AG927" t="s">
        <v>83</v>
      </c>
      <c r="AH927" t="s">
        <v>83</v>
      </c>
      <c r="AI927" t="s">
        <v>88</v>
      </c>
      <c r="AJ927" t="s">
        <v>89</v>
      </c>
      <c r="AK927" t="s">
        <v>100</v>
      </c>
      <c r="AL927" t="s">
        <v>107</v>
      </c>
      <c r="AM927" t="s">
        <v>86</v>
      </c>
      <c r="AN927" t="s">
        <v>87</v>
      </c>
      <c r="AO927" t="s">
        <v>87</v>
      </c>
      <c r="AP927" t="s">
        <v>86</v>
      </c>
      <c r="AQ927" t="s">
        <v>87</v>
      </c>
      <c r="AR927" t="s">
        <v>108</v>
      </c>
      <c r="AS927" t="s">
        <v>76</v>
      </c>
      <c r="AT927" t="s">
        <v>107</v>
      </c>
      <c r="AU927">
        <v>0</v>
      </c>
      <c r="AV927">
        <v>0</v>
      </c>
      <c r="AW927">
        <v>0</v>
      </c>
      <c r="AX927">
        <v>1</v>
      </c>
      <c r="AY927">
        <v>0</v>
      </c>
      <c r="AZ927" t="s">
        <v>580</v>
      </c>
    </row>
    <row r="928" spans="1:52" x14ac:dyDescent="0.2">
      <c r="A928">
        <v>1</v>
      </c>
      <c r="B928">
        <v>0</v>
      </c>
      <c r="C928">
        <v>0</v>
      </c>
      <c r="D928">
        <v>0</v>
      </c>
      <c r="E928">
        <v>0</v>
      </c>
      <c r="F928">
        <v>1</v>
      </c>
      <c r="G928">
        <v>1</v>
      </c>
      <c r="H928">
        <v>0</v>
      </c>
      <c r="I928">
        <v>0</v>
      </c>
      <c r="J928" t="s">
        <v>135</v>
      </c>
      <c r="K928" t="s">
        <v>80</v>
      </c>
      <c r="L928">
        <v>0</v>
      </c>
      <c r="M928">
        <v>1</v>
      </c>
      <c r="N928">
        <v>0</v>
      </c>
      <c r="O928">
        <v>0</v>
      </c>
      <c r="P928">
        <v>0</v>
      </c>
      <c r="Q928" t="s">
        <v>584</v>
      </c>
      <c r="AA928" t="s">
        <v>83</v>
      </c>
      <c r="AB928" t="s">
        <v>82</v>
      </c>
      <c r="AC928" t="s">
        <v>83</v>
      </c>
      <c r="AD928" t="s">
        <v>82</v>
      </c>
      <c r="AE928" t="s">
        <v>81</v>
      </c>
      <c r="AF928" t="s">
        <v>83</v>
      </c>
      <c r="AG928" t="s">
        <v>83</v>
      </c>
      <c r="AH928" t="s">
        <v>81</v>
      </c>
      <c r="AI928" t="s">
        <v>88</v>
      </c>
      <c r="AJ928" t="s">
        <v>89</v>
      </c>
      <c r="AK928" t="s">
        <v>85</v>
      </c>
      <c r="AL928" t="s">
        <v>107</v>
      </c>
      <c r="AM928" t="s">
        <v>87</v>
      </c>
      <c r="AN928" t="s">
        <v>87</v>
      </c>
      <c r="AO928" t="s">
        <v>87</v>
      </c>
      <c r="AP928" t="s">
        <v>74</v>
      </c>
      <c r="AQ928" t="s">
        <v>87</v>
      </c>
      <c r="AR928" t="s">
        <v>75</v>
      </c>
      <c r="AS928" t="s">
        <v>76</v>
      </c>
      <c r="AT928" t="s">
        <v>107</v>
      </c>
      <c r="AU928">
        <v>0</v>
      </c>
      <c r="AV928">
        <v>0</v>
      </c>
      <c r="AW928">
        <v>0</v>
      </c>
      <c r="AX928">
        <v>1</v>
      </c>
      <c r="AY928">
        <v>0</v>
      </c>
      <c r="AZ928" t="s">
        <v>578</v>
      </c>
    </row>
    <row r="929" spans="1:52" x14ac:dyDescent="0.2">
      <c r="A929">
        <v>1</v>
      </c>
      <c r="B929">
        <v>0</v>
      </c>
      <c r="C929">
        <v>0</v>
      </c>
      <c r="D929">
        <v>0</v>
      </c>
      <c r="E929">
        <v>0</v>
      </c>
      <c r="F929">
        <v>1</v>
      </c>
      <c r="G929">
        <v>1</v>
      </c>
      <c r="H929">
        <v>1</v>
      </c>
      <c r="I929">
        <v>0</v>
      </c>
      <c r="J929" t="s">
        <v>88</v>
      </c>
      <c r="K929" t="s">
        <v>80</v>
      </c>
      <c r="L929">
        <v>0</v>
      </c>
      <c r="M929">
        <v>0</v>
      </c>
      <c r="N929">
        <v>1</v>
      </c>
      <c r="O929">
        <v>0</v>
      </c>
      <c r="P929">
        <v>0</v>
      </c>
      <c r="Q929" t="s">
        <v>584</v>
      </c>
      <c r="AA929" t="s">
        <v>81</v>
      </c>
      <c r="AB929" t="s">
        <v>82</v>
      </c>
      <c r="AC929" t="s">
        <v>81</v>
      </c>
      <c r="AD929" t="s">
        <v>82</v>
      </c>
      <c r="AE929" t="s">
        <v>81</v>
      </c>
      <c r="AF929" t="s">
        <v>83</v>
      </c>
      <c r="AG929" t="s">
        <v>83</v>
      </c>
      <c r="AH929" t="s">
        <v>81</v>
      </c>
      <c r="AI929" t="s">
        <v>88</v>
      </c>
      <c r="AJ929" t="s">
        <v>80</v>
      </c>
      <c r="AK929" t="s">
        <v>100</v>
      </c>
      <c r="AL929" t="s">
        <v>107</v>
      </c>
      <c r="AM929" t="s">
        <v>87</v>
      </c>
      <c r="AN929" t="s">
        <v>87</v>
      </c>
      <c r="AO929" t="s">
        <v>87</v>
      </c>
      <c r="AP929" t="s">
        <v>87</v>
      </c>
      <c r="AQ929" t="s">
        <v>86</v>
      </c>
      <c r="AR929" t="s">
        <v>75</v>
      </c>
      <c r="AS929" t="s">
        <v>76</v>
      </c>
      <c r="AT929" t="s">
        <v>107</v>
      </c>
      <c r="AU929">
        <v>1</v>
      </c>
      <c r="AV929">
        <v>0</v>
      </c>
      <c r="AW929">
        <v>0</v>
      </c>
      <c r="AX929">
        <v>1</v>
      </c>
      <c r="AY929">
        <v>1</v>
      </c>
      <c r="AZ929" t="s">
        <v>579</v>
      </c>
    </row>
    <row r="930" spans="1:52" x14ac:dyDescent="0.2">
      <c r="A930">
        <v>1</v>
      </c>
      <c r="B930">
        <v>0</v>
      </c>
      <c r="C930">
        <v>0</v>
      </c>
      <c r="D930">
        <v>0</v>
      </c>
      <c r="E930">
        <v>0</v>
      </c>
      <c r="F930">
        <v>1</v>
      </c>
      <c r="G930">
        <v>0</v>
      </c>
      <c r="H930">
        <v>0</v>
      </c>
      <c r="I930">
        <v>0</v>
      </c>
      <c r="J930" t="s">
        <v>88</v>
      </c>
      <c r="K930" t="s">
        <v>89</v>
      </c>
      <c r="L930">
        <v>0</v>
      </c>
      <c r="M930">
        <v>0</v>
      </c>
      <c r="N930">
        <v>1</v>
      </c>
      <c r="O930">
        <v>0</v>
      </c>
      <c r="P930">
        <v>0</v>
      </c>
      <c r="Q930" t="s">
        <v>584</v>
      </c>
      <c r="AA930" t="s">
        <v>83</v>
      </c>
      <c r="AB930" t="s">
        <v>81</v>
      </c>
      <c r="AC930" t="s">
        <v>83</v>
      </c>
      <c r="AD930" t="s">
        <v>81</v>
      </c>
      <c r="AE930" t="s">
        <v>81</v>
      </c>
      <c r="AF930" t="s">
        <v>82</v>
      </c>
      <c r="AG930" t="s">
        <v>82</v>
      </c>
      <c r="AH930" t="s">
        <v>83</v>
      </c>
      <c r="AI930" t="s">
        <v>88</v>
      </c>
      <c r="AJ930" t="s">
        <v>89</v>
      </c>
      <c r="AK930" t="s">
        <v>85</v>
      </c>
      <c r="AL930" t="s">
        <v>73</v>
      </c>
      <c r="AM930" t="s">
        <v>87</v>
      </c>
      <c r="AN930" t="s">
        <v>86</v>
      </c>
      <c r="AO930" t="s">
        <v>87</v>
      </c>
      <c r="AP930" t="s">
        <v>87</v>
      </c>
      <c r="AQ930" t="s">
        <v>87</v>
      </c>
      <c r="AR930" t="s">
        <v>75</v>
      </c>
      <c r="AS930" t="s">
        <v>76</v>
      </c>
      <c r="AT930" t="s">
        <v>73</v>
      </c>
      <c r="AU930">
        <v>0</v>
      </c>
      <c r="AV930">
        <v>0</v>
      </c>
      <c r="AW930">
        <v>0</v>
      </c>
      <c r="AX930">
        <v>1</v>
      </c>
      <c r="AY930">
        <v>0</v>
      </c>
      <c r="AZ930" t="s">
        <v>578</v>
      </c>
    </row>
    <row r="931" spans="1:52" x14ac:dyDescent="0.2">
      <c r="A931">
        <v>0</v>
      </c>
      <c r="B931">
        <v>1</v>
      </c>
      <c r="C931">
        <v>0</v>
      </c>
      <c r="D931">
        <v>0</v>
      </c>
      <c r="E931">
        <v>0</v>
      </c>
      <c r="F931">
        <v>0</v>
      </c>
      <c r="G931">
        <v>0</v>
      </c>
      <c r="H931">
        <v>1</v>
      </c>
      <c r="I931">
        <v>0</v>
      </c>
      <c r="J931" t="s">
        <v>135</v>
      </c>
      <c r="K931" t="s">
        <v>127</v>
      </c>
      <c r="L931">
        <v>1</v>
      </c>
      <c r="M931">
        <v>0</v>
      </c>
      <c r="N931">
        <v>0</v>
      </c>
      <c r="O931">
        <v>0</v>
      </c>
      <c r="P931">
        <v>0</v>
      </c>
      <c r="Q931" t="s">
        <v>584</v>
      </c>
      <c r="R931">
        <v>0</v>
      </c>
      <c r="S931">
        <v>0</v>
      </c>
      <c r="T931">
        <v>0</v>
      </c>
      <c r="U931">
        <v>0</v>
      </c>
      <c r="V931">
        <v>0</v>
      </c>
      <c r="W931">
        <v>0</v>
      </c>
      <c r="X931">
        <v>1</v>
      </c>
      <c r="Y931">
        <v>0</v>
      </c>
      <c r="Z931">
        <v>1</v>
      </c>
      <c r="AL931" t="s">
        <v>107</v>
      </c>
      <c r="AM931" t="s">
        <v>74</v>
      </c>
      <c r="AR931" t="s">
        <v>108</v>
      </c>
      <c r="AS931" t="s">
        <v>76</v>
      </c>
      <c r="AT931" t="s">
        <v>107</v>
      </c>
      <c r="AU931">
        <v>0</v>
      </c>
      <c r="AV931">
        <v>0</v>
      </c>
      <c r="AW931">
        <v>0</v>
      </c>
      <c r="AX931">
        <v>1</v>
      </c>
      <c r="AY931">
        <v>0</v>
      </c>
      <c r="AZ931" t="s">
        <v>578</v>
      </c>
    </row>
    <row r="932" spans="1:52" x14ac:dyDescent="0.2">
      <c r="A932">
        <v>1</v>
      </c>
      <c r="B932">
        <v>0</v>
      </c>
      <c r="C932">
        <v>0</v>
      </c>
      <c r="D932">
        <v>0</v>
      </c>
      <c r="E932">
        <v>0</v>
      </c>
      <c r="F932">
        <v>1</v>
      </c>
      <c r="G932">
        <v>0</v>
      </c>
      <c r="H932">
        <v>0</v>
      </c>
      <c r="I932">
        <v>0</v>
      </c>
      <c r="J932" t="s">
        <v>135</v>
      </c>
      <c r="K932" t="s">
        <v>80</v>
      </c>
      <c r="L932">
        <v>1</v>
      </c>
      <c r="M932">
        <v>0</v>
      </c>
      <c r="N932">
        <v>0</v>
      </c>
      <c r="O932">
        <v>0</v>
      </c>
      <c r="P932">
        <v>0</v>
      </c>
      <c r="Q932" t="s">
        <v>584</v>
      </c>
      <c r="R932">
        <v>0</v>
      </c>
      <c r="S932">
        <v>1</v>
      </c>
      <c r="T932">
        <v>0</v>
      </c>
      <c r="U932">
        <v>0</v>
      </c>
      <c r="V932">
        <v>0</v>
      </c>
      <c r="W932">
        <v>0</v>
      </c>
      <c r="X932">
        <v>0</v>
      </c>
      <c r="Y932">
        <v>0</v>
      </c>
      <c r="Z932">
        <v>0</v>
      </c>
      <c r="AL932" t="s">
        <v>107</v>
      </c>
      <c r="AM932" t="s">
        <v>86</v>
      </c>
      <c r="AN932" t="s">
        <v>87</v>
      </c>
      <c r="AO932" t="s">
        <v>87</v>
      </c>
      <c r="AP932" t="s">
        <v>87</v>
      </c>
      <c r="AQ932" t="s">
        <v>87</v>
      </c>
      <c r="AR932" t="s">
        <v>75</v>
      </c>
      <c r="AS932" t="s">
        <v>76</v>
      </c>
      <c r="AT932" t="s">
        <v>107</v>
      </c>
      <c r="AU932">
        <v>0</v>
      </c>
      <c r="AV932">
        <v>0</v>
      </c>
      <c r="AW932">
        <v>0</v>
      </c>
      <c r="AX932">
        <v>1</v>
      </c>
      <c r="AY932">
        <v>0</v>
      </c>
      <c r="AZ932" t="s">
        <v>578</v>
      </c>
    </row>
    <row r="933" spans="1:52" x14ac:dyDescent="0.2">
      <c r="A933">
        <v>1</v>
      </c>
      <c r="B933">
        <v>0</v>
      </c>
      <c r="C933">
        <v>0</v>
      </c>
      <c r="D933">
        <v>0</v>
      </c>
      <c r="E933">
        <v>0</v>
      </c>
      <c r="F933">
        <v>1</v>
      </c>
      <c r="G933">
        <v>1</v>
      </c>
      <c r="H933">
        <v>1</v>
      </c>
      <c r="I933">
        <v>0</v>
      </c>
      <c r="J933" t="s">
        <v>79</v>
      </c>
      <c r="K933" t="s">
        <v>89</v>
      </c>
      <c r="L933">
        <v>0</v>
      </c>
      <c r="M933">
        <v>0</v>
      </c>
      <c r="N933">
        <v>1</v>
      </c>
      <c r="O933">
        <v>0</v>
      </c>
      <c r="P933">
        <v>0</v>
      </c>
      <c r="Q933" t="s">
        <v>584</v>
      </c>
      <c r="AA933" t="s">
        <v>83</v>
      </c>
      <c r="AB933" t="s">
        <v>82</v>
      </c>
      <c r="AC933" t="s">
        <v>81</v>
      </c>
      <c r="AD933" t="s">
        <v>82</v>
      </c>
      <c r="AE933" t="s">
        <v>81</v>
      </c>
      <c r="AF933" t="s">
        <v>83</v>
      </c>
      <c r="AG933" t="s">
        <v>83</v>
      </c>
      <c r="AH933" t="s">
        <v>90</v>
      </c>
      <c r="AI933" t="s">
        <v>88</v>
      </c>
      <c r="AJ933" t="s">
        <v>80</v>
      </c>
      <c r="AK933" t="s">
        <v>100</v>
      </c>
      <c r="AL933" t="s">
        <v>107</v>
      </c>
      <c r="AM933" t="s">
        <v>87</v>
      </c>
      <c r="AN933" t="s">
        <v>87</v>
      </c>
      <c r="AO933" t="s">
        <v>87</v>
      </c>
      <c r="AP933" t="s">
        <v>87</v>
      </c>
      <c r="AQ933" t="s">
        <v>87</v>
      </c>
      <c r="AR933" t="s">
        <v>108</v>
      </c>
      <c r="AS933" t="s">
        <v>76</v>
      </c>
      <c r="AT933" t="s">
        <v>107</v>
      </c>
      <c r="AU933">
        <v>0</v>
      </c>
      <c r="AV933">
        <v>0</v>
      </c>
      <c r="AW933">
        <v>0</v>
      </c>
      <c r="AX933">
        <v>1</v>
      </c>
      <c r="AY933">
        <v>0</v>
      </c>
      <c r="AZ933" t="s">
        <v>578</v>
      </c>
    </row>
    <row r="934" spans="1:52" x14ac:dyDescent="0.2">
      <c r="A934">
        <v>0</v>
      </c>
      <c r="B934">
        <v>1</v>
      </c>
      <c r="C934">
        <v>0</v>
      </c>
      <c r="D934">
        <v>0</v>
      </c>
      <c r="E934">
        <v>0</v>
      </c>
      <c r="F934">
        <v>1</v>
      </c>
      <c r="G934">
        <v>0</v>
      </c>
      <c r="H934">
        <v>0</v>
      </c>
      <c r="I934">
        <v>0</v>
      </c>
      <c r="J934" t="s">
        <v>79</v>
      </c>
      <c r="K934" t="s">
        <v>80</v>
      </c>
      <c r="L934">
        <v>1</v>
      </c>
      <c r="M934">
        <v>0</v>
      </c>
      <c r="N934">
        <v>0</v>
      </c>
      <c r="O934">
        <v>0</v>
      </c>
      <c r="P934">
        <v>0</v>
      </c>
      <c r="Q934" t="s">
        <v>584</v>
      </c>
      <c r="R934">
        <v>0</v>
      </c>
      <c r="S934">
        <v>0</v>
      </c>
      <c r="T934">
        <v>1</v>
      </c>
      <c r="U934">
        <v>0</v>
      </c>
      <c r="V934">
        <v>0</v>
      </c>
      <c r="W934">
        <v>1</v>
      </c>
      <c r="X934">
        <v>0</v>
      </c>
      <c r="Y934">
        <v>1</v>
      </c>
      <c r="Z934">
        <v>1</v>
      </c>
      <c r="AL934" t="s">
        <v>107</v>
      </c>
      <c r="AM934" t="s">
        <v>86</v>
      </c>
      <c r="AN934" t="s">
        <v>86</v>
      </c>
      <c r="AO934" t="s">
        <v>86</v>
      </c>
      <c r="AP934" t="s">
        <v>74</v>
      </c>
      <c r="AQ934" t="s">
        <v>86</v>
      </c>
      <c r="AR934" t="s">
        <v>75</v>
      </c>
      <c r="AS934" t="s">
        <v>76</v>
      </c>
      <c r="AT934" t="s">
        <v>107</v>
      </c>
      <c r="AU934">
        <v>0</v>
      </c>
      <c r="AV934">
        <v>0</v>
      </c>
      <c r="AW934">
        <v>0</v>
      </c>
      <c r="AX934">
        <v>0</v>
      </c>
      <c r="AY934">
        <v>1</v>
      </c>
      <c r="AZ934" t="s">
        <v>580</v>
      </c>
    </row>
    <row r="935" spans="1:52" x14ac:dyDescent="0.2">
      <c r="A935">
        <v>1</v>
      </c>
      <c r="B935">
        <v>0</v>
      </c>
      <c r="C935">
        <v>0</v>
      </c>
      <c r="D935">
        <v>0</v>
      </c>
      <c r="E935">
        <v>0</v>
      </c>
      <c r="F935">
        <v>1</v>
      </c>
      <c r="G935">
        <v>1</v>
      </c>
      <c r="H935">
        <v>1</v>
      </c>
      <c r="I935">
        <v>0</v>
      </c>
      <c r="J935" t="s">
        <v>88</v>
      </c>
      <c r="K935" t="s">
        <v>89</v>
      </c>
      <c r="L935">
        <v>0</v>
      </c>
      <c r="M935">
        <v>1</v>
      </c>
      <c r="N935">
        <v>0</v>
      </c>
      <c r="O935">
        <v>0</v>
      </c>
      <c r="P935">
        <v>0</v>
      </c>
      <c r="Q935" t="s">
        <v>585</v>
      </c>
      <c r="AA935" t="s">
        <v>83</v>
      </c>
      <c r="AB935" t="s">
        <v>81</v>
      </c>
      <c r="AC935" t="s">
        <v>82</v>
      </c>
      <c r="AD935" t="s">
        <v>81</v>
      </c>
      <c r="AE935" t="s">
        <v>83</v>
      </c>
      <c r="AF935" t="s">
        <v>83</v>
      </c>
      <c r="AG935" t="s">
        <v>83</v>
      </c>
      <c r="AH935" t="s">
        <v>83</v>
      </c>
      <c r="AI935" t="s">
        <v>88</v>
      </c>
      <c r="AJ935" t="s">
        <v>89</v>
      </c>
      <c r="AK935" t="s">
        <v>100</v>
      </c>
      <c r="AL935" t="s">
        <v>107</v>
      </c>
      <c r="AM935" t="s">
        <v>87</v>
      </c>
      <c r="AN935" t="s">
        <v>87</v>
      </c>
      <c r="AO935" t="s">
        <v>87</v>
      </c>
      <c r="AP935" t="s">
        <v>87</v>
      </c>
      <c r="AQ935" t="s">
        <v>87</v>
      </c>
      <c r="AR935" t="s">
        <v>75</v>
      </c>
      <c r="AS935" t="s">
        <v>76</v>
      </c>
      <c r="AT935" t="s">
        <v>107</v>
      </c>
      <c r="AU935">
        <v>0</v>
      </c>
      <c r="AV935">
        <v>0</v>
      </c>
      <c r="AW935">
        <v>0</v>
      </c>
      <c r="AX935">
        <v>1</v>
      </c>
      <c r="AY935">
        <v>0</v>
      </c>
      <c r="AZ935" t="s">
        <v>579</v>
      </c>
    </row>
    <row r="936" spans="1:52" x14ac:dyDescent="0.2">
      <c r="A936">
        <v>0</v>
      </c>
      <c r="B936">
        <v>1</v>
      </c>
      <c r="C936">
        <v>0</v>
      </c>
      <c r="D936">
        <v>0</v>
      </c>
      <c r="E936">
        <v>0</v>
      </c>
      <c r="F936">
        <v>0</v>
      </c>
      <c r="G936">
        <v>1</v>
      </c>
      <c r="H936">
        <v>0</v>
      </c>
      <c r="I936">
        <v>1</v>
      </c>
      <c r="J936" t="s">
        <v>135</v>
      </c>
      <c r="K936" t="s">
        <v>80</v>
      </c>
      <c r="L936">
        <v>1</v>
      </c>
      <c r="M936">
        <v>0</v>
      </c>
      <c r="N936">
        <v>0</v>
      </c>
      <c r="O936">
        <v>0</v>
      </c>
      <c r="P936">
        <v>0</v>
      </c>
      <c r="Q936" t="s">
        <v>584</v>
      </c>
      <c r="R936">
        <v>0</v>
      </c>
      <c r="S936">
        <v>0</v>
      </c>
      <c r="T936">
        <v>1</v>
      </c>
      <c r="U936">
        <v>0</v>
      </c>
      <c r="V936">
        <v>0</v>
      </c>
      <c r="W936">
        <v>0</v>
      </c>
      <c r="X936">
        <v>0</v>
      </c>
      <c r="Y936">
        <v>0</v>
      </c>
      <c r="Z936">
        <v>1</v>
      </c>
      <c r="AL936" t="s">
        <v>73</v>
      </c>
      <c r="AM936" t="s">
        <v>87</v>
      </c>
      <c r="AN936" t="s">
        <v>87</v>
      </c>
      <c r="AO936" t="s">
        <v>74</v>
      </c>
      <c r="AP936" t="s">
        <v>74</v>
      </c>
      <c r="AQ936" t="s">
        <v>87</v>
      </c>
      <c r="AR936" t="s">
        <v>159</v>
      </c>
      <c r="AS936" t="s">
        <v>76</v>
      </c>
      <c r="AT936" t="s">
        <v>73</v>
      </c>
      <c r="AU936">
        <v>0</v>
      </c>
      <c r="AV936">
        <v>0</v>
      </c>
      <c r="AW936">
        <v>0</v>
      </c>
      <c r="AX936">
        <v>1</v>
      </c>
      <c r="AY936">
        <v>0</v>
      </c>
      <c r="AZ936" t="s">
        <v>578</v>
      </c>
    </row>
    <row r="937" spans="1:52" x14ac:dyDescent="0.2">
      <c r="A937">
        <v>0</v>
      </c>
      <c r="B937">
        <v>1</v>
      </c>
      <c r="C937">
        <v>0</v>
      </c>
      <c r="D937">
        <v>0</v>
      </c>
      <c r="E937">
        <v>0</v>
      </c>
      <c r="F937">
        <v>1</v>
      </c>
      <c r="G937">
        <v>0</v>
      </c>
      <c r="H937">
        <v>0</v>
      </c>
      <c r="I937">
        <v>0</v>
      </c>
      <c r="J937" t="s">
        <v>88</v>
      </c>
      <c r="K937" t="s">
        <v>89</v>
      </c>
      <c r="L937">
        <v>1</v>
      </c>
      <c r="M937">
        <v>0</v>
      </c>
      <c r="N937">
        <v>0</v>
      </c>
      <c r="O937">
        <v>0</v>
      </c>
      <c r="P937">
        <v>0</v>
      </c>
      <c r="Q937" t="s">
        <v>584</v>
      </c>
      <c r="R937">
        <v>0</v>
      </c>
      <c r="S937">
        <v>0</v>
      </c>
      <c r="T937">
        <v>0</v>
      </c>
      <c r="U937">
        <v>0</v>
      </c>
      <c r="V937">
        <v>0</v>
      </c>
      <c r="W937">
        <v>0</v>
      </c>
      <c r="X937">
        <v>0</v>
      </c>
      <c r="Y937">
        <v>0</v>
      </c>
      <c r="Z937">
        <v>1</v>
      </c>
      <c r="AL937" t="s">
        <v>107</v>
      </c>
      <c r="AM937" t="s">
        <v>86</v>
      </c>
      <c r="AN937" t="s">
        <v>87</v>
      </c>
      <c r="AO937" t="s">
        <v>86</v>
      </c>
      <c r="AP937" t="s">
        <v>86</v>
      </c>
      <c r="AQ937" t="s">
        <v>86</v>
      </c>
      <c r="AR937" t="s">
        <v>75</v>
      </c>
      <c r="AS937" t="s">
        <v>92</v>
      </c>
      <c r="AT937" t="s">
        <v>107</v>
      </c>
      <c r="AU937">
        <v>0</v>
      </c>
      <c r="AV937">
        <v>0</v>
      </c>
      <c r="AW937">
        <v>0</v>
      </c>
      <c r="AX937">
        <v>1</v>
      </c>
      <c r="AY937">
        <v>0</v>
      </c>
      <c r="AZ937" t="s">
        <v>578</v>
      </c>
    </row>
    <row r="938" spans="1:52" x14ac:dyDescent="0.2">
      <c r="A938">
        <v>0</v>
      </c>
      <c r="B938">
        <v>1</v>
      </c>
      <c r="C938">
        <v>0</v>
      </c>
      <c r="D938">
        <v>0</v>
      </c>
      <c r="E938">
        <v>0</v>
      </c>
      <c r="F938">
        <v>1</v>
      </c>
      <c r="G938">
        <v>0</v>
      </c>
      <c r="H938">
        <v>0</v>
      </c>
      <c r="I938">
        <v>0</v>
      </c>
      <c r="J938" t="s">
        <v>79</v>
      </c>
      <c r="K938" t="s">
        <v>89</v>
      </c>
      <c r="L938">
        <v>0</v>
      </c>
      <c r="M938">
        <v>0</v>
      </c>
      <c r="N938">
        <v>0</v>
      </c>
      <c r="O938">
        <v>0</v>
      </c>
      <c r="P938">
        <v>1</v>
      </c>
      <c r="Q938" t="s">
        <v>584</v>
      </c>
      <c r="AA938" t="s">
        <v>83</v>
      </c>
      <c r="AB938" t="s">
        <v>82</v>
      </c>
      <c r="AC938" t="s">
        <v>90</v>
      </c>
      <c r="AD938" t="s">
        <v>81</v>
      </c>
      <c r="AE938" t="s">
        <v>81</v>
      </c>
      <c r="AF938" t="s">
        <v>83</v>
      </c>
      <c r="AG938" t="s">
        <v>83</v>
      </c>
      <c r="AH938" t="s">
        <v>81</v>
      </c>
      <c r="AI938" t="s">
        <v>88</v>
      </c>
      <c r="AJ938" t="s">
        <v>89</v>
      </c>
      <c r="AK938" t="s">
        <v>85</v>
      </c>
      <c r="AL938" t="s">
        <v>120</v>
      </c>
      <c r="AM938" t="s">
        <v>87</v>
      </c>
      <c r="AN938" t="s">
        <v>87</v>
      </c>
      <c r="AO938" t="s">
        <v>87</v>
      </c>
      <c r="AP938" t="s">
        <v>87</v>
      </c>
      <c r="AQ938" t="s">
        <v>87</v>
      </c>
      <c r="AR938" t="s">
        <v>108</v>
      </c>
      <c r="AS938" t="s">
        <v>76</v>
      </c>
      <c r="AT938" t="s">
        <v>120</v>
      </c>
      <c r="AU938">
        <v>0</v>
      </c>
      <c r="AV938">
        <v>0</v>
      </c>
      <c r="AW938">
        <v>1</v>
      </c>
      <c r="AX938">
        <v>0</v>
      </c>
      <c r="AY938">
        <v>0</v>
      </c>
      <c r="AZ938" t="s">
        <v>578</v>
      </c>
    </row>
    <row r="939" spans="1:52" x14ac:dyDescent="0.2">
      <c r="A939">
        <v>1</v>
      </c>
      <c r="B939">
        <v>0</v>
      </c>
      <c r="C939">
        <v>0</v>
      </c>
      <c r="D939">
        <v>0</v>
      </c>
      <c r="E939">
        <v>0</v>
      </c>
      <c r="F939">
        <v>1</v>
      </c>
      <c r="G939">
        <v>0</v>
      </c>
      <c r="H939">
        <v>0</v>
      </c>
      <c r="I939">
        <v>0</v>
      </c>
      <c r="J939" t="s">
        <v>127</v>
      </c>
      <c r="K939" t="s">
        <v>80</v>
      </c>
      <c r="L939">
        <v>1</v>
      </c>
      <c r="M939">
        <v>0</v>
      </c>
      <c r="N939">
        <v>0</v>
      </c>
      <c r="O939">
        <v>0</v>
      </c>
      <c r="P939">
        <v>0</v>
      </c>
      <c r="Q939" t="s">
        <v>584</v>
      </c>
      <c r="R939">
        <v>0</v>
      </c>
      <c r="S939">
        <v>1</v>
      </c>
      <c r="T939">
        <v>0</v>
      </c>
      <c r="U939">
        <v>0</v>
      </c>
      <c r="V939">
        <v>0</v>
      </c>
      <c r="W939">
        <v>0</v>
      </c>
      <c r="X939">
        <v>0</v>
      </c>
      <c r="Y939">
        <v>0</v>
      </c>
      <c r="Z939">
        <v>0</v>
      </c>
      <c r="AL939" t="s">
        <v>107</v>
      </c>
      <c r="AM939" t="s">
        <v>86</v>
      </c>
      <c r="AN939" t="s">
        <v>86</v>
      </c>
      <c r="AO939" t="s">
        <v>87</v>
      </c>
      <c r="AP939" t="s">
        <v>86</v>
      </c>
      <c r="AQ939" t="s">
        <v>87</v>
      </c>
      <c r="AR939" t="s">
        <v>108</v>
      </c>
      <c r="AS939" t="s">
        <v>76</v>
      </c>
      <c r="AT939" t="s">
        <v>107</v>
      </c>
      <c r="AU939">
        <v>0</v>
      </c>
      <c r="AV939">
        <v>0</v>
      </c>
      <c r="AW939">
        <v>0</v>
      </c>
      <c r="AX939">
        <v>1</v>
      </c>
      <c r="AY939">
        <v>0</v>
      </c>
      <c r="AZ939" t="s">
        <v>579</v>
      </c>
    </row>
    <row r="940" spans="1:52" x14ac:dyDescent="0.2">
      <c r="A940">
        <v>1</v>
      </c>
      <c r="B940">
        <v>0</v>
      </c>
      <c r="C940">
        <v>0</v>
      </c>
      <c r="D940">
        <v>0</v>
      </c>
      <c r="E940">
        <v>0</v>
      </c>
      <c r="F940">
        <v>0</v>
      </c>
      <c r="G940">
        <v>1</v>
      </c>
      <c r="H940">
        <v>0</v>
      </c>
      <c r="I940">
        <v>0</v>
      </c>
      <c r="J940" t="s">
        <v>88</v>
      </c>
      <c r="K940" t="s">
        <v>89</v>
      </c>
      <c r="L940">
        <v>0</v>
      </c>
      <c r="M940">
        <v>0</v>
      </c>
      <c r="N940">
        <v>1</v>
      </c>
      <c r="O940">
        <v>0</v>
      </c>
      <c r="P940">
        <v>0</v>
      </c>
      <c r="Q940" t="s">
        <v>584</v>
      </c>
      <c r="AA940" t="s">
        <v>81</v>
      </c>
      <c r="AB940" t="s">
        <v>81</v>
      </c>
      <c r="AC940" t="s">
        <v>90</v>
      </c>
      <c r="AD940" t="s">
        <v>81</v>
      </c>
      <c r="AE940" t="s">
        <v>82</v>
      </c>
      <c r="AF940" t="s">
        <v>83</v>
      </c>
      <c r="AG940" t="s">
        <v>83</v>
      </c>
      <c r="AH940" t="s">
        <v>83</v>
      </c>
      <c r="AI940" t="s">
        <v>88</v>
      </c>
      <c r="AJ940" t="s">
        <v>80</v>
      </c>
      <c r="AK940" t="s">
        <v>85</v>
      </c>
      <c r="AL940" t="s">
        <v>107</v>
      </c>
      <c r="AM940" t="s">
        <v>87</v>
      </c>
      <c r="AN940" t="s">
        <v>86</v>
      </c>
      <c r="AO940" t="s">
        <v>86</v>
      </c>
      <c r="AP940" t="s">
        <v>86</v>
      </c>
      <c r="AQ940" t="s">
        <v>86</v>
      </c>
      <c r="AR940" t="s">
        <v>113</v>
      </c>
      <c r="AS940" t="s">
        <v>76</v>
      </c>
      <c r="AT940" t="s">
        <v>107</v>
      </c>
      <c r="AU940">
        <v>0</v>
      </c>
      <c r="AV940">
        <v>0</v>
      </c>
      <c r="AW940">
        <v>0</v>
      </c>
      <c r="AX940">
        <v>1</v>
      </c>
      <c r="AY940">
        <v>0</v>
      </c>
      <c r="AZ940" t="s">
        <v>579</v>
      </c>
    </row>
    <row r="941" spans="1:52" x14ac:dyDescent="0.2">
      <c r="A941">
        <v>1</v>
      </c>
      <c r="B941">
        <v>0</v>
      </c>
      <c r="C941">
        <v>0</v>
      </c>
      <c r="D941">
        <v>0</v>
      </c>
      <c r="E941">
        <v>0</v>
      </c>
      <c r="F941">
        <v>1</v>
      </c>
      <c r="G941">
        <v>1</v>
      </c>
      <c r="H941">
        <v>1</v>
      </c>
      <c r="I941">
        <v>0</v>
      </c>
      <c r="J941" t="s">
        <v>88</v>
      </c>
      <c r="K941" t="s">
        <v>89</v>
      </c>
      <c r="L941">
        <v>0</v>
      </c>
      <c r="M941">
        <v>1</v>
      </c>
      <c r="N941">
        <v>0</v>
      </c>
      <c r="O941">
        <v>0</v>
      </c>
      <c r="P941">
        <v>0</v>
      </c>
      <c r="Q941" t="s">
        <v>584</v>
      </c>
      <c r="AA941" t="s">
        <v>83</v>
      </c>
      <c r="AB941" t="s">
        <v>82</v>
      </c>
      <c r="AC941" t="s">
        <v>81</v>
      </c>
      <c r="AD941" t="s">
        <v>81</v>
      </c>
      <c r="AE941" t="s">
        <v>82</v>
      </c>
      <c r="AF941" t="s">
        <v>83</v>
      </c>
      <c r="AG941" t="s">
        <v>83</v>
      </c>
      <c r="AH941" t="s">
        <v>81</v>
      </c>
      <c r="AI941" t="s">
        <v>88</v>
      </c>
      <c r="AJ941" t="s">
        <v>89</v>
      </c>
      <c r="AK941" t="s">
        <v>100</v>
      </c>
      <c r="AL941" t="s">
        <v>73</v>
      </c>
      <c r="AM941" t="s">
        <v>87</v>
      </c>
      <c r="AN941" t="s">
        <v>87</v>
      </c>
      <c r="AO941" t="s">
        <v>87</v>
      </c>
      <c r="AP941" t="s">
        <v>87</v>
      </c>
      <c r="AQ941" t="s">
        <v>87</v>
      </c>
      <c r="AR941" t="s">
        <v>108</v>
      </c>
      <c r="AS941" t="s">
        <v>76</v>
      </c>
      <c r="AT941" t="s">
        <v>73</v>
      </c>
      <c r="AU941">
        <v>0</v>
      </c>
      <c r="AV941">
        <v>0</v>
      </c>
      <c r="AW941">
        <v>0</v>
      </c>
      <c r="AX941">
        <v>1</v>
      </c>
      <c r="AY941">
        <v>0</v>
      </c>
      <c r="AZ941" t="s">
        <v>578</v>
      </c>
    </row>
    <row r="942" spans="1:52" x14ac:dyDescent="0.2">
      <c r="A942">
        <v>0</v>
      </c>
      <c r="B942">
        <v>1</v>
      </c>
      <c r="C942">
        <v>0</v>
      </c>
      <c r="D942">
        <v>0</v>
      </c>
      <c r="E942">
        <v>1</v>
      </c>
      <c r="F942">
        <v>0</v>
      </c>
      <c r="G942">
        <v>0</v>
      </c>
      <c r="H942">
        <v>0</v>
      </c>
      <c r="I942">
        <v>0</v>
      </c>
      <c r="L942">
        <v>1</v>
      </c>
      <c r="M942">
        <v>0</v>
      </c>
      <c r="N942">
        <v>0</v>
      </c>
      <c r="O942">
        <v>0</v>
      </c>
      <c r="P942">
        <v>0</v>
      </c>
      <c r="Q942" t="s">
        <v>584</v>
      </c>
      <c r="R942">
        <v>0</v>
      </c>
      <c r="S942">
        <v>1</v>
      </c>
      <c r="T942">
        <v>0</v>
      </c>
      <c r="U942">
        <v>0</v>
      </c>
      <c r="V942">
        <v>0</v>
      </c>
      <c r="W942">
        <v>0</v>
      </c>
      <c r="X942">
        <v>0</v>
      </c>
      <c r="Y942">
        <v>0</v>
      </c>
      <c r="Z942">
        <v>0</v>
      </c>
      <c r="AL942" t="s">
        <v>120</v>
      </c>
      <c r="AM942" t="s">
        <v>74</v>
      </c>
      <c r="AR942" t="s">
        <v>97</v>
      </c>
      <c r="AS942" t="s">
        <v>76</v>
      </c>
      <c r="AT942" t="s">
        <v>120</v>
      </c>
      <c r="AU942">
        <v>1</v>
      </c>
      <c r="AV942">
        <v>0</v>
      </c>
      <c r="AW942">
        <v>0</v>
      </c>
      <c r="AX942">
        <v>0</v>
      </c>
      <c r="AY942">
        <v>0</v>
      </c>
      <c r="AZ942" t="s">
        <v>580</v>
      </c>
    </row>
    <row r="943" spans="1:52" x14ac:dyDescent="0.2">
      <c r="A943">
        <v>1</v>
      </c>
      <c r="B943">
        <v>0</v>
      </c>
      <c r="C943">
        <v>0</v>
      </c>
      <c r="D943">
        <v>0</v>
      </c>
      <c r="E943">
        <v>0</v>
      </c>
      <c r="F943">
        <v>1</v>
      </c>
      <c r="G943">
        <v>0</v>
      </c>
      <c r="H943">
        <v>0</v>
      </c>
      <c r="I943">
        <v>0</v>
      </c>
      <c r="J943" t="s">
        <v>135</v>
      </c>
      <c r="K943" t="s">
        <v>80</v>
      </c>
      <c r="L943">
        <v>0</v>
      </c>
      <c r="M943">
        <v>1</v>
      </c>
      <c r="N943">
        <v>0</v>
      </c>
      <c r="O943">
        <v>0</v>
      </c>
      <c r="P943">
        <v>0</v>
      </c>
      <c r="Q943" t="s">
        <v>584</v>
      </c>
      <c r="AA943" t="s">
        <v>83</v>
      </c>
      <c r="AB943" t="s">
        <v>82</v>
      </c>
      <c r="AC943" t="s">
        <v>83</v>
      </c>
      <c r="AD943" t="s">
        <v>83</v>
      </c>
      <c r="AE943" t="s">
        <v>81</v>
      </c>
      <c r="AF943" t="s">
        <v>90</v>
      </c>
      <c r="AG943" t="s">
        <v>90</v>
      </c>
      <c r="AH943" t="s">
        <v>83</v>
      </c>
      <c r="AI943" t="s">
        <v>84</v>
      </c>
      <c r="AJ943" t="s">
        <v>80</v>
      </c>
      <c r="AK943" t="s">
        <v>85</v>
      </c>
      <c r="AL943" t="s">
        <v>73</v>
      </c>
      <c r="AM943" t="s">
        <v>74</v>
      </c>
      <c r="AR943" t="s">
        <v>75</v>
      </c>
      <c r="AS943" t="s">
        <v>76</v>
      </c>
      <c r="AT943" t="s">
        <v>73</v>
      </c>
      <c r="AU943">
        <v>1</v>
      </c>
      <c r="AV943">
        <v>0</v>
      </c>
      <c r="AW943">
        <v>0</v>
      </c>
      <c r="AX943">
        <v>0</v>
      </c>
      <c r="AY943">
        <v>0</v>
      </c>
      <c r="AZ943" t="s">
        <v>579</v>
      </c>
    </row>
    <row r="944" spans="1:52" x14ac:dyDescent="0.2">
      <c r="A944">
        <v>1</v>
      </c>
      <c r="B944">
        <v>0</v>
      </c>
      <c r="C944">
        <v>0</v>
      </c>
      <c r="D944">
        <v>0</v>
      </c>
      <c r="E944">
        <v>0</v>
      </c>
      <c r="F944">
        <v>1</v>
      </c>
      <c r="G944">
        <v>1</v>
      </c>
      <c r="H944">
        <v>1</v>
      </c>
      <c r="I944">
        <v>0</v>
      </c>
      <c r="J944" t="s">
        <v>135</v>
      </c>
      <c r="K944" t="s">
        <v>80</v>
      </c>
      <c r="L944">
        <v>0</v>
      </c>
      <c r="M944">
        <v>1</v>
      </c>
      <c r="N944">
        <v>1</v>
      </c>
      <c r="O944">
        <v>0</v>
      </c>
      <c r="P944">
        <v>0</v>
      </c>
      <c r="Q944" t="s">
        <v>584</v>
      </c>
      <c r="AA944" t="s">
        <v>82</v>
      </c>
      <c r="AB944" t="s">
        <v>81</v>
      </c>
      <c r="AC944" t="s">
        <v>81</v>
      </c>
      <c r="AD944" t="s">
        <v>81</v>
      </c>
      <c r="AE944" t="s">
        <v>81</v>
      </c>
      <c r="AF944" t="s">
        <v>81</v>
      </c>
      <c r="AG944" t="s">
        <v>81</v>
      </c>
      <c r="AH944" t="s">
        <v>81</v>
      </c>
      <c r="AI944" t="s">
        <v>88</v>
      </c>
      <c r="AJ944" t="s">
        <v>80</v>
      </c>
      <c r="AK944" t="s">
        <v>100</v>
      </c>
      <c r="AL944" t="s">
        <v>107</v>
      </c>
      <c r="AM944" t="s">
        <v>74</v>
      </c>
      <c r="AR944" t="s">
        <v>108</v>
      </c>
      <c r="AS944" t="s">
        <v>76</v>
      </c>
      <c r="AT944" t="s">
        <v>107</v>
      </c>
      <c r="AU944">
        <v>0</v>
      </c>
      <c r="AV944">
        <v>0</v>
      </c>
      <c r="AW944">
        <v>0</v>
      </c>
      <c r="AX944">
        <v>1</v>
      </c>
      <c r="AY944">
        <v>0</v>
      </c>
      <c r="AZ944" t="s">
        <v>579</v>
      </c>
    </row>
    <row r="945" spans="1:52" x14ac:dyDescent="0.2">
      <c r="A945">
        <v>0</v>
      </c>
      <c r="B945">
        <v>1</v>
      </c>
      <c r="C945">
        <v>0</v>
      </c>
      <c r="D945">
        <v>0</v>
      </c>
      <c r="E945">
        <v>0</v>
      </c>
      <c r="F945">
        <v>1</v>
      </c>
      <c r="G945">
        <v>0</v>
      </c>
      <c r="H945">
        <v>1</v>
      </c>
      <c r="I945">
        <v>1</v>
      </c>
      <c r="J945" t="s">
        <v>135</v>
      </c>
      <c r="K945" t="s">
        <v>80</v>
      </c>
      <c r="L945">
        <v>0</v>
      </c>
      <c r="M945">
        <v>1</v>
      </c>
      <c r="N945">
        <v>0</v>
      </c>
      <c r="O945">
        <v>0</v>
      </c>
      <c r="P945">
        <v>0</v>
      </c>
      <c r="Q945" t="s">
        <v>584</v>
      </c>
      <c r="AA945" t="s">
        <v>83</v>
      </c>
      <c r="AB945" t="s">
        <v>82</v>
      </c>
      <c r="AC945" t="s">
        <v>81</v>
      </c>
      <c r="AD945" t="s">
        <v>90</v>
      </c>
      <c r="AE945" t="s">
        <v>81</v>
      </c>
      <c r="AF945" t="s">
        <v>90</v>
      </c>
      <c r="AG945" t="s">
        <v>90</v>
      </c>
      <c r="AH945" t="s">
        <v>83</v>
      </c>
      <c r="AI945" t="s">
        <v>88</v>
      </c>
      <c r="AJ945" t="s">
        <v>89</v>
      </c>
      <c r="AK945" t="s">
        <v>100</v>
      </c>
      <c r="AL945" t="s">
        <v>107</v>
      </c>
      <c r="AM945" t="s">
        <v>87</v>
      </c>
      <c r="AN945" t="s">
        <v>87</v>
      </c>
      <c r="AO945" t="s">
        <v>87</v>
      </c>
      <c r="AP945" t="s">
        <v>87</v>
      </c>
      <c r="AQ945" t="s">
        <v>87</v>
      </c>
      <c r="AR945" t="s">
        <v>75</v>
      </c>
      <c r="AS945" t="s">
        <v>92</v>
      </c>
      <c r="AT945" t="s">
        <v>107</v>
      </c>
      <c r="AU945">
        <v>0</v>
      </c>
      <c r="AV945">
        <v>0</v>
      </c>
      <c r="AW945">
        <v>0</v>
      </c>
      <c r="AX945">
        <v>1</v>
      </c>
      <c r="AY945">
        <v>0</v>
      </c>
      <c r="AZ945" t="s">
        <v>579</v>
      </c>
    </row>
    <row r="946" spans="1:52" x14ac:dyDescent="0.2">
      <c r="A946">
        <v>1</v>
      </c>
      <c r="B946">
        <v>0</v>
      </c>
      <c r="C946">
        <v>0</v>
      </c>
      <c r="D946">
        <v>0</v>
      </c>
      <c r="E946">
        <v>0</v>
      </c>
      <c r="F946">
        <v>1</v>
      </c>
      <c r="G946">
        <v>1</v>
      </c>
      <c r="H946">
        <v>1</v>
      </c>
      <c r="I946">
        <v>0</v>
      </c>
      <c r="J946" t="s">
        <v>88</v>
      </c>
      <c r="K946" t="s">
        <v>89</v>
      </c>
      <c r="L946">
        <v>0</v>
      </c>
      <c r="M946">
        <v>0</v>
      </c>
      <c r="N946">
        <v>0</v>
      </c>
      <c r="O946">
        <v>1</v>
      </c>
      <c r="P946">
        <v>0</v>
      </c>
      <c r="Q946" t="s">
        <v>584</v>
      </c>
      <c r="AA946" t="s">
        <v>83</v>
      </c>
      <c r="AB946" t="s">
        <v>82</v>
      </c>
      <c r="AC946" t="s">
        <v>82</v>
      </c>
      <c r="AD946" t="s">
        <v>82</v>
      </c>
      <c r="AE946" t="s">
        <v>83</v>
      </c>
      <c r="AF946" t="s">
        <v>81</v>
      </c>
      <c r="AG946" t="s">
        <v>82</v>
      </c>
      <c r="AH946" t="s">
        <v>83</v>
      </c>
      <c r="AI946" t="s">
        <v>88</v>
      </c>
      <c r="AJ946" t="s">
        <v>89</v>
      </c>
      <c r="AK946" t="s">
        <v>100</v>
      </c>
      <c r="AL946" t="s">
        <v>73</v>
      </c>
      <c r="AM946" t="s">
        <v>87</v>
      </c>
      <c r="AN946" t="s">
        <v>87</v>
      </c>
      <c r="AO946" t="s">
        <v>87</v>
      </c>
      <c r="AP946" t="s">
        <v>87</v>
      </c>
      <c r="AQ946" t="s">
        <v>87</v>
      </c>
      <c r="AR946" t="s">
        <v>75</v>
      </c>
      <c r="AS946" t="s">
        <v>92</v>
      </c>
      <c r="AT946" t="s">
        <v>73</v>
      </c>
      <c r="AU946">
        <v>0</v>
      </c>
      <c r="AV946">
        <v>0</v>
      </c>
      <c r="AW946">
        <v>0</v>
      </c>
      <c r="AX946">
        <v>1</v>
      </c>
      <c r="AY946">
        <v>0</v>
      </c>
      <c r="AZ946" t="s">
        <v>578</v>
      </c>
    </row>
    <row r="947" spans="1:52" x14ac:dyDescent="0.2">
      <c r="A947">
        <v>1</v>
      </c>
      <c r="B947">
        <v>0</v>
      </c>
      <c r="C947">
        <v>0</v>
      </c>
      <c r="D947">
        <v>0</v>
      </c>
      <c r="E947">
        <v>0</v>
      </c>
      <c r="F947">
        <v>0</v>
      </c>
      <c r="G947">
        <v>0</v>
      </c>
      <c r="H947">
        <v>0</v>
      </c>
      <c r="I947">
        <v>1</v>
      </c>
      <c r="J947" t="s">
        <v>88</v>
      </c>
      <c r="K947" t="s">
        <v>89</v>
      </c>
      <c r="L947">
        <v>1</v>
      </c>
      <c r="M947">
        <v>0</v>
      </c>
      <c r="N947">
        <v>0</v>
      </c>
      <c r="O947">
        <v>0</v>
      </c>
      <c r="P947">
        <v>0</v>
      </c>
      <c r="Q947" t="s">
        <v>584</v>
      </c>
      <c r="R947">
        <v>1</v>
      </c>
      <c r="S947">
        <v>0</v>
      </c>
      <c r="T947">
        <v>0</v>
      </c>
      <c r="U947">
        <v>0</v>
      </c>
      <c r="V947">
        <v>0</v>
      </c>
      <c r="W947">
        <v>0</v>
      </c>
      <c r="X947">
        <v>0</v>
      </c>
      <c r="Y947">
        <v>0</v>
      </c>
      <c r="Z947">
        <v>0</v>
      </c>
      <c r="AL947" t="s">
        <v>107</v>
      </c>
      <c r="AM947" t="s">
        <v>86</v>
      </c>
      <c r="AN947" t="s">
        <v>74</v>
      </c>
      <c r="AO947" t="s">
        <v>87</v>
      </c>
      <c r="AP947" t="s">
        <v>74</v>
      </c>
      <c r="AQ947" t="s">
        <v>87</v>
      </c>
      <c r="AR947" t="s">
        <v>75</v>
      </c>
      <c r="AS947" t="s">
        <v>92</v>
      </c>
      <c r="AT947" t="s">
        <v>107</v>
      </c>
      <c r="AU947">
        <v>0</v>
      </c>
      <c r="AV947">
        <v>0</v>
      </c>
      <c r="AW947">
        <v>0</v>
      </c>
      <c r="AX947">
        <v>1</v>
      </c>
      <c r="AY947">
        <v>0</v>
      </c>
      <c r="AZ947" t="s">
        <v>578</v>
      </c>
    </row>
    <row r="948" spans="1:52" x14ac:dyDescent="0.2">
      <c r="A948">
        <v>1</v>
      </c>
      <c r="B948">
        <v>0</v>
      </c>
      <c r="C948">
        <v>0</v>
      </c>
      <c r="D948">
        <v>0</v>
      </c>
      <c r="E948">
        <v>1</v>
      </c>
      <c r="F948">
        <v>0</v>
      </c>
      <c r="G948">
        <v>0</v>
      </c>
      <c r="H948">
        <v>0</v>
      </c>
      <c r="I948">
        <v>0</v>
      </c>
      <c r="L948">
        <v>0</v>
      </c>
      <c r="M948">
        <v>0</v>
      </c>
      <c r="N948">
        <v>0</v>
      </c>
      <c r="O948">
        <v>0</v>
      </c>
      <c r="P948">
        <v>1</v>
      </c>
      <c r="Q948" t="s">
        <v>584</v>
      </c>
      <c r="AA948" t="s">
        <v>82</v>
      </c>
      <c r="AB948" t="s">
        <v>82</v>
      </c>
      <c r="AC948" t="s">
        <v>82</v>
      </c>
      <c r="AD948" t="s">
        <v>82</v>
      </c>
      <c r="AE948" t="s">
        <v>82</v>
      </c>
      <c r="AF948" t="s">
        <v>83</v>
      </c>
      <c r="AG948" t="s">
        <v>82</v>
      </c>
      <c r="AH948" t="s">
        <v>83</v>
      </c>
      <c r="AI948" t="s">
        <v>88</v>
      </c>
      <c r="AJ948" t="s">
        <v>89</v>
      </c>
      <c r="AK948" t="s">
        <v>100</v>
      </c>
      <c r="AL948" t="s">
        <v>96</v>
      </c>
      <c r="AM948" t="s">
        <v>87</v>
      </c>
      <c r="AN948" t="s">
        <v>87</v>
      </c>
      <c r="AO948" t="s">
        <v>87</v>
      </c>
      <c r="AP948" t="s">
        <v>87</v>
      </c>
      <c r="AQ948" t="s">
        <v>87</v>
      </c>
      <c r="AR948" t="s">
        <v>113</v>
      </c>
      <c r="AS948" t="s">
        <v>92</v>
      </c>
      <c r="AT948" t="s">
        <v>96</v>
      </c>
      <c r="AU948">
        <v>0</v>
      </c>
      <c r="AV948">
        <v>0</v>
      </c>
      <c r="AW948">
        <v>0</v>
      </c>
      <c r="AX948">
        <v>1</v>
      </c>
      <c r="AY948">
        <v>0</v>
      </c>
      <c r="AZ948" t="s">
        <v>579</v>
      </c>
    </row>
    <row r="949" spans="1:52" x14ac:dyDescent="0.2">
      <c r="A949">
        <v>0</v>
      </c>
      <c r="B949">
        <v>1</v>
      </c>
      <c r="C949">
        <v>0</v>
      </c>
      <c r="D949">
        <v>0</v>
      </c>
      <c r="E949">
        <v>0</v>
      </c>
      <c r="F949">
        <v>1</v>
      </c>
      <c r="G949">
        <v>0</v>
      </c>
      <c r="H949">
        <v>0</v>
      </c>
      <c r="I949">
        <v>0</v>
      </c>
      <c r="J949" t="s">
        <v>88</v>
      </c>
      <c r="K949" t="s">
        <v>80</v>
      </c>
      <c r="L949">
        <v>0</v>
      </c>
      <c r="M949">
        <v>0</v>
      </c>
      <c r="N949">
        <v>0</v>
      </c>
      <c r="O949">
        <v>0</v>
      </c>
      <c r="P949">
        <v>1</v>
      </c>
      <c r="Q949" t="s">
        <v>584</v>
      </c>
      <c r="AA949" t="s">
        <v>83</v>
      </c>
      <c r="AB949" t="s">
        <v>82</v>
      </c>
      <c r="AC949" t="s">
        <v>81</v>
      </c>
      <c r="AD949" t="s">
        <v>81</v>
      </c>
      <c r="AE949" t="s">
        <v>81</v>
      </c>
      <c r="AF949" t="s">
        <v>83</v>
      </c>
      <c r="AG949" t="s">
        <v>83</v>
      </c>
      <c r="AH949" t="s">
        <v>83</v>
      </c>
      <c r="AI949" t="s">
        <v>88</v>
      </c>
      <c r="AJ949" t="s">
        <v>89</v>
      </c>
      <c r="AK949" t="s">
        <v>100</v>
      </c>
      <c r="AL949" t="s">
        <v>73</v>
      </c>
      <c r="AM949" t="s">
        <v>74</v>
      </c>
      <c r="AR949" t="s">
        <v>75</v>
      </c>
      <c r="AS949" t="s">
        <v>76</v>
      </c>
      <c r="AT949" t="s">
        <v>73</v>
      </c>
      <c r="AU949">
        <v>0</v>
      </c>
      <c r="AV949">
        <v>1</v>
      </c>
      <c r="AW949">
        <v>0</v>
      </c>
      <c r="AX949">
        <v>0</v>
      </c>
      <c r="AY949">
        <v>0</v>
      </c>
      <c r="AZ949" t="s">
        <v>578</v>
      </c>
    </row>
    <row r="950" spans="1:52" x14ac:dyDescent="0.2">
      <c r="A950">
        <v>0</v>
      </c>
      <c r="B950">
        <v>1</v>
      </c>
      <c r="C950">
        <v>0</v>
      </c>
      <c r="D950">
        <v>0</v>
      </c>
      <c r="E950">
        <v>1</v>
      </c>
      <c r="F950">
        <v>0</v>
      </c>
      <c r="G950">
        <v>0</v>
      </c>
      <c r="H950">
        <v>0</v>
      </c>
      <c r="I950">
        <v>0</v>
      </c>
      <c r="L950">
        <v>0</v>
      </c>
      <c r="M950">
        <v>1</v>
      </c>
      <c r="N950">
        <v>0</v>
      </c>
      <c r="O950">
        <v>0</v>
      </c>
      <c r="P950">
        <v>0</v>
      </c>
      <c r="Q950" t="s">
        <v>584</v>
      </c>
      <c r="AA950" t="s">
        <v>83</v>
      </c>
      <c r="AB950" t="s">
        <v>81</v>
      </c>
      <c r="AC950" t="s">
        <v>82</v>
      </c>
      <c r="AD950" t="s">
        <v>83</v>
      </c>
      <c r="AE950" t="s">
        <v>83</v>
      </c>
      <c r="AF950" t="s">
        <v>83</v>
      </c>
      <c r="AG950" t="s">
        <v>83</v>
      </c>
      <c r="AH950" t="s">
        <v>83</v>
      </c>
      <c r="AI950" t="s">
        <v>88</v>
      </c>
      <c r="AJ950" t="s">
        <v>89</v>
      </c>
      <c r="AK950" t="s">
        <v>100</v>
      </c>
      <c r="AL950" t="s">
        <v>73</v>
      </c>
      <c r="AM950" t="s">
        <v>87</v>
      </c>
      <c r="AN950" t="s">
        <v>87</v>
      </c>
      <c r="AO950" t="s">
        <v>87</v>
      </c>
      <c r="AP950" t="s">
        <v>87</v>
      </c>
      <c r="AQ950" t="s">
        <v>87</v>
      </c>
      <c r="AR950" t="s">
        <v>75</v>
      </c>
      <c r="AS950" t="s">
        <v>76</v>
      </c>
      <c r="AT950" t="s">
        <v>73</v>
      </c>
      <c r="AU950">
        <v>0</v>
      </c>
      <c r="AV950">
        <v>0</v>
      </c>
      <c r="AW950">
        <v>0</v>
      </c>
      <c r="AX950">
        <v>1</v>
      </c>
      <c r="AY950">
        <v>0</v>
      </c>
      <c r="AZ950" t="s">
        <v>579</v>
      </c>
    </row>
    <row r="951" spans="1:52" x14ac:dyDescent="0.2">
      <c r="A951">
        <v>1</v>
      </c>
      <c r="B951">
        <v>0</v>
      </c>
      <c r="C951">
        <v>0</v>
      </c>
      <c r="D951">
        <v>0</v>
      </c>
      <c r="E951">
        <v>0</v>
      </c>
      <c r="F951">
        <v>1</v>
      </c>
      <c r="G951">
        <v>0</v>
      </c>
      <c r="H951">
        <v>0</v>
      </c>
      <c r="I951">
        <v>0</v>
      </c>
      <c r="J951" t="s">
        <v>79</v>
      </c>
      <c r="K951" t="s">
        <v>223</v>
      </c>
      <c r="L951">
        <v>0</v>
      </c>
      <c r="M951">
        <v>0</v>
      </c>
      <c r="N951">
        <v>1</v>
      </c>
      <c r="O951">
        <v>0</v>
      </c>
      <c r="P951">
        <v>0</v>
      </c>
      <c r="Q951" t="s">
        <v>584</v>
      </c>
      <c r="AA951" t="s">
        <v>82</v>
      </c>
      <c r="AB951" t="s">
        <v>81</v>
      </c>
      <c r="AC951" t="s">
        <v>83</v>
      </c>
      <c r="AD951" t="s">
        <v>81</v>
      </c>
      <c r="AE951" t="s">
        <v>82</v>
      </c>
      <c r="AF951" t="s">
        <v>81</v>
      </c>
      <c r="AG951" t="s">
        <v>81</v>
      </c>
      <c r="AH951" t="s">
        <v>83</v>
      </c>
      <c r="AI951" t="s">
        <v>88</v>
      </c>
      <c r="AJ951" t="s">
        <v>89</v>
      </c>
      <c r="AK951" t="s">
        <v>100</v>
      </c>
      <c r="AL951" t="s">
        <v>73</v>
      </c>
      <c r="AM951" t="s">
        <v>87</v>
      </c>
      <c r="AN951" t="s">
        <v>87</v>
      </c>
      <c r="AO951" t="s">
        <v>87</v>
      </c>
      <c r="AP951" t="s">
        <v>87</v>
      </c>
      <c r="AQ951" t="s">
        <v>87</v>
      </c>
      <c r="AR951" t="s">
        <v>159</v>
      </c>
      <c r="AS951" t="s">
        <v>76</v>
      </c>
      <c r="AT951" t="s">
        <v>73</v>
      </c>
      <c r="AU951">
        <v>0</v>
      </c>
      <c r="AV951">
        <v>0</v>
      </c>
      <c r="AW951">
        <v>0</v>
      </c>
      <c r="AX951">
        <v>1</v>
      </c>
      <c r="AY951">
        <v>0</v>
      </c>
      <c r="AZ951" t="s">
        <v>579</v>
      </c>
    </row>
    <row r="952" spans="1:52" x14ac:dyDescent="0.2">
      <c r="A952">
        <v>1</v>
      </c>
      <c r="B952">
        <v>0</v>
      </c>
      <c r="C952">
        <v>0</v>
      </c>
      <c r="D952">
        <v>0</v>
      </c>
      <c r="E952">
        <v>0</v>
      </c>
      <c r="F952">
        <v>1</v>
      </c>
      <c r="G952">
        <v>0</v>
      </c>
      <c r="H952">
        <v>0</v>
      </c>
      <c r="I952">
        <v>0</v>
      </c>
      <c r="J952" t="s">
        <v>88</v>
      </c>
      <c r="K952" t="s">
        <v>89</v>
      </c>
      <c r="L952">
        <v>0</v>
      </c>
      <c r="M952">
        <v>0</v>
      </c>
      <c r="N952">
        <v>1</v>
      </c>
      <c r="O952">
        <v>0</v>
      </c>
      <c r="P952">
        <v>0</v>
      </c>
      <c r="Q952" t="s">
        <v>584</v>
      </c>
      <c r="AA952" t="s">
        <v>82</v>
      </c>
      <c r="AB952" t="s">
        <v>81</v>
      </c>
      <c r="AC952" t="s">
        <v>83</v>
      </c>
      <c r="AD952" t="s">
        <v>83</v>
      </c>
      <c r="AE952" t="s">
        <v>82</v>
      </c>
      <c r="AF952" t="s">
        <v>81</v>
      </c>
      <c r="AG952" t="s">
        <v>81</v>
      </c>
      <c r="AH952" t="s">
        <v>83</v>
      </c>
      <c r="AI952" t="s">
        <v>88</v>
      </c>
      <c r="AJ952" t="s">
        <v>89</v>
      </c>
      <c r="AK952" t="s">
        <v>85</v>
      </c>
      <c r="AL952" t="s">
        <v>107</v>
      </c>
      <c r="AM952" t="s">
        <v>86</v>
      </c>
      <c r="AN952" t="s">
        <v>87</v>
      </c>
      <c r="AO952" t="s">
        <v>87</v>
      </c>
      <c r="AP952" t="s">
        <v>87</v>
      </c>
      <c r="AQ952" t="s">
        <v>87</v>
      </c>
      <c r="AR952" t="s">
        <v>75</v>
      </c>
      <c r="AS952" t="s">
        <v>76</v>
      </c>
      <c r="AT952" t="s">
        <v>107</v>
      </c>
      <c r="AU952">
        <v>0</v>
      </c>
      <c r="AV952">
        <v>0</v>
      </c>
      <c r="AW952">
        <v>0</v>
      </c>
      <c r="AX952">
        <v>1</v>
      </c>
      <c r="AY952">
        <v>0</v>
      </c>
      <c r="AZ952" t="s">
        <v>579</v>
      </c>
    </row>
    <row r="953" spans="1:52" x14ac:dyDescent="0.2">
      <c r="A953">
        <v>1</v>
      </c>
      <c r="B953">
        <v>0</v>
      </c>
      <c r="C953">
        <v>0</v>
      </c>
      <c r="D953">
        <v>0</v>
      </c>
      <c r="E953">
        <v>0</v>
      </c>
      <c r="F953">
        <v>1</v>
      </c>
      <c r="G953">
        <v>0</v>
      </c>
      <c r="H953">
        <v>0</v>
      </c>
      <c r="I953">
        <v>0</v>
      </c>
      <c r="J953" t="s">
        <v>79</v>
      </c>
      <c r="K953" t="s">
        <v>80</v>
      </c>
      <c r="L953">
        <v>1</v>
      </c>
      <c r="M953">
        <v>0</v>
      </c>
      <c r="N953">
        <v>0</v>
      </c>
      <c r="O953">
        <v>0</v>
      </c>
      <c r="P953">
        <v>0</v>
      </c>
      <c r="Q953" t="s">
        <v>584</v>
      </c>
      <c r="R953">
        <v>0</v>
      </c>
      <c r="S953">
        <v>0</v>
      </c>
      <c r="T953">
        <v>1</v>
      </c>
      <c r="U953">
        <v>0</v>
      </c>
      <c r="V953">
        <v>0</v>
      </c>
      <c r="W953">
        <v>0</v>
      </c>
      <c r="X953">
        <v>0</v>
      </c>
      <c r="Y953">
        <v>0</v>
      </c>
      <c r="Z953">
        <v>0</v>
      </c>
      <c r="AL953" t="s">
        <v>73</v>
      </c>
      <c r="AM953" t="s">
        <v>87</v>
      </c>
      <c r="AN953" t="s">
        <v>87</v>
      </c>
      <c r="AO953" t="s">
        <v>87</v>
      </c>
      <c r="AP953" t="s">
        <v>87</v>
      </c>
      <c r="AQ953" t="s">
        <v>87</v>
      </c>
      <c r="AR953" t="s">
        <v>75</v>
      </c>
      <c r="AS953" t="s">
        <v>92</v>
      </c>
      <c r="AT953" t="s">
        <v>73</v>
      </c>
      <c r="AU953">
        <v>0</v>
      </c>
      <c r="AV953">
        <v>0</v>
      </c>
      <c r="AW953">
        <v>0</v>
      </c>
      <c r="AX953">
        <v>1</v>
      </c>
      <c r="AY953">
        <v>0</v>
      </c>
      <c r="AZ953" t="s">
        <v>579</v>
      </c>
    </row>
    <row r="954" spans="1:52" x14ac:dyDescent="0.2">
      <c r="A954">
        <v>1</v>
      </c>
      <c r="B954">
        <v>0</v>
      </c>
      <c r="C954">
        <v>0</v>
      </c>
      <c r="D954">
        <v>0</v>
      </c>
      <c r="E954">
        <v>0</v>
      </c>
      <c r="F954">
        <v>1</v>
      </c>
      <c r="G954">
        <v>0</v>
      </c>
      <c r="H954">
        <v>0</v>
      </c>
      <c r="I954">
        <v>0</v>
      </c>
      <c r="J954" t="s">
        <v>79</v>
      </c>
      <c r="K954" t="s">
        <v>80</v>
      </c>
      <c r="L954">
        <v>0</v>
      </c>
      <c r="M954">
        <v>1</v>
      </c>
      <c r="N954">
        <v>1</v>
      </c>
      <c r="O954">
        <v>0</v>
      </c>
      <c r="P954">
        <v>0</v>
      </c>
      <c r="Q954" t="s">
        <v>584</v>
      </c>
      <c r="AA954" t="s">
        <v>83</v>
      </c>
      <c r="AB954" t="s">
        <v>82</v>
      </c>
      <c r="AC954" t="s">
        <v>81</v>
      </c>
      <c r="AD954" t="s">
        <v>82</v>
      </c>
      <c r="AE954" t="s">
        <v>81</v>
      </c>
      <c r="AF954" t="s">
        <v>83</v>
      </c>
      <c r="AG954" t="s">
        <v>83</v>
      </c>
      <c r="AH954" t="s">
        <v>81</v>
      </c>
      <c r="AI954" t="s">
        <v>84</v>
      </c>
      <c r="AJ954" t="s">
        <v>80</v>
      </c>
      <c r="AK954" t="s">
        <v>117</v>
      </c>
      <c r="AL954" t="s">
        <v>73</v>
      </c>
      <c r="AM954" t="s">
        <v>87</v>
      </c>
      <c r="AN954" t="s">
        <v>87</v>
      </c>
      <c r="AO954" t="s">
        <v>87</v>
      </c>
      <c r="AP954" t="s">
        <v>87</v>
      </c>
      <c r="AQ954" t="s">
        <v>87</v>
      </c>
      <c r="AR954" t="s">
        <v>75</v>
      </c>
      <c r="AS954" t="s">
        <v>76</v>
      </c>
      <c r="AT954" t="s">
        <v>73</v>
      </c>
      <c r="AU954">
        <v>1</v>
      </c>
      <c r="AV954">
        <v>0</v>
      </c>
      <c r="AW954">
        <v>0</v>
      </c>
      <c r="AX954">
        <v>0</v>
      </c>
      <c r="AY954">
        <v>0</v>
      </c>
      <c r="AZ954" t="s">
        <v>579</v>
      </c>
    </row>
    <row r="955" spans="1:52" x14ac:dyDescent="0.2">
      <c r="A955">
        <v>1</v>
      </c>
      <c r="B955">
        <v>0</v>
      </c>
      <c r="C955">
        <v>0</v>
      </c>
      <c r="D955">
        <v>0</v>
      </c>
      <c r="E955">
        <v>0</v>
      </c>
      <c r="F955">
        <v>0</v>
      </c>
      <c r="G955">
        <v>0</v>
      </c>
      <c r="H955">
        <v>0</v>
      </c>
      <c r="I955">
        <v>1</v>
      </c>
      <c r="J955" t="s">
        <v>88</v>
      </c>
      <c r="K955" t="s">
        <v>89</v>
      </c>
      <c r="L955">
        <v>0</v>
      </c>
      <c r="M955">
        <v>0</v>
      </c>
      <c r="N955">
        <v>0</v>
      </c>
      <c r="O955">
        <v>1</v>
      </c>
      <c r="P955">
        <v>0</v>
      </c>
      <c r="Q955" t="s">
        <v>584</v>
      </c>
      <c r="AA955" t="s">
        <v>81</v>
      </c>
      <c r="AB955" t="s">
        <v>82</v>
      </c>
      <c r="AC955" t="s">
        <v>83</v>
      </c>
      <c r="AD955" t="s">
        <v>81</v>
      </c>
      <c r="AE955" t="s">
        <v>81</v>
      </c>
      <c r="AF955" t="s">
        <v>83</v>
      </c>
      <c r="AG955" t="s">
        <v>90</v>
      </c>
      <c r="AH955" t="s">
        <v>81</v>
      </c>
      <c r="AI955" t="s">
        <v>88</v>
      </c>
      <c r="AJ955" t="s">
        <v>89</v>
      </c>
      <c r="AK955" t="s">
        <v>85</v>
      </c>
      <c r="AL955" t="s">
        <v>73</v>
      </c>
      <c r="AM955" t="s">
        <v>87</v>
      </c>
      <c r="AN955" t="s">
        <v>87</v>
      </c>
      <c r="AO955" t="s">
        <v>87</v>
      </c>
      <c r="AP955" t="s">
        <v>86</v>
      </c>
      <c r="AQ955" t="s">
        <v>87</v>
      </c>
      <c r="AR955" t="s">
        <v>75</v>
      </c>
      <c r="AS955" t="s">
        <v>92</v>
      </c>
      <c r="AT955" t="s">
        <v>73</v>
      </c>
      <c r="AU955">
        <v>0</v>
      </c>
      <c r="AV955">
        <v>0</v>
      </c>
      <c r="AW955">
        <v>0</v>
      </c>
      <c r="AX955">
        <v>1</v>
      </c>
      <c r="AY955">
        <v>0</v>
      </c>
      <c r="AZ955" t="s">
        <v>578</v>
      </c>
    </row>
    <row r="956" spans="1:52" x14ac:dyDescent="0.2">
      <c r="A956">
        <v>1</v>
      </c>
      <c r="B956">
        <v>0</v>
      </c>
      <c r="C956">
        <v>0</v>
      </c>
      <c r="D956">
        <v>0</v>
      </c>
      <c r="E956">
        <v>0</v>
      </c>
      <c r="F956">
        <v>1</v>
      </c>
      <c r="G956">
        <v>0</v>
      </c>
      <c r="H956">
        <v>0</v>
      </c>
      <c r="I956">
        <v>0</v>
      </c>
      <c r="J956" t="s">
        <v>79</v>
      </c>
      <c r="K956" t="s">
        <v>80</v>
      </c>
      <c r="L956">
        <v>0</v>
      </c>
      <c r="M956">
        <v>1</v>
      </c>
      <c r="N956">
        <v>0</v>
      </c>
      <c r="O956">
        <v>1</v>
      </c>
      <c r="P956">
        <v>0</v>
      </c>
      <c r="Q956" t="s">
        <v>584</v>
      </c>
      <c r="AA956" t="s">
        <v>83</v>
      </c>
      <c r="AB956" t="s">
        <v>82</v>
      </c>
      <c r="AC956" t="s">
        <v>81</v>
      </c>
      <c r="AD956" t="s">
        <v>90</v>
      </c>
      <c r="AE956" t="s">
        <v>83</v>
      </c>
      <c r="AF956" t="s">
        <v>83</v>
      </c>
      <c r="AG956" t="s">
        <v>83</v>
      </c>
      <c r="AH956" t="s">
        <v>83</v>
      </c>
      <c r="AI956" t="s">
        <v>88</v>
      </c>
      <c r="AJ956" t="s">
        <v>89</v>
      </c>
      <c r="AK956" t="s">
        <v>100</v>
      </c>
      <c r="AL956" t="s">
        <v>73</v>
      </c>
      <c r="AM956" t="s">
        <v>86</v>
      </c>
      <c r="AN956" t="s">
        <v>87</v>
      </c>
      <c r="AO956" t="s">
        <v>87</v>
      </c>
      <c r="AP956" t="s">
        <v>87</v>
      </c>
      <c r="AQ956" t="s">
        <v>87</v>
      </c>
      <c r="AR956" t="s">
        <v>75</v>
      </c>
      <c r="AS956" t="s">
        <v>76</v>
      </c>
      <c r="AT956" t="s">
        <v>73</v>
      </c>
      <c r="AU956">
        <v>0</v>
      </c>
      <c r="AV956">
        <v>0</v>
      </c>
      <c r="AW956">
        <v>0</v>
      </c>
      <c r="AX956">
        <v>1</v>
      </c>
      <c r="AY956">
        <v>0</v>
      </c>
      <c r="AZ956" t="s">
        <v>578</v>
      </c>
    </row>
    <row r="957" spans="1:52" x14ac:dyDescent="0.2">
      <c r="A957">
        <v>1</v>
      </c>
      <c r="B957">
        <v>0</v>
      </c>
      <c r="C957">
        <v>0</v>
      </c>
      <c r="D957">
        <v>0</v>
      </c>
      <c r="E957">
        <v>0</v>
      </c>
      <c r="F957">
        <v>1</v>
      </c>
      <c r="G957">
        <v>1</v>
      </c>
      <c r="H957">
        <v>0</v>
      </c>
      <c r="I957">
        <v>0</v>
      </c>
      <c r="J957" t="s">
        <v>88</v>
      </c>
      <c r="K957" t="s">
        <v>80</v>
      </c>
      <c r="L957">
        <v>0</v>
      </c>
      <c r="M957">
        <v>1</v>
      </c>
      <c r="N957">
        <v>1</v>
      </c>
      <c r="O957">
        <v>0</v>
      </c>
      <c r="P957">
        <v>0</v>
      </c>
      <c r="Q957" t="s">
        <v>584</v>
      </c>
      <c r="AA957" t="s">
        <v>83</v>
      </c>
      <c r="AB957" t="s">
        <v>82</v>
      </c>
      <c r="AC957" t="s">
        <v>81</v>
      </c>
      <c r="AD957" t="s">
        <v>81</v>
      </c>
      <c r="AE957" t="s">
        <v>81</v>
      </c>
      <c r="AF957" t="s">
        <v>83</v>
      </c>
      <c r="AG957" t="s">
        <v>83</v>
      </c>
      <c r="AH957" t="s">
        <v>83</v>
      </c>
      <c r="AI957" t="s">
        <v>88</v>
      </c>
      <c r="AJ957" t="s">
        <v>89</v>
      </c>
      <c r="AK957" t="s">
        <v>85</v>
      </c>
      <c r="AL957" t="s">
        <v>73</v>
      </c>
      <c r="AM957" t="s">
        <v>86</v>
      </c>
      <c r="AN957" t="s">
        <v>74</v>
      </c>
      <c r="AO957" t="s">
        <v>87</v>
      </c>
      <c r="AP957" t="s">
        <v>87</v>
      </c>
      <c r="AQ957" t="s">
        <v>74</v>
      </c>
      <c r="AR957" t="s">
        <v>75</v>
      </c>
      <c r="AS957" t="s">
        <v>76</v>
      </c>
      <c r="AT957" t="s">
        <v>73</v>
      </c>
      <c r="AU957">
        <v>0</v>
      </c>
      <c r="AV957">
        <v>1</v>
      </c>
      <c r="AW957">
        <v>0</v>
      </c>
      <c r="AX957">
        <v>1</v>
      </c>
      <c r="AY957">
        <v>0</v>
      </c>
      <c r="AZ957" t="s">
        <v>578</v>
      </c>
    </row>
    <row r="958" spans="1:52" x14ac:dyDescent="0.2">
      <c r="A958">
        <v>1</v>
      </c>
      <c r="B958">
        <v>0</v>
      </c>
      <c r="C958">
        <v>0</v>
      </c>
      <c r="D958">
        <v>0</v>
      </c>
      <c r="E958">
        <v>1</v>
      </c>
      <c r="F958">
        <v>0</v>
      </c>
      <c r="G958">
        <v>0</v>
      </c>
      <c r="H958">
        <v>0</v>
      </c>
      <c r="I958">
        <v>0</v>
      </c>
      <c r="L958">
        <v>0</v>
      </c>
      <c r="M958">
        <v>1</v>
      </c>
      <c r="N958">
        <v>0</v>
      </c>
      <c r="O958">
        <v>0</v>
      </c>
      <c r="P958">
        <v>0</v>
      </c>
      <c r="Q958" t="s">
        <v>584</v>
      </c>
      <c r="AA958" t="s">
        <v>90</v>
      </c>
      <c r="AB958" t="s">
        <v>82</v>
      </c>
      <c r="AC958" t="s">
        <v>81</v>
      </c>
      <c r="AD958" t="s">
        <v>90</v>
      </c>
      <c r="AE958" t="s">
        <v>90</v>
      </c>
      <c r="AF958" t="s">
        <v>90</v>
      </c>
      <c r="AG958" t="s">
        <v>90</v>
      </c>
      <c r="AH958" t="s">
        <v>83</v>
      </c>
      <c r="AI958" t="s">
        <v>127</v>
      </c>
      <c r="AJ958" t="s">
        <v>127</v>
      </c>
      <c r="AL958" t="s">
        <v>107</v>
      </c>
      <c r="AM958" t="s">
        <v>74</v>
      </c>
      <c r="AR958" t="s">
        <v>75</v>
      </c>
      <c r="AS958" t="s">
        <v>76</v>
      </c>
      <c r="AT958" t="s">
        <v>107</v>
      </c>
      <c r="AU958">
        <v>0</v>
      </c>
      <c r="AV958">
        <v>0</v>
      </c>
      <c r="AW958">
        <v>0</v>
      </c>
      <c r="AX958">
        <v>1</v>
      </c>
      <c r="AY958">
        <v>0</v>
      </c>
      <c r="AZ958" t="s">
        <v>579</v>
      </c>
    </row>
    <row r="959" spans="1:52" x14ac:dyDescent="0.2">
      <c r="A959">
        <v>1</v>
      </c>
      <c r="B959">
        <v>0</v>
      </c>
      <c r="C959">
        <v>0</v>
      </c>
      <c r="D959">
        <v>0</v>
      </c>
      <c r="E959">
        <v>0</v>
      </c>
      <c r="F959">
        <v>0</v>
      </c>
      <c r="G959">
        <v>1</v>
      </c>
      <c r="H959">
        <v>0</v>
      </c>
      <c r="I959">
        <v>0</v>
      </c>
      <c r="J959" t="s">
        <v>88</v>
      </c>
      <c r="K959" t="s">
        <v>89</v>
      </c>
      <c r="L959">
        <v>0</v>
      </c>
      <c r="M959">
        <v>0</v>
      </c>
      <c r="N959">
        <v>0</v>
      </c>
      <c r="O959">
        <v>1</v>
      </c>
      <c r="P959">
        <v>0</v>
      </c>
      <c r="Q959" t="s">
        <v>584</v>
      </c>
      <c r="AA959" t="s">
        <v>90</v>
      </c>
      <c r="AB959" t="s">
        <v>82</v>
      </c>
      <c r="AC959" t="s">
        <v>90</v>
      </c>
      <c r="AD959" t="s">
        <v>81</v>
      </c>
      <c r="AE959" t="s">
        <v>90</v>
      </c>
      <c r="AF959" t="s">
        <v>90</v>
      </c>
      <c r="AG959" t="s">
        <v>82</v>
      </c>
      <c r="AH959" t="s">
        <v>83</v>
      </c>
      <c r="AI959" t="s">
        <v>88</v>
      </c>
      <c r="AJ959" t="s">
        <v>142</v>
      </c>
      <c r="AK959" t="s">
        <v>153</v>
      </c>
      <c r="AL959" t="s">
        <v>96</v>
      </c>
      <c r="AM959" t="s">
        <v>87</v>
      </c>
      <c r="AN959" t="s">
        <v>87</v>
      </c>
      <c r="AO959" t="s">
        <v>87</v>
      </c>
      <c r="AP959" t="s">
        <v>87</v>
      </c>
      <c r="AQ959" t="s">
        <v>87</v>
      </c>
      <c r="AR959" t="s">
        <v>108</v>
      </c>
      <c r="AS959" t="s">
        <v>76</v>
      </c>
      <c r="AT959" t="s">
        <v>96</v>
      </c>
      <c r="AU959">
        <v>0</v>
      </c>
      <c r="AV959">
        <v>0</v>
      </c>
      <c r="AW959">
        <v>0</v>
      </c>
      <c r="AX959">
        <v>1</v>
      </c>
      <c r="AY959">
        <v>0</v>
      </c>
      <c r="AZ959" t="s">
        <v>577</v>
      </c>
    </row>
    <row r="960" spans="1:52" x14ac:dyDescent="0.2">
      <c r="A960">
        <v>0</v>
      </c>
      <c r="B960">
        <v>1</v>
      </c>
      <c r="C960">
        <v>0</v>
      </c>
      <c r="D960">
        <v>0</v>
      </c>
      <c r="E960">
        <v>0</v>
      </c>
      <c r="F960">
        <v>0</v>
      </c>
      <c r="G960">
        <v>1</v>
      </c>
      <c r="H960">
        <v>1</v>
      </c>
      <c r="I960">
        <v>1</v>
      </c>
      <c r="J960" t="s">
        <v>88</v>
      </c>
      <c r="K960" t="s">
        <v>89</v>
      </c>
      <c r="L960">
        <v>1</v>
      </c>
      <c r="M960">
        <v>0</v>
      </c>
      <c r="N960">
        <v>0</v>
      </c>
      <c r="O960">
        <v>0</v>
      </c>
      <c r="P960">
        <v>0</v>
      </c>
      <c r="Q960" t="s">
        <v>584</v>
      </c>
      <c r="R960">
        <v>0</v>
      </c>
      <c r="S960">
        <v>0</v>
      </c>
      <c r="T960">
        <v>0</v>
      </c>
      <c r="U960">
        <v>1</v>
      </c>
      <c r="V960">
        <v>1</v>
      </c>
      <c r="W960">
        <v>0</v>
      </c>
      <c r="X960">
        <v>1</v>
      </c>
      <c r="Y960">
        <v>0</v>
      </c>
      <c r="Z960">
        <v>1</v>
      </c>
      <c r="AL960" t="s">
        <v>107</v>
      </c>
      <c r="AM960" t="s">
        <v>87</v>
      </c>
      <c r="AN960" t="s">
        <v>87</v>
      </c>
      <c r="AO960" t="s">
        <v>87</v>
      </c>
      <c r="AP960" t="s">
        <v>87</v>
      </c>
      <c r="AQ960" t="s">
        <v>87</v>
      </c>
      <c r="AR960" t="s">
        <v>75</v>
      </c>
      <c r="AS960" t="s">
        <v>76</v>
      </c>
      <c r="AT960" t="s">
        <v>107</v>
      </c>
      <c r="AU960">
        <v>0</v>
      </c>
      <c r="AV960">
        <v>1</v>
      </c>
      <c r="AW960">
        <v>0</v>
      </c>
      <c r="AX960">
        <v>0</v>
      </c>
      <c r="AY960">
        <v>0</v>
      </c>
      <c r="AZ960" t="s">
        <v>577</v>
      </c>
    </row>
    <row r="961" spans="1:52" x14ac:dyDescent="0.2">
      <c r="A961">
        <v>0</v>
      </c>
      <c r="B961">
        <v>1</v>
      </c>
      <c r="C961">
        <v>0</v>
      </c>
      <c r="D961">
        <v>0</v>
      </c>
      <c r="E961">
        <v>1</v>
      </c>
      <c r="F961">
        <v>0</v>
      </c>
      <c r="G961">
        <v>0</v>
      </c>
      <c r="H961">
        <v>0</v>
      </c>
      <c r="I961">
        <v>0</v>
      </c>
      <c r="L961">
        <v>1</v>
      </c>
      <c r="M961">
        <v>0</v>
      </c>
      <c r="N961">
        <v>0</v>
      </c>
      <c r="O961">
        <v>0</v>
      </c>
      <c r="P961">
        <v>0</v>
      </c>
      <c r="Q961" t="s">
        <v>584</v>
      </c>
      <c r="R961">
        <v>0</v>
      </c>
      <c r="S961">
        <v>0</v>
      </c>
      <c r="T961">
        <v>1</v>
      </c>
      <c r="U961">
        <v>0</v>
      </c>
      <c r="V961">
        <v>1</v>
      </c>
      <c r="W961">
        <v>0</v>
      </c>
      <c r="X961">
        <v>1</v>
      </c>
      <c r="Y961">
        <v>0</v>
      </c>
      <c r="Z961">
        <v>0</v>
      </c>
      <c r="AL961" t="s">
        <v>107</v>
      </c>
      <c r="AM961" t="s">
        <v>74</v>
      </c>
      <c r="AR961" t="s">
        <v>113</v>
      </c>
      <c r="AS961" t="s">
        <v>92</v>
      </c>
      <c r="AT961" t="s">
        <v>107</v>
      </c>
      <c r="AU961">
        <v>0</v>
      </c>
      <c r="AV961">
        <v>0</v>
      </c>
      <c r="AW961">
        <v>0</v>
      </c>
      <c r="AX961">
        <v>1</v>
      </c>
      <c r="AY961">
        <v>0</v>
      </c>
      <c r="AZ961" t="s">
        <v>578</v>
      </c>
    </row>
    <row r="962" spans="1:52" x14ac:dyDescent="0.2">
      <c r="A962">
        <v>0</v>
      </c>
      <c r="B962">
        <v>1</v>
      </c>
      <c r="C962">
        <v>0</v>
      </c>
      <c r="D962">
        <v>0</v>
      </c>
      <c r="E962">
        <v>1</v>
      </c>
      <c r="F962">
        <v>0</v>
      </c>
      <c r="G962">
        <v>0</v>
      </c>
      <c r="H962">
        <v>0</v>
      </c>
      <c r="I962">
        <v>0</v>
      </c>
      <c r="L962">
        <v>1</v>
      </c>
      <c r="M962">
        <v>0</v>
      </c>
      <c r="N962">
        <v>0</v>
      </c>
      <c r="O962">
        <v>0</v>
      </c>
      <c r="P962">
        <v>0</v>
      </c>
      <c r="Q962" t="s">
        <v>584</v>
      </c>
      <c r="R962">
        <v>0</v>
      </c>
      <c r="S962">
        <v>0</v>
      </c>
      <c r="T962">
        <v>0</v>
      </c>
      <c r="U962">
        <v>0</v>
      </c>
      <c r="V962">
        <v>0</v>
      </c>
      <c r="W962">
        <v>0</v>
      </c>
      <c r="X962">
        <v>0</v>
      </c>
      <c r="Y962">
        <v>0</v>
      </c>
      <c r="Z962">
        <v>1</v>
      </c>
      <c r="AL962" t="s">
        <v>120</v>
      </c>
      <c r="AM962" t="s">
        <v>87</v>
      </c>
      <c r="AN962" t="s">
        <v>87</v>
      </c>
      <c r="AO962" t="s">
        <v>87</v>
      </c>
      <c r="AP962" t="s">
        <v>87</v>
      </c>
      <c r="AQ962" t="s">
        <v>87</v>
      </c>
      <c r="AR962" t="s">
        <v>75</v>
      </c>
      <c r="AS962" t="s">
        <v>76</v>
      </c>
      <c r="AT962" t="s">
        <v>120</v>
      </c>
      <c r="AU962">
        <v>1</v>
      </c>
      <c r="AV962">
        <v>0</v>
      </c>
      <c r="AW962">
        <v>0</v>
      </c>
      <c r="AX962">
        <v>0</v>
      </c>
      <c r="AY962">
        <v>0</v>
      </c>
      <c r="AZ962" t="s">
        <v>578</v>
      </c>
    </row>
    <row r="963" spans="1:52" x14ac:dyDescent="0.2">
      <c r="A963">
        <v>1</v>
      </c>
      <c r="B963">
        <v>0</v>
      </c>
      <c r="C963">
        <v>0</v>
      </c>
      <c r="D963">
        <v>0</v>
      </c>
      <c r="E963">
        <v>0</v>
      </c>
      <c r="F963">
        <v>1</v>
      </c>
      <c r="G963">
        <v>0</v>
      </c>
      <c r="H963">
        <v>0</v>
      </c>
      <c r="I963">
        <v>0</v>
      </c>
      <c r="J963" t="s">
        <v>135</v>
      </c>
      <c r="K963" t="s">
        <v>80</v>
      </c>
      <c r="L963">
        <v>0</v>
      </c>
      <c r="M963">
        <v>1</v>
      </c>
      <c r="N963">
        <v>0</v>
      </c>
      <c r="O963">
        <v>0</v>
      </c>
      <c r="P963">
        <v>0</v>
      </c>
      <c r="Q963" t="s">
        <v>584</v>
      </c>
      <c r="AA963" t="s">
        <v>83</v>
      </c>
      <c r="AB963" t="s">
        <v>82</v>
      </c>
      <c r="AC963" t="s">
        <v>81</v>
      </c>
      <c r="AD963" t="s">
        <v>81</v>
      </c>
      <c r="AE963" t="s">
        <v>83</v>
      </c>
      <c r="AF963" t="s">
        <v>83</v>
      </c>
      <c r="AG963" t="s">
        <v>83</v>
      </c>
      <c r="AH963" t="s">
        <v>83</v>
      </c>
      <c r="AI963" t="s">
        <v>135</v>
      </c>
      <c r="AJ963" t="s">
        <v>80</v>
      </c>
      <c r="AK963" t="s">
        <v>85</v>
      </c>
      <c r="AL963" t="s">
        <v>107</v>
      </c>
      <c r="AM963" t="s">
        <v>87</v>
      </c>
      <c r="AN963" t="s">
        <v>87</v>
      </c>
      <c r="AO963" t="s">
        <v>87</v>
      </c>
      <c r="AP963" t="s">
        <v>87</v>
      </c>
      <c r="AQ963" t="s">
        <v>87</v>
      </c>
      <c r="AR963" t="s">
        <v>101</v>
      </c>
      <c r="AS963" t="s">
        <v>76</v>
      </c>
      <c r="AT963" t="s">
        <v>107</v>
      </c>
      <c r="AU963">
        <v>0</v>
      </c>
      <c r="AV963">
        <v>0</v>
      </c>
      <c r="AW963">
        <v>0</v>
      </c>
      <c r="AX963">
        <v>1</v>
      </c>
      <c r="AY963">
        <v>0</v>
      </c>
      <c r="AZ963" t="s">
        <v>579</v>
      </c>
    </row>
    <row r="964" spans="1:52" x14ac:dyDescent="0.2">
      <c r="A964">
        <v>1</v>
      </c>
      <c r="B964">
        <v>0</v>
      </c>
      <c r="C964">
        <v>0</v>
      </c>
      <c r="D964">
        <v>0</v>
      </c>
      <c r="E964">
        <v>0</v>
      </c>
      <c r="F964">
        <v>1</v>
      </c>
      <c r="G964">
        <v>1</v>
      </c>
      <c r="H964">
        <v>0</v>
      </c>
      <c r="I964">
        <v>0</v>
      </c>
      <c r="J964" t="s">
        <v>88</v>
      </c>
      <c r="K964" t="s">
        <v>89</v>
      </c>
      <c r="L964">
        <v>0</v>
      </c>
      <c r="M964">
        <v>1</v>
      </c>
      <c r="N964">
        <v>1</v>
      </c>
      <c r="O964">
        <v>0</v>
      </c>
      <c r="P964">
        <v>0</v>
      </c>
      <c r="Q964" t="s">
        <v>584</v>
      </c>
      <c r="AA964" t="s">
        <v>83</v>
      </c>
      <c r="AB964" t="s">
        <v>82</v>
      </c>
      <c r="AC964" t="s">
        <v>81</v>
      </c>
      <c r="AD964" t="s">
        <v>81</v>
      </c>
      <c r="AE964" t="s">
        <v>83</v>
      </c>
      <c r="AF964" t="s">
        <v>90</v>
      </c>
      <c r="AG964" t="s">
        <v>83</v>
      </c>
      <c r="AH964" t="s">
        <v>83</v>
      </c>
      <c r="AI964" t="s">
        <v>88</v>
      </c>
      <c r="AJ964" t="s">
        <v>80</v>
      </c>
      <c r="AK964" t="s">
        <v>85</v>
      </c>
      <c r="AL964" t="s">
        <v>107</v>
      </c>
      <c r="AM964" t="s">
        <v>86</v>
      </c>
      <c r="AN964" t="s">
        <v>74</v>
      </c>
      <c r="AO964" t="s">
        <v>86</v>
      </c>
      <c r="AP964" t="s">
        <v>74</v>
      </c>
      <c r="AQ964" t="s">
        <v>87</v>
      </c>
      <c r="AR964" t="s">
        <v>108</v>
      </c>
      <c r="AS964" t="s">
        <v>76</v>
      </c>
      <c r="AT964" t="s">
        <v>107</v>
      </c>
      <c r="AU964">
        <v>0</v>
      </c>
      <c r="AV964">
        <v>0</v>
      </c>
      <c r="AW964">
        <v>0</v>
      </c>
      <c r="AX964">
        <v>1</v>
      </c>
      <c r="AY964">
        <v>0</v>
      </c>
      <c r="AZ964" t="s">
        <v>578</v>
      </c>
    </row>
    <row r="965" spans="1:52" x14ac:dyDescent="0.2">
      <c r="A965">
        <v>1</v>
      </c>
      <c r="B965">
        <v>0</v>
      </c>
      <c r="C965">
        <v>0</v>
      </c>
      <c r="D965">
        <v>0</v>
      </c>
      <c r="E965">
        <v>0</v>
      </c>
      <c r="F965">
        <v>1</v>
      </c>
      <c r="G965">
        <v>0</v>
      </c>
      <c r="H965">
        <v>0</v>
      </c>
      <c r="I965">
        <v>0</v>
      </c>
      <c r="J965" t="s">
        <v>135</v>
      </c>
      <c r="K965" t="s">
        <v>89</v>
      </c>
      <c r="L965">
        <v>0</v>
      </c>
      <c r="M965">
        <v>1</v>
      </c>
      <c r="N965">
        <v>0</v>
      </c>
      <c r="O965">
        <v>0</v>
      </c>
      <c r="P965">
        <v>0</v>
      </c>
      <c r="Q965" t="s">
        <v>584</v>
      </c>
      <c r="AA965" t="s">
        <v>82</v>
      </c>
      <c r="AB965" t="s">
        <v>81</v>
      </c>
      <c r="AC965" t="s">
        <v>81</v>
      </c>
      <c r="AD965" t="s">
        <v>83</v>
      </c>
      <c r="AE965" t="s">
        <v>82</v>
      </c>
      <c r="AF965" t="s">
        <v>82</v>
      </c>
      <c r="AG965" t="s">
        <v>81</v>
      </c>
      <c r="AH965" t="s">
        <v>83</v>
      </c>
      <c r="AI965" t="s">
        <v>88</v>
      </c>
      <c r="AJ965" t="s">
        <v>89</v>
      </c>
      <c r="AK965" t="s">
        <v>85</v>
      </c>
      <c r="AL965" t="s">
        <v>107</v>
      </c>
      <c r="AM965" t="s">
        <v>86</v>
      </c>
      <c r="AN965" t="s">
        <v>86</v>
      </c>
      <c r="AO965" t="s">
        <v>86</v>
      </c>
      <c r="AP965" t="s">
        <v>86</v>
      </c>
      <c r="AQ965" t="s">
        <v>86</v>
      </c>
      <c r="AR965" t="s">
        <v>113</v>
      </c>
      <c r="AS965" t="s">
        <v>92</v>
      </c>
      <c r="AT965" t="s">
        <v>107</v>
      </c>
      <c r="AU965">
        <v>0</v>
      </c>
      <c r="AV965">
        <v>0</v>
      </c>
      <c r="AW965">
        <v>0</v>
      </c>
      <c r="AX965">
        <v>1</v>
      </c>
      <c r="AY965">
        <v>0</v>
      </c>
      <c r="AZ965" t="s">
        <v>579</v>
      </c>
    </row>
    <row r="966" spans="1:52" x14ac:dyDescent="0.2">
      <c r="A966">
        <v>1</v>
      </c>
      <c r="B966">
        <v>0</v>
      </c>
      <c r="C966">
        <v>0</v>
      </c>
      <c r="D966">
        <v>0</v>
      </c>
      <c r="E966">
        <v>0</v>
      </c>
      <c r="F966">
        <v>1</v>
      </c>
      <c r="G966">
        <v>0</v>
      </c>
      <c r="H966">
        <v>0</v>
      </c>
      <c r="I966">
        <v>0</v>
      </c>
      <c r="J966" t="s">
        <v>88</v>
      </c>
      <c r="K966" t="s">
        <v>89</v>
      </c>
      <c r="L966">
        <v>1</v>
      </c>
      <c r="M966">
        <v>0</v>
      </c>
      <c r="N966">
        <v>0</v>
      </c>
      <c r="O966">
        <v>0</v>
      </c>
      <c r="P966">
        <v>0</v>
      </c>
      <c r="Q966" t="s">
        <v>584</v>
      </c>
      <c r="R966">
        <v>0</v>
      </c>
      <c r="S966">
        <v>0</v>
      </c>
      <c r="T966">
        <v>0</v>
      </c>
      <c r="U966">
        <v>0</v>
      </c>
      <c r="V966">
        <v>0</v>
      </c>
      <c r="W966">
        <v>0</v>
      </c>
      <c r="X966">
        <v>0</v>
      </c>
      <c r="Y966">
        <v>1</v>
      </c>
      <c r="Z966">
        <v>0</v>
      </c>
      <c r="AL966" t="s">
        <v>107</v>
      </c>
      <c r="AM966" t="s">
        <v>74</v>
      </c>
      <c r="AR966" t="s">
        <v>75</v>
      </c>
      <c r="AS966" t="s">
        <v>92</v>
      </c>
      <c r="AT966" t="s">
        <v>107</v>
      </c>
      <c r="AU966">
        <v>0</v>
      </c>
      <c r="AV966">
        <v>0</v>
      </c>
      <c r="AW966">
        <v>0</v>
      </c>
      <c r="AX966">
        <v>1</v>
      </c>
      <c r="AY966">
        <v>0</v>
      </c>
      <c r="AZ966" t="s">
        <v>579</v>
      </c>
    </row>
    <row r="967" spans="1:52" x14ac:dyDescent="0.2">
      <c r="A967">
        <v>0</v>
      </c>
      <c r="B967">
        <v>1</v>
      </c>
      <c r="C967">
        <v>0</v>
      </c>
      <c r="D967">
        <v>0</v>
      </c>
      <c r="E967">
        <v>0</v>
      </c>
      <c r="F967">
        <v>1</v>
      </c>
      <c r="G967">
        <v>1</v>
      </c>
      <c r="H967">
        <v>1</v>
      </c>
      <c r="I967">
        <v>0</v>
      </c>
      <c r="J967" t="s">
        <v>88</v>
      </c>
      <c r="K967" t="s">
        <v>89</v>
      </c>
      <c r="L967">
        <v>0</v>
      </c>
      <c r="M967">
        <v>1</v>
      </c>
      <c r="N967">
        <v>0</v>
      </c>
      <c r="O967">
        <v>0</v>
      </c>
      <c r="P967">
        <v>0</v>
      </c>
      <c r="Q967" t="s">
        <v>584</v>
      </c>
      <c r="AA967" t="s">
        <v>83</v>
      </c>
      <c r="AB967" t="s">
        <v>82</v>
      </c>
      <c r="AC967" t="s">
        <v>81</v>
      </c>
      <c r="AD967" t="s">
        <v>81</v>
      </c>
      <c r="AE967" t="s">
        <v>81</v>
      </c>
      <c r="AF967" t="s">
        <v>83</v>
      </c>
      <c r="AG967" t="s">
        <v>83</v>
      </c>
      <c r="AH967" t="s">
        <v>83</v>
      </c>
      <c r="AI967" t="s">
        <v>88</v>
      </c>
      <c r="AJ967" t="s">
        <v>89</v>
      </c>
      <c r="AK967" t="s">
        <v>100</v>
      </c>
      <c r="AL967" t="s">
        <v>73</v>
      </c>
      <c r="AM967" t="s">
        <v>87</v>
      </c>
      <c r="AN967" t="s">
        <v>87</v>
      </c>
      <c r="AO967" t="s">
        <v>87</v>
      </c>
      <c r="AP967" t="s">
        <v>87</v>
      </c>
      <c r="AQ967" t="s">
        <v>74</v>
      </c>
      <c r="AR967" t="s">
        <v>75</v>
      </c>
      <c r="AS967" t="s">
        <v>92</v>
      </c>
      <c r="AT967" t="s">
        <v>73</v>
      </c>
      <c r="AU967">
        <v>0</v>
      </c>
      <c r="AV967">
        <v>0</v>
      </c>
      <c r="AW967">
        <v>0</v>
      </c>
      <c r="AX967">
        <v>1</v>
      </c>
      <c r="AY967">
        <v>0</v>
      </c>
      <c r="AZ967" t="s">
        <v>579</v>
      </c>
    </row>
    <row r="968" spans="1:52" x14ac:dyDescent="0.2">
      <c r="A968">
        <v>0</v>
      </c>
      <c r="B968">
        <v>1</v>
      </c>
      <c r="C968">
        <v>0</v>
      </c>
      <c r="D968">
        <v>0</v>
      </c>
      <c r="E968">
        <v>1</v>
      </c>
      <c r="F968">
        <v>0</v>
      </c>
      <c r="G968">
        <v>0</v>
      </c>
      <c r="H968">
        <v>0</v>
      </c>
      <c r="I968">
        <v>0</v>
      </c>
      <c r="L968">
        <v>1</v>
      </c>
      <c r="M968">
        <v>0</v>
      </c>
      <c r="N968">
        <v>0</v>
      </c>
      <c r="O968">
        <v>0</v>
      </c>
      <c r="P968">
        <v>0</v>
      </c>
      <c r="Q968" t="s">
        <v>584</v>
      </c>
      <c r="R968">
        <v>0</v>
      </c>
      <c r="S968">
        <v>0</v>
      </c>
      <c r="T968">
        <v>1</v>
      </c>
      <c r="U968">
        <v>0</v>
      </c>
      <c r="V968">
        <v>1</v>
      </c>
      <c r="W968">
        <v>0</v>
      </c>
      <c r="X968">
        <v>0</v>
      </c>
      <c r="Y968">
        <v>1</v>
      </c>
      <c r="Z968">
        <v>0</v>
      </c>
      <c r="AL968" t="s">
        <v>120</v>
      </c>
      <c r="AM968" t="s">
        <v>86</v>
      </c>
      <c r="AN968" t="s">
        <v>87</v>
      </c>
      <c r="AO968" t="s">
        <v>87</v>
      </c>
      <c r="AP968" t="s">
        <v>87</v>
      </c>
      <c r="AQ968" t="s">
        <v>87</v>
      </c>
      <c r="AR968" t="s">
        <v>108</v>
      </c>
      <c r="AS968" t="s">
        <v>76</v>
      </c>
      <c r="AT968" t="s">
        <v>120</v>
      </c>
      <c r="AU968">
        <v>0</v>
      </c>
      <c r="AV968">
        <v>0</v>
      </c>
      <c r="AW968">
        <v>0</v>
      </c>
      <c r="AX968">
        <v>1</v>
      </c>
      <c r="AY968">
        <v>0</v>
      </c>
      <c r="AZ968" t="s">
        <v>578</v>
      </c>
    </row>
    <row r="969" spans="1:52" x14ac:dyDescent="0.2">
      <c r="A969">
        <v>0</v>
      </c>
      <c r="B969">
        <v>1</v>
      </c>
      <c r="C969">
        <v>0</v>
      </c>
      <c r="D969">
        <v>0</v>
      </c>
      <c r="E969">
        <v>0</v>
      </c>
      <c r="F969">
        <v>1</v>
      </c>
      <c r="G969">
        <v>0</v>
      </c>
      <c r="H969">
        <v>1</v>
      </c>
      <c r="I969">
        <v>0</v>
      </c>
      <c r="J969" t="s">
        <v>88</v>
      </c>
      <c r="K969" t="s">
        <v>89</v>
      </c>
      <c r="L969">
        <v>0</v>
      </c>
      <c r="M969">
        <v>1</v>
      </c>
      <c r="N969">
        <v>0</v>
      </c>
      <c r="O969">
        <v>0</v>
      </c>
      <c r="P969">
        <v>0</v>
      </c>
      <c r="Q969" t="s">
        <v>584</v>
      </c>
      <c r="AA969" t="s">
        <v>83</v>
      </c>
      <c r="AB969" t="s">
        <v>82</v>
      </c>
      <c r="AC969" t="s">
        <v>81</v>
      </c>
      <c r="AD969" t="s">
        <v>82</v>
      </c>
      <c r="AE969" t="s">
        <v>81</v>
      </c>
      <c r="AF969" t="s">
        <v>83</v>
      </c>
      <c r="AG969" t="s">
        <v>83</v>
      </c>
      <c r="AH969" t="s">
        <v>83</v>
      </c>
      <c r="AI969" t="s">
        <v>88</v>
      </c>
      <c r="AJ969" t="s">
        <v>89</v>
      </c>
      <c r="AK969" t="s">
        <v>100</v>
      </c>
      <c r="AL969" t="s">
        <v>107</v>
      </c>
      <c r="AM969" t="s">
        <v>87</v>
      </c>
      <c r="AN969" t="s">
        <v>87</v>
      </c>
      <c r="AO969" t="s">
        <v>86</v>
      </c>
      <c r="AP969" t="s">
        <v>87</v>
      </c>
      <c r="AQ969" t="s">
        <v>86</v>
      </c>
      <c r="AR969" t="s">
        <v>75</v>
      </c>
      <c r="AS969" t="s">
        <v>76</v>
      </c>
      <c r="AT969" t="s">
        <v>107</v>
      </c>
      <c r="AU969">
        <v>0</v>
      </c>
      <c r="AV969">
        <v>0</v>
      </c>
      <c r="AW969">
        <v>0</v>
      </c>
      <c r="AX969">
        <v>1</v>
      </c>
      <c r="AY969">
        <v>0</v>
      </c>
      <c r="AZ969" t="s">
        <v>578</v>
      </c>
    </row>
    <row r="970" spans="1:52" x14ac:dyDescent="0.2">
      <c r="A970">
        <v>1</v>
      </c>
      <c r="B970">
        <v>0</v>
      </c>
      <c r="C970">
        <v>0</v>
      </c>
      <c r="D970">
        <v>0</v>
      </c>
      <c r="E970">
        <v>0</v>
      </c>
      <c r="F970">
        <v>1</v>
      </c>
      <c r="G970">
        <v>1</v>
      </c>
      <c r="H970">
        <v>1</v>
      </c>
      <c r="I970">
        <v>1</v>
      </c>
      <c r="J970" t="s">
        <v>88</v>
      </c>
      <c r="K970" t="s">
        <v>89</v>
      </c>
      <c r="L970">
        <v>0</v>
      </c>
      <c r="M970">
        <v>0</v>
      </c>
      <c r="N970">
        <v>1</v>
      </c>
      <c r="O970">
        <v>0</v>
      </c>
      <c r="P970">
        <v>0</v>
      </c>
      <c r="Q970" t="s">
        <v>585</v>
      </c>
      <c r="AA970" t="s">
        <v>81</v>
      </c>
      <c r="AB970" t="s">
        <v>82</v>
      </c>
      <c r="AC970" t="s">
        <v>82</v>
      </c>
      <c r="AD970" t="s">
        <v>81</v>
      </c>
      <c r="AE970" t="s">
        <v>81</v>
      </c>
      <c r="AF970" t="s">
        <v>81</v>
      </c>
      <c r="AG970" t="s">
        <v>90</v>
      </c>
      <c r="AH970" t="s">
        <v>83</v>
      </c>
      <c r="AI970" t="s">
        <v>88</v>
      </c>
      <c r="AJ970" t="s">
        <v>89</v>
      </c>
      <c r="AK970" t="s">
        <v>100</v>
      </c>
      <c r="AL970" t="s">
        <v>73</v>
      </c>
      <c r="AM970" t="s">
        <v>87</v>
      </c>
      <c r="AN970" t="s">
        <v>86</v>
      </c>
      <c r="AO970" t="s">
        <v>87</v>
      </c>
      <c r="AP970" t="s">
        <v>87</v>
      </c>
      <c r="AQ970" t="s">
        <v>86</v>
      </c>
      <c r="AR970" t="s">
        <v>75</v>
      </c>
      <c r="AS970" t="s">
        <v>76</v>
      </c>
      <c r="AT970" t="s">
        <v>73</v>
      </c>
      <c r="AU970">
        <v>0</v>
      </c>
      <c r="AV970">
        <v>0</v>
      </c>
      <c r="AW970">
        <v>0</v>
      </c>
      <c r="AX970">
        <v>1</v>
      </c>
      <c r="AY970">
        <v>0</v>
      </c>
      <c r="AZ970" t="s">
        <v>579</v>
      </c>
    </row>
    <row r="971" spans="1:52" x14ac:dyDescent="0.2">
      <c r="A971">
        <v>0</v>
      </c>
      <c r="B971">
        <v>1</v>
      </c>
      <c r="C971">
        <v>0</v>
      </c>
      <c r="D971">
        <v>0</v>
      </c>
      <c r="E971">
        <v>1</v>
      </c>
      <c r="F971">
        <v>0</v>
      </c>
      <c r="G971">
        <v>0</v>
      </c>
      <c r="H971">
        <v>0</v>
      </c>
      <c r="I971">
        <v>0</v>
      </c>
      <c r="L971">
        <v>1</v>
      </c>
      <c r="M971">
        <v>0</v>
      </c>
      <c r="N971">
        <v>0</v>
      </c>
      <c r="O971">
        <v>0</v>
      </c>
      <c r="P971">
        <v>0</v>
      </c>
      <c r="Q971" t="s">
        <v>584</v>
      </c>
      <c r="R971">
        <v>0</v>
      </c>
      <c r="S971">
        <v>0</v>
      </c>
      <c r="T971">
        <v>0</v>
      </c>
      <c r="U971">
        <v>0</v>
      </c>
      <c r="V971">
        <v>0</v>
      </c>
      <c r="W971">
        <v>0</v>
      </c>
      <c r="X971">
        <v>1</v>
      </c>
      <c r="Y971">
        <v>0</v>
      </c>
      <c r="Z971">
        <v>0</v>
      </c>
      <c r="AL971" t="s">
        <v>120</v>
      </c>
      <c r="AM971" t="s">
        <v>74</v>
      </c>
      <c r="AR971" t="s">
        <v>75</v>
      </c>
      <c r="AS971" t="s">
        <v>76</v>
      </c>
      <c r="AT971" t="s">
        <v>120</v>
      </c>
      <c r="AU971">
        <v>0</v>
      </c>
      <c r="AV971">
        <v>0</v>
      </c>
      <c r="AW971">
        <v>0</v>
      </c>
      <c r="AX971">
        <v>1</v>
      </c>
      <c r="AY971">
        <v>0</v>
      </c>
      <c r="AZ971" t="s">
        <v>578</v>
      </c>
    </row>
    <row r="972" spans="1:52" x14ac:dyDescent="0.2">
      <c r="A972">
        <v>1</v>
      </c>
      <c r="B972">
        <v>0</v>
      </c>
      <c r="C972">
        <v>0</v>
      </c>
      <c r="D972">
        <v>0</v>
      </c>
      <c r="E972">
        <v>0</v>
      </c>
      <c r="F972">
        <v>1</v>
      </c>
      <c r="G972">
        <v>1</v>
      </c>
      <c r="H972">
        <v>0</v>
      </c>
      <c r="I972">
        <v>0</v>
      </c>
      <c r="J972" t="s">
        <v>88</v>
      </c>
      <c r="K972" t="s">
        <v>80</v>
      </c>
      <c r="L972">
        <v>0</v>
      </c>
      <c r="M972">
        <v>0</v>
      </c>
      <c r="N972">
        <v>1</v>
      </c>
      <c r="O972">
        <v>0</v>
      </c>
      <c r="P972">
        <v>0</v>
      </c>
      <c r="Q972" t="s">
        <v>584</v>
      </c>
      <c r="AA972" t="s">
        <v>81</v>
      </c>
      <c r="AB972" t="s">
        <v>81</v>
      </c>
      <c r="AC972" t="s">
        <v>83</v>
      </c>
      <c r="AD972" t="s">
        <v>83</v>
      </c>
      <c r="AE972" t="s">
        <v>82</v>
      </c>
      <c r="AF972" t="s">
        <v>83</v>
      </c>
      <c r="AG972" t="s">
        <v>83</v>
      </c>
      <c r="AH972" t="s">
        <v>83</v>
      </c>
      <c r="AI972" t="s">
        <v>88</v>
      </c>
      <c r="AJ972" t="s">
        <v>80</v>
      </c>
      <c r="AK972" t="s">
        <v>85</v>
      </c>
      <c r="AL972" t="s">
        <v>73</v>
      </c>
      <c r="AM972" t="s">
        <v>87</v>
      </c>
      <c r="AN972" t="s">
        <v>87</v>
      </c>
      <c r="AO972" t="s">
        <v>74</v>
      </c>
      <c r="AP972" t="s">
        <v>87</v>
      </c>
      <c r="AQ972" t="s">
        <v>87</v>
      </c>
      <c r="AR972" t="s">
        <v>75</v>
      </c>
      <c r="AS972" t="s">
        <v>76</v>
      </c>
      <c r="AT972" t="s">
        <v>73</v>
      </c>
      <c r="AU972">
        <v>0</v>
      </c>
      <c r="AV972">
        <v>1</v>
      </c>
      <c r="AW972">
        <v>0</v>
      </c>
      <c r="AX972">
        <v>1</v>
      </c>
      <c r="AY972">
        <v>0</v>
      </c>
      <c r="AZ972" t="s">
        <v>578</v>
      </c>
    </row>
    <row r="973" spans="1:52" x14ac:dyDescent="0.2">
      <c r="A973">
        <v>0</v>
      </c>
      <c r="B973">
        <v>1</v>
      </c>
      <c r="C973">
        <v>0</v>
      </c>
      <c r="D973">
        <v>0</v>
      </c>
      <c r="E973">
        <v>1</v>
      </c>
      <c r="F973">
        <v>0</v>
      </c>
      <c r="G973">
        <v>0</v>
      </c>
      <c r="H973">
        <v>0</v>
      </c>
      <c r="I973">
        <v>0</v>
      </c>
      <c r="L973">
        <v>0</v>
      </c>
      <c r="M973">
        <v>0</v>
      </c>
      <c r="N973">
        <v>0</v>
      </c>
      <c r="O973">
        <v>1</v>
      </c>
      <c r="P973">
        <v>0</v>
      </c>
      <c r="Q973" t="s">
        <v>584</v>
      </c>
      <c r="AA973" t="s">
        <v>90</v>
      </c>
      <c r="AB973" t="s">
        <v>82</v>
      </c>
      <c r="AC973" t="s">
        <v>82</v>
      </c>
      <c r="AD973" t="s">
        <v>82</v>
      </c>
      <c r="AE973" t="s">
        <v>90</v>
      </c>
      <c r="AF973" t="s">
        <v>90</v>
      </c>
      <c r="AG973" t="s">
        <v>90</v>
      </c>
      <c r="AH973" t="s">
        <v>90</v>
      </c>
      <c r="AI973" t="s">
        <v>127</v>
      </c>
      <c r="AJ973" t="s">
        <v>127</v>
      </c>
      <c r="AL973" t="s">
        <v>73</v>
      </c>
      <c r="AM973" t="s">
        <v>74</v>
      </c>
      <c r="AR973" t="s">
        <v>108</v>
      </c>
      <c r="AS973" t="s">
        <v>76</v>
      </c>
      <c r="AT973" t="s">
        <v>73</v>
      </c>
      <c r="AU973">
        <v>0</v>
      </c>
      <c r="AV973">
        <v>0</v>
      </c>
      <c r="AW973">
        <v>0</v>
      </c>
      <c r="AX973">
        <v>1</v>
      </c>
      <c r="AY973">
        <v>0</v>
      </c>
      <c r="AZ973" t="s">
        <v>578</v>
      </c>
    </row>
    <row r="974" spans="1:52" x14ac:dyDescent="0.2">
      <c r="A974">
        <v>1</v>
      </c>
      <c r="B974">
        <v>0</v>
      </c>
      <c r="C974">
        <v>0</v>
      </c>
      <c r="D974">
        <v>0</v>
      </c>
      <c r="E974">
        <v>1</v>
      </c>
      <c r="F974">
        <v>0</v>
      </c>
      <c r="G974">
        <v>0</v>
      </c>
      <c r="H974">
        <v>0</v>
      </c>
      <c r="I974">
        <v>0</v>
      </c>
      <c r="L974">
        <v>1</v>
      </c>
      <c r="M974">
        <v>0</v>
      </c>
      <c r="N974">
        <v>0</v>
      </c>
      <c r="O974">
        <v>0</v>
      </c>
      <c r="P974">
        <v>0</v>
      </c>
      <c r="Q974" t="s">
        <v>584</v>
      </c>
      <c r="R974">
        <v>1</v>
      </c>
      <c r="S974">
        <v>0</v>
      </c>
      <c r="T974">
        <v>0</v>
      </c>
      <c r="U974">
        <v>0</v>
      </c>
      <c r="V974">
        <v>0</v>
      </c>
      <c r="W974">
        <v>0</v>
      </c>
      <c r="X974">
        <v>0</v>
      </c>
      <c r="Y974">
        <v>0</v>
      </c>
      <c r="Z974">
        <v>0</v>
      </c>
      <c r="AL974" t="s">
        <v>107</v>
      </c>
      <c r="AM974" t="s">
        <v>87</v>
      </c>
      <c r="AN974" t="s">
        <v>87</v>
      </c>
      <c r="AO974" t="s">
        <v>87</v>
      </c>
      <c r="AP974" t="s">
        <v>87</v>
      </c>
      <c r="AQ974" t="s">
        <v>87</v>
      </c>
      <c r="AR974" t="s">
        <v>101</v>
      </c>
      <c r="AS974" t="s">
        <v>92</v>
      </c>
      <c r="AT974" t="s">
        <v>107</v>
      </c>
      <c r="AU974">
        <v>0</v>
      </c>
      <c r="AV974">
        <v>0</v>
      </c>
      <c r="AW974">
        <v>0</v>
      </c>
      <c r="AX974">
        <v>1</v>
      </c>
      <c r="AY974">
        <v>0</v>
      </c>
      <c r="AZ974" t="s">
        <v>579</v>
      </c>
    </row>
    <row r="975" spans="1:52" x14ac:dyDescent="0.2">
      <c r="A975">
        <v>0</v>
      </c>
      <c r="B975">
        <v>1</v>
      </c>
      <c r="C975">
        <v>0</v>
      </c>
      <c r="D975">
        <v>0</v>
      </c>
      <c r="E975">
        <v>1</v>
      </c>
      <c r="F975">
        <v>0</v>
      </c>
      <c r="G975">
        <v>0</v>
      </c>
      <c r="H975">
        <v>0</v>
      </c>
      <c r="I975">
        <v>0</v>
      </c>
      <c r="L975">
        <v>0</v>
      </c>
      <c r="M975">
        <v>0</v>
      </c>
      <c r="N975">
        <v>0</v>
      </c>
      <c r="O975">
        <v>0</v>
      </c>
      <c r="P975">
        <v>0</v>
      </c>
      <c r="Q975" t="s">
        <v>585</v>
      </c>
      <c r="AA975" t="s">
        <v>83</v>
      </c>
      <c r="AB975" t="s">
        <v>81</v>
      </c>
      <c r="AC975" t="s">
        <v>83</v>
      </c>
      <c r="AD975" t="s">
        <v>83</v>
      </c>
      <c r="AE975" t="s">
        <v>82</v>
      </c>
      <c r="AF975" t="s">
        <v>83</v>
      </c>
      <c r="AG975" t="s">
        <v>81</v>
      </c>
      <c r="AH975" t="s">
        <v>83</v>
      </c>
      <c r="AI975" t="s">
        <v>88</v>
      </c>
      <c r="AJ975" t="s">
        <v>80</v>
      </c>
      <c r="AK975" t="s">
        <v>85</v>
      </c>
      <c r="AL975" t="s">
        <v>96</v>
      </c>
      <c r="AM975" t="s">
        <v>87</v>
      </c>
      <c r="AN975" t="s">
        <v>87</v>
      </c>
      <c r="AO975" t="s">
        <v>87</v>
      </c>
      <c r="AP975" t="s">
        <v>87</v>
      </c>
      <c r="AQ975" t="s">
        <v>74</v>
      </c>
      <c r="AR975" t="s">
        <v>75</v>
      </c>
      <c r="AS975" t="s">
        <v>92</v>
      </c>
      <c r="AT975" t="s">
        <v>96</v>
      </c>
      <c r="AU975">
        <v>0</v>
      </c>
      <c r="AV975">
        <v>0</v>
      </c>
      <c r="AW975">
        <v>0</v>
      </c>
      <c r="AX975">
        <v>1</v>
      </c>
      <c r="AY975">
        <v>0</v>
      </c>
      <c r="AZ975" t="s">
        <v>579</v>
      </c>
    </row>
    <row r="976" spans="1:52" x14ac:dyDescent="0.2">
      <c r="A976">
        <v>1</v>
      </c>
      <c r="B976">
        <v>0</v>
      </c>
      <c r="C976">
        <v>0</v>
      </c>
      <c r="D976">
        <v>0</v>
      </c>
      <c r="E976">
        <v>0</v>
      </c>
      <c r="F976">
        <v>1</v>
      </c>
      <c r="G976">
        <v>0</v>
      </c>
      <c r="H976">
        <v>1</v>
      </c>
      <c r="I976">
        <v>0</v>
      </c>
      <c r="J976" t="s">
        <v>79</v>
      </c>
      <c r="K976" t="s">
        <v>80</v>
      </c>
      <c r="L976">
        <v>0</v>
      </c>
      <c r="M976">
        <v>1</v>
      </c>
      <c r="N976">
        <v>0</v>
      </c>
      <c r="O976">
        <v>0</v>
      </c>
      <c r="P976">
        <v>0</v>
      </c>
      <c r="Q976" t="s">
        <v>584</v>
      </c>
      <c r="AA976" t="s">
        <v>83</v>
      </c>
      <c r="AB976" t="s">
        <v>82</v>
      </c>
      <c r="AC976" t="s">
        <v>82</v>
      </c>
      <c r="AD976" t="s">
        <v>81</v>
      </c>
      <c r="AE976" t="s">
        <v>81</v>
      </c>
      <c r="AF976" t="s">
        <v>83</v>
      </c>
      <c r="AG976" t="s">
        <v>83</v>
      </c>
      <c r="AH976" t="s">
        <v>83</v>
      </c>
      <c r="AI976" t="s">
        <v>88</v>
      </c>
      <c r="AJ976" t="s">
        <v>89</v>
      </c>
      <c r="AK976" t="s">
        <v>100</v>
      </c>
      <c r="AL976" t="s">
        <v>73</v>
      </c>
      <c r="AM976" t="s">
        <v>87</v>
      </c>
      <c r="AN976" t="s">
        <v>87</v>
      </c>
      <c r="AO976" t="s">
        <v>87</v>
      </c>
      <c r="AP976" t="s">
        <v>87</v>
      </c>
      <c r="AQ976" t="s">
        <v>87</v>
      </c>
      <c r="AR976" t="s">
        <v>75</v>
      </c>
      <c r="AS976" t="s">
        <v>76</v>
      </c>
      <c r="AT976" t="s">
        <v>73</v>
      </c>
      <c r="AU976">
        <v>0</v>
      </c>
      <c r="AV976">
        <v>0</v>
      </c>
      <c r="AW976">
        <v>0</v>
      </c>
      <c r="AX976">
        <v>1</v>
      </c>
      <c r="AY976">
        <v>0</v>
      </c>
      <c r="AZ976" t="s">
        <v>579</v>
      </c>
    </row>
    <row r="977" spans="1:52" x14ac:dyDescent="0.2">
      <c r="A977">
        <v>1</v>
      </c>
      <c r="B977">
        <v>0</v>
      </c>
      <c r="C977">
        <v>0</v>
      </c>
      <c r="D977">
        <v>0</v>
      </c>
      <c r="E977">
        <v>0</v>
      </c>
      <c r="F977">
        <v>0</v>
      </c>
      <c r="G977">
        <v>0</v>
      </c>
      <c r="H977">
        <v>0</v>
      </c>
      <c r="I977">
        <v>1</v>
      </c>
      <c r="J977" t="s">
        <v>88</v>
      </c>
      <c r="K977" t="s">
        <v>89</v>
      </c>
      <c r="L977">
        <v>1</v>
      </c>
      <c r="M977">
        <v>0</v>
      </c>
      <c r="N977">
        <v>0</v>
      </c>
      <c r="O977">
        <v>0</v>
      </c>
      <c r="P977">
        <v>0</v>
      </c>
      <c r="Q977" t="s">
        <v>584</v>
      </c>
      <c r="R977">
        <v>0</v>
      </c>
      <c r="S977">
        <v>0</v>
      </c>
      <c r="T977">
        <v>0</v>
      </c>
      <c r="U977">
        <v>0</v>
      </c>
      <c r="V977">
        <v>1</v>
      </c>
      <c r="W977">
        <v>0</v>
      </c>
      <c r="X977">
        <v>1</v>
      </c>
      <c r="Y977">
        <v>1</v>
      </c>
      <c r="Z977">
        <v>1</v>
      </c>
      <c r="AL977" t="s">
        <v>73</v>
      </c>
      <c r="AM977" t="s">
        <v>74</v>
      </c>
      <c r="AR977" t="s">
        <v>75</v>
      </c>
      <c r="AS977" t="s">
        <v>76</v>
      </c>
      <c r="AT977" t="s">
        <v>73</v>
      </c>
      <c r="AU977">
        <v>0</v>
      </c>
      <c r="AV977">
        <v>0</v>
      </c>
      <c r="AW977">
        <v>0</v>
      </c>
      <c r="AX977">
        <v>1</v>
      </c>
      <c r="AY977">
        <v>0</v>
      </c>
      <c r="AZ977" t="s">
        <v>579</v>
      </c>
    </row>
    <row r="978" spans="1:52" x14ac:dyDescent="0.2">
      <c r="A978">
        <v>0</v>
      </c>
      <c r="B978">
        <v>1</v>
      </c>
      <c r="C978">
        <v>0</v>
      </c>
      <c r="D978">
        <v>0</v>
      </c>
      <c r="E978">
        <v>0</v>
      </c>
      <c r="F978">
        <v>1</v>
      </c>
      <c r="G978">
        <v>0</v>
      </c>
      <c r="H978">
        <v>0</v>
      </c>
      <c r="I978">
        <v>0</v>
      </c>
      <c r="J978" t="s">
        <v>135</v>
      </c>
      <c r="K978" t="s">
        <v>80</v>
      </c>
      <c r="L978">
        <v>1</v>
      </c>
      <c r="M978">
        <v>0</v>
      </c>
      <c r="N978">
        <v>0</v>
      </c>
      <c r="O978">
        <v>0</v>
      </c>
      <c r="P978">
        <v>0</v>
      </c>
      <c r="Q978" t="s">
        <v>584</v>
      </c>
      <c r="R978">
        <v>0</v>
      </c>
      <c r="S978">
        <v>0</v>
      </c>
      <c r="T978">
        <v>0</v>
      </c>
      <c r="U978">
        <v>0</v>
      </c>
      <c r="V978">
        <v>0</v>
      </c>
      <c r="W978">
        <v>0</v>
      </c>
      <c r="X978">
        <v>1</v>
      </c>
      <c r="Y978">
        <v>1</v>
      </c>
      <c r="Z978">
        <v>1</v>
      </c>
      <c r="AL978" t="s">
        <v>73</v>
      </c>
      <c r="AM978" t="s">
        <v>87</v>
      </c>
      <c r="AN978" t="s">
        <v>87</v>
      </c>
      <c r="AO978" t="s">
        <v>87</v>
      </c>
      <c r="AP978" t="s">
        <v>86</v>
      </c>
      <c r="AQ978" t="s">
        <v>86</v>
      </c>
      <c r="AR978" t="s">
        <v>75</v>
      </c>
      <c r="AS978" t="s">
        <v>76</v>
      </c>
      <c r="AT978" t="s">
        <v>73</v>
      </c>
      <c r="AU978">
        <v>0</v>
      </c>
      <c r="AV978">
        <v>0</v>
      </c>
      <c r="AW978">
        <v>0</v>
      </c>
      <c r="AX978">
        <v>1</v>
      </c>
      <c r="AY978">
        <v>0</v>
      </c>
      <c r="AZ978" t="s">
        <v>580</v>
      </c>
    </row>
    <row r="979" spans="1:52" x14ac:dyDescent="0.2">
      <c r="A979">
        <v>0</v>
      </c>
      <c r="B979">
        <v>1</v>
      </c>
      <c r="C979">
        <v>0</v>
      </c>
      <c r="D979">
        <v>0</v>
      </c>
      <c r="E979">
        <v>0</v>
      </c>
      <c r="F979">
        <v>0</v>
      </c>
      <c r="G979">
        <v>0</v>
      </c>
      <c r="H979">
        <v>0</v>
      </c>
      <c r="I979">
        <v>1</v>
      </c>
      <c r="J979" t="s">
        <v>135</v>
      </c>
      <c r="K979" t="s">
        <v>80</v>
      </c>
      <c r="L979">
        <v>1</v>
      </c>
      <c r="M979">
        <v>0</v>
      </c>
      <c r="N979">
        <v>0</v>
      </c>
      <c r="O979">
        <v>0</v>
      </c>
      <c r="P979">
        <v>0</v>
      </c>
      <c r="Q979" t="s">
        <v>584</v>
      </c>
      <c r="R979">
        <v>0</v>
      </c>
      <c r="S979">
        <v>1</v>
      </c>
      <c r="T979">
        <v>0</v>
      </c>
      <c r="U979">
        <v>0</v>
      </c>
      <c r="V979">
        <v>0</v>
      </c>
      <c r="W979">
        <v>0</v>
      </c>
      <c r="X979">
        <v>0</v>
      </c>
      <c r="Y979">
        <v>0</v>
      </c>
      <c r="Z979">
        <v>0</v>
      </c>
      <c r="AL979" t="s">
        <v>73</v>
      </c>
      <c r="AM979" t="s">
        <v>86</v>
      </c>
      <c r="AN979" t="s">
        <v>87</v>
      </c>
      <c r="AO979" t="s">
        <v>86</v>
      </c>
      <c r="AP979" t="s">
        <v>74</v>
      </c>
      <c r="AQ979" t="s">
        <v>87</v>
      </c>
      <c r="AR979" t="s">
        <v>101</v>
      </c>
      <c r="AS979" t="s">
        <v>76</v>
      </c>
      <c r="AT979" t="s">
        <v>73</v>
      </c>
      <c r="AU979">
        <v>0</v>
      </c>
      <c r="AV979">
        <v>0</v>
      </c>
      <c r="AW979">
        <v>0</v>
      </c>
      <c r="AX979">
        <v>1</v>
      </c>
      <c r="AY979">
        <v>0</v>
      </c>
      <c r="AZ979" t="s">
        <v>579</v>
      </c>
    </row>
    <row r="980" spans="1:52" x14ac:dyDescent="0.2">
      <c r="A980">
        <v>1</v>
      </c>
      <c r="B980">
        <v>0</v>
      </c>
      <c r="C980">
        <v>0</v>
      </c>
      <c r="D980">
        <v>0</v>
      </c>
      <c r="E980">
        <v>1</v>
      </c>
      <c r="F980">
        <v>0</v>
      </c>
      <c r="G980">
        <v>0</v>
      </c>
      <c r="H980">
        <v>0</v>
      </c>
      <c r="I980">
        <v>0</v>
      </c>
      <c r="L980">
        <v>1</v>
      </c>
      <c r="M980">
        <v>0</v>
      </c>
      <c r="N980">
        <v>0</v>
      </c>
      <c r="O980">
        <v>0</v>
      </c>
      <c r="P980">
        <v>0</v>
      </c>
      <c r="Q980" t="s">
        <v>584</v>
      </c>
      <c r="R980">
        <v>0</v>
      </c>
      <c r="S980">
        <v>0</v>
      </c>
      <c r="T980">
        <v>0</v>
      </c>
      <c r="U980">
        <v>0</v>
      </c>
      <c r="V980">
        <v>0</v>
      </c>
      <c r="W980">
        <v>0</v>
      </c>
      <c r="X980">
        <v>1</v>
      </c>
      <c r="Y980">
        <v>1</v>
      </c>
      <c r="Z980">
        <v>0</v>
      </c>
      <c r="AL980" t="s">
        <v>107</v>
      </c>
      <c r="AM980" t="s">
        <v>87</v>
      </c>
      <c r="AN980" t="s">
        <v>74</v>
      </c>
      <c r="AO980" t="s">
        <v>74</v>
      </c>
      <c r="AP980" t="s">
        <v>74</v>
      </c>
      <c r="AQ980" t="s">
        <v>74</v>
      </c>
      <c r="AR980" t="s">
        <v>159</v>
      </c>
      <c r="AS980" t="s">
        <v>76</v>
      </c>
      <c r="AT980" t="s">
        <v>107</v>
      </c>
      <c r="AU980">
        <v>0</v>
      </c>
      <c r="AV980">
        <v>0</v>
      </c>
      <c r="AW980">
        <v>0</v>
      </c>
      <c r="AX980">
        <v>1</v>
      </c>
      <c r="AY980">
        <v>0</v>
      </c>
      <c r="AZ980" t="s">
        <v>579</v>
      </c>
    </row>
    <row r="981" spans="1:52" x14ac:dyDescent="0.2">
      <c r="A981">
        <v>1</v>
      </c>
      <c r="B981">
        <v>0</v>
      </c>
      <c r="C981">
        <v>0</v>
      </c>
      <c r="D981">
        <v>0</v>
      </c>
      <c r="E981">
        <v>0</v>
      </c>
      <c r="F981">
        <v>1</v>
      </c>
      <c r="G981">
        <v>1</v>
      </c>
      <c r="H981">
        <v>0</v>
      </c>
      <c r="I981">
        <v>0</v>
      </c>
      <c r="J981" t="s">
        <v>88</v>
      </c>
      <c r="K981" t="s">
        <v>89</v>
      </c>
      <c r="L981">
        <v>0</v>
      </c>
      <c r="M981">
        <v>0</v>
      </c>
      <c r="N981">
        <v>1</v>
      </c>
      <c r="O981">
        <v>0</v>
      </c>
      <c r="P981">
        <v>0</v>
      </c>
      <c r="Q981" t="s">
        <v>584</v>
      </c>
      <c r="AA981" t="s">
        <v>83</v>
      </c>
      <c r="AB981" t="s">
        <v>81</v>
      </c>
      <c r="AC981" t="s">
        <v>81</v>
      </c>
      <c r="AD981" t="s">
        <v>82</v>
      </c>
      <c r="AE981" t="s">
        <v>82</v>
      </c>
      <c r="AF981" t="s">
        <v>83</v>
      </c>
      <c r="AG981" t="s">
        <v>83</v>
      </c>
      <c r="AH981" t="s">
        <v>83</v>
      </c>
      <c r="AI981" t="s">
        <v>88</v>
      </c>
      <c r="AJ981" t="s">
        <v>89</v>
      </c>
      <c r="AK981" t="s">
        <v>100</v>
      </c>
      <c r="AL981" t="s">
        <v>73</v>
      </c>
      <c r="AM981" t="s">
        <v>86</v>
      </c>
      <c r="AN981" t="s">
        <v>87</v>
      </c>
      <c r="AO981" t="s">
        <v>87</v>
      </c>
      <c r="AP981" t="s">
        <v>87</v>
      </c>
      <c r="AQ981" t="s">
        <v>87</v>
      </c>
      <c r="AR981" t="s">
        <v>159</v>
      </c>
      <c r="AS981" t="s">
        <v>76</v>
      </c>
      <c r="AT981" t="s">
        <v>73</v>
      </c>
      <c r="AU981">
        <v>0</v>
      </c>
      <c r="AV981">
        <v>0</v>
      </c>
      <c r="AW981">
        <v>0</v>
      </c>
      <c r="AX981">
        <v>1</v>
      </c>
      <c r="AY981">
        <v>0</v>
      </c>
      <c r="AZ981" t="s">
        <v>579</v>
      </c>
    </row>
    <row r="982" spans="1:52" x14ac:dyDescent="0.2">
      <c r="A982">
        <v>0</v>
      </c>
      <c r="B982">
        <v>1</v>
      </c>
      <c r="C982">
        <v>0</v>
      </c>
      <c r="D982">
        <v>0</v>
      </c>
      <c r="E982">
        <v>0</v>
      </c>
      <c r="F982">
        <v>1</v>
      </c>
      <c r="G982">
        <v>1</v>
      </c>
      <c r="H982">
        <v>1</v>
      </c>
      <c r="I982">
        <v>0</v>
      </c>
      <c r="J982" t="s">
        <v>135</v>
      </c>
      <c r="K982" t="s">
        <v>142</v>
      </c>
      <c r="L982">
        <v>1</v>
      </c>
      <c r="M982">
        <v>0</v>
      </c>
      <c r="N982">
        <v>0</v>
      </c>
      <c r="O982">
        <v>0</v>
      </c>
      <c r="P982">
        <v>0</v>
      </c>
      <c r="Q982" t="s">
        <v>584</v>
      </c>
      <c r="R982">
        <v>0</v>
      </c>
      <c r="S982">
        <v>0</v>
      </c>
      <c r="T982">
        <v>1</v>
      </c>
      <c r="U982">
        <v>0</v>
      </c>
      <c r="V982">
        <v>0</v>
      </c>
      <c r="W982">
        <v>0</v>
      </c>
      <c r="X982">
        <v>0</v>
      </c>
      <c r="Y982">
        <v>0</v>
      </c>
      <c r="Z982">
        <v>0</v>
      </c>
      <c r="AL982" t="s">
        <v>107</v>
      </c>
      <c r="AM982" t="s">
        <v>87</v>
      </c>
      <c r="AN982" t="s">
        <v>87</v>
      </c>
      <c r="AO982" t="s">
        <v>74</v>
      </c>
      <c r="AP982" t="s">
        <v>74</v>
      </c>
      <c r="AQ982" t="s">
        <v>74</v>
      </c>
      <c r="AR982" t="s">
        <v>101</v>
      </c>
      <c r="AS982" t="s">
        <v>278</v>
      </c>
      <c r="AT982" t="s">
        <v>107</v>
      </c>
      <c r="AU982">
        <v>0</v>
      </c>
      <c r="AV982">
        <v>0</v>
      </c>
      <c r="AW982">
        <v>0</v>
      </c>
      <c r="AX982">
        <v>1</v>
      </c>
      <c r="AY982">
        <v>0</v>
      </c>
      <c r="AZ982" t="s">
        <v>578</v>
      </c>
    </row>
    <row r="983" spans="1:52" x14ac:dyDescent="0.2">
      <c r="A983">
        <v>0</v>
      </c>
      <c r="B983">
        <v>1</v>
      </c>
      <c r="C983">
        <v>0</v>
      </c>
      <c r="D983">
        <v>0</v>
      </c>
      <c r="E983">
        <v>1</v>
      </c>
      <c r="F983">
        <v>0</v>
      </c>
      <c r="G983">
        <v>0</v>
      </c>
      <c r="H983">
        <v>0</v>
      </c>
      <c r="I983">
        <v>0</v>
      </c>
      <c r="L983">
        <v>1</v>
      </c>
      <c r="M983">
        <v>0</v>
      </c>
      <c r="N983">
        <v>0</v>
      </c>
      <c r="O983">
        <v>0</v>
      </c>
      <c r="P983">
        <v>0</v>
      </c>
      <c r="Q983" t="s">
        <v>584</v>
      </c>
      <c r="R983">
        <v>0</v>
      </c>
      <c r="S983">
        <v>0</v>
      </c>
      <c r="T983">
        <v>0</v>
      </c>
      <c r="U983">
        <v>0</v>
      </c>
      <c r="V983">
        <v>0</v>
      </c>
      <c r="W983">
        <v>0</v>
      </c>
      <c r="X983">
        <v>1</v>
      </c>
      <c r="Y983">
        <v>0</v>
      </c>
      <c r="Z983">
        <v>0</v>
      </c>
      <c r="AL983" t="s">
        <v>73</v>
      </c>
      <c r="AM983" t="s">
        <v>87</v>
      </c>
      <c r="AN983" t="s">
        <v>87</v>
      </c>
      <c r="AO983" t="s">
        <v>87</v>
      </c>
      <c r="AP983" t="s">
        <v>87</v>
      </c>
      <c r="AQ983" t="s">
        <v>86</v>
      </c>
      <c r="AR983" t="s">
        <v>75</v>
      </c>
      <c r="AS983" t="s">
        <v>92</v>
      </c>
      <c r="AT983" t="s">
        <v>73</v>
      </c>
      <c r="AU983">
        <v>0</v>
      </c>
      <c r="AV983">
        <v>0</v>
      </c>
      <c r="AW983">
        <v>0</v>
      </c>
      <c r="AX983">
        <v>1</v>
      </c>
      <c r="AY983">
        <v>0</v>
      </c>
      <c r="AZ983" t="s">
        <v>579</v>
      </c>
    </row>
    <row r="984" spans="1:52" x14ac:dyDescent="0.2">
      <c r="A984">
        <v>0</v>
      </c>
      <c r="B984">
        <v>1</v>
      </c>
      <c r="C984">
        <v>0</v>
      </c>
      <c r="D984">
        <v>0</v>
      </c>
      <c r="E984">
        <v>0</v>
      </c>
      <c r="F984">
        <v>1</v>
      </c>
      <c r="G984">
        <v>0</v>
      </c>
      <c r="H984">
        <v>0</v>
      </c>
      <c r="I984">
        <v>0</v>
      </c>
      <c r="J984" t="s">
        <v>79</v>
      </c>
      <c r="K984" t="s">
        <v>80</v>
      </c>
      <c r="L984">
        <v>0</v>
      </c>
      <c r="M984">
        <v>1</v>
      </c>
      <c r="N984">
        <v>0</v>
      </c>
      <c r="O984">
        <v>0</v>
      </c>
      <c r="P984">
        <v>0</v>
      </c>
      <c r="Q984" t="s">
        <v>584</v>
      </c>
      <c r="AA984" t="s">
        <v>83</v>
      </c>
      <c r="AB984" t="s">
        <v>82</v>
      </c>
      <c r="AC984" t="s">
        <v>81</v>
      </c>
      <c r="AD984" t="s">
        <v>82</v>
      </c>
      <c r="AE984" t="s">
        <v>81</v>
      </c>
      <c r="AF984" t="s">
        <v>83</v>
      </c>
      <c r="AG984" t="s">
        <v>90</v>
      </c>
      <c r="AH984" t="s">
        <v>83</v>
      </c>
      <c r="AI984" t="s">
        <v>135</v>
      </c>
      <c r="AJ984" t="s">
        <v>89</v>
      </c>
      <c r="AK984" t="s">
        <v>85</v>
      </c>
      <c r="AL984" t="s">
        <v>107</v>
      </c>
      <c r="AM984" t="s">
        <v>86</v>
      </c>
      <c r="AN984" t="s">
        <v>87</v>
      </c>
      <c r="AO984" t="s">
        <v>87</v>
      </c>
      <c r="AP984" t="s">
        <v>86</v>
      </c>
      <c r="AQ984" t="s">
        <v>87</v>
      </c>
      <c r="AR984" t="s">
        <v>75</v>
      </c>
      <c r="AS984" t="s">
        <v>76</v>
      </c>
      <c r="AT984" t="s">
        <v>107</v>
      </c>
      <c r="AU984">
        <v>0</v>
      </c>
      <c r="AV984">
        <v>0</v>
      </c>
      <c r="AW984">
        <v>0</v>
      </c>
      <c r="AX984">
        <v>1</v>
      </c>
      <c r="AY984">
        <v>0</v>
      </c>
      <c r="AZ984" t="s">
        <v>579</v>
      </c>
    </row>
    <row r="985" spans="1:52" x14ac:dyDescent="0.2">
      <c r="A985">
        <v>0</v>
      </c>
      <c r="B985">
        <v>1</v>
      </c>
      <c r="C985">
        <v>0</v>
      </c>
      <c r="D985">
        <v>0</v>
      </c>
      <c r="E985">
        <v>0</v>
      </c>
      <c r="F985">
        <v>0</v>
      </c>
      <c r="G985">
        <v>0</v>
      </c>
      <c r="H985">
        <v>1</v>
      </c>
      <c r="I985">
        <v>0</v>
      </c>
      <c r="J985" t="s">
        <v>88</v>
      </c>
      <c r="K985" t="s">
        <v>89</v>
      </c>
      <c r="L985">
        <v>1</v>
      </c>
      <c r="M985">
        <v>0</v>
      </c>
      <c r="N985">
        <v>0</v>
      </c>
      <c r="O985">
        <v>0</v>
      </c>
      <c r="P985">
        <v>0</v>
      </c>
      <c r="Q985" t="s">
        <v>584</v>
      </c>
      <c r="R985">
        <v>0</v>
      </c>
      <c r="S985">
        <v>1</v>
      </c>
      <c r="T985">
        <v>0</v>
      </c>
      <c r="U985">
        <v>0</v>
      </c>
      <c r="V985">
        <v>0</v>
      </c>
      <c r="W985">
        <v>0</v>
      </c>
      <c r="X985">
        <v>0</v>
      </c>
      <c r="Y985">
        <v>0</v>
      </c>
      <c r="Z985">
        <v>0</v>
      </c>
      <c r="AL985" t="s">
        <v>73</v>
      </c>
      <c r="AM985" t="s">
        <v>74</v>
      </c>
      <c r="AR985" t="s">
        <v>75</v>
      </c>
      <c r="AS985" t="s">
        <v>92</v>
      </c>
      <c r="AT985" t="s">
        <v>73</v>
      </c>
      <c r="AU985">
        <v>0</v>
      </c>
      <c r="AV985">
        <v>0</v>
      </c>
      <c r="AW985">
        <v>0</v>
      </c>
      <c r="AX985">
        <v>1</v>
      </c>
      <c r="AY985">
        <v>0</v>
      </c>
      <c r="AZ985" t="s">
        <v>579</v>
      </c>
    </row>
    <row r="986" spans="1:52" x14ac:dyDescent="0.2">
      <c r="A986">
        <v>1</v>
      </c>
      <c r="B986">
        <v>0</v>
      </c>
      <c r="C986">
        <v>0</v>
      </c>
      <c r="D986">
        <v>0</v>
      </c>
      <c r="E986">
        <v>1</v>
      </c>
      <c r="F986">
        <v>0</v>
      </c>
      <c r="G986">
        <v>0</v>
      </c>
      <c r="H986">
        <v>0</v>
      </c>
      <c r="I986">
        <v>0</v>
      </c>
      <c r="L986">
        <v>1</v>
      </c>
      <c r="M986">
        <v>0</v>
      </c>
      <c r="N986">
        <v>0</v>
      </c>
      <c r="O986">
        <v>0</v>
      </c>
      <c r="P986">
        <v>0</v>
      </c>
      <c r="Q986" t="s">
        <v>584</v>
      </c>
      <c r="R986">
        <v>0</v>
      </c>
      <c r="S986">
        <v>0</v>
      </c>
      <c r="T986">
        <v>1</v>
      </c>
      <c r="U986">
        <v>0</v>
      </c>
      <c r="V986">
        <v>0</v>
      </c>
      <c r="W986">
        <v>0</v>
      </c>
      <c r="X986">
        <v>0</v>
      </c>
      <c r="Y986">
        <v>0</v>
      </c>
      <c r="Z986">
        <v>0</v>
      </c>
      <c r="AL986" t="s">
        <v>73</v>
      </c>
      <c r="AM986" t="s">
        <v>86</v>
      </c>
      <c r="AN986" t="s">
        <v>87</v>
      </c>
      <c r="AO986" t="s">
        <v>87</v>
      </c>
      <c r="AP986" t="s">
        <v>87</v>
      </c>
      <c r="AQ986" t="s">
        <v>87</v>
      </c>
      <c r="AR986" t="s">
        <v>159</v>
      </c>
      <c r="AS986" t="s">
        <v>76</v>
      </c>
      <c r="AT986" t="s">
        <v>73</v>
      </c>
      <c r="AU986">
        <v>0</v>
      </c>
      <c r="AV986">
        <v>0</v>
      </c>
      <c r="AW986">
        <v>0</v>
      </c>
      <c r="AX986">
        <v>1</v>
      </c>
      <c r="AY986">
        <v>0</v>
      </c>
      <c r="AZ986" t="s">
        <v>578</v>
      </c>
    </row>
    <row r="987" spans="1:52" x14ac:dyDescent="0.2">
      <c r="A987">
        <v>1</v>
      </c>
      <c r="B987">
        <v>0</v>
      </c>
      <c r="C987">
        <v>0</v>
      </c>
      <c r="D987">
        <v>0</v>
      </c>
      <c r="E987">
        <v>1</v>
      </c>
      <c r="F987">
        <v>0</v>
      </c>
      <c r="G987">
        <v>0</v>
      </c>
      <c r="H987">
        <v>0</v>
      </c>
      <c r="I987">
        <v>0</v>
      </c>
      <c r="L987">
        <v>0</v>
      </c>
      <c r="M987">
        <v>0</v>
      </c>
      <c r="N987">
        <v>1</v>
      </c>
      <c r="O987">
        <v>0</v>
      </c>
      <c r="P987">
        <v>0</v>
      </c>
      <c r="Q987" t="s">
        <v>584</v>
      </c>
      <c r="AA987" t="s">
        <v>83</v>
      </c>
      <c r="AB987" t="s">
        <v>83</v>
      </c>
      <c r="AC987" t="s">
        <v>83</v>
      </c>
      <c r="AD987" t="s">
        <v>83</v>
      </c>
      <c r="AE987" t="s">
        <v>82</v>
      </c>
      <c r="AF987" t="s">
        <v>83</v>
      </c>
      <c r="AG987" t="s">
        <v>83</v>
      </c>
      <c r="AH987" t="s">
        <v>83</v>
      </c>
      <c r="AI987" t="s">
        <v>88</v>
      </c>
      <c r="AJ987" t="s">
        <v>89</v>
      </c>
      <c r="AK987" t="s">
        <v>85</v>
      </c>
      <c r="AL987" t="s">
        <v>107</v>
      </c>
      <c r="AM987" t="s">
        <v>74</v>
      </c>
      <c r="AR987" t="s">
        <v>159</v>
      </c>
      <c r="AS987" t="s">
        <v>76</v>
      </c>
      <c r="AT987" t="s">
        <v>107</v>
      </c>
      <c r="AU987">
        <v>0</v>
      </c>
      <c r="AV987">
        <v>0</v>
      </c>
      <c r="AW987">
        <v>0</v>
      </c>
      <c r="AX987">
        <v>1</v>
      </c>
      <c r="AY987">
        <v>0</v>
      </c>
      <c r="AZ987" t="s">
        <v>579</v>
      </c>
    </row>
    <row r="988" spans="1:52" x14ac:dyDescent="0.2">
      <c r="A988">
        <v>1</v>
      </c>
      <c r="B988">
        <v>0</v>
      </c>
      <c r="C988">
        <v>0</v>
      </c>
      <c r="D988">
        <v>0</v>
      </c>
      <c r="E988">
        <v>1</v>
      </c>
      <c r="F988">
        <v>0</v>
      </c>
      <c r="G988">
        <v>0</v>
      </c>
      <c r="H988">
        <v>0</v>
      </c>
      <c r="I988">
        <v>0</v>
      </c>
      <c r="L988">
        <v>1</v>
      </c>
      <c r="M988">
        <v>0</v>
      </c>
      <c r="N988">
        <v>0</v>
      </c>
      <c r="O988">
        <v>0</v>
      </c>
      <c r="P988">
        <v>0</v>
      </c>
      <c r="Q988" t="s">
        <v>584</v>
      </c>
      <c r="R988">
        <v>0</v>
      </c>
      <c r="S988">
        <v>0</v>
      </c>
      <c r="T988">
        <v>1</v>
      </c>
      <c r="U988">
        <v>0</v>
      </c>
      <c r="V988">
        <v>0</v>
      </c>
      <c r="W988">
        <v>0</v>
      </c>
      <c r="X988">
        <v>0</v>
      </c>
      <c r="Y988">
        <v>0</v>
      </c>
      <c r="Z988">
        <v>0</v>
      </c>
      <c r="AL988" t="s">
        <v>73</v>
      </c>
      <c r="AM988" t="s">
        <v>87</v>
      </c>
      <c r="AN988" t="s">
        <v>87</v>
      </c>
      <c r="AO988" t="s">
        <v>87</v>
      </c>
      <c r="AP988" t="s">
        <v>86</v>
      </c>
      <c r="AQ988" t="s">
        <v>74</v>
      </c>
      <c r="AR988" t="s">
        <v>75</v>
      </c>
      <c r="AS988" t="s">
        <v>76</v>
      </c>
      <c r="AT988" t="s">
        <v>73</v>
      </c>
      <c r="AU988">
        <v>1</v>
      </c>
      <c r="AV988">
        <v>0</v>
      </c>
      <c r="AW988">
        <v>0</v>
      </c>
      <c r="AX988">
        <v>0</v>
      </c>
      <c r="AY988">
        <v>0</v>
      </c>
      <c r="AZ988" t="s">
        <v>579</v>
      </c>
    </row>
    <row r="989" spans="1:52" x14ac:dyDescent="0.2">
      <c r="A989">
        <v>1</v>
      </c>
      <c r="B989">
        <v>0</v>
      </c>
      <c r="C989">
        <v>0</v>
      </c>
      <c r="D989">
        <v>0</v>
      </c>
      <c r="E989">
        <v>1</v>
      </c>
      <c r="F989">
        <v>0</v>
      </c>
      <c r="G989">
        <v>0</v>
      </c>
      <c r="H989">
        <v>0</v>
      </c>
      <c r="I989">
        <v>0</v>
      </c>
      <c r="L989">
        <v>1</v>
      </c>
      <c r="M989">
        <v>0</v>
      </c>
      <c r="N989">
        <v>0</v>
      </c>
      <c r="O989">
        <v>0</v>
      </c>
      <c r="P989">
        <v>0</v>
      </c>
      <c r="Q989" t="s">
        <v>584</v>
      </c>
      <c r="R989">
        <v>0</v>
      </c>
      <c r="S989">
        <v>0</v>
      </c>
      <c r="T989">
        <v>0</v>
      </c>
      <c r="U989">
        <v>0</v>
      </c>
      <c r="V989">
        <v>0</v>
      </c>
      <c r="W989">
        <v>0</v>
      </c>
      <c r="X989">
        <v>1</v>
      </c>
      <c r="Y989">
        <v>0</v>
      </c>
      <c r="Z989">
        <v>0</v>
      </c>
      <c r="AL989" t="s">
        <v>107</v>
      </c>
      <c r="AM989" t="s">
        <v>74</v>
      </c>
      <c r="AR989" t="s">
        <v>97</v>
      </c>
      <c r="AS989" t="s">
        <v>76</v>
      </c>
      <c r="AT989" t="s">
        <v>107</v>
      </c>
      <c r="AU989">
        <v>0</v>
      </c>
      <c r="AV989">
        <v>0</v>
      </c>
      <c r="AW989">
        <v>0</v>
      </c>
      <c r="AX989">
        <v>1</v>
      </c>
      <c r="AY989">
        <v>0</v>
      </c>
      <c r="AZ989" t="s">
        <v>580</v>
      </c>
    </row>
    <row r="990" spans="1:52" x14ac:dyDescent="0.2">
      <c r="A990">
        <v>0</v>
      </c>
      <c r="B990">
        <v>1</v>
      </c>
      <c r="C990">
        <v>0</v>
      </c>
      <c r="D990">
        <v>0</v>
      </c>
      <c r="E990">
        <v>1</v>
      </c>
      <c r="F990">
        <v>0</v>
      </c>
      <c r="G990">
        <v>0</v>
      </c>
      <c r="H990">
        <v>0</v>
      </c>
      <c r="I990">
        <v>0</v>
      </c>
      <c r="L990">
        <v>0</v>
      </c>
      <c r="M990">
        <v>0</v>
      </c>
      <c r="N990">
        <v>0</v>
      </c>
      <c r="O990">
        <v>0</v>
      </c>
      <c r="P990">
        <v>0</v>
      </c>
      <c r="Q990" t="s">
        <v>585</v>
      </c>
      <c r="AA990" t="s">
        <v>90</v>
      </c>
      <c r="AB990" t="s">
        <v>82</v>
      </c>
      <c r="AC990" t="s">
        <v>90</v>
      </c>
      <c r="AD990" t="s">
        <v>90</v>
      </c>
      <c r="AE990" t="s">
        <v>90</v>
      </c>
      <c r="AF990" t="s">
        <v>90</v>
      </c>
      <c r="AG990" t="s">
        <v>90</v>
      </c>
      <c r="AH990" t="s">
        <v>90</v>
      </c>
      <c r="AI990" t="s">
        <v>84</v>
      </c>
      <c r="AJ990" t="s">
        <v>80</v>
      </c>
      <c r="AK990" t="s">
        <v>153</v>
      </c>
      <c r="AL990" t="s">
        <v>107</v>
      </c>
      <c r="AM990" t="s">
        <v>86</v>
      </c>
      <c r="AN990" t="s">
        <v>87</v>
      </c>
      <c r="AO990" t="s">
        <v>87</v>
      </c>
      <c r="AP990" t="s">
        <v>87</v>
      </c>
      <c r="AQ990" t="s">
        <v>87</v>
      </c>
      <c r="AR990" t="s">
        <v>75</v>
      </c>
      <c r="AS990" t="s">
        <v>76</v>
      </c>
      <c r="AT990" t="s">
        <v>107</v>
      </c>
      <c r="AU990">
        <v>0</v>
      </c>
      <c r="AV990">
        <v>0</v>
      </c>
      <c r="AW990">
        <v>0</v>
      </c>
      <c r="AX990">
        <v>1</v>
      </c>
      <c r="AY990">
        <v>0</v>
      </c>
      <c r="AZ990" t="s">
        <v>579</v>
      </c>
    </row>
    <row r="991" spans="1:52" x14ac:dyDescent="0.2">
      <c r="A991">
        <v>1</v>
      </c>
      <c r="B991">
        <v>1</v>
      </c>
      <c r="C991">
        <v>0</v>
      </c>
      <c r="D991">
        <v>0</v>
      </c>
      <c r="E991">
        <v>0</v>
      </c>
      <c r="F991">
        <v>0</v>
      </c>
      <c r="G991">
        <v>0</v>
      </c>
      <c r="H991">
        <v>1</v>
      </c>
      <c r="I991">
        <v>0</v>
      </c>
      <c r="J991" t="s">
        <v>135</v>
      </c>
      <c r="K991" t="s">
        <v>80</v>
      </c>
      <c r="L991">
        <v>1</v>
      </c>
      <c r="M991">
        <v>0</v>
      </c>
      <c r="N991">
        <v>0</v>
      </c>
      <c r="O991">
        <v>0</v>
      </c>
      <c r="P991">
        <v>0</v>
      </c>
      <c r="Q991" t="s">
        <v>584</v>
      </c>
      <c r="R991">
        <v>0</v>
      </c>
      <c r="S991">
        <v>0</v>
      </c>
      <c r="T991">
        <v>0</v>
      </c>
      <c r="U991">
        <v>0</v>
      </c>
      <c r="V991">
        <v>0</v>
      </c>
      <c r="W991">
        <v>0</v>
      </c>
      <c r="X991">
        <v>0</v>
      </c>
      <c r="Y991">
        <v>1</v>
      </c>
      <c r="Z991">
        <v>0</v>
      </c>
      <c r="AL991" t="s">
        <v>107</v>
      </c>
      <c r="AM991" t="s">
        <v>86</v>
      </c>
      <c r="AN991" t="s">
        <v>86</v>
      </c>
      <c r="AO991" t="s">
        <v>86</v>
      </c>
      <c r="AP991" t="s">
        <v>86</v>
      </c>
      <c r="AQ991" t="s">
        <v>86</v>
      </c>
      <c r="AR991" t="s">
        <v>108</v>
      </c>
      <c r="AS991" t="s">
        <v>225</v>
      </c>
      <c r="AT991" t="s">
        <v>107</v>
      </c>
      <c r="AU991">
        <v>0</v>
      </c>
      <c r="AV991">
        <v>0</v>
      </c>
      <c r="AW991">
        <v>0</v>
      </c>
      <c r="AX991">
        <v>0</v>
      </c>
      <c r="AY991">
        <v>1</v>
      </c>
      <c r="AZ991" t="s">
        <v>579</v>
      </c>
    </row>
    <row r="992" spans="1:52" x14ac:dyDescent="0.2">
      <c r="A992">
        <v>0</v>
      </c>
      <c r="B992">
        <v>0</v>
      </c>
      <c r="C992">
        <v>1</v>
      </c>
      <c r="D992">
        <v>0</v>
      </c>
      <c r="E992">
        <v>1</v>
      </c>
      <c r="F992">
        <v>0</v>
      </c>
      <c r="G992">
        <v>0</v>
      </c>
      <c r="H992">
        <v>0</v>
      </c>
      <c r="I992">
        <v>0</v>
      </c>
      <c r="L992">
        <v>1</v>
      </c>
      <c r="M992">
        <v>0</v>
      </c>
      <c r="N992">
        <v>0</v>
      </c>
      <c r="O992">
        <v>0</v>
      </c>
      <c r="P992">
        <v>0</v>
      </c>
      <c r="Q992" t="s">
        <v>584</v>
      </c>
      <c r="R992">
        <v>0</v>
      </c>
      <c r="S992">
        <v>0</v>
      </c>
      <c r="T992">
        <v>0</v>
      </c>
      <c r="U992">
        <v>0</v>
      </c>
      <c r="V992">
        <v>0</v>
      </c>
      <c r="W992">
        <v>0</v>
      </c>
      <c r="X992">
        <v>1</v>
      </c>
      <c r="Y992">
        <v>1</v>
      </c>
      <c r="Z992">
        <v>1</v>
      </c>
      <c r="AL992" t="s">
        <v>73</v>
      </c>
      <c r="AM992" t="s">
        <v>74</v>
      </c>
      <c r="AR992" t="s">
        <v>101</v>
      </c>
      <c r="AS992" t="s">
        <v>92</v>
      </c>
      <c r="AT992" t="s">
        <v>73</v>
      </c>
      <c r="AU992">
        <v>0</v>
      </c>
      <c r="AV992">
        <v>0</v>
      </c>
      <c r="AW992">
        <v>0</v>
      </c>
      <c r="AX992">
        <v>1</v>
      </c>
      <c r="AY992">
        <v>0</v>
      </c>
      <c r="AZ992" t="s">
        <v>580</v>
      </c>
    </row>
    <row r="993" spans="1:52" x14ac:dyDescent="0.2">
      <c r="A993">
        <v>1</v>
      </c>
      <c r="B993">
        <v>0</v>
      </c>
      <c r="C993">
        <v>0</v>
      </c>
      <c r="D993">
        <v>0</v>
      </c>
      <c r="E993">
        <v>0</v>
      </c>
      <c r="F993">
        <v>1</v>
      </c>
      <c r="G993">
        <v>1</v>
      </c>
      <c r="H993">
        <v>0</v>
      </c>
      <c r="I993">
        <v>0</v>
      </c>
      <c r="J993" t="s">
        <v>135</v>
      </c>
      <c r="K993" t="s">
        <v>80</v>
      </c>
      <c r="L993">
        <v>0</v>
      </c>
      <c r="M993">
        <v>0</v>
      </c>
      <c r="N993">
        <v>0</v>
      </c>
      <c r="O993">
        <v>0</v>
      </c>
      <c r="P993">
        <v>0</v>
      </c>
      <c r="Q993" t="s">
        <v>585</v>
      </c>
      <c r="AA993" t="s">
        <v>81</v>
      </c>
      <c r="AB993" t="s">
        <v>82</v>
      </c>
      <c r="AC993" t="s">
        <v>90</v>
      </c>
      <c r="AD993" t="s">
        <v>81</v>
      </c>
      <c r="AE993" t="s">
        <v>82</v>
      </c>
      <c r="AF993" t="s">
        <v>81</v>
      </c>
      <c r="AG993" t="s">
        <v>81</v>
      </c>
      <c r="AH993" t="s">
        <v>90</v>
      </c>
      <c r="AI993" t="s">
        <v>135</v>
      </c>
      <c r="AJ993" t="s">
        <v>80</v>
      </c>
      <c r="AK993" t="s">
        <v>85</v>
      </c>
      <c r="AL993" t="s">
        <v>73</v>
      </c>
      <c r="AM993" t="s">
        <v>74</v>
      </c>
      <c r="AR993" t="s">
        <v>75</v>
      </c>
      <c r="AS993" t="s">
        <v>76</v>
      </c>
      <c r="AT993" t="s">
        <v>73</v>
      </c>
      <c r="AU993">
        <v>0</v>
      </c>
      <c r="AV993">
        <v>0</v>
      </c>
      <c r="AW993">
        <v>0</v>
      </c>
      <c r="AX993">
        <v>1</v>
      </c>
      <c r="AY993">
        <v>0</v>
      </c>
      <c r="AZ993" t="s">
        <v>579</v>
      </c>
    </row>
    <row r="994" spans="1:52" x14ac:dyDescent="0.2">
      <c r="A994">
        <v>1</v>
      </c>
      <c r="B994">
        <v>0</v>
      </c>
      <c r="C994">
        <v>0</v>
      </c>
      <c r="D994">
        <v>0</v>
      </c>
      <c r="E994">
        <v>0</v>
      </c>
      <c r="F994">
        <v>1</v>
      </c>
      <c r="G994">
        <v>0</v>
      </c>
      <c r="H994">
        <v>0</v>
      </c>
      <c r="I994">
        <v>0</v>
      </c>
      <c r="J994" t="s">
        <v>135</v>
      </c>
      <c r="K994" t="s">
        <v>142</v>
      </c>
      <c r="L994">
        <v>0</v>
      </c>
      <c r="M994">
        <v>0</v>
      </c>
      <c r="N994">
        <v>1</v>
      </c>
      <c r="O994">
        <v>0</v>
      </c>
      <c r="P994">
        <v>0</v>
      </c>
      <c r="Q994" t="s">
        <v>584</v>
      </c>
      <c r="AA994" t="s">
        <v>83</v>
      </c>
      <c r="AB994" t="s">
        <v>82</v>
      </c>
      <c r="AC994" t="s">
        <v>83</v>
      </c>
      <c r="AD994" t="s">
        <v>82</v>
      </c>
      <c r="AE994" t="s">
        <v>82</v>
      </c>
      <c r="AF994" t="s">
        <v>83</v>
      </c>
      <c r="AG994" t="s">
        <v>81</v>
      </c>
      <c r="AH994" t="s">
        <v>83</v>
      </c>
      <c r="AI994" t="s">
        <v>135</v>
      </c>
      <c r="AJ994" t="s">
        <v>89</v>
      </c>
      <c r="AK994" t="s">
        <v>85</v>
      </c>
      <c r="AL994" t="s">
        <v>107</v>
      </c>
      <c r="AM994" t="s">
        <v>86</v>
      </c>
      <c r="AN994" t="s">
        <v>86</v>
      </c>
      <c r="AO994" t="s">
        <v>86</v>
      </c>
      <c r="AP994" t="s">
        <v>74</v>
      </c>
      <c r="AQ994" t="s">
        <v>86</v>
      </c>
      <c r="AR994" t="s">
        <v>75</v>
      </c>
      <c r="AS994" t="s">
        <v>76</v>
      </c>
      <c r="AT994" t="s">
        <v>107</v>
      </c>
      <c r="AU994">
        <v>0</v>
      </c>
      <c r="AV994">
        <v>0</v>
      </c>
      <c r="AW994">
        <v>0</v>
      </c>
      <c r="AX994">
        <v>1</v>
      </c>
      <c r="AY994">
        <v>0</v>
      </c>
      <c r="AZ994" t="s">
        <v>579</v>
      </c>
    </row>
    <row r="995" spans="1:52" x14ac:dyDescent="0.2">
      <c r="A995">
        <v>1</v>
      </c>
      <c r="B995">
        <v>0</v>
      </c>
      <c r="C995">
        <v>0</v>
      </c>
      <c r="D995">
        <v>0</v>
      </c>
      <c r="E995">
        <v>1</v>
      </c>
      <c r="F995">
        <v>0</v>
      </c>
      <c r="G995">
        <v>0</v>
      </c>
      <c r="H995">
        <v>0</v>
      </c>
      <c r="I995">
        <v>0</v>
      </c>
      <c r="L995">
        <v>1</v>
      </c>
      <c r="M995">
        <v>0</v>
      </c>
      <c r="N995">
        <v>0</v>
      </c>
      <c r="O995">
        <v>0</v>
      </c>
      <c r="P995">
        <v>0</v>
      </c>
      <c r="Q995" t="s">
        <v>584</v>
      </c>
      <c r="R995">
        <v>0</v>
      </c>
      <c r="S995">
        <v>0</v>
      </c>
      <c r="T995">
        <v>0</v>
      </c>
      <c r="U995">
        <v>0</v>
      </c>
      <c r="V995">
        <v>0</v>
      </c>
      <c r="W995">
        <v>0</v>
      </c>
      <c r="X995">
        <v>1</v>
      </c>
      <c r="Y995">
        <v>0</v>
      </c>
      <c r="Z995">
        <v>0</v>
      </c>
      <c r="AL995" t="s">
        <v>107</v>
      </c>
      <c r="AM995" t="s">
        <v>74</v>
      </c>
      <c r="AR995" t="s">
        <v>75</v>
      </c>
      <c r="AS995" t="s">
        <v>76</v>
      </c>
      <c r="AT995" t="s">
        <v>107</v>
      </c>
      <c r="AU995">
        <v>0</v>
      </c>
      <c r="AV995">
        <v>0</v>
      </c>
      <c r="AW995">
        <v>0</v>
      </c>
      <c r="AX995">
        <v>1</v>
      </c>
      <c r="AY995">
        <v>0</v>
      </c>
      <c r="AZ995" t="s">
        <v>579</v>
      </c>
    </row>
    <row r="996" spans="1:52" x14ac:dyDescent="0.2">
      <c r="A996">
        <v>1</v>
      </c>
      <c r="B996">
        <v>0</v>
      </c>
      <c r="C996">
        <v>0</v>
      </c>
      <c r="D996">
        <v>0</v>
      </c>
      <c r="E996">
        <v>1</v>
      </c>
      <c r="F996">
        <v>0</v>
      </c>
      <c r="G996">
        <v>0</v>
      </c>
      <c r="H996">
        <v>0</v>
      </c>
      <c r="I996">
        <v>0</v>
      </c>
      <c r="L996">
        <v>0</v>
      </c>
      <c r="M996">
        <v>0</v>
      </c>
      <c r="N996">
        <v>1</v>
      </c>
      <c r="O996">
        <v>0</v>
      </c>
      <c r="P996">
        <v>0</v>
      </c>
      <c r="Q996" t="s">
        <v>584</v>
      </c>
      <c r="AA996" t="s">
        <v>90</v>
      </c>
      <c r="AB996" t="s">
        <v>90</v>
      </c>
      <c r="AC996" t="s">
        <v>90</v>
      </c>
      <c r="AD996" t="s">
        <v>90</v>
      </c>
      <c r="AE996" t="s">
        <v>82</v>
      </c>
      <c r="AF996" t="s">
        <v>90</v>
      </c>
      <c r="AG996" t="s">
        <v>90</v>
      </c>
      <c r="AH996" t="s">
        <v>90</v>
      </c>
      <c r="AI996" t="s">
        <v>135</v>
      </c>
      <c r="AJ996" t="s">
        <v>80</v>
      </c>
      <c r="AK996" t="s">
        <v>85</v>
      </c>
      <c r="AL996" t="s">
        <v>107</v>
      </c>
      <c r="AM996" t="s">
        <v>87</v>
      </c>
      <c r="AN996" t="s">
        <v>87</v>
      </c>
      <c r="AO996" t="s">
        <v>87</v>
      </c>
      <c r="AP996" t="s">
        <v>87</v>
      </c>
      <c r="AQ996" t="s">
        <v>87</v>
      </c>
      <c r="AR996" t="s">
        <v>75</v>
      </c>
      <c r="AS996" t="s">
        <v>76</v>
      </c>
      <c r="AT996" t="s">
        <v>107</v>
      </c>
      <c r="AU996">
        <v>0</v>
      </c>
      <c r="AV996">
        <v>0</v>
      </c>
      <c r="AW996">
        <v>0</v>
      </c>
      <c r="AX996">
        <v>1</v>
      </c>
      <c r="AY996">
        <v>0</v>
      </c>
      <c r="AZ996" t="s">
        <v>578</v>
      </c>
    </row>
    <row r="997" spans="1:52" x14ac:dyDescent="0.2">
      <c r="A997">
        <v>0</v>
      </c>
      <c r="B997">
        <v>1</v>
      </c>
      <c r="C997">
        <v>0</v>
      </c>
      <c r="D997">
        <v>0</v>
      </c>
      <c r="E997">
        <v>1</v>
      </c>
      <c r="F997">
        <v>0</v>
      </c>
      <c r="G997">
        <v>0</v>
      </c>
      <c r="H997">
        <v>0</v>
      </c>
      <c r="I997">
        <v>0</v>
      </c>
      <c r="L997">
        <v>1</v>
      </c>
      <c r="M997">
        <v>0</v>
      </c>
      <c r="N997">
        <v>0</v>
      </c>
      <c r="O997">
        <v>0</v>
      </c>
      <c r="P997">
        <v>0</v>
      </c>
      <c r="Q997" t="s">
        <v>584</v>
      </c>
      <c r="R997">
        <v>0</v>
      </c>
      <c r="S997">
        <v>0</v>
      </c>
      <c r="T997">
        <v>0</v>
      </c>
      <c r="U997">
        <v>0</v>
      </c>
      <c r="V997">
        <v>0</v>
      </c>
      <c r="W997">
        <v>0</v>
      </c>
      <c r="X997">
        <v>1</v>
      </c>
      <c r="Y997">
        <v>0</v>
      </c>
      <c r="Z997">
        <v>0</v>
      </c>
      <c r="AL997" t="s">
        <v>120</v>
      </c>
      <c r="AM997" t="s">
        <v>74</v>
      </c>
      <c r="AR997" t="s">
        <v>101</v>
      </c>
      <c r="AS997" t="s">
        <v>92</v>
      </c>
      <c r="AT997" t="s">
        <v>120</v>
      </c>
      <c r="AU997">
        <v>0</v>
      </c>
      <c r="AV997">
        <v>0</v>
      </c>
      <c r="AW997">
        <v>0</v>
      </c>
      <c r="AX997">
        <v>1</v>
      </c>
      <c r="AY997">
        <v>0</v>
      </c>
      <c r="AZ997" t="s">
        <v>579</v>
      </c>
    </row>
    <row r="998" spans="1:52" x14ac:dyDescent="0.2">
      <c r="A998">
        <v>1</v>
      </c>
      <c r="B998">
        <v>0</v>
      </c>
      <c r="C998">
        <v>0</v>
      </c>
      <c r="D998">
        <v>0</v>
      </c>
      <c r="E998">
        <v>1</v>
      </c>
      <c r="F998">
        <v>0</v>
      </c>
      <c r="G998">
        <v>0</v>
      </c>
      <c r="H998">
        <v>0</v>
      </c>
      <c r="I998">
        <v>0</v>
      </c>
      <c r="L998">
        <v>0</v>
      </c>
      <c r="M998">
        <v>1</v>
      </c>
      <c r="N998">
        <v>0</v>
      </c>
      <c r="O998">
        <v>0</v>
      </c>
      <c r="P998">
        <v>0</v>
      </c>
      <c r="Q998" t="s">
        <v>584</v>
      </c>
      <c r="AA998" t="s">
        <v>83</v>
      </c>
      <c r="AB998" t="s">
        <v>82</v>
      </c>
      <c r="AC998" t="s">
        <v>82</v>
      </c>
      <c r="AD998" t="s">
        <v>82</v>
      </c>
      <c r="AE998" t="s">
        <v>81</v>
      </c>
      <c r="AF998" t="s">
        <v>83</v>
      </c>
      <c r="AG998" t="s">
        <v>83</v>
      </c>
      <c r="AH998" t="s">
        <v>83</v>
      </c>
      <c r="AI998" t="s">
        <v>88</v>
      </c>
      <c r="AJ998" t="s">
        <v>89</v>
      </c>
      <c r="AK998" t="s">
        <v>100</v>
      </c>
      <c r="AL998" t="s">
        <v>96</v>
      </c>
      <c r="AM998" t="s">
        <v>87</v>
      </c>
      <c r="AN998" t="s">
        <v>87</v>
      </c>
      <c r="AO998" t="s">
        <v>87</v>
      </c>
      <c r="AP998" t="s">
        <v>87</v>
      </c>
      <c r="AQ998" t="s">
        <v>87</v>
      </c>
      <c r="AR998" t="s">
        <v>75</v>
      </c>
      <c r="AS998" t="s">
        <v>76</v>
      </c>
      <c r="AT998" t="s">
        <v>96</v>
      </c>
      <c r="AU998">
        <v>0</v>
      </c>
      <c r="AV998">
        <v>0</v>
      </c>
      <c r="AW998">
        <v>0</v>
      </c>
      <c r="AX998">
        <v>1</v>
      </c>
      <c r="AY998">
        <v>0</v>
      </c>
      <c r="AZ998" t="s">
        <v>579</v>
      </c>
    </row>
    <row r="999" spans="1:52" x14ac:dyDescent="0.2">
      <c r="A999">
        <v>0</v>
      </c>
      <c r="B999">
        <v>1</v>
      </c>
      <c r="C999">
        <v>0</v>
      </c>
      <c r="D999">
        <v>0</v>
      </c>
      <c r="E999">
        <v>1</v>
      </c>
      <c r="F999">
        <v>0</v>
      </c>
      <c r="G999">
        <v>0</v>
      </c>
      <c r="H999">
        <v>0</v>
      </c>
      <c r="I999">
        <v>0</v>
      </c>
      <c r="L999">
        <v>0</v>
      </c>
      <c r="M999">
        <v>0</v>
      </c>
      <c r="N999">
        <v>0</v>
      </c>
      <c r="O999">
        <v>0</v>
      </c>
      <c r="P999">
        <v>1</v>
      </c>
      <c r="Q999" t="s">
        <v>584</v>
      </c>
      <c r="AA999" t="s">
        <v>83</v>
      </c>
      <c r="AB999" t="s">
        <v>81</v>
      </c>
      <c r="AC999" t="s">
        <v>83</v>
      </c>
      <c r="AD999" t="s">
        <v>83</v>
      </c>
      <c r="AE999" t="s">
        <v>82</v>
      </c>
      <c r="AF999" t="s">
        <v>83</v>
      </c>
      <c r="AG999" t="s">
        <v>83</v>
      </c>
      <c r="AH999" t="s">
        <v>83</v>
      </c>
      <c r="AI999" t="s">
        <v>88</v>
      </c>
      <c r="AJ999" t="s">
        <v>80</v>
      </c>
      <c r="AK999" t="s">
        <v>85</v>
      </c>
      <c r="AL999" t="s">
        <v>73</v>
      </c>
      <c r="AM999" t="s">
        <v>87</v>
      </c>
      <c r="AN999" t="s">
        <v>87</v>
      </c>
      <c r="AO999" t="s">
        <v>87</v>
      </c>
      <c r="AP999" t="s">
        <v>87</v>
      </c>
      <c r="AQ999" t="s">
        <v>87</v>
      </c>
      <c r="AR999" t="s">
        <v>75</v>
      </c>
      <c r="AS999" t="s">
        <v>76</v>
      </c>
      <c r="AT999" t="s">
        <v>73</v>
      </c>
      <c r="AU999">
        <v>0</v>
      </c>
      <c r="AV999">
        <v>0</v>
      </c>
      <c r="AW999">
        <v>0</v>
      </c>
      <c r="AX999">
        <v>1</v>
      </c>
      <c r="AY999">
        <v>0</v>
      </c>
      <c r="AZ999" t="s">
        <v>579</v>
      </c>
    </row>
    <row r="1000" spans="1:52" x14ac:dyDescent="0.2">
      <c r="A1000">
        <v>1</v>
      </c>
      <c r="B1000">
        <v>0</v>
      </c>
      <c r="C1000">
        <v>0</v>
      </c>
      <c r="D1000">
        <v>0</v>
      </c>
      <c r="E1000">
        <v>0</v>
      </c>
      <c r="F1000">
        <v>1</v>
      </c>
      <c r="G1000">
        <v>0</v>
      </c>
      <c r="H1000">
        <v>0</v>
      </c>
      <c r="I1000">
        <v>0</v>
      </c>
      <c r="J1000" t="s">
        <v>135</v>
      </c>
      <c r="K1000" t="s">
        <v>127</v>
      </c>
      <c r="L1000">
        <v>1</v>
      </c>
      <c r="M1000">
        <v>0</v>
      </c>
      <c r="N1000">
        <v>0</v>
      </c>
      <c r="O1000">
        <v>0</v>
      </c>
      <c r="P1000">
        <v>0</v>
      </c>
      <c r="Q1000" t="s">
        <v>584</v>
      </c>
      <c r="R1000">
        <v>0</v>
      </c>
      <c r="S1000">
        <v>0</v>
      </c>
      <c r="T1000">
        <v>0</v>
      </c>
      <c r="U1000">
        <v>0</v>
      </c>
      <c r="V1000">
        <v>0</v>
      </c>
      <c r="W1000">
        <v>0</v>
      </c>
      <c r="X1000">
        <v>0</v>
      </c>
      <c r="Y1000">
        <v>1</v>
      </c>
      <c r="Z1000">
        <v>0</v>
      </c>
      <c r="AL1000" t="s">
        <v>107</v>
      </c>
      <c r="AM1000" t="s">
        <v>74</v>
      </c>
      <c r="AR1000" t="s">
        <v>75</v>
      </c>
      <c r="AS1000" t="s">
        <v>76</v>
      </c>
      <c r="AT1000" t="s">
        <v>107</v>
      </c>
      <c r="AU1000">
        <v>0</v>
      </c>
      <c r="AV1000">
        <v>0</v>
      </c>
      <c r="AW1000">
        <v>0</v>
      </c>
      <c r="AX1000">
        <v>1</v>
      </c>
      <c r="AY1000">
        <v>0</v>
      </c>
      <c r="AZ1000" t="s">
        <v>579</v>
      </c>
    </row>
    <row r="1001" spans="1:52" x14ac:dyDescent="0.2">
      <c r="A1001">
        <v>1</v>
      </c>
      <c r="B1001">
        <v>0</v>
      </c>
      <c r="C1001">
        <v>0</v>
      </c>
      <c r="D1001">
        <v>0</v>
      </c>
      <c r="E1001">
        <v>1</v>
      </c>
      <c r="F1001">
        <v>0</v>
      </c>
      <c r="G1001">
        <v>0</v>
      </c>
      <c r="H1001">
        <v>0</v>
      </c>
      <c r="I1001">
        <v>0</v>
      </c>
      <c r="L1001">
        <v>1</v>
      </c>
      <c r="M1001">
        <v>0</v>
      </c>
      <c r="N1001">
        <v>0</v>
      </c>
      <c r="O1001">
        <v>0</v>
      </c>
      <c r="P1001">
        <v>0</v>
      </c>
      <c r="Q1001" t="s">
        <v>584</v>
      </c>
      <c r="R1001">
        <v>0</v>
      </c>
      <c r="S1001">
        <v>1</v>
      </c>
      <c r="T1001">
        <v>0</v>
      </c>
      <c r="U1001">
        <v>0</v>
      </c>
      <c r="V1001">
        <v>0</v>
      </c>
      <c r="W1001">
        <v>0</v>
      </c>
      <c r="X1001">
        <v>0</v>
      </c>
      <c r="Y1001">
        <v>0</v>
      </c>
      <c r="Z1001">
        <v>0</v>
      </c>
      <c r="AL1001" t="s">
        <v>107</v>
      </c>
      <c r="AM1001" t="s">
        <v>74</v>
      </c>
      <c r="AR1001" t="s">
        <v>75</v>
      </c>
      <c r="AS1001" t="s">
        <v>92</v>
      </c>
      <c r="AT1001" t="s">
        <v>107</v>
      </c>
      <c r="AU1001">
        <v>0</v>
      </c>
      <c r="AV1001">
        <v>0</v>
      </c>
      <c r="AW1001">
        <v>0</v>
      </c>
      <c r="AX1001">
        <v>1</v>
      </c>
      <c r="AY1001">
        <v>0</v>
      </c>
      <c r="AZ1001" t="s">
        <v>579</v>
      </c>
    </row>
    <row r="1002" spans="1:52" x14ac:dyDescent="0.2">
      <c r="A1002">
        <v>1</v>
      </c>
      <c r="B1002">
        <v>0</v>
      </c>
      <c r="C1002">
        <v>0</v>
      </c>
      <c r="D1002">
        <v>0</v>
      </c>
      <c r="E1002">
        <v>0</v>
      </c>
      <c r="F1002">
        <v>1</v>
      </c>
      <c r="G1002">
        <v>1</v>
      </c>
      <c r="H1002">
        <v>0</v>
      </c>
      <c r="I1002">
        <v>1</v>
      </c>
      <c r="J1002" t="s">
        <v>135</v>
      </c>
      <c r="K1002" t="s">
        <v>223</v>
      </c>
      <c r="L1002">
        <v>0</v>
      </c>
      <c r="M1002">
        <v>0</v>
      </c>
      <c r="N1002">
        <v>1</v>
      </c>
      <c r="O1002">
        <v>0</v>
      </c>
      <c r="P1002">
        <v>0</v>
      </c>
      <c r="Q1002" t="s">
        <v>584</v>
      </c>
      <c r="AA1002" t="s">
        <v>83</v>
      </c>
      <c r="AB1002" t="s">
        <v>82</v>
      </c>
      <c r="AC1002" t="s">
        <v>83</v>
      </c>
      <c r="AD1002" t="s">
        <v>82</v>
      </c>
      <c r="AE1002" t="s">
        <v>82</v>
      </c>
      <c r="AF1002" t="s">
        <v>82</v>
      </c>
      <c r="AG1002" t="s">
        <v>83</v>
      </c>
      <c r="AH1002" t="s">
        <v>83</v>
      </c>
      <c r="AI1002" t="s">
        <v>88</v>
      </c>
      <c r="AJ1002" t="s">
        <v>89</v>
      </c>
      <c r="AK1002" t="s">
        <v>85</v>
      </c>
      <c r="AL1002" t="s">
        <v>73</v>
      </c>
      <c r="AM1002" t="s">
        <v>87</v>
      </c>
      <c r="AN1002" t="s">
        <v>87</v>
      </c>
      <c r="AO1002" t="s">
        <v>87</v>
      </c>
      <c r="AP1002" t="s">
        <v>74</v>
      </c>
      <c r="AQ1002" t="s">
        <v>87</v>
      </c>
      <c r="AR1002" t="s">
        <v>75</v>
      </c>
      <c r="AS1002" t="s">
        <v>76</v>
      </c>
      <c r="AT1002" t="s">
        <v>73</v>
      </c>
      <c r="AU1002">
        <v>0</v>
      </c>
      <c r="AV1002">
        <v>0</v>
      </c>
      <c r="AW1002">
        <v>0</v>
      </c>
      <c r="AX1002">
        <v>1</v>
      </c>
      <c r="AY1002">
        <v>0</v>
      </c>
      <c r="AZ1002" t="s">
        <v>579</v>
      </c>
    </row>
    <row r="1003" spans="1:52" x14ac:dyDescent="0.2">
      <c r="A1003">
        <v>1</v>
      </c>
      <c r="B1003">
        <v>0</v>
      </c>
      <c r="C1003">
        <v>0</v>
      </c>
      <c r="D1003">
        <v>0</v>
      </c>
      <c r="E1003">
        <v>0</v>
      </c>
      <c r="F1003">
        <v>1</v>
      </c>
      <c r="G1003">
        <v>0</v>
      </c>
      <c r="H1003">
        <v>0</v>
      </c>
      <c r="I1003">
        <v>0</v>
      </c>
      <c r="J1003" t="s">
        <v>88</v>
      </c>
      <c r="K1003" t="s">
        <v>89</v>
      </c>
      <c r="L1003">
        <v>0</v>
      </c>
      <c r="M1003">
        <v>0</v>
      </c>
      <c r="N1003">
        <v>1</v>
      </c>
      <c r="O1003">
        <v>0</v>
      </c>
      <c r="P1003">
        <v>0</v>
      </c>
      <c r="Q1003" t="s">
        <v>584</v>
      </c>
      <c r="AA1003" t="s">
        <v>83</v>
      </c>
      <c r="AB1003" t="s">
        <v>82</v>
      </c>
      <c r="AC1003" t="s">
        <v>83</v>
      </c>
      <c r="AD1003" t="s">
        <v>83</v>
      </c>
      <c r="AE1003" t="s">
        <v>81</v>
      </c>
      <c r="AF1003" t="s">
        <v>83</v>
      </c>
      <c r="AG1003" t="s">
        <v>81</v>
      </c>
      <c r="AH1003" t="s">
        <v>83</v>
      </c>
      <c r="AI1003" t="s">
        <v>88</v>
      </c>
      <c r="AJ1003" t="s">
        <v>89</v>
      </c>
      <c r="AK1003" t="s">
        <v>85</v>
      </c>
      <c r="AL1003" t="s">
        <v>107</v>
      </c>
      <c r="AM1003" t="s">
        <v>87</v>
      </c>
      <c r="AN1003" t="s">
        <v>87</v>
      </c>
      <c r="AO1003" t="s">
        <v>87</v>
      </c>
      <c r="AP1003" t="s">
        <v>87</v>
      </c>
      <c r="AQ1003" t="s">
        <v>87</v>
      </c>
      <c r="AR1003" t="s">
        <v>75</v>
      </c>
      <c r="AS1003" t="s">
        <v>92</v>
      </c>
      <c r="AT1003" t="s">
        <v>107</v>
      </c>
      <c r="AU1003">
        <v>0</v>
      </c>
      <c r="AV1003">
        <v>0</v>
      </c>
      <c r="AW1003">
        <v>0</v>
      </c>
      <c r="AX1003">
        <v>1</v>
      </c>
      <c r="AY1003">
        <v>0</v>
      </c>
      <c r="AZ1003" t="s">
        <v>579</v>
      </c>
    </row>
    <row r="1004" spans="1:52" x14ac:dyDescent="0.2">
      <c r="A1004">
        <v>1</v>
      </c>
      <c r="B1004">
        <v>0</v>
      </c>
      <c r="C1004">
        <v>0</v>
      </c>
      <c r="D1004">
        <v>0</v>
      </c>
      <c r="E1004">
        <v>1</v>
      </c>
      <c r="F1004">
        <v>0</v>
      </c>
      <c r="G1004">
        <v>0</v>
      </c>
      <c r="H1004">
        <v>0</v>
      </c>
      <c r="I1004">
        <v>0</v>
      </c>
      <c r="L1004">
        <v>0</v>
      </c>
      <c r="M1004">
        <v>0</v>
      </c>
      <c r="N1004">
        <v>0</v>
      </c>
      <c r="O1004">
        <v>1</v>
      </c>
      <c r="P1004">
        <v>0</v>
      </c>
      <c r="Q1004" t="s">
        <v>584</v>
      </c>
      <c r="AA1004" t="s">
        <v>83</v>
      </c>
      <c r="AB1004" t="s">
        <v>82</v>
      </c>
      <c r="AC1004" t="s">
        <v>83</v>
      </c>
      <c r="AD1004" t="s">
        <v>83</v>
      </c>
      <c r="AE1004" t="s">
        <v>83</v>
      </c>
      <c r="AF1004" t="s">
        <v>83</v>
      </c>
      <c r="AG1004" t="s">
        <v>83</v>
      </c>
      <c r="AH1004" t="s">
        <v>83</v>
      </c>
      <c r="AI1004" t="s">
        <v>135</v>
      </c>
      <c r="AJ1004" t="s">
        <v>80</v>
      </c>
      <c r="AK1004" t="s">
        <v>117</v>
      </c>
      <c r="AL1004" t="s">
        <v>73</v>
      </c>
      <c r="AM1004" t="s">
        <v>74</v>
      </c>
      <c r="AR1004" t="s">
        <v>75</v>
      </c>
      <c r="AS1004" t="s">
        <v>76</v>
      </c>
      <c r="AT1004" t="s">
        <v>73</v>
      </c>
      <c r="AU1004">
        <v>0</v>
      </c>
      <c r="AV1004">
        <v>0</v>
      </c>
      <c r="AW1004">
        <v>0</v>
      </c>
      <c r="AX1004">
        <v>1</v>
      </c>
      <c r="AY1004">
        <v>0</v>
      </c>
      <c r="AZ1004" t="s">
        <v>579</v>
      </c>
    </row>
    <row r="1005" spans="1:52" x14ac:dyDescent="0.2">
      <c r="A1005">
        <v>1</v>
      </c>
      <c r="B1005">
        <v>0</v>
      </c>
      <c r="C1005">
        <v>0</v>
      </c>
      <c r="D1005">
        <v>0</v>
      </c>
      <c r="E1005">
        <v>0</v>
      </c>
      <c r="F1005">
        <v>1</v>
      </c>
      <c r="G1005">
        <v>0</v>
      </c>
      <c r="H1005">
        <v>0</v>
      </c>
      <c r="I1005">
        <v>0</v>
      </c>
      <c r="J1005" t="s">
        <v>135</v>
      </c>
      <c r="K1005" t="s">
        <v>80</v>
      </c>
      <c r="L1005">
        <v>0</v>
      </c>
      <c r="M1005">
        <v>0</v>
      </c>
      <c r="N1005">
        <v>1</v>
      </c>
      <c r="O1005">
        <v>0</v>
      </c>
      <c r="P1005">
        <v>0</v>
      </c>
      <c r="Q1005" t="s">
        <v>584</v>
      </c>
      <c r="AA1005" t="s">
        <v>90</v>
      </c>
      <c r="AB1005" t="s">
        <v>82</v>
      </c>
      <c r="AC1005" t="s">
        <v>90</v>
      </c>
      <c r="AD1005" t="s">
        <v>82</v>
      </c>
      <c r="AE1005" t="s">
        <v>81</v>
      </c>
      <c r="AF1005" t="s">
        <v>90</v>
      </c>
      <c r="AG1005" t="s">
        <v>90</v>
      </c>
      <c r="AH1005" t="s">
        <v>90</v>
      </c>
      <c r="AI1005" t="s">
        <v>88</v>
      </c>
      <c r="AJ1005" t="s">
        <v>89</v>
      </c>
      <c r="AK1005" t="s">
        <v>85</v>
      </c>
      <c r="AL1005" t="s">
        <v>107</v>
      </c>
      <c r="AM1005" t="s">
        <v>87</v>
      </c>
      <c r="AN1005" t="s">
        <v>87</v>
      </c>
      <c r="AO1005" t="s">
        <v>87</v>
      </c>
      <c r="AP1005" t="s">
        <v>74</v>
      </c>
      <c r="AQ1005" t="s">
        <v>74</v>
      </c>
      <c r="AR1005" t="s">
        <v>75</v>
      </c>
      <c r="AS1005" t="s">
        <v>92</v>
      </c>
      <c r="AT1005" t="s">
        <v>107</v>
      </c>
      <c r="AU1005">
        <v>0</v>
      </c>
      <c r="AV1005">
        <v>0</v>
      </c>
      <c r="AW1005">
        <v>0</v>
      </c>
      <c r="AX1005">
        <v>1</v>
      </c>
      <c r="AY1005">
        <v>0</v>
      </c>
      <c r="AZ1005" t="s">
        <v>579</v>
      </c>
    </row>
    <row r="1006" spans="1:52" x14ac:dyDescent="0.2">
      <c r="A1006">
        <v>0</v>
      </c>
      <c r="B1006">
        <v>1</v>
      </c>
      <c r="C1006">
        <v>0</v>
      </c>
      <c r="D1006">
        <v>0</v>
      </c>
      <c r="E1006">
        <v>0</v>
      </c>
      <c r="F1006">
        <v>1</v>
      </c>
      <c r="G1006">
        <v>0</v>
      </c>
      <c r="H1006">
        <v>0</v>
      </c>
      <c r="I1006">
        <v>0</v>
      </c>
      <c r="J1006" t="s">
        <v>88</v>
      </c>
      <c r="K1006" t="s">
        <v>89</v>
      </c>
      <c r="L1006">
        <v>0</v>
      </c>
      <c r="M1006">
        <v>0</v>
      </c>
      <c r="N1006">
        <v>0</v>
      </c>
      <c r="O1006">
        <v>0</v>
      </c>
      <c r="P1006">
        <v>1</v>
      </c>
      <c r="Q1006" t="s">
        <v>584</v>
      </c>
      <c r="AA1006" t="s">
        <v>81</v>
      </c>
      <c r="AB1006" t="s">
        <v>81</v>
      </c>
      <c r="AC1006" t="s">
        <v>83</v>
      </c>
      <c r="AD1006" t="s">
        <v>83</v>
      </c>
      <c r="AE1006" t="s">
        <v>82</v>
      </c>
      <c r="AF1006" t="s">
        <v>81</v>
      </c>
      <c r="AG1006" t="s">
        <v>81</v>
      </c>
      <c r="AH1006" t="s">
        <v>83</v>
      </c>
      <c r="AI1006" t="s">
        <v>88</v>
      </c>
      <c r="AJ1006" t="s">
        <v>89</v>
      </c>
      <c r="AK1006" t="s">
        <v>85</v>
      </c>
      <c r="AL1006" t="s">
        <v>73</v>
      </c>
      <c r="AM1006" t="s">
        <v>87</v>
      </c>
      <c r="AN1006" t="s">
        <v>87</v>
      </c>
      <c r="AO1006" t="s">
        <v>87</v>
      </c>
      <c r="AP1006" t="s">
        <v>87</v>
      </c>
      <c r="AQ1006" t="s">
        <v>87</v>
      </c>
      <c r="AR1006" t="s">
        <v>75</v>
      </c>
      <c r="AS1006" t="s">
        <v>76</v>
      </c>
      <c r="AT1006" t="s">
        <v>73</v>
      </c>
      <c r="AU1006">
        <v>0</v>
      </c>
      <c r="AV1006">
        <v>0</v>
      </c>
      <c r="AW1006">
        <v>0</v>
      </c>
      <c r="AX1006">
        <v>1</v>
      </c>
      <c r="AY1006">
        <v>0</v>
      </c>
      <c r="AZ1006" t="s">
        <v>578</v>
      </c>
    </row>
    <row r="1007" spans="1:52" x14ac:dyDescent="0.2">
      <c r="A1007">
        <v>1</v>
      </c>
      <c r="B1007">
        <v>0</v>
      </c>
      <c r="C1007">
        <v>0</v>
      </c>
      <c r="D1007">
        <v>0</v>
      </c>
      <c r="E1007">
        <v>0</v>
      </c>
      <c r="F1007">
        <v>1</v>
      </c>
      <c r="G1007">
        <v>1</v>
      </c>
      <c r="H1007">
        <v>1</v>
      </c>
      <c r="I1007">
        <v>0</v>
      </c>
      <c r="J1007" t="s">
        <v>88</v>
      </c>
      <c r="K1007" t="s">
        <v>89</v>
      </c>
      <c r="L1007">
        <v>0</v>
      </c>
      <c r="M1007">
        <v>0</v>
      </c>
      <c r="N1007">
        <v>1</v>
      </c>
      <c r="O1007">
        <v>0</v>
      </c>
      <c r="P1007">
        <v>0</v>
      </c>
      <c r="Q1007" t="s">
        <v>584</v>
      </c>
      <c r="AA1007" t="s">
        <v>83</v>
      </c>
      <c r="AB1007" t="s">
        <v>82</v>
      </c>
      <c r="AC1007" t="s">
        <v>81</v>
      </c>
      <c r="AD1007" t="s">
        <v>82</v>
      </c>
      <c r="AE1007" t="s">
        <v>81</v>
      </c>
      <c r="AF1007" t="s">
        <v>83</v>
      </c>
      <c r="AG1007" t="s">
        <v>83</v>
      </c>
      <c r="AH1007" t="s">
        <v>83</v>
      </c>
      <c r="AI1007" t="s">
        <v>88</v>
      </c>
      <c r="AJ1007" t="s">
        <v>89</v>
      </c>
      <c r="AK1007" t="s">
        <v>100</v>
      </c>
      <c r="AL1007" t="s">
        <v>107</v>
      </c>
      <c r="AM1007" t="s">
        <v>87</v>
      </c>
      <c r="AN1007" t="s">
        <v>87</v>
      </c>
      <c r="AO1007" t="s">
        <v>87</v>
      </c>
      <c r="AP1007" t="s">
        <v>87</v>
      </c>
      <c r="AQ1007" t="s">
        <v>87</v>
      </c>
      <c r="AR1007" t="s">
        <v>75</v>
      </c>
      <c r="AS1007" t="s">
        <v>92</v>
      </c>
      <c r="AT1007" t="s">
        <v>107</v>
      </c>
      <c r="AU1007">
        <v>0</v>
      </c>
      <c r="AV1007">
        <v>0</v>
      </c>
      <c r="AW1007">
        <v>0</v>
      </c>
      <c r="AX1007">
        <v>1</v>
      </c>
      <c r="AY1007">
        <v>0</v>
      </c>
      <c r="AZ1007" t="s">
        <v>578</v>
      </c>
    </row>
    <row r="1008" spans="1:52" x14ac:dyDescent="0.2">
      <c r="A1008">
        <v>1</v>
      </c>
      <c r="B1008">
        <v>0</v>
      </c>
      <c r="C1008">
        <v>0</v>
      </c>
      <c r="D1008">
        <v>0</v>
      </c>
      <c r="E1008">
        <v>1</v>
      </c>
      <c r="F1008">
        <v>0</v>
      </c>
      <c r="G1008">
        <v>0</v>
      </c>
      <c r="H1008">
        <v>0</v>
      </c>
      <c r="I1008">
        <v>0</v>
      </c>
      <c r="L1008">
        <v>1</v>
      </c>
      <c r="M1008">
        <v>0</v>
      </c>
      <c r="N1008">
        <v>0</v>
      </c>
      <c r="O1008">
        <v>0</v>
      </c>
      <c r="P1008">
        <v>0</v>
      </c>
      <c r="Q1008" t="s">
        <v>584</v>
      </c>
      <c r="R1008">
        <v>1</v>
      </c>
      <c r="S1008">
        <v>0</v>
      </c>
      <c r="T1008">
        <v>0</v>
      </c>
      <c r="U1008">
        <v>0</v>
      </c>
      <c r="V1008">
        <v>0</v>
      </c>
      <c r="W1008">
        <v>0</v>
      </c>
      <c r="X1008">
        <v>0</v>
      </c>
      <c r="Y1008">
        <v>0</v>
      </c>
      <c r="Z1008">
        <v>0</v>
      </c>
      <c r="AL1008" t="s">
        <v>107</v>
      </c>
      <c r="AM1008" t="s">
        <v>86</v>
      </c>
      <c r="AN1008" t="s">
        <v>87</v>
      </c>
      <c r="AO1008" t="s">
        <v>87</v>
      </c>
      <c r="AP1008" t="s">
        <v>87</v>
      </c>
      <c r="AQ1008" t="s">
        <v>87</v>
      </c>
      <c r="AR1008" t="s">
        <v>75</v>
      </c>
      <c r="AS1008" t="s">
        <v>76</v>
      </c>
      <c r="AT1008" t="s">
        <v>107</v>
      </c>
      <c r="AU1008">
        <v>0</v>
      </c>
      <c r="AV1008">
        <v>0</v>
      </c>
      <c r="AW1008">
        <v>0</v>
      </c>
      <c r="AX1008">
        <v>1</v>
      </c>
      <c r="AY1008">
        <v>0</v>
      </c>
      <c r="AZ1008" t="s">
        <v>579</v>
      </c>
    </row>
    <row r="1009" spans="1:52" x14ac:dyDescent="0.2">
      <c r="A1009">
        <v>1</v>
      </c>
      <c r="B1009">
        <v>0</v>
      </c>
      <c r="C1009">
        <v>0</v>
      </c>
      <c r="D1009">
        <v>0</v>
      </c>
      <c r="E1009">
        <v>1</v>
      </c>
      <c r="F1009">
        <v>0</v>
      </c>
      <c r="G1009">
        <v>0</v>
      </c>
      <c r="H1009">
        <v>0</v>
      </c>
      <c r="I1009">
        <v>0</v>
      </c>
      <c r="L1009">
        <v>0</v>
      </c>
      <c r="M1009">
        <v>0</v>
      </c>
      <c r="N1009">
        <v>0</v>
      </c>
      <c r="O1009">
        <v>0</v>
      </c>
      <c r="P1009">
        <v>0</v>
      </c>
      <c r="Q1009" t="s">
        <v>585</v>
      </c>
      <c r="AA1009" t="s">
        <v>90</v>
      </c>
      <c r="AB1009" t="s">
        <v>81</v>
      </c>
      <c r="AC1009" t="s">
        <v>82</v>
      </c>
      <c r="AD1009" t="s">
        <v>90</v>
      </c>
      <c r="AE1009" t="s">
        <v>90</v>
      </c>
      <c r="AF1009" t="s">
        <v>90</v>
      </c>
      <c r="AG1009" t="s">
        <v>90</v>
      </c>
      <c r="AH1009" t="s">
        <v>90</v>
      </c>
      <c r="AI1009" t="s">
        <v>88</v>
      </c>
      <c r="AJ1009" t="s">
        <v>89</v>
      </c>
      <c r="AK1009" t="s">
        <v>100</v>
      </c>
      <c r="AL1009" t="s">
        <v>107</v>
      </c>
      <c r="AM1009" t="s">
        <v>86</v>
      </c>
      <c r="AN1009" t="s">
        <v>74</v>
      </c>
      <c r="AO1009" t="s">
        <v>86</v>
      </c>
      <c r="AP1009" t="s">
        <v>87</v>
      </c>
      <c r="AQ1009" t="s">
        <v>74</v>
      </c>
      <c r="AR1009" t="s">
        <v>97</v>
      </c>
      <c r="AS1009" t="s">
        <v>76</v>
      </c>
      <c r="AT1009" t="s">
        <v>107</v>
      </c>
      <c r="AU1009">
        <v>0</v>
      </c>
      <c r="AV1009">
        <v>0</v>
      </c>
      <c r="AW1009">
        <v>0</v>
      </c>
      <c r="AX1009">
        <v>1</v>
      </c>
      <c r="AY1009">
        <v>0</v>
      </c>
      <c r="AZ1009" t="s">
        <v>580</v>
      </c>
    </row>
    <row r="1010" spans="1:52" x14ac:dyDescent="0.2">
      <c r="A1010">
        <v>0</v>
      </c>
      <c r="B1010">
        <v>1</v>
      </c>
      <c r="C1010">
        <v>0</v>
      </c>
      <c r="D1010">
        <v>0</v>
      </c>
      <c r="E1010">
        <v>0</v>
      </c>
      <c r="F1010">
        <v>0</v>
      </c>
      <c r="G1010">
        <v>1</v>
      </c>
      <c r="H1010">
        <v>1</v>
      </c>
      <c r="I1010">
        <v>0</v>
      </c>
      <c r="J1010" t="s">
        <v>88</v>
      </c>
      <c r="K1010" t="s">
        <v>89</v>
      </c>
      <c r="L1010">
        <v>0</v>
      </c>
      <c r="M1010">
        <v>1</v>
      </c>
      <c r="N1010">
        <v>0</v>
      </c>
      <c r="O1010">
        <v>0</v>
      </c>
      <c r="P1010">
        <v>0</v>
      </c>
      <c r="Q1010" t="s">
        <v>584</v>
      </c>
      <c r="AA1010" t="s">
        <v>90</v>
      </c>
      <c r="AB1010" t="s">
        <v>82</v>
      </c>
      <c r="AC1010" t="s">
        <v>81</v>
      </c>
      <c r="AD1010" t="s">
        <v>90</v>
      </c>
      <c r="AE1010" t="s">
        <v>90</v>
      </c>
      <c r="AF1010" t="s">
        <v>90</v>
      </c>
      <c r="AG1010" t="s">
        <v>90</v>
      </c>
      <c r="AH1010" t="s">
        <v>90</v>
      </c>
      <c r="AI1010" t="s">
        <v>84</v>
      </c>
      <c r="AJ1010" t="s">
        <v>80</v>
      </c>
      <c r="AK1010" t="s">
        <v>100</v>
      </c>
      <c r="AL1010" t="s">
        <v>107</v>
      </c>
      <c r="AM1010" t="s">
        <v>87</v>
      </c>
      <c r="AN1010" t="s">
        <v>86</v>
      </c>
      <c r="AO1010" t="s">
        <v>87</v>
      </c>
      <c r="AP1010" t="s">
        <v>87</v>
      </c>
      <c r="AQ1010" t="s">
        <v>86</v>
      </c>
      <c r="AR1010" t="s">
        <v>75</v>
      </c>
      <c r="AS1010" t="s">
        <v>76</v>
      </c>
      <c r="AT1010" t="s">
        <v>107</v>
      </c>
      <c r="AU1010">
        <v>0</v>
      </c>
      <c r="AV1010">
        <v>0</v>
      </c>
      <c r="AW1010">
        <v>0</v>
      </c>
      <c r="AX1010">
        <v>1</v>
      </c>
      <c r="AY1010">
        <v>0</v>
      </c>
      <c r="AZ1010" t="s">
        <v>580</v>
      </c>
    </row>
    <row r="1011" spans="1:52" x14ac:dyDescent="0.2">
      <c r="A1011">
        <v>0</v>
      </c>
      <c r="B1011">
        <v>1</v>
      </c>
      <c r="C1011">
        <v>0</v>
      </c>
      <c r="D1011">
        <v>0</v>
      </c>
      <c r="E1011">
        <v>0</v>
      </c>
      <c r="F1011">
        <v>1</v>
      </c>
      <c r="G1011">
        <v>0</v>
      </c>
      <c r="H1011">
        <v>0</v>
      </c>
      <c r="I1011">
        <v>0</v>
      </c>
      <c r="J1011" t="s">
        <v>135</v>
      </c>
      <c r="K1011" t="s">
        <v>89</v>
      </c>
      <c r="L1011">
        <v>0</v>
      </c>
      <c r="M1011">
        <v>1</v>
      </c>
      <c r="N1011">
        <v>0</v>
      </c>
      <c r="O1011">
        <v>0</v>
      </c>
      <c r="P1011">
        <v>0</v>
      </c>
      <c r="Q1011" t="s">
        <v>584</v>
      </c>
      <c r="AA1011" t="s">
        <v>83</v>
      </c>
      <c r="AB1011" t="s">
        <v>82</v>
      </c>
      <c r="AC1011" t="s">
        <v>90</v>
      </c>
      <c r="AD1011" t="s">
        <v>90</v>
      </c>
      <c r="AE1011" t="s">
        <v>82</v>
      </c>
      <c r="AF1011" t="s">
        <v>83</v>
      </c>
      <c r="AG1011" t="s">
        <v>81</v>
      </c>
      <c r="AH1011" t="s">
        <v>83</v>
      </c>
      <c r="AI1011" t="s">
        <v>135</v>
      </c>
      <c r="AJ1011" t="s">
        <v>89</v>
      </c>
      <c r="AK1011" t="s">
        <v>85</v>
      </c>
      <c r="AL1011" t="s">
        <v>120</v>
      </c>
      <c r="AM1011" t="s">
        <v>86</v>
      </c>
      <c r="AN1011" t="s">
        <v>87</v>
      </c>
      <c r="AO1011" t="s">
        <v>74</v>
      </c>
      <c r="AP1011" t="s">
        <v>74</v>
      </c>
      <c r="AQ1011" t="s">
        <v>74</v>
      </c>
      <c r="AR1011" t="s">
        <v>75</v>
      </c>
      <c r="AS1011" t="s">
        <v>76</v>
      </c>
      <c r="AT1011" t="s">
        <v>120</v>
      </c>
      <c r="AU1011">
        <v>0</v>
      </c>
      <c r="AV1011">
        <v>0</v>
      </c>
      <c r="AW1011">
        <v>0</v>
      </c>
      <c r="AX1011">
        <v>1</v>
      </c>
      <c r="AY1011">
        <v>0</v>
      </c>
      <c r="AZ1011" t="s">
        <v>579</v>
      </c>
    </row>
    <row r="1012" spans="1:52" x14ac:dyDescent="0.2">
      <c r="A1012">
        <v>1</v>
      </c>
      <c r="B1012">
        <v>0</v>
      </c>
      <c r="C1012">
        <v>0</v>
      </c>
      <c r="D1012">
        <v>0</v>
      </c>
      <c r="E1012">
        <v>1</v>
      </c>
      <c r="F1012">
        <v>0</v>
      </c>
      <c r="G1012">
        <v>0</v>
      </c>
      <c r="H1012">
        <v>0</v>
      </c>
      <c r="I1012">
        <v>0</v>
      </c>
      <c r="L1012">
        <v>0</v>
      </c>
      <c r="M1012">
        <v>1</v>
      </c>
      <c r="N1012">
        <v>0</v>
      </c>
      <c r="O1012">
        <v>0</v>
      </c>
      <c r="P1012">
        <v>0</v>
      </c>
      <c r="Q1012" t="s">
        <v>584</v>
      </c>
      <c r="AA1012" t="s">
        <v>83</v>
      </c>
      <c r="AB1012" t="s">
        <v>82</v>
      </c>
      <c r="AC1012" t="s">
        <v>81</v>
      </c>
      <c r="AD1012" t="s">
        <v>81</v>
      </c>
      <c r="AE1012" t="s">
        <v>83</v>
      </c>
      <c r="AF1012" t="s">
        <v>83</v>
      </c>
      <c r="AG1012" t="s">
        <v>90</v>
      </c>
      <c r="AH1012" t="s">
        <v>83</v>
      </c>
      <c r="AI1012" t="s">
        <v>88</v>
      </c>
      <c r="AJ1012" t="s">
        <v>89</v>
      </c>
      <c r="AK1012" t="s">
        <v>100</v>
      </c>
      <c r="AL1012" t="s">
        <v>107</v>
      </c>
      <c r="AM1012" t="s">
        <v>74</v>
      </c>
      <c r="AR1012" t="s">
        <v>75</v>
      </c>
      <c r="AS1012" t="s">
        <v>76</v>
      </c>
      <c r="AT1012" t="s">
        <v>107</v>
      </c>
      <c r="AU1012">
        <v>0</v>
      </c>
      <c r="AV1012">
        <v>0</v>
      </c>
      <c r="AW1012">
        <v>1</v>
      </c>
      <c r="AX1012">
        <v>0</v>
      </c>
      <c r="AY1012">
        <v>0</v>
      </c>
      <c r="AZ1012" t="s">
        <v>578</v>
      </c>
    </row>
    <row r="1013" spans="1:52" x14ac:dyDescent="0.2">
      <c r="A1013">
        <v>0</v>
      </c>
      <c r="B1013">
        <v>1</v>
      </c>
      <c r="C1013">
        <v>0</v>
      </c>
      <c r="D1013">
        <v>0</v>
      </c>
      <c r="E1013">
        <v>0</v>
      </c>
      <c r="F1013">
        <v>0</v>
      </c>
      <c r="G1013">
        <v>0</v>
      </c>
      <c r="H1013">
        <v>0</v>
      </c>
      <c r="I1013">
        <v>1</v>
      </c>
      <c r="J1013" t="s">
        <v>88</v>
      </c>
      <c r="K1013" t="s">
        <v>89</v>
      </c>
      <c r="L1013">
        <v>1</v>
      </c>
      <c r="M1013">
        <v>0</v>
      </c>
      <c r="N1013">
        <v>0</v>
      </c>
      <c r="O1013">
        <v>0</v>
      </c>
      <c r="P1013">
        <v>0</v>
      </c>
      <c r="Q1013" t="s">
        <v>584</v>
      </c>
      <c r="R1013">
        <v>0</v>
      </c>
      <c r="S1013">
        <v>1</v>
      </c>
      <c r="T1013">
        <v>0</v>
      </c>
      <c r="U1013">
        <v>0</v>
      </c>
      <c r="V1013">
        <v>0</v>
      </c>
      <c r="W1013">
        <v>0</v>
      </c>
      <c r="X1013">
        <v>0</v>
      </c>
      <c r="Y1013">
        <v>0</v>
      </c>
      <c r="Z1013">
        <v>0</v>
      </c>
      <c r="AL1013" t="s">
        <v>107</v>
      </c>
      <c r="AM1013" t="s">
        <v>86</v>
      </c>
      <c r="AN1013" t="s">
        <v>87</v>
      </c>
      <c r="AO1013" t="s">
        <v>74</v>
      </c>
      <c r="AP1013" t="s">
        <v>87</v>
      </c>
      <c r="AQ1013" t="s">
        <v>74</v>
      </c>
      <c r="AR1013" t="s">
        <v>75</v>
      </c>
      <c r="AS1013" t="s">
        <v>92</v>
      </c>
      <c r="AT1013" t="s">
        <v>107</v>
      </c>
      <c r="AU1013">
        <v>0</v>
      </c>
      <c r="AV1013">
        <v>0</v>
      </c>
      <c r="AW1013">
        <v>0</v>
      </c>
      <c r="AX1013">
        <v>1</v>
      </c>
      <c r="AY1013">
        <v>0</v>
      </c>
      <c r="AZ1013" t="s">
        <v>579</v>
      </c>
    </row>
    <row r="1014" spans="1:52" x14ac:dyDescent="0.2">
      <c r="A1014">
        <v>0</v>
      </c>
      <c r="B1014">
        <v>1</v>
      </c>
      <c r="C1014">
        <v>0</v>
      </c>
      <c r="D1014">
        <v>0</v>
      </c>
      <c r="E1014">
        <v>0</v>
      </c>
      <c r="F1014">
        <v>0</v>
      </c>
      <c r="G1014">
        <v>0</v>
      </c>
      <c r="H1014">
        <v>0</v>
      </c>
      <c r="I1014">
        <v>1</v>
      </c>
      <c r="J1014" t="s">
        <v>88</v>
      </c>
      <c r="K1014" t="s">
        <v>89</v>
      </c>
      <c r="L1014">
        <v>1</v>
      </c>
      <c r="M1014">
        <v>0</v>
      </c>
      <c r="N1014">
        <v>0</v>
      </c>
      <c r="O1014">
        <v>0</v>
      </c>
      <c r="P1014">
        <v>0</v>
      </c>
      <c r="Q1014" t="s">
        <v>584</v>
      </c>
      <c r="R1014">
        <v>0</v>
      </c>
      <c r="S1014">
        <v>0</v>
      </c>
      <c r="T1014">
        <v>1</v>
      </c>
      <c r="U1014">
        <v>0</v>
      </c>
      <c r="V1014">
        <v>0</v>
      </c>
      <c r="W1014">
        <v>0</v>
      </c>
      <c r="X1014">
        <v>0</v>
      </c>
      <c r="Y1014">
        <v>0</v>
      </c>
      <c r="Z1014">
        <v>0</v>
      </c>
      <c r="AL1014" t="s">
        <v>73</v>
      </c>
      <c r="AM1014" t="s">
        <v>86</v>
      </c>
      <c r="AN1014" t="s">
        <v>87</v>
      </c>
      <c r="AO1014" t="s">
        <v>74</v>
      </c>
      <c r="AP1014" t="s">
        <v>74</v>
      </c>
      <c r="AQ1014" t="s">
        <v>86</v>
      </c>
      <c r="AR1014" t="s">
        <v>101</v>
      </c>
      <c r="AS1014" t="s">
        <v>76</v>
      </c>
      <c r="AT1014" t="s">
        <v>73</v>
      </c>
      <c r="AU1014">
        <v>0</v>
      </c>
      <c r="AV1014">
        <v>0</v>
      </c>
      <c r="AW1014">
        <v>0</v>
      </c>
      <c r="AX1014">
        <v>1</v>
      </c>
      <c r="AY1014">
        <v>0</v>
      </c>
      <c r="AZ1014" t="s">
        <v>579</v>
      </c>
    </row>
    <row r="1015" spans="1:52" x14ac:dyDescent="0.2">
      <c r="A1015">
        <v>1</v>
      </c>
      <c r="B1015">
        <v>0</v>
      </c>
      <c r="C1015">
        <v>0</v>
      </c>
      <c r="D1015">
        <v>0</v>
      </c>
      <c r="E1015">
        <v>0</v>
      </c>
      <c r="F1015">
        <v>0</v>
      </c>
      <c r="G1015">
        <v>1</v>
      </c>
      <c r="H1015">
        <v>0</v>
      </c>
      <c r="I1015">
        <v>0</v>
      </c>
      <c r="J1015" t="s">
        <v>79</v>
      </c>
      <c r="K1015" t="s">
        <v>80</v>
      </c>
      <c r="L1015">
        <v>1</v>
      </c>
      <c r="M1015">
        <v>0</v>
      </c>
      <c r="N1015">
        <v>0</v>
      </c>
      <c r="O1015">
        <v>0</v>
      </c>
      <c r="P1015">
        <v>0</v>
      </c>
      <c r="Q1015" t="s">
        <v>584</v>
      </c>
      <c r="R1015">
        <v>0</v>
      </c>
      <c r="S1015">
        <v>0</v>
      </c>
      <c r="T1015">
        <v>0</v>
      </c>
      <c r="U1015">
        <v>0</v>
      </c>
      <c r="V1015">
        <v>0</v>
      </c>
      <c r="W1015">
        <v>0</v>
      </c>
      <c r="X1015">
        <v>1</v>
      </c>
      <c r="Y1015">
        <v>0</v>
      </c>
      <c r="Z1015">
        <v>0</v>
      </c>
      <c r="AL1015" t="s">
        <v>107</v>
      </c>
      <c r="AM1015" t="s">
        <v>74</v>
      </c>
      <c r="AR1015" t="s">
        <v>75</v>
      </c>
      <c r="AS1015" t="s">
        <v>76</v>
      </c>
      <c r="AT1015" t="s">
        <v>107</v>
      </c>
      <c r="AU1015">
        <v>0</v>
      </c>
      <c r="AV1015">
        <v>0</v>
      </c>
      <c r="AW1015">
        <v>0</v>
      </c>
      <c r="AX1015">
        <v>1</v>
      </c>
      <c r="AY1015">
        <v>0</v>
      </c>
      <c r="AZ1015" t="s">
        <v>579</v>
      </c>
    </row>
    <row r="1016" spans="1:52" x14ac:dyDescent="0.2">
      <c r="A1016">
        <v>1</v>
      </c>
      <c r="B1016">
        <v>0</v>
      </c>
      <c r="C1016">
        <v>0</v>
      </c>
      <c r="D1016">
        <v>0</v>
      </c>
      <c r="E1016">
        <v>1</v>
      </c>
      <c r="F1016">
        <v>0</v>
      </c>
      <c r="G1016">
        <v>0</v>
      </c>
      <c r="H1016">
        <v>0</v>
      </c>
      <c r="I1016">
        <v>0</v>
      </c>
      <c r="L1016">
        <v>1</v>
      </c>
      <c r="M1016">
        <v>0</v>
      </c>
      <c r="N1016">
        <v>0</v>
      </c>
      <c r="O1016">
        <v>0</v>
      </c>
      <c r="P1016">
        <v>0</v>
      </c>
      <c r="Q1016" t="s">
        <v>584</v>
      </c>
      <c r="R1016">
        <v>0</v>
      </c>
      <c r="S1016">
        <v>0</v>
      </c>
      <c r="T1016">
        <v>0</v>
      </c>
      <c r="U1016">
        <v>0</v>
      </c>
      <c r="V1016">
        <v>0</v>
      </c>
      <c r="W1016">
        <v>0</v>
      </c>
      <c r="X1016">
        <v>1</v>
      </c>
      <c r="Y1016">
        <v>0</v>
      </c>
      <c r="Z1016">
        <v>0</v>
      </c>
      <c r="AL1016" t="s">
        <v>120</v>
      </c>
      <c r="AM1016" t="s">
        <v>74</v>
      </c>
      <c r="AR1016" t="s">
        <v>75</v>
      </c>
      <c r="AS1016" t="s">
        <v>76</v>
      </c>
      <c r="AT1016" t="s">
        <v>120</v>
      </c>
      <c r="AU1016">
        <v>0</v>
      </c>
      <c r="AV1016">
        <v>0</v>
      </c>
      <c r="AW1016">
        <v>0</v>
      </c>
      <c r="AX1016">
        <v>1</v>
      </c>
      <c r="AY1016">
        <v>0</v>
      </c>
      <c r="AZ1016" t="s">
        <v>579</v>
      </c>
    </row>
    <row r="1017" spans="1:52" x14ac:dyDescent="0.2">
      <c r="A1017">
        <v>1</v>
      </c>
      <c r="B1017">
        <v>0</v>
      </c>
      <c r="C1017">
        <v>0</v>
      </c>
      <c r="D1017">
        <v>0</v>
      </c>
      <c r="E1017">
        <v>1</v>
      </c>
      <c r="F1017">
        <v>0</v>
      </c>
      <c r="G1017">
        <v>0</v>
      </c>
      <c r="H1017">
        <v>0</v>
      </c>
      <c r="I1017">
        <v>0</v>
      </c>
      <c r="L1017">
        <v>1</v>
      </c>
      <c r="M1017">
        <v>0</v>
      </c>
      <c r="N1017">
        <v>0</v>
      </c>
      <c r="O1017">
        <v>0</v>
      </c>
      <c r="P1017">
        <v>0</v>
      </c>
      <c r="Q1017" t="s">
        <v>584</v>
      </c>
      <c r="R1017">
        <v>0</v>
      </c>
      <c r="S1017">
        <v>0</v>
      </c>
      <c r="T1017">
        <v>0</v>
      </c>
      <c r="U1017">
        <v>0</v>
      </c>
      <c r="V1017">
        <v>0</v>
      </c>
      <c r="W1017">
        <v>0</v>
      </c>
      <c r="X1017">
        <v>0</v>
      </c>
      <c r="Y1017">
        <v>1</v>
      </c>
      <c r="Z1017">
        <v>0</v>
      </c>
      <c r="AL1017" t="s">
        <v>73</v>
      </c>
      <c r="AM1017" t="s">
        <v>74</v>
      </c>
      <c r="AR1017" t="s">
        <v>75</v>
      </c>
      <c r="AS1017" t="s">
        <v>76</v>
      </c>
      <c r="AT1017" t="s">
        <v>73</v>
      </c>
      <c r="AU1017">
        <v>0</v>
      </c>
      <c r="AV1017">
        <v>0</v>
      </c>
      <c r="AW1017">
        <v>0</v>
      </c>
      <c r="AX1017">
        <v>1</v>
      </c>
      <c r="AY1017">
        <v>0</v>
      </c>
      <c r="AZ1017" t="s">
        <v>579</v>
      </c>
    </row>
    <row r="1018" spans="1:52" x14ac:dyDescent="0.2">
      <c r="A1018">
        <v>1</v>
      </c>
      <c r="B1018">
        <v>0</v>
      </c>
      <c r="C1018">
        <v>0</v>
      </c>
      <c r="D1018">
        <v>0</v>
      </c>
      <c r="E1018">
        <v>1</v>
      </c>
      <c r="F1018">
        <v>0</v>
      </c>
      <c r="G1018">
        <v>0</v>
      </c>
      <c r="H1018">
        <v>0</v>
      </c>
      <c r="I1018">
        <v>0</v>
      </c>
      <c r="L1018">
        <v>0</v>
      </c>
      <c r="M1018">
        <v>1</v>
      </c>
      <c r="N1018">
        <v>0</v>
      </c>
      <c r="O1018">
        <v>0</v>
      </c>
      <c r="P1018">
        <v>0</v>
      </c>
      <c r="Q1018" t="s">
        <v>584</v>
      </c>
      <c r="AA1018" t="s">
        <v>83</v>
      </c>
      <c r="AB1018" t="s">
        <v>83</v>
      </c>
      <c r="AC1018" t="s">
        <v>83</v>
      </c>
      <c r="AD1018" t="s">
        <v>83</v>
      </c>
      <c r="AE1018" t="s">
        <v>82</v>
      </c>
      <c r="AF1018" t="s">
        <v>83</v>
      </c>
      <c r="AG1018" t="s">
        <v>90</v>
      </c>
      <c r="AH1018" t="s">
        <v>83</v>
      </c>
      <c r="AI1018" t="s">
        <v>127</v>
      </c>
      <c r="AJ1018" t="s">
        <v>127</v>
      </c>
      <c r="AL1018" t="s">
        <v>96</v>
      </c>
      <c r="AM1018" t="s">
        <v>74</v>
      </c>
      <c r="AR1018" t="s">
        <v>75</v>
      </c>
      <c r="AS1018" t="s">
        <v>76</v>
      </c>
      <c r="AT1018" t="s">
        <v>96</v>
      </c>
      <c r="AU1018">
        <v>0</v>
      </c>
      <c r="AV1018">
        <v>0</v>
      </c>
      <c r="AW1018">
        <v>0</v>
      </c>
      <c r="AX1018">
        <v>0</v>
      </c>
      <c r="AY1018">
        <v>1</v>
      </c>
      <c r="AZ1018" t="s">
        <v>578</v>
      </c>
    </row>
    <row r="1019" spans="1:52" x14ac:dyDescent="0.2">
      <c r="A1019">
        <v>1</v>
      </c>
      <c r="B1019">
        <v>0</v>
      </c>
      <c r="C1019">
        <v>0</v>
      </c>
      <c r="D1019">
        <v>0</v>
      </c>
      <c r="E1019">
        <v>1</v>
      </c>
      <c r="F1019">
        <v>0</v>
      </c>
      <c r="G1019">
        <v>0</v>
      </c>
      <c r="H1019">
        <v>0</v>
      </c>
      <c r="I1019">
        <v>0</v>
      </c>
      <c r="L1019">
        <v>0</v>
      </c>
      <c r="M1019">
        <v>0</v>
      </c>
      <c r="N1019">
        <v>0</v>
      </c>
      <c r="O1019">
        <v>1</v>
      </c>
      <c r="P1019">
        <v>0</v>
      </c>
      <c r="Q1019" t="s">
        <v>584</v>
      </c>
      <c r="AA1019" t="s">
        <v>83</v>
      </c>
      <c r="AB1019" t="s">
        <v>83</v>
      </c>
      <c r="AC1019" t="s">
        <v>83</v>
      </c>
      <c r="AD1019" t="s">
        <v>81</v>
      </c>
      <c r="AE1019" t="s">
        <v>83</v>
      </c>
      <c r="AF1019" t="s">
        <v>83</v>
      </c>
      <c r="AG1019" t="s">
        <v>83</v>
      </c>
      <c r="AH1019" t="s">
        <v>83</v>
      </c>
      <c r="AI1019" t="s">
        <v>135</v>
      </c>
      <c r="AJ1019" t="s">
        <v>80</v>
      </c>
      <c r="AK1019" t="s">
        <v>85</v>
      </c>
      <c r="AL1019" t="s">
        <v>73</v>
      </c>
      <c r="AM1019" t="s">
        <v>87</v>
      </c>
      <c r="AN1019" t="s">
        <v>87</v>
      </c>
      <c r="AO1019" t="s">
        <v>86</v>
      </c>
      <c r="AP1019" t="s">
        <v>87</v>
      </c>
      <c r="AQ1019" t="s">
        <v>74</v>
      </c>
      <c r="AR1019" t="s">
        <v>75</v>
      </c>
      <c r="AS1019" t="s">
        <v>92</v>
      </c>
      <c r="AT1019" t="s">
        <v>73</v>
      </c>
      <c r="AU1019">
        <v>0</v>
      </c>
      <c r="AV1019">
        <v>0</v>
      </c>
      <c r="AW1019">
        <v>0</v>
      </c>
      <c r="AX1019">
        <v>1</v>
      </c>
      <c r="AY1019">
        <v>0</v>
      </c>
      <c r="AZ1019" t="s">
        <v>579</v>
      </c>
    </row>
    <row r="1020" spans="1:52" x14ac:dyDescent="0.2">
      <c r="A1020">
        <v>1</v>
      </c>
      <c r="B1020">
        <v>0</v>
      </c>
      <c r="C1020">
        <v>0</v>
      </c>
      <c r="D1020">
        <v>0</v>
      </c>
      <c r="E1020">
        <v>0</v>
      </c>
      <c r="F1020">
        <v>1</v>
      </c>
      <c r="G1020">
        <v>0</v>
      </c>
      <c r="H1020">
        <v>0</v>
      </c>
      <c r="I1020">
        <v>0</v>
      </c>
      <c r="J1020" t="s">
        <v>88</v>
      </c>
      <c r="K1020" t="s">
        <v>89</v>
      </c>
      <c r="L1020">
        <v>1</v>
      </c>
      <c r="M1020">
        <v>0</v>
      </c>
      <c r="N1020">
        <v>0</v>
      </c>
      <c r="O1020">
        <v>0</v>
      </c>
      <c r="P1020">
        <v>0</v>
      </c>
      <c r="Q1020" t="s">
        <v>584</v>
      </c>
      <c r="R1020">
        <v>0</v>
      </c>
      <c r="S1020">
        <v>0</v>
      </c>
      <c r="T1020">
        <v>1</v>
      </c>
      <c r="U1020">
        <v>0</v>
      </c>
      <c r="V1020">
        <v>0</v>
      </c>
      <c r="W1020">
        <v>0</v>
      </c>
      <c r="X1020">
        <v>0</v>
      </c>
      <c r="Y1020">
        <v>0</v>
      </c>
      <c r="Z1020">
        <v>0</v>
      </c>
      <c r="AL1020" t="s">
        <v>107</v>
      </c>
      <c r="AM1020" t="s">
        <v>87</v>
      </c>
      <c r="AN1020" t="s">
        <v>87</v>
      </c>
      <c r="AO1020" t="s">
        <v>87</v>
      </c>
      <c r="AP1020" t="s">
        <v>87</v>
      </c>
      <c r="AQ1020" t="s">
        <v>87</v>
      </c>
      <c r="AR1020" t="s">
        <v>75</v>
      </c>
      <c r="AS1020" t="s">
        <v>76</v>
      </c>
      <c r="AT1020" t="s">
        <v>107</v>
      </c>
      <c r="AU1020">
        <v>0</v>
      </c>
      <c r="AV1020">
        <v>0</v>
      </c>
      <c r="AW1020">
        <v>0</v>
      </c>
      <c r="AX1020">
        <v>1</v>
      </c>
      <c r="AY1020">
        <v>0</v>
      </c>
      <c r="AZ1020" t="s">
        <v>579</v>
      </c>
    </row>
    <row r="1021" spans="1:52" x14ac:dyDescent="0.2">
      <c r="A1021">
        <v>1</v>
      </c>
      <c r="B1021">
        <v>0</v>
      </c>
      <c r="C1021">
        <v>0</v>
      </c>
      <c r="D1021">
        <v>0</v>
      </c>
      <c r="E1021">
        <v>1</v>
      </c>
      <c r="F1021">
        <v>0</v>
      </c>
      <c r="G1021">
        <v>0</v>
      </c>
      <c r="H1021">
        <v>0</v>
      </c>
      <c r="I1021">
        <v>0</v>
      </c>
      <c r="L1021">
        <v>0</v>
      </c>
      <c r="M1021">
        <v>1</v>
      </c>
      <c r="N1021">
        <v>0</v>
      </c>
      <c r="O1021">
        <v>0</v>
      </c>
      <c r="P1021">
        <v>0</v>
      </c>
      <c r="Q1021" t="s">
        <v>584</v>
      </c>
      <c r="AA1021" t="s">
        <v>83</v>
      </c>
      <c r="AB1021" t="s">
        <v>83</v>
      </c>
      <c r="AC1021" t="s">
        <v>83</v>
      </c>
      <c r="AD1021" t="s">
        <v>83</v>
      </c>
      <c r="AE1021" t="s">
        <v>82</v>
      </c>
      <c r="AF1021" t="s">
        <v>83</v>
      </c>
      <c r="AG1021" t="s">
        <v>81</v>
      </c>
      <c r="AH1021" t="s">
        <v>90</v>
      </c>
      <c r="AI1021" t="s">
        <v>127</v>
      </c>
      <c r="AJ1021" t="s">
        <v>127</v>
      </c>
      <c r="AL1021" t="s">
        <v>107</v>
      </c>
      <c r="AM1021" t="s">
        <v>86</v>
      </c>
      <c r="AN1021" t="s">
        <v>87</v>
      </c>
      <c r="AO1021" t="s">
        <v>87</v>
      </c>
      <c r="AP1021" t="s">
        <v>87</v>
      </c>
      <c r="AQ1021" t="s">
        <v>86</v>
      </c>
      <c r="AR1021" t="s">
        <v>101</v>
      </c>
      <c r="AS1021" t="s">
        <v>76</v>
      </c>
      <c r="AT1021" t="s">
        <v>107</v>
      </c>
      <c r="AU1021">
        <v>0</v>
      </c>
      <c r="AV1021">
        <v>0</v>
      </c>
      <c r="AW1021">
        <v>0</v>
      </c>
      <c r="AX1021">
        <v>1</v>
      </c>
      <c r="AY1021">
        <v>0</v>
      </c>
      <c r="AZ1021" t="s">
        <v>579</v>
      </c>
    </row>
    <row r="1022" spans="1:52" x14ac:dyDescent="0.2">
      <c r="A1022">
        <v>1</v>
      </c>
      <c r="B1022">
        <v>0</v>
      </c>
      <c r="C1022">
        <v>0</v>
      </c>
      <c r="D1022">
        <v>0</v>
      </c>
      <c r="E1022">
        <v>0</v>
      </c>
      <c r="F1022">
        <v>0</v>
      </c>
      <c r="G1022">
        <v>0</v>
      </c>
      <c r="H1022">
        <v>1</v>
      </c>
      <c r="I1022">
        <v>0</v>
      </c>
      <c r="J1022" t="s">
        <v>79</v>
      </c>
      <c r="K1022" t="s">
        <v>80</v>
      </c>
      <c r="L1022">
        <v>0</v>
      </c>
      <c r="M1022">
        <v>1</v>
      </c>
      <c r="N1022">
        <v>1</v>
      </c>
      <c r="O1022">
        <v>0</v>
      </c>
      <c r="P1022">
        <v>0</v>
      </c>
      <c r="Q1022" t="s">
        <v>584</v>
      </c>
      <c r="AA1022" t="s">
        <v>83</v>
      </c>
      <c r="AB1022" t="s">
        <v>82</v>
      </c>
      <c r="AC1022" t="s">
        <v>90</v>
      </c>
      <c r="AD1022" t="s">
        <v>90</v>
      </c>
      <c r="AE1022" t="s">
        <v>81</v>
      </c>
      <c r="AF1022" t="s">
        <v>81</v>
      </c>
      <c r="AG1022" t="s">
        <v>81</v>
      </c>
      <c r="AH1022" t="s">
        <v>83</v>
      </c>
      <c r="AI1022" t="s">
        <v>88</v>
      </c>
      <c r="AJ1022" t="s">
        <v>80</v>
      </c>
      <c r="AK1022" t="s">
        <v>85</v>
      </c>
      <c r="AL1022" t="s">
        <v>96</v>
      </c>
      <c r="AM1022" t="s">
        <v>86</v>
      </c>
      <c r="AN1022" t="s">
        <v>74</v>
      </c>
      <c r="AO1022" t="s">
        <v>86</v>
      </c>
      <c r="AP1022" t="s">
        <v>86</v>
      </c>
      <c r="AQ1022" t="s">
        <v>86</v>
      </c>
      <c r="AR1022" t="s">
        <v>75</v>
      </c>
      <c r="AS1022" t="s">
        <v>76</v>
      </c>
      <c r="AT1022" t="s">
        <v>96</v>
      </c>
      <c r="AU1022">
        <v>0</v>
      </c>
      <c r="AV1022">
        <v>0</v>
      </c>
      <c r="AW1022">
        <v>0</v>
      </c>
      <c r="AX1022">
        <v>1</v>
      </c>
      <c r="AY1022">
        <v>0</v>
      </c>
      <c r="AZ1022" t="s">
        <v>579</v>
      </c>
    </row>
    <row r="1023" spans="1:52" x14ac:dyDescent="0.2">
      <c r="A1023">
        <v>1</v>
      </c>
      <c r="B1023">
        <v>0</v>
      </c>
      <c r="C1023">
        <v>0</v>
      </c>
      <c r="D1023">
        <v>0</v>
      </c>
      <c r="E1023">
        <v>0</v>
      </c>
      <c r="F1023">
        <v>0</v>
      </c>
      <c r="G1023">
        <v>0</v>
      </c>
      <c r="H1023">
        <v>0</v>
      </c>
      <c r="I1023">
        <v>1</v>
      </c>
      <c r="J1023" t="s">
        <v>135</v>
      </c>
      <c r="K1023" t="s">
        <v>80</v>
      </c>
      <c r="L1023">
        <v>1</v>
      </c>
      <c r="M1023">
        <v>0</v>
      </c>
      <c r="N1023">
        <v>0</v>
      </c>
      <c r="O1023">
        <v>0</v>
      </c>
      <c r="P1023">
        <v>0</v>
      </c>
      <c r="Q1023" t="s">
        <v>584</v>
      </c>
      <c r="R1023">
        <v>0</v>
      </c>
      <c r="S1023">
        <v>0</v>
      </c>
      <c r="T1023">
        <v>1</v>
      </c>
      <c r="U1023">
        <v>1</v>
      </c>
      <c r="V1023">
        <v>0</v>
      </c>
      <c r="W1023">
        <v>0</v>
      </c>
      <c r="X1023">
        <v>0</v>
      </c>
      <c r="Y1023">
        <v>0</v>
      </c>
      <c r="Z1023">
        <v>0</v>
      </c>
      <c r="AL1023" t="s">
        <v>73</v>
      </c>
      <c r="AM1023" t="s">
        <v>86</v>
      </c>
      <c r="AN1023" t="s">
        <v>87</v>
      </c>
      <c r="AO1023" t="s">
        <v>86</v>
      </c>
      <c r="AP1023" t="s">
        <v>87</v>
      </c>
      <c r="AQ1023" t="s">
        <v>86</v>
      </c>
      <c r="AR1023" t="s">
        <v>101</v>
      </c>
      <c r="AS1023" t="s">
        <v>76</v>
      </c>
      <c r="AT1023" t="s">
        <v>73</v>
      </c>
      <c r="AU1023">
        <v>0</v>
      </c>
      <c r="AV1023">
        <v>0</v>
      </c>
      <c r="AW1023">
        <v>0</v>
      </c>
      <c r="AX1023">
        <v>1</v>
      </c>
      <c r="AY1023">
        <v>0</v>
      </c>
      <c r="AZ1023" t="s">
        <v>579</v>
      </c>
    </row>
    <row r="1024" spans="1:52" x14ac:dyDescent="0.2">
      <c r="A1024">
        <v>1</v>
      </c>
      <c r="B1024">
        <v>0</v>
      </c>
      <c r="C1024">
        <v>0</v>
      </c>
      <c r="D1024">
        <v>0</v>
      </c>
      <c r="E1024">
        <v>0</v>
      </c>
      <c r="F1024">
        <v>1</v>
      </c>
      <c r="G1024">
        <v>0</v>
      </c>
      <c r="H1024">
        <v>0</v>
      </c>
      <c r="I1024">
        <v>0</v>
      </c>
      <c r="J1024" t="s">
        <v>88</v>
      </c>
      <c r="K1024" t="s">
        <v>89</v>
      </c>
      <c r="L1024">
        <v>0</v>
      </c>
      <c r="M1024">
        <v>1</v>
      </c>
      <c r="N1024">
        <v>0</v>
      </c>
      <c r="O1024">
        <v>0</v>
      </c>
      <c r="P1024">
        <v>0</v>
      </c>
      <c r="Q1024" t="s">
        <v>584</v>
      </c>
      <c r="AA1024" t="s">
        <v>83</v>
      </c>
      <c r="AB1024" t="s">
        <v>82</v>
      </c>
      <c r="AC1024" t="s">
        <v>81</v>
      </c>
      <c r="AD1024" t="s">
        <v>90</v>
      </c>
      <c r="AE1024" t="s">
        <v>83</v>
      </c>
      <c r="AF1024" t="s">
        <v>83</v>
      </c>
      <c r="AG1024" t="s">
        <v>83</v>
      </c>
      <c r="AH1024" t="s">
        <v>83</v>
      </c>
      <c r="AI1024" t="s">
        <v>88</v>
      </c>
      <c r="AJ1024" t="s">
        <v>89</v>
      </c>
      <c r="AK1024" t="s">
        <v>100</v>
      </c>
      <c r="AL1024" t="s">
        <v>73</v>
      </c>
      <c r="AM1024" t="s">
        <v>74</v>
      </c>
      <c r="AR1024" t="s">
        <v>97</v>
      </c>
      <c r="AS1024" t="s">
        <v>92</v>
      </c>
      <c r="AT1024" t="s">
        <v>73</v>
      </c>
      <c r="AU1024">
        <v>0</v>
      </c>
      <c r="AV1024">
        <v>0</v>
      </c>
      <c r="AW1024">
        <v>0</v>
      </c>
      <c r="AX1024">
        <v>1</v>
      </c>
      <c r="AY1024">
        <v>0</v>
      </c>
      <c r="AZ1024" t="s">
        <v>580</v>
      </c>
    </row>
    <row r="1025" spans="1:52" x14ac:dyDescent="0.2">
      <c r="A1025">
        <v>0</v>
      </c>
      <c r="B1025">
        <v>1</v>
      </c>
      <c r="C1025">
        <v>0</v>
      </c>
      <c r="D1025">
        <v>0</v>
      </c>
      <c r="E1025">
        <v>0</v>
      </c>
      <c r="F1025">
        <v>1</v>
      </c>
      <c r="G1025">
        <v>1</v>
      </c>
      <c r="H1025">
        <v>1</v>
      </c>
      <c r="I1025">
        <v>0</v>
      </c>
      <c r="J1025" t="s">
        <v>88</v>
      </c>
      <c r="K1025" t="s">
        <v>89</v>
      </c>
      <c r="L1025">
        <v>0</v>
      </c>
      <c r="M1025">
        <v>1</v>
      </c>
      <c r="N1025">
        <v>0</v>
      </c>
      <c r="O1025">
        <v>0</v>
      </c>
      <c r="P1025">
        <v>0</v>
      </c>
      <c r="Q1025" t="s">
        <v>584</v>
      </c>
      <c r="AA1025" t="s">
        <v>83</v>
      </c>
      <c r="AB1025" t="s">
        <v>81</v>
      </c>
      <c r="AC1025" t="s">
        <v>82</v>
      </c>
      <c r="AD1025" t="s">
        <v>82</v>
      </c>
      <c r="AE1025" t="s">
        <v>81</v>
      </c>
      <c r="AF1025" t="s">
        <v>83</v>
      </c>
      <c r="AG1025" t="s">
        <v>83</v>
      </c>
      <c r="AH1025" t="s">
        <v>83</v>
      </c>
      <c r="AI1025" t="s">
        <v>88</v>
      </c>
      <c r="AJ1025" t="s">
        <v>89</v>
      </c>
      <c r="AK1025" t="s">
        <v>100</v>
      </c>
      <c r="AL1025" t="s">
        <v>73</v>
      </c>
      <c r="AM1025" t="s">
        <v>86</v>
      </c>
      <c r="AN1025" t="s">
        <v>87</v>
      </c>
      <c r="AO1025" t="s">
        <v>74</v>
      </c>
      <c r="AP1025" t="s">
        <v>87</v>
      </c>
      <c r="AQ1025" t="s">
        <v>86</v>
      </c>
      <c r="AR1025" t="s">
        <v>108</v>
      </c>
      <c r="AS1025" t="s">
        <v>92</v>
      </c>
      <c r="AT1025" t="s">
        <v>73</v>
      </c>
      <c r="AU1025">
        <v>0</v>
      </c>
      <c r="AV1025">
        <v>0</v>
      </c>
      <c r="AW1025">
        <v>0</v>
      </c>
      <c r="AX1025">
        <v>1</v>
      </c>
      <c r="AY1025">
        <v>0</v>
      </c>
      <c r="AZ1025" t="s">
        <v>578</v>
      </c>
    </row>
    <row r="1026" spans="1:52" x14ac:dyDescent="0.2">
      <c r="A1026">
        <v>0</v>
      </c>
      <c r="B1026">
        <v>1</v>
      </c>
      <c r="C1026">
        <v>0</v>
      </c>
      <c r="D1026">
        <v>0</v>
      </c>
      <c r="E1026">
        <v>0</v>
      </c>
      <c r="F1026">
        <v>1</v>
      </c>
      <c r="G1026">
        <v>1</v>
      </c>
      <c r="H1026">
        <v>1</v>
      </c>
      <c r="I1026">
        <v>0</v>
      </c>
      <c r="J1026" t="s">
        <v>88</v>
      </c>
      <c r="K1026" t="s">
        <v>89</v>
      </c>
      <c r="L1026">
        <v>0</v>
      </c>
      <c r="M1026">
        <v>1</v>
      </c>
      <c r="N1026">
        <v>0</v>
      </c>
      <c r="O1026">
        <v>0</v>
      </c>
      <c r="P1026">
        <v>0</v>
      </c>
      <c r="Q1026" t="s">
        <v>584</v>
      </c>
      <c r="AA1026" t="s">
        <v>81</v>
      </c>
      <c r="AB1026" t="s">
        <v>82</v>
      </c>
      <c r="AC1026" t="s">
        <v>81</v>
      </c>
      <c r="AD1026" t="s">
        <v>82</v>
      </c>
      <c r="AE1026" t="s">
        <v>82</v>
      </c>
      <c r="AF1026" t="s">
        <v>83</v>
      </c>
      <c r="AG1026" t="s">
        <v>81</v>
      </c>
      <c r="AH1026" t="s">
        <v>83</v>
      </c>
      <c r="AI1026" t="s">
        <v>88</v>
      </c>
      <c r="AJ1026" t="s">
        <v>89</v>
      </c>
      <c r="AK1026" t="s">
        <v>100</v>
      </c>
      <c r="AL1026" t="s">
        <v>107</v>
      </c>
      <c r="AM1026" t="s">
        <v>87</v>
      </c>
      <c r="AN1026" t="s">
        <v>87</v>
      </c>
      <c r="AO1026" t="s">
        <v>87</v>
      </c>
      <c r="AP1026" t="s">
        <v>87</v>
      </c>
      <c r="AQ1026" t="s">
        <v>87</v>
      </c>
      <c r="AR1026" t="s">
        <v>113</v>
      </c>
      <c r="AS1026" t="s">
        <v>76</v>
      </c>
      <c r="AT1026" t="s">
        <v>107</v>
      </c>
      <c r="AU1026">
        <v>0</v>
      </c>
      <c r="AV1026">
        <v>0</v>
      </c>
      <c r="AW1026">
        <v>0</v>
      </c>
      <c r="AX1026">
        <v>1</v>
      </c>
      <c r="AY1026">
        <v>0</v>
      </c>
      <c r="AZ1026" t="s">
        <v>578</v>
      </c>
    </row>
    <row r="1027" spans="1:52" x14ac:dyDescent="0.2">
      <c r="A1027">
        <v>1</v>
      </c>
      <c r="B1027">
        <v>0</v>
      </c>
      <c r="C1027">
        <v>0</v>
      </c>
      <c r="D1027">
        <v>0</v>
      </c>
      <c r="E1027">
        <v>0</v>
      </c>
      <c r="F1027">
        <v>1</v>
      </c>
      <c r="G1027">
        <v>0</v>
      </c>
      <c r="H1027">
        <v>1</v>
      </c>
      <c r="I1027">
        <v>0</v>
      </c>
      <c r="J1027" t="s">
        <v>88</v>
      </c>
      <c r="K1027" t="s">
        <v>89</v>
      </c>
      <c r="L1027">
        <v>0</v>
      </c>
      <c r="M1027">
        <v>1</v>
      </c>
      <c r="N1027">
        <v>0</v>
      </c>
      <c r="O1027">
        <v>0</v>
      </c>
      <c r="P1027">
        <v>0</v>
      </c>
      <c r="Q1027" t="s">
        <v>584</v>
      </c>
      <c r="AA1027" t="s">
        <v>90</v>
      </c>
      <c r="AB1027" t="s">
        <v>82</v>
      </c>
      <c r="AC1027" t="s">
        <v>83</v>
      </c>
      <c r="AD1027" t="s">
        <v>83</v>
      </c>
      <c r="AE1027" t="s">
        <v>81</v>
      </c>
      <c r="AF1027" t="s">
        <v>90</v>
      </c>
      <c r="AG1027" t="s">
        <v>90</v>
      </c>
      <c r="AH1027" t="s">
        <v>83</v>
      </c>
      <c r="AI1027" t="s">
        <v>88</v>
      </c>
      <c r="AJ1027" t="s">
        <v>80</v>
      </c>
      <c r="AK1027" t="s">
        <v>85</v>
      </c>
      <c r="AL1027" t="s">
        <v>107</v>
      </c>
      <c r="AM1027" t="s">
        <v>87</v>
      </c>
      <c r="AN1027" t="s">
        <v>87</v>
      </c>
      <c r="AO1027" t="s">
        <v>87</v>
      </c>
      <c r="AP1027" t="s">
        <v>74</v>
      </c>
      <c r="AQ1027" t="s">
        <v>87</v>
      </c>
      <c r="AR1027" t="s">
        <v>75</v>
      </c>
      <c r="AS1027" t="s">
        <v>76</v>
      </c>
      <c r="AT1027" t="s">
        <v>107</v>
      </c>
      <c r="AU1027">
        <v>0</v>
      </c>
      <c r="AV1027">
        <v>0</v>
      </c>
      <c r="AW1027">
        <v>0</v>
      </c>
      <c r="AX1027">
        <v>1</v>
      </c>
      <c r="AY1027">
        <v>0</v>
      </c>
      <c r="AZ1027" t="s">
        <v>579</v>
      </c>
    </row>
    <row r="1028" spans="1:52" x14ac:dyDescent="0.2">
      <c r="A1028">
        <v>1</v>
      </c>
      <c r="B1028">
        <v>0</v>
      </c>
      <c r="C1028">
        <v>0</v>
      </c>
      <c r="D1028">
        <v>0</v>
      </c>
      <c r="E1028">
        <v>1</v>
      </c>
      <c r="F1028">
        <v>0</v>
      </c>
      <c r="G1028">
        <v>0</v>
      </c>
      <c r="H1028">
        <v>0</v>
      </c>
      <c r="I1028">
        <v>0</v>
      </c>
      <c r="L1028">
        <v>1</v>
      </c>
      <c r="M1028">
        <v>0</v>
      </c>
      <c r="N1028">
        <v>0</v>
      </c>
      <c r="O1028">
        <v>0</v>
      </c>
      <c r="P1028">
        <v>0</v>
      </c>
      <c r="Q1028" t="s">
        <v>584</v>
      </c>
      <c r="R1028">
        <v>0</v>
      </c>
      <c r="S1028">
        <v>0</v>
      </c>
      <c r="T1028">
        <v>0</v>
      </c>
      <c r="U1028">
        <v>0</v>
      </c>
      <c r="V1028">
        <v>0</v>
      </c>
      <c r="W1028">
        <v>0</v>
      </c>
      <c r="X1028">
        <v>1</v>
      </c>
      <c r="Y1028">
        <v>1</v>
      </c>
      <c r="Z1028">
        <v>0</v>
      </c>
      <c r="AL1028" t="s">
        <v>73</v>
      </c>
      <c r="AM1028" t="s">
        <v>86</v>
      </c>
      <c r="AN1028" t="s">
        <v>87</v>
      </c>
      <c r="AO1028" t="s">
        <v>87</v>
      </c>
      <c r="AP1028" t="s">
        <v>87</v>
      </c>
      <c r="AQ1028" t="s">
        <v>87</v>
      </c>
      <c r="AR1028" t="s">
        <v>75</v>
      </c>
      <c r="AS1028" t="s">
        <v>92</v>
      </c>
      <c r="AT1028" t="s">
        <v>73</v>
      </c>
      <c r="AU1028">
        <v>0</v>
      </c>
      <c r="AV1028">
        <v>0</v>
      </c>
      <c r="AW1028">
        <v>0</v>
      </c>
      <c r="AX1028">
        <v>0</v>
      </c>
      <c r="AY1028">
        <v>1</v>
      </c>
      <c r="AZ1028" t="s">
        <v>579</v>
      </c>
    </row>
    <row r="1029" spans="1:52" x14ac:dyDescent="0.2">
      <c r="A1029">
        <v>1</v>
      </c>
      <c r="B1029">
        <v>0</v>
      </c>
      <c r="C1029">
        <v>0</v>
      </c>
      <c r="D1029">
        <v>0</v>
      </c>
      <c r="E1029">
        <v>0</v>
      </c>
      <c r="F1029">
        <v>1</v>
      </c>
      <c r="G1029">
        <v>1</v>
      </c>
      <c r="H1029">
        <v>0</v>
      </c>
      <c r="I1029">
        <v>1</v>
      </c>
      <c r="J1029" t="s">
        <v>79</v>
      </c>
      <c r="K1029" t="s">
        <v>80</v>
      </c>
      <c r="L1029">
        <v>0</v>
      </c>
      <c r="M1029">
        <v>0</v>
      </c>
      <c r="N1029">
        <v>1</v>
      </c>
      <c r="O1029">
        <v>0</v>
      </c>
      <c r="P1029">
        <v>0</v>
      </c>
      <c r="Q1029" t="s">
        <v>585</v>
      </c>
      <c r="AA1029" t="s">
        <v>83</v>
      </c>
      <c r="AB1029" t="s">
        <v>82</v>
      </c>
      <c r="AC1029" t="s">
        <v>83</v>
      </c>
      <c r="AD1029" t="s">
        <v>81</v>
      </c>
      <c r="AE1029" t="s">
        <v>83</v>
      </c>
      <c r="AF1029" t="s">
        <v>81</v>
      </c>
      <c r="AG1029" t="s">
        <v>81</v>
      </c>
      <c r="AH1029" t="s">
        <v>83</v>
      </c>
      <c r="AI1029" t="s">
        <v>84</v>
      </c>
      <c r="AJ1029" t="s">
        <v>80</v>
      </c>
      <c r="AK1029" t="s">
        <v>117</v>
      </c>
      <c r="AL1029" t="s">
        <v>107</v>
      </c>
      <c r="AM1029" t="s">
        <v>86</v>
      </c>
      <c r="AN1029" t="s">
        <v>86</v>
      </c>
      <c r="AO1029" t="s">
        <v>86</v>
      </c>
      <c r="AP1029" t="s">
        <v>86</v>
      </c>
      <c r="AQ1029" t="s">
        <v>86</v>
      </c>
      <c r="AR1029" t="s">
        <v>97</v>
      </c>
      <c r="AS1029" t="s">
        <v>76</v>
      </c>
      <c r="AT1029" t="s">
        <v>107</v>
      </c>
      <c r="AU1029">
        <v>0</v>
      </c>
      <c r="AV1029">
        <v>0</v>
      </c>
      <c r="AW1029">
        <v>0</v>
      </c>
      <c r="AX1029">
        <v>1</v>
      </c>
      <c r="AY1029">
        <v>0</v>
      </c>
      <c r="AZ1029" t="s">
        <v>580</v>
      </c>
    </row>
    <row r="1030" spans="1:52" x14ac:dyDescent="0.2">
      <c r="A1030">
        <v>1</v>
      </c>
      <c r="B1030">
        <v>0</v>
      </c>
      <c r="C1030">
        <v>0</v>
      </c>
      <c r="D1030">
        <v>0</v>
      </c>
      <c r="E1030">
        <v>0</v>
      </c>
      <c r="F1030">
        <v>1</v>
      </c>
      <c r="G1030">
        <v>0</v>
      </c>
      <c r="H1030">
        <v>0</v>
      </c>
      <c r="I1030">
        <v>0</v>
      </c>
      <c r="J1030" t="s">
        <v>79</v>
      </c>
      <c r="K1030" t="s">
        <v>80</v>
      </c>
      <c r="L1030">
        <v>1</v>
      </c>
      <c r="M1030">
        <v>0</v>
      </c>
      <c r="N1030">
        <v>0</v>
      </c>
      <c r="O1030">
        <v>0</v>
      </c>
      <c r="P1030">
        <v>0</v>
      </c>
      <c r="Q1030" t="s">
        <v>584</v>
      </c>
      <c r="R1030">
        <v>0</v>
      </c>
      <c r="S1030">
        <v>0</v>
      </c>
      <c r="T1030">
        <v>1</v>
      </c>
      <c r="U1030">
        <v>0</v>
      </c>
      <c r="V1030">
        <v>0</v>
      </c>
      <c r="W1030">
        <v>0</v>
      </c>
      <c r="X1030">
        <v>1</v>
      </c>
      <c r="Y1030">
        <v>1</v>
      </c>
      <c r="Z1030">
        <v>0</v>
      </c>
      <c r="AL1030" t="s">
        <v>73</v>
      </c>
      <c r="AM1030" t="s">
        <v>74</v>
      </c>
      <c r="AR1030" t="s">
        <v>75</v>
      </c>
      <c r="AS1030" t="s">
        <v>76</v>
      </c>
      <c r="AT1030" t="s">
        <v>73</v>
      </c>
      <c r="AU1030">
        <v>0</v>
      </c>
      <c r="AV1030">
        <v>0</v>
      </c>
      <c r="AW1030">
        <v>0</v>
      </c>
      <c r="AX1030">
        <v>1</v>
      </c>
      <c r="AY1030">
        <v>0</v>
      </c>
      <c r="AZ1030" t="s">
        <v>579</v>
      </c>
    </row>
    <row r="1031" spans="1:52" x14ac:dyDescent="0.2">
      <c r="A1031">
        <v>1</v>
      </c>
      <c r="B1031">
        <v>0</v>
      </c>
      <c r="C1031">
        <v>0</v>
      </c>
      <c r="D1031">
        <v>0</v>
      </c>
      <c r="E1031">
        <v>0</v>
      </c>
      <c r="F1031">
        <v>1</v>
      </c>
      <c r="G1031">
        <v>1</v>
      </c>
      <c r="H1031">
        <v>1</v>
      </c>
      <c r="I1031">
        <v>0</v>
      </c>
      <c r="J1031" t="s">
        <v>88</v>
      </c>
      <c r="K1031" t="s">
        <v>89</v>
      </c>
      <c r="L1031">
        <v>0</v>
      </c>
      <c r="M1031">
        <v>0</v>
      </c>
      <c r="N1031">
        <v>1</v>
      </c>
      <c r="O1031">
        <v>0</v>
      </c>
      <c r="P1031">
        <v>0</v>
      </c>
      <c r="Q1031" t="s">
        <v>584</v>
      </c>
      <c r="AA1031" t="s">
        <v>81</v>
      </c>
      <c r="AB1031" t="s">
        <v>81</v>
      </c>
      <c r="AC1031" t="s">
        <v>81</v>
      </c>
      <c r="AD1031" t="s">
        <v>81</v>
      </c>
      <c r="AE1031" t="s">
        <v>82</v>
      </c>
      <c r="AF1031" t="s">
        <v>81</v>
      </c>
      <c r="AG1031" t="s">
        <v>81</v>
      </c>
      <c r="AH1031" t="s">
        <v>83</v>
      </c>
      <c r="AI1031" t="s">
        <v>88</v>
      </c>
      <c r="AJ1031" t="s">
        <v>89</v>
      </c>
      <c r="AK1031" t="s">
        <v>85</v>
      </c>
      <c r="AL1031" t="s">
        <v>107</v>
      </c>
      <c r="AM1031" t="s">
        <v>86</v>
      </c>
      <c r="AN1031" t="s">
        <v>87</v>
      </c>
      <c r="AO1031" t="s">
        <v>87</v>
      </c>
      <c r="AP1031" t="s">
        <v>87</v>
      </c>
      <c r="AQ1031" t="s">
        <v>87</v>
      </c>
      <c r="AR1031" t="s">
        <v>159</v>
      </c>
      <c r="AS1031" t="s">
        <v>76</v>
      </c>
      <c r="AT1031" t="s">
        <v>107</v>
      </c>
      <c r="AU1031">
        <v>0</v>
      </c>
      <c r="AV1031">
        <v>0</v>
      </c>
      <c r="AW1031">
        <v>0</v>
      </c>
      <c r="AX1031">
        <v>1</v>
      </c>
      <c r="AY1031">
        <v>0</v>
      </c>
      <c r="AZ1031" t="s">
        <v>579</v>
      </c>
    </row>
    <row r="1032" spans="1:52" x14ac:dyDescent="0.2">
      <c r="A1032">
        <v>1</v>
      </c>
      <c r="B1032">
        <v>0</v>
      </c>
      <c r="C1032">
        <v>0</v>
      </c>
      <c r="D1032">
        <v>0</v>
      </c>
      <c r="E1032">
        <v>0</v>
      </c>
      <c r="F1032">
        <v>1</v>
      </c>
      <c r="G1032">
        <v>0</v>
      </c>
      <c r="H1032">
        <v>0</v>
      </c>
      <c r="I1032">
        <v>0</v>
      </c>
      <c r="J1032" t="s">
        <v>79</v>
      </c>
      <c r="K1032" t="s">
        <v>80</v>
      </c>
      <c r="L1032">
        <v>0</v>
      </c>
      <c r="M1032">
        <v>1</v>
      </c>
      <c r="N1032">
        <v>0</v>
      </c>
      <c r="O1032">
        <v>0</v>
      </c>
      <c r="P1032">
        <v>0</v>
      </c>
      <c r="Q1032" t="s">
        <v>584</v>
      </c>
      <c r="AA1032" t="s">
        <v>83</v>
      </c>
      <c r="AB1032" t="s">
        <v>82</v>
      </c>
      <c r="AC1032" t="s">
        <v>81</v>
      </c>
      <c r="AD1032" t="s">
        <v>90</v>
      </c>
      <c r="AE1032" t="s">
        <v>90</v>
      </c>
      <c r="AF1032" t="s">
        <v>90</v>
      </c>
      <c r="AG1032" t="s">
        <v>90</v>
      </c>
      <c r="AH1032" t="s">
        <v>83</v>
      </c>
      <c r="AI1032" t="s">
        <v>127</v>
      </c>
      <c r="AJ1032" t="s">
        <v>127</v>
      </c>
      <c r="AL1032" t="s">
        <v>107</v>
      </c>
      <c r="AM1032" t="s">
        <v>87</v>
      </c>
      <c r="AN1032" t="s">
        <v>87</v>
      </c>
      <c r="AO1032" t="s">
        <v>87</v>
      </c>
      <c r="AP1032" t="s">
        <v>87</v>
      </c>
      <c r="AQ1032" t="s">
        <v>87</v>
      </c>
      <c r="AR1032" t="s">
        <v>108</v>
      </c>
      <c r="AS1032" t="s">
        <v>76</v>
      </c>
      <c r="AT1032" t="s">
        <v>107</v>
      </c>
      <c r="AU1032">
        <v>0</v>
      </c>
      <c r="AV1032">
        <v>0</v>
      </c>
      <c r="AW1032">
        <v>0</v>
      </c>
      <c r="AX1032">
        <v>1</v>
      </c>
      <c r="AY1032">
        <v>0</v>
      </c>
      <c r="AZ1032" t="s">
        <v>579</v>
      </c>
    </row>
    <row r="1033" spans="1:52" x14ac:dyDescent="0.2">
      <c r="A1033">
        <v>1</v>
      </c>
      <c r="B1033">
        <v>0</v>
      </c>
      <c r="C1033">
        <v>0</v>
      </c>
      <c r="D1033">
        <v>0</v>
      </c>
      <c r="E1033">
        <v>0</v>
      </c>
      <c r="F1033">
        <v>1</v>
      </c>
      <c r="G1033">
        <v>0</v>
      </c>
      <c r="H1033">
        <v>0</v>
      </c>
      <c r="I1033">
        <v>0</v>
      </c>
      <c r="J1033" t="s">
        <v>88</v>
      </c>
      <c r="K1033" t="s">
        <v>89</v>
      </c>
      <c r="L1033">
        <v>0</v>
      </c>
      <c r="M1033">
        <v>0</v>
      </c>
      <c r="N1033">
        <v>1</v>
      </c>
      <c r="O1033">
        <v>0</v>
      </c>
      <c r="P1033">
        <v>0</v>
      </c>
      <c r="Q1033" t="s">
        <v>584</v>
      </c>
      <c r="AA1033" t="s">
        <v>83</v>
      </c>
      <c r="AB1033" t="s">
        <v>82</v>
      </c>
      <c r="AC1033" t="s">
        <v>83</v>
      </c>
      <c r="AD1033" t="s">
        <v>83</v>
      </c>
      <c r="AE1033" t="s">
        <v>83</v>
      </c>
      <c r="AF1033" t="s">
        <v>81</v>
      </c>
      <c r="AG1033" t="s">
        <v>83</v>
      </c>
      <c r="AH1033" t="s">
        <v>81</v>
      </c>
      <c r="AI1033" t="s">
        <v>88</v>
      </c>
      <c r="AJ1033" t="s">
        <v>89</v>
      </c>
      <c r="AK1033" t="s">
        <v>85</v>
      </c>
      <c r="AL1033" t="s">
        <v>107</v>
      </c>
      <c r="AM1033" t="s">
        <v>87</v>
      </c>
      <c r="AN1033" t="s">
        <v>87</v>
      </c>
      <c r="AO1033" t="s">
        <v>87</v>
      </c>
      <c r="AP1033" t="s">
        <v>74</v>
      </c>
      <c r="AQ1033" t="s">
        <v>87</v>
      </c>
      <c r="AR1033" t="s">
        <v>75</v>
      </c>
      <c r="AS1033" t="s">
        <v>76</v>
      </c>
      <c r="AT1033" t="s">
        <v>107</v>
      </c>
      <c r="AU1033">
        <v>0</v>
      </c>
      <c r="AV1033">
        <v>0</v>
      </c>
      <c r="AW1033">
        <v>0</v>
      </c>
      <c r="AX1033">
        <v>1</v>
      </c>
      <c r="AY1033">
        <v>0</v>
      </c>
      <c r="AZ1033" t="s">
        <v>579</v>
      </c>
    </row>
    <row r="1034" spans="1:52" x14ac:dyDescent="0.2">
      <c r="A1034">
        <v>0</v>
      </c>
      <c r="B1034">
        <v>1</v>
      </c>
      <c r="C1034">
        <v>0</v>
      </c>
      <c r="D1034">
        <v>0</v>
      </c>
      <c r="E1034">
        <v>1</v>
      </c>
      <c r="F1034">
        <v>0</v>
      </c>
      <c r="G1034">
        <v>0</v>
      </c>
      <c r="H1034">
        <v>0</v>
      </c>
      <c r="I1034">
        <v>0</v>
      </c>
      <c r="L1034">
        <v>0</v>
      </c>
      <c r="M1034">
        <v>1</v>
      </c>
      <c r="N1034">
        <v>0</v>
      </c>
      <c r="O1034">
        <v>0</v>
      </c>
      <c r="P1034">
        <v>0</v>
      </c>
      <c r="Q1034" t="s">
        <v>584</v>
      </c>
      <c r="AA1034" t="s">
        <v>82</v>
      </c>
      <c r="AB1034" t="s">
        <v>81</v>
      </c>
      <c r="AC1034" t="s">
        <v>81</v>
      </c>
      <c r="AD1034" t="s">
        <v>83</v>
      </c>
      <c r="AE1034" t="s">
        <v>81</v>
      </c>
      <c r="AF1034" t="s">
        <v>81</v>
      </c>
      <c r="AG1034" t="s">
        <v>82</v>
      </c>
      <c r="AH1034" t="s">
        <v>83</v>
      </c>
      <c r="AI1034" t="s">
        <v>84</v>
      </c>
      <c r="AJ1034" t="s">
        <v>127</v>
      </c>
      <c r="AK1034" t="s">
        <v>117</v>
      </c>
      <c r="AL1034" t="s">
        <v>96</v>
      </c>
      <c r="AM1034" t="s">
        <v>74</v>
      </c>
      <c r="AR1034" t="s">
        <v>108</v>
      </c>
      <c r="AS1034" t="s">
        <v>76</v>
      </c>
      <c r="AT1034" t="s">
        <v>96</v>
      </c>
      <c r="AU1034">
        <v>0</v>
      </c>
      <c r="AV1034">
        <v>0</v>
      </c>
      <c r="AW1034">
        <v>0</v>
      </c>
      <c r="AX1034">
        <v>1</v>
      </c>
      <c r="AY1034">
        <v>0</v>
      </c>
      <c r="AZ1034" t="s">
        <v>579</v>
      </c>
    </row>
    <row r="1035" spans="1:52" x14ac:dyDescent="0.2">
      <c r="A1035">
        <v>1</v>
      </c>
      <c r="B1035">
        <v>0</v>
      </c>
      <c r="C1035">
        <v>0</v>
      </c>
      <c r="D1035">
        <v>0</v>
      </c>
      <c r="E1035">
        <v>1</v>
      </c>
      <c r="F1035">
        <v>0</v>
      </c>
      <c r="G1035">
        <v>0</v>
      </c>
      <c r="H1035">
        <v>0</v>
      </c>
      <c r="I1035">
        <v>0</v>
      </c>
      <c r="L1035">
        <v>1</v>
      </c>
      <c r="M1035">
        <v>0</v>
      </c>
      <c r="N1035">
        <v>0</v>
      </c>
      <c r="O1035">
        <v>0</v>
      </c>
      <c r="P1035">
        <v>0</v>
      </c>
      <c r="Q1035" t="s">
        <v>584</v>
      </c>
      <c r="R1035">
        <v>0</v>
      </c>
      <c r="S1035">
        <v>0</v>
      </c>
      <c r="T1035">
        <v>0</v>
      </c>
      <c r="U1035">
        <v>0</v>
      </c>
      <c r="V1035">
        <v>0</v>
      </c>
      <c r="W1035">
        <v>0</v>
      </c>
      <c r="X1035">
        <v>1</v>
      </c>
      <c r="Y1035">
        <v>0</v>
      </c>
      <c r="Z1035">
        <v>0</v>
      </c>
      <c r="AL1035" t="s">
        <v>107</v>
      </c>
      <c r="AM1035" t="s">
        <v>86</v>
      </c>
      <c r="AN1035" t="s">
        <v>86</v>
      </c>
      <c r="AO1035" t="s">
        <v>86</v>
      </c>
      <c r="AP1035" t="s">
        <v>86</v>
      </c>
      <c r="AQ1035" t="s">
        <v>86</v>
      </c>
      <c r="AR1035" t="s">
        <v>108</v>
      </c>
      <c r="AS1035" t="s">
        <v>76</v>
      </c>
      <c r="AT1035" t="s">
        <v>107</v>
      </c>
      <c r="AU1035">
        <v>0</v>
      </c>
      <c r="AV1035">
        <v>0</v>
      </c>
      <c r="AW1035">
        <v>0</v>
      </c>
      <c r="AX1035">
        <v>1</v>
      </c>
      <c r="AY1035">
        <v>0</v>
      </c>
      <c r="AZ1035" t="s">
        <v>578</v>
      </c>
    </row>
    <row r="1036" spans="1:52" x14ac:dyDescent="0.2">
      <c r="A1036">
        <v>1</v>
      </c>
      <c r="B1036">
        <v>0</v>
      </c>
      <c r="C1036">
        <v>0</v>
      </c>
      <c r="D1036">
        <v>0</v>
      </c>
      <c r="E1036">
        <v>0</v>
      </c>
      <c r="F1036">
        <v>1</v>
      </c>
      <c r="G1036">
        <v>0</v>
      </c>
      <c r="H1036">
        <v>0</v>
      </c>
      <c r="I1036">
        <v>0</v>
      </c>
      <c r="J1036" t="s">
        <v>88</v>
      </c>
      <c r="K1036" t="s">
        <v>89</v>
      </c>
      <c r="L1036">
        <v>0</v>
      </c>
      <c r="M1036">
        <v>1</v>
      </c>
      <c r="N1036">
        <v>1</v>
      </c>
      <c r="O1036">
        <v>0</v>
      </c>
      <c r="P1036">
        <v>0</v>
      </c>
      <c r="Q1036" t="s">
        <v>584</v>
      </c>
      <c r="AA1036" t="s">
        <v>83</v>
      </c>
      <c r="AB1036" t="s">
        <v>82</v>
      </c>
      <c r="AC1036" t="s">
        <v>83</v>
      </c>
      <c r="AD1036" t="s">
        <v>83</v>
      </c>
      <c r="AE1036" t="s">
        <v>81</v>
      </c>
      <c r="AF1036" t="s">
        <v>81</v>
      </c>
      <c r="AG1036" t="s">
        <v>83</v>
      </c>
      <c r="AH1036" t="s">
        <v>83</v>
      </c>
      <c r="AI1036" t="s">
        <v>88</v>
      </c>
      <c r="AJ1036" t="s">
        <v>89</v>
      </c>
      <c r="AK1036" t="s">
        <v>85</v>
      </c>
      <c r="AL1036" t="s">
        <v>96</v>
      </c>
      <c r="AM1036" t="s">
        <v>87</v>
      </c>
      <c r="AN1036" t="s">
        <v>74</v>
      </c>
      <c r="AO1036" t="s">
        <v>87</v>
      </c>
      <c r="AP1036" t="s">
        <v>86</v>
      </c>
      <c r="AQ1036" t="s">
        <v>86</v>
      </c>
      <c r="AR1036" t="s">
        <v>75</v>
      </c>
      <c r="AS1036" t="s">
        <v>76</v>
      </c>
      <c r="AT1036" t="s">
        <v>96</v>
      </c>
      <c r="AU1036">
        <v>1</v>
      </c>
      <c r="AV1036">
        <v>0</v>
      </c>
      <c r="AW1036">
        <v>0</v>
      </c>
      <c r="AX1036">
        <v>0</v>
      </c>
      <c r="AY1036">
        <v>0</v>
      </c>
      <c r="AZ1036" t="s">
        <v>580</v>
      </c>
    </row>
    <row r="1037" spans="1:52" x14ac:dyDescent="0.2">
      <c r="A1037">
        <v>1</v>
      </c>
      <c r="B1037">
        <v>0</v>
      </c>
      <c r="C1037">
        <v>0</v>
      </c>
      <c r="D1037">
        <v>0</v>
      </c>
      <c r="E1037">
        <v>0</v>
      </c>
      <c r="F1037">
        <v>1</v>
      </c>
      <c r="G1037">
        <v>1</v>
      </c>
      <c r="H1037">
        <v>0</v>
      </c>
      <c r="I1037">
        <v>0</v>
      </c>
      <c r="J1037" t="s">
        <v>135</v>
      </c>
      <c r="K1037" t="s">
        <v>80</v>
      </c>
      <c r="L1037">
        <v>0</v>
      </c>
      <c r="M1037">
        <v>0</v>
      </c>
      <c r="N1037">
        <v>1</v>
      </c>
      <c r="O1037">
        <v>0</v>
      </c>
      <c r="P1037">
        <v>0</v>
      </c>
      <c r="Q1037" t="s">
        <v>584</v>
      </c>
      <c r="AA1037" t="s">
        <v>83</v>
      </c>
      <c r="AB1037" t="s">
        <v>82</v>
      </c>
      <c r="AC1037" t="s">
        <v>83</v>
      </c>
      <c r="AD1037" t="s">
        <v>82</v>
      </c>
      <c r="AE1037" t="s">
        <v>81</v>
      </c>
      <c r="AF1037" t="s">
        <v>83</v>
      </c>
      <c r="AG1037" t="s">
        <v>82</v>
      </c>
      <c r="AH1037" t="s">
        <v>83</v>
      </c>
      <c r="AI1037" t="s">
        <v>88</v>
      </c>
      <c r="AJ1037" t="s">
        <v>89</v>
      </c>
      <c r="AK1037" t="s">
        <v>85</v>
      </c>
      <c r="AL1037" t="s">
        <v>107</v>
      </c>
      <c r="AM1037" t="s">
        <v>87</v>
      </c>
      <c r="AN1037" t="s">
        <v>87</v>
      </c>
      <c r="AO1037" t="s">
        <v>87</v>
      </c>
      <c r="AP1037" t="s">
        <v>87</v>
      </c>
      <c r="AQ1037" t="s">
        <v>87</v>
      </c>
      <c r="AR1037" t="s">
        <v>108</v>
      </c>
      <c r="AS1037" t="s">
        <v>76</v>
      </c>
      <c r="AT1037" t="s">
        <v>107</v>
      </c>
      <c r="AU1037">
        <v>0</v>
      </c>
      <c r="AV1037">
        <v>0</v>
      </c>
      <c r="AW1037">
        <v>0</v>
      </c>
      <c r="AX1037">
        <v>1</v>
      </c>
      <c r="AY1037">
        <v>1</v>
      </c>
      <c r="AZ1037" t="s">
        <v>580</v>
      </c>
    </row>
    <row r="1038" spans="1:52" x14ac:dyDescent="0.2">
      <c r="A1038">
        <v>1</v>
      </c>
      <c r="B1038">
        <v>0</v>
      </c>
      <c r="C1038">
        <v>0</v>
      </c>
      <c r="D1038">
        <v>0</v>
      </c>
      <c r="E1038">
        <v>0</v>
      </c>
      <c r="F1038">
        <v>1</v>
      </c>
      <c r="G1038">
        <v>1</v>
      </c>
      <c r="H1038">
        <v>1</v>
      </c>
      <c r="I1038">
        <v>0</v>
      </c>
      <c r="J1038" t="s">
        <v>135</v>
      </c>
      <c r="K1038" t="s">
        <v>80</v>
      </c>
      <c r="L1038">
        <v>1</v>
      </c>
      <c r="M1038">
        <v>0</v>
      </c>
      <c r="N1038">
        <v>0</v>
      </c>
      <c r="O1038">
        <v>0</v>
      </c>
      <c r="P1038">
        <v>0</v>
      </c>
      <c r="Q1038" t="s">
        <v>584</v>
      </c>
      <c r="R1038">
        <v>0</v>
      </c>
      <c r="S1038">
        <v>0</v>
      </c>
      <c r="T1038">
        <v>0</v>
      </c>
      <c r="U1038">
        <v>0</v>
      </c>
      <c r="V1038">
        <v>1</v>
      </c>
      <c r="W1038">
        <v>0</v>
      </c>
      <c r="X1038">
        <v>0</v>
      </c>
      <c r="Y1038">
        <v>1</v>
      </c>
      <c r="Z1038">
        <v>0</v>
      </c>
      <c r="AL1038" t="s">
        <v>107</v>
      </c>
      <c r="AM1038" t="s">
        <v>87</v>
      </c>
      <c r="AN1038" t="s">
        <v>86</v>
      </c>
      <c r="AO1038" t="s">
        <v>86</v>
      </c>
      <c r="AP1038" t="s">
        <v>86</v>
      </c>
      <c r="AQ1038" t="s">
        <v>74</v>
      </c>
      <c r="AR1038" t="s">
        <v>75</v>
      </c>
      <c r="AS1038" t="s">
        <v>76</v>
      </c>
      <c r="AT1038" t="s">
        <v>107</v>
      </c>
      <c r="AU1038">
        <v>0</v>
      </c>
      <c r="AV1038">
        <v>0</v>
      </c>
      <c r="AW1038">
        <v>0</v>
      </c>
      <c r="AX1038">
        <v>1</v>
      </c>
      <c r="AY1038">
        <v>0</v>
      </c>
      <c r="AZ1038" t="s">
        <v>578</v>
      </c>
    </row>
    <row r="1039" spans="1:52" x14ac:dyDescent="0.2">
      <c r="A1039">
        <v>1</v>
      </c>
      <c r="B1039">
        <v>0</v>
      </c>
      <c r="C1039">
        <v>0</v>
      </c>
      <c r="D1039">
        <v>0</v>
      </c>
      <c r="E1039">
        <v>0</v>
      </c>
      <c r="F1039">
        <v>1</v>
      </c>
      <c r="G1039">
        <v>1</v>
      </c>
      <c r="H1039">
        <v>0</v>
      </c>
      <c r="I1039">
        <v>0</v>
      </c>
      <c r="J1039" t="s">
        <v>88</v>
      </c>
      <c r="K1039" t="s">
        <v>89</v>
      </c>
      <c r="L1039">
        <v>0</v>
      </c>
      <c r="M1039">
        <v>0</v>
      </c>
      <c r="N1039">
        <v>1</v>
      </c>
      <c r="O1039">
        <v>0</v>
      </c>
      <c r="P1039">
        <v>0</v>
      </c>
      <c r="Q1039" t="s">
        <v>584</v>
      </c>
      <c r="AA1039" t="s">
        <v>81</v>
      </c>
      <c r="AB1039" t="s">
        <v>82</v>
      </c>
      <c r="AC1039" t="s">
        <v>83</v>
      </c>
      <c r="AD1039" t="s">
        <v>81</v>
      </c>
      <c r="AE1039" t="s">
        <v>82</v>
      </c>
      <c r="AF1039" t="s">
        <v>83</v>
      </c>
      <c r="AG1039" t="s">
        <v>81</v>
      </c>
      <c r="AH1039" t="s">
        <v>83</v>
      </c>
      <c r="AI1039" t="s">
        <v>88</v>
      </c>
      <c r="AJ1039" t="s">
        <v>89</v>
      </c>
      <c r="AK1039" t="s">
        <v>85</v>
      </c>
      <c r="AL1039" t="s">
        <v>107</v>
      </c>
      <c r="AM1039" t="s">
        <v>87</v>
      </c>
      <c r="AN1039" t="s">
        <v>87</v>
      </c>
      <c r="AO1039" t="s">
        <v>87</v>
      </c>
      <c r="AP1039" t="s">
        <v>87</v>
      </c>
      <c r="AQ1039" t="s">
        <v>87</v>
      </c>
      <c r="AR1039" t="s">
        <v>75</v>
      </c>
      <c r="AS1039" t="s">
        <v>92</v>
      </c>
      <c r="AT1039" t="s">
        <v>107</v>
      </c>
      <c r="AU1039">
        <v>0</v>
      </c>
      <c r="AV1039">
        <v>0</v>
      </c>
      <c r="AW1039">
        <v>0</v>
      </c>
      <c r="AX1039">
        <v>1</v>
      </c>
      <c r="AY1039">
        <v>0</v>
      </c>
      <c r="AZ1039" t="s">
        <v>578</v>
      </c>
    </row>
    <row r="1040" spans="1:52" x14ac:dyDescent="0.2">
      <c r="A1040">
        <v>1</v>
      </c>
      <c r="B1040">
        <v>0</v>
      </c>
      <c r="C1040">
        <v>0</v>
      </c>
      <c r="D1040">
        <v>0</v>
      </c>
      <c r="E1040">
        <v>0</v>
      </c>
      <c r="F1040">
        <v>1</v>
      </c>
      <c r="G1040">
        <v>0</v>
      </c>
      <c r="H1040">
        <v>0</v>
      </c>
      <c r="I1040">
        <v>0</v>
      </c>
      <c r="J1040" t="s">
        <v>135</v>
      </c>
      <c r="K1040" t="s">
        <v>80</v>
      </c>
      <c r="L1040">
        <v>0</v>
      </c>
      <c r="M1040">
        <v>0</v>
      </c>
      <c r="N1040">
        <v>1</v>
      </c>
      <c r="O1040">
        <v>0</v>
      </c>
      <c r="P1040">
        <v>0</v>
      </c>
      <c r="Q1040" t="s">
        <v>584</v>
      </c>
      <c r="AA1040" t="s">
        <v>82</v>
      </c>
      <c r="AB1040" t="s">
        <v>81</v>
      </c>
      <c r="AC1040" t="s">
        <v>83</v>
      </c>
      <c r="AD1040" t="s">
        <v>81</v>
      </c>
      <c r="AE1040" t="s">
        <v>82</v>
      </c>
      <c r="AF1040" t="s">
        <v>81</v>
      </c>
      <c r="AG1040" t="s">
        <v>82</v>
      </c>
      <c r="AH1040" t="s">
        <v>83</v>
      </c>
      <c r="AI1040" t="s">
        <v>88</v>
      </c>
      <c r="AJ1040" t="s">
        <v>89</v>
      </c>
      <c r="AK1040" t="s">
        <v>85</v>
      </c>
      <c r="AL1040" t="s">
        <v>73</v>
      </c>
      <c r="AM1040" t="s">
        <v>87</v>
      </c>
      <c r="AN1040" t="s">
        <v>87</v>
      </c>
      <c r="AO1040" t="s">
        <v>87</v>
      </c>
      <c r="AP1040" t="s">
        <v>86</v>
      </c>
      <c r="AQ1040" t="s">
        <v>87</v>
      </c>
      <c r="AR1040" t="s">
        <v>75</v>
      </c>
      <c r="AS1040" t="s">
        <v>76</v>
      </c>
      <c r="AT1040" t="s">
        <v>73</v>
      </c>
      <c r="AU1040">
        <v>0</v>
      </c>
      <c r="AV1040">
        <v>0</v>
      </c>
      <c r="AW1040">
        <v>0</v>
      </c>
      <c r="AX1040">
        <v>1</v>
      </c>
      <c r="AY1040">
        <v>0</v>
      </c>
      <c r="AZ1040" t="s">
        <v>579</v>
      </c>
    </row>
    <row r="1041" spans="1:52" x14ac:dyDescent="0.2">
      <c r="A1041">
        <v>0</v>
      </c>
      <c r="B1041">
        <v>1</v>
      </c>
      <c r="C1041">
        <v>0</v>
      </c>
      <c r="D1041">
        <v>0</v>
      </c>
      <c r="E1041">
        <v>0</v>
      </c>
      <c r="F1041">
        <v>1</v>
      </c>
      <c r="G1041">
        <v>0</v>
      </c>
      <c r="H1041">
        <v>0</v>
      </c>
      <c r="I1041">
        <v>0</v>
      </c>
      <c r="J1041" t="s">
        <v>79</v>
      </c>
      <c r="K1041" t="s">
        <v>80</v>
      </c>
      <c r="L1041">
        <v>1</v>
      </c>
      <c r="M1041">
        <v>0</v>
      </c>
      <c r="N1041">
        <v>0</v>
      </c>
      <c r="O1041">
        <v>0</v>
      </c>
      <c r="P1041">
        <v>0</v>
      </c>
      <c r="Q1041" t="s">
        <v>584</v>
      </c>
      <c r="R1041">
        <v>0</v>
      </c>
      <c r="S1041">
        <v>0</v>
      </c>
      <c r="T1041">
        <v>1</v>
      </c>
      <c r="U1041">
        <v>0</v>
      </c>
      <c r="V1041">
        <v>0</v>
      </c>
      <c r="W1041">
        <v>0</v>
      </c>
      <c r="X1041">
        <v>1</v>
      </c>
      <c r="Y1041">
        <v>1</v>
      </c>
      <c r="Z1041">
        <v>0</v>
      </c>
      <c r="AL1041" t="s">
        <v>73</v>
      </c>
      <c r="AM1041" t="s">
        <v>86</v>
      </c>
      <c r="AN1041" t="s">
        <v>86</v>
      </c>
      <c r="AO1041" t="s">
        <v>86</v>
      </c>
      <c r="AP1041" t="s">
        <v>87</v>
      </c>
      <c r="AQ1041" t="s">
        <v>87</v>
      </c>
      <c r="AR1041" t="s">
        <v>75</v>
      </c>
      <c r="AS1041" t="s">
        <v>76</v>
      </c>
      <c r="AT1041" t="s">
        <v>73</v>
      </c>
      <c r="AU1041">
        <v>0</v>
      </c>
      <c r="AV1041">
        <v>0</v>
      </c>
      <c r="AW1041">
        <v>0</v>
      </c>
      <c r="AX1041">
        <v>1</v>
      </c>
      <c r="AY1041">
        <v>0</v>
      </c>
      <c r="AZ1041" t="s">
        <v>578</v>
      </c>
    </row>
    <row r="1042" spans="1:52" x14ac:dyDescent="0.2">
      <c r="A1042">
        <v>1</v>
      </c>
      <c r="B1042">
        <v>0</v>
      </c>
      <c r="C1042">
        <v>0</v>
      </c>
      <c r="D1042">
        <v>0</v>
      </c>
      <c r="E1042">
        <v>0</v>
      </c>
      <c r="F1042">
        <v>1</v>
      </c>
      <c r="G1042">
        <v>1</v>
      </c>
      <c r="H1042">
        <v>1</v>
      </c>
      <c r="I1042">
        <v>0</v>
      </c>
      <c r="J1042" t="s">
        <v>88</v>
      </c>
      <c r="K1042" t="s">
        <v>89</v>
      </c>
      <c r="L1042">
        <v>0</v>
      </c>
      <c r="M1042">
        <v>0</v>
      </c>
      <c r="N1042">
        <v>1</v>
      </c>
      <c r="O1042">
        <v>0</v>
      </c>
      <c r="P1042">
        <v>0</v>
      </c>
      <c r="Q1042" t="s">
        <v>584</v>
      </c>
      <c r="AA1042" t="s">
        <v>82</v>
      </c>
      <c r="AB1042" t="s">
        <v>82</v>
      </c>
      <c r="AC1042" t="s">
        <v>81</v>
      </c>
      <c r="AD1042" t="s">
        <v>81</v>
      </c>
      <c r="AE1042" t="s">
        <v>82</v>
      </c>
      <c r="AF1042" t="s">
        <v>82</v>
      </c>
      <c r="AG1042" t="s">
        <v>83</v>
      </c>
      <c r="AH1042" t="s">
        <v>83</v>
      </c>
      <c r="AI1042" t="s">
        <v>88</v>
      </c>
      <c r="AJ1042" t="s">
        <v>89</v>
      </c>
      <c r="AK1042" t="s">
        <v>85</v>
      </c>
      <c r="AL1042" t="s">
        <v>107</v>
      </c>
      <c r="AM1042" t="s">
        <v>87</v>
      </c>
      <c r="AN1042" t="s">
        <v>87</v>
      </c>
      <c r="AO1042" t="s">
        <v>87</v>
      </c>
      <c r="AP1042" t="s">
        <v>87</v>
      </c>
      <c r="AQ1042" t="s">
        <v>87</v>
      </c>
      <c r="AR1042" t="s">
        <v>75</v>
      </c>
      <c r="AS1042" t="s">
        <v>76</v>
      </c>
      <c r="AT1042" t="s">
        <v>107</v>
      </c>
      <c r="AU1042">
        <v>0</v>
      </c>
      <c r="AV1042">
        <v>0</v>
      </c>
      <c r="AW1042">
        <v>0</v>
      </c>
      <c r="AX1042">
        <v>1</v>
      </c>
      <c r="AY1042">
        <v>0</v>
      </c>
      <c r="AZ1042" t="s">
        <v>579</v>
      </c>
    </row>
    <row r="1043" spans="1:52" x14ac:dyDescent="0.2">
      <c r="A1043">
        <v>1</v>
      </c>
      <c r="B1043">
        <v>0</v>
      </c>
      <c r="C1043">
        <v>0</v>
      </c>
      <c r="D1043">
        <v>0</v>
      </c>
      <c r="E1043">
        <v>0</v>
      </c>
      <c r="F1043">
        <v>1</v>
      </c>
      <c r="G1043">
        <v>1</v>
      </c>
      <c r="H1043">
        <v>1</v>
      </c>
      <c r="I1043">
        <v>0</v>
      </c>
      <c r="J1043" t="s">
        <v>88</v>
      </c>
      <c r="K1043" t="s">
        <v>89</v>
      </c>
      <c r="L1043">
        <v>0</v>
      </c>
      <c r="M1043">
        <v>0</v>
      </c>
      <c r="N1043">
        <v>1</v>
      </c>
      <c r="O1043">
        <v>0</v>
      </c>
      <c r="P1043">
        <v>0</v>
      </c>
      <c r="Q1043" t="s">
        <v>584</v>
      </c>
      <c r="AA1043" t="s">
        <v>81</v>
      </c>
      <c r="AB1043" t="s">
        <v>81</v>
      </c>
      <c r="AC1043" t="s">
        <v>81</v>
      </c>
      <c r="AD1043" t="s">
        <v>81</v>
      </c>
      <c r="AE1043" t="s">
        <v>82</v>
      </c>
      <c r="AF1043" t="s">
        <v>83</v>
      </c>
      <c r="AG1043" t="s">
        <v>83</v>
      </c>
      <c r="AH1043" t="s">
        <v>83</v>
      </c>
      <c r="AI1043" t="s">
        <v>88</v>
      </c>
      <c r="AJ1043" t="s">
        <v>89</v>
      </c>
      <c r="AK1043" t="s">
        <v>85</v>
      </c>
      <c r="AL1043" t="s">
        <v>107</v>
      </c>
      <c r="AM1043" t="s">
        <v>87</v>
      </c>
      <c r="AN1043" t="s">
        <v>87</v>
      </c>
      <c r="AO1043" t="s">
        <v>87</v>
      </c>
      <c r="AP1043" t="s">
        <v>87</v>
      </c>
      <c r="AQ1043" t="s">
        <v>74</v>
      </c>
      <c r="AR1043" t="s">
        <v>75</v>
      </c>
      <c r="AS1043" t="s">
        <v>76</v>
      </c>
      <c r="AT1043" t="s">
        <v>107</v>
      </c>
      <c r="AU1043">
        <v>0</v>
      </c>
      <c r="AV1043">
        <v>0</v>
      </c>
      <c r="AW1043">
        <v>0</v>
      </c>
      <c r="AX1043">
        <v>1</v>
      </c>
      <c r="AY1043">
        <v>0</v>
      </c>
      <c r="AZ1043" t="s">
        <v>578</v>
      </c>
    </row>
    <row r="1044" spans="1:52" x14ac:dyDescent="0.2">
      <c r="A1044">
        <v>1</v>
      </c>
      <c r="B1044">
        <v>0</v>
      </c>
      <c r="C1044">
        <v>0</v>
      </c>
      <c r="D1044">
        <v>0</v>
      </c>
      <c r="E1044">
        <v>1</v>
      </c>
      <c r="F1044">
        <v>0</v>
      </c>
      <c r="G1044">
        <v>0</v>
      </c>
      <c r="H1044">
        <v>0</v>
      </c>
      <c r="I1044">
        <v>0</v>
      </c>
      <c r="L1044">
        <v>0</v>
      </c>
      <c r="M1044">
        <v>0</v>
      </c>
      <c r="N1044">
        <v>1</v>
      </c>
      <c r="O1044">
        <v>0</v>
      </c>
      <c r="P1044">
        <v>0</v>
      </c>
      <c r="Q1044" t="s">
        <v>584</v>
      </c>
      <c r="AA1044" t="s">
        <v>82</v>
      </c>
      <c r="AB1044" t="s">
        <v>83</v>
      </c>
      <c r="AC1044" t="s">
        <v>83</v>
      </c>
      <c r="AD1044" t="s">
        <v>83</v>
      </c>
      <c r="AE1044" t="s">
        <v>82</v>
      </c>
      <c r="AF1044" t="s">
        <v>81</v>
      </c>
      <c r="AG1044" t="s">
        <v>83</v>
      </c>
      <c r="AH1044" t="s">
        <v>81</v>
      </c>
      <c r="AI1044" t="s">
        <v>135</v>
      </c>
      <c r="AJ1044" t="s">
        <v>80</v>
      </c>
      <c r="AK1044" t="s">
        <v>85</v>
      </c>
      <c r="AL1044" t="s">
        <v>73</v>
      </c>
      <c r="AM1044" t="s">
        <v>74</v>
      </c>
      <c r="AR1044" t="s">
        <v>75</v>
      </c>
      <c r="AS1044" t="s">
        <v>76</v>
      </c>
      <c r="AT1044" t="s">
        <v>73</v>
      </c>
      <c r="AU1044">
        <v>0</v>
      </c>
      <c r="AV1044">
        <v>0</v>
      </c>
      <c r="AW1044">
        <v>0</v>
      </c>
      <c r="AX1044">
        <v>1</v>
      </c>
      <c r="AY1044">
        <v>0</v>
      </c>
      <c r="AZ1044" t="s">
        <v>578</v>
      </c>
    </row>
    <row r="1045" spans="1:52" x14ac:dyDescent="0.2">
      <c r="A1045">
        <v>1</v>
      </c>
      <c r="B1045">
        <v>0</v>
      </c>
      <c r="C1045">
        <v>0</v>
      </c>
      <c r="D1045">
        <v>0</v>
      </c>
      <c r="E1045">
        <v>0</v>
      </c>
      <c r="F1045">
        <v>1</v>
      </c>
      <c r="G1045">
        <v>1</v>
      </c>
      <c r="H1045">
        <v>1</v>
      </c>
      <c r="I1045">
        <v>1</v>
      </c>
      <c r="J1045" t="s">
        <v>88</v>
      </c>
      <c r="K1045" t="s">
        <v>89</v>
      </c>
      <c r="L1045">
        <v>0</v>
      </c>
      <c r="M1045">
        <v>0</v>
      </c>
      <c r="N1045">
        <v>0</v>
      </c>
      <c r="O1045">
        <v>1</v>
      </c>
      <c r="P1045">
        <v>0</v>
      </c>
      <c r="Q1045" t="s">
        <v>585</v>
      </c>
      <c r="AA1045" t="s">
        <v>83</v>
      </c>
      <c r="AB1045" t="s">
        <v>82</v>
      </c>
      <c r="AC1045" t="s">
        <v>82</v>
      </c>
      <c r="AD1045" t="s">
        <v>82</v>
      </c>
      <c r="AE1045" t="s">
        <v>81</v>
      </c>
      <c r="AF1045" t="s">
        <v>81</v>
      </c>
      <c r="AG1045" t="s">
        <v>81</v>
      </c>
      <c r="AH1045" t="s">
        <v>83</v>
      </c>
      <c r="AI1045" t="s">
        <v>88</v>
      </c>
      <c r="AJ1045" t="s">
        <v>89</v>
      </c>
      <c r="AK1045" t="s">
        <v>100</v>
      </c>
      <c r="AL1045" t="s">
        <v>73</v>
      </c>
      <c r="AM1045" t="s">
        <v>87</v>
      </c>
      <c r="AN1045" t="s">
        <v>87</v>
      </c>
      <c r="AO1045" t="s">
        <v>87</v>
      </c>
      <c r="AP1045" t="s">
        <v>87</v>
      </c>
      <c r="AQ1045" t="s">
        <v>87</v>
      </c>
      <c r="AR1045" t="s">
        <v>108</v>
      </c>
      <c r="AS1045" t="s">
        <v>92</v>
      </c>
      <c r="AT1045" t="s">
        <v>73</v>
      </c>
      <c r="AU1045">
        <v>0</v>
      </c>
      <c r="AV1045">
        <v>0</v>
      </c>
      <c r="AW1045">
        <v>0</v>
      </c>
      <c r="AX1045">
        <v>1</v>
      </c>
      <c r="AY1045">
        <v>0</v>
      </c>
      <c r="AZ1045" t="s">
        <v>579</v>
      </c>
    </row>
    <row r="1046" spans="1:52" x14ac:dyDescent="0.2">
      <c r="A1046">
        <v>0</v>
      </c>
      <c r="B1046">
        <v>1</v>
      </c>
      <c r="C1046">
        <v>0</v>
      </c>
      <c r="D1046">
        <v>0</v>
      </c>
      <c r="E1046">
        <v>0</v>
      </c>
      <c r="F1046">
        <v>1</v>
      </c>
      <c r="G1046">
        <v>0</v>
      </c>
      <c r="H1046">
        <v>0</v>
      </c>
      <c r="I1046">
        <v>0</v>
      </c>
      <c r="J1046" t="s">
        <v>88</v>
      </c>
      <c r="K1046" t="s">
        <v>89</v>
      </c>
      <c r="L1046">
        <v>0</v>
      </c>
      <c r="M1046">
        <v>1</v>
      </c>
      <c r="N1046">
        <v>0</v>
      </c>
      <c r="O1046">
        <v>0</v>
      </c>
      <c r="P1046">
        <v>0</v>
      </c>
      <c r="Q1046" t="s">
        <v>584</v>
      </c>
      <c r="AA1046" t="s">
        <v>83</v>
      </c>
      <c r="AB1046" t="s">
        <v>82</v>
      </c>
      <c r="AC1046" t="s">
        <v>81</v>
      </c>
      <c r="AD1046" t="s">
        <v>83</v>
      </c>
      <c r="AE1046" t="s">
        <v>83</v>
      </c>
      <c r="AF1046" t="s">
        <v>83</v>
      </c>
      <c r="AG1046" t="s">
        <v>83</v>
      </c>
      <c r="AH1046" t="s">
        <v>83</v>
      </c>
      <c r="AI1046" t="s">
        <v>88</v>
      </c>
      <c r="AJ1046" t="s">
        <v>89</v>
      </c>
      <c r="AK1046" t="s">
        <v>100</v>
      </c>
      <c r="AL1046" t="s">
        <v>107</v>
      </c>
      <c r="AM1046" t="s">
        <v>87</v>
      </c>
      <c r="AN1046" t="s">
        <v>74</v>
      </c>
      <c r="AO1046" t="s">
        <v>87</v>
      </c>
      <c r="AP1046" t="s">
        <v>87</v>
      </c>
      <c r="AQ1046" t="s">
        <v>74</v>
      </c>
      <c r="AR1046" t="s">
        <v>75</v>
      </c>
      <c r="AS1046" t="s">
        <v>76</v>
      </c>
      <c r="AT1046" t="s">
        <v>107</v>
      </c>
      <c r="AU1046">
        <v>0</v>
      </c>
      <c r="AV1046">
        <v>0</v>
      </c>
      <c r="AW1046">
        <v>0</v>
      </c>
      <c r="AX1046">
        <v>1</v>
      </c>
      <c r="AY1046">
        <v>0</v>
      </c>
      <c r="AZ1046" t="s">
        <v>579</v>
      </c>
    </row>
    <row r="1047" spans="1:52" x14ac:dyDescent="0.2">
      <c r="A1047">
        <v>1</v>
      </c>
      <c r="B1047">
        <v>0</v>
      </c>
      <c r="C1047">
        <v>0</v>
      </c>
      <c r="D1047">
        <v>0</v>
      </c>
      <c r="E1047">
        <v>0</v>
      </c>
      <c r="F1047">
        <v>1</v>
      </c>
      <c r="G1047">
        <v>0</v>
      </c>
      <c r="H1047">
        <v>0</v>
      </c>
      <c r="I1047">
        <v>1</v>
      </c>
      <c r="J1047" t="s">
        <v>88</v>
      </c>
      <c r="K1047" t="s">
        <v>80</v>
      </c>
      <c r="L1047">
        <v>0</v>
      </c>
      <c r="M1047">
        <v>0</v>
      </c>
      <c r="N1047">
        <v>1</v>
      </c>
      <c r="O1047">
        <v>0</v>
      </c>
      <c r="P1047">
        <v>0</v>
      </c>
      <c r="Q1047" t="s">
        <v>584</v>
      </c>
      <c r="AA1047" t="s">
        <v>83</v>
      </c>
      <c r="AB1047" t="s">
        <v>82</v>
      </c>
      <c r="AC1047" t="s">
        <v>83</v>
      </c>
      <c r="AD1047" t="s">
        <v>83</v>
      </c>
      <c r="AE1047" t="s">
        <v>81</v>
      </c>
      <c r="AF1047" t="s">
        <v>81</v>
      </c>
      <c r="AG1047" t="s">
        <v>83</v>
      </c>
      <c r="AH1047" t="s">
        <v>83</v>
      </c>
      <c r="AI1047" t="s">
        <v>88</v>
      </c>
      <c r="AJ1047" t="s">
        <v>89</v>
      </c>
      <c r="AK1047" t="s">
        <v>85</v>
      </c>
      <c r="AL1047" t="s">
        <v>107</v>
      </c>
      <c r="AM1047" t="s">
        <v>87</v>
      </c>
      <c r="AN1047" t="s">
        <v>87</v>
      </c>
      <c r="AO1047" t="s">
        <v>87</v>
      </c>
      <c r="AP1047" t="s">
        <v>74</v>
      </c>
      <c r="AQ1047" t="s">
        <v>87</v>
      </c>
      <c r="AR1047" t="s">
        <v>159</v>
      </c>
      <c r="AS1047" t="s">
        <v>76</v>
      </c>
      <c r="AT1047" t="s">
        <v>107</v>
      </c>
      <c r="AU1047">
        <v>0</v>
      </c>
      <c r="AV1047">
        <v>0</v>
      </c>
      <c r="AW1047">
        <v>0</v>
      </c>
      <c r="AX1047">
        <v>1</v>
      </c>
      <c r="AY1047">
        <v>0</v>
      </c>
      <c r="AZ1047" t="s">
        <v>578</v>
      </c>
    </row>
    <row r="1048" spans="1:52" x14ac:dyDescent="0.2">
      <c r="A1048">
        <v>1</v>
      </c>
      <c r="B1048">
        <v>0</v>
      </c>
      <c r="C1048">
        <v>0</v>
      </c>
      <c r="D1048">
        <v>0</v>
      </c>
      <c r="E1048">
        <v>0</v>
      </c>
      <c r="F1048">
        <v>1</v>
      </c>
      <c r="G1048">
        <v>1</v>
      </c>
      <c r="H1048">
        <v>1</v>
      </c>
      <c r="I1048">
        <v>0</v>
      </c>
      <c r="J1048" t="s">
        <v>127</v>
      </c>
      <c r="K1048" t="s">
        <v>127</v>
      </c>
      <c r="L1048">
        <v>0</v>
      </c>
      <c r="M1048">
        <v>0</v>
      </c>
      <c r="N1048">
        <v>1</v>
      </c>
      <c r="O1048">
        <v>0</v>
      </c>
      <c r="P1048">
        <v>0</v>
      </c>
      <c r="Q1048" t="s">
        <v>584</v>
      </c>
      <c r="AA1048" t="s">
        <v>83</v>
      </c>
      <c r="AB1048" t="s">
        <v>82</v>
      </c>
      <c r="AC1048" t="s">
        <v>82</v>
      </c>
      <c r="AD1048" t="s">
        <v>82</v>
      </c>
      <c r="AE1048" t="s">
        <v>81</v>
      </c>
      <c r="AF1048" t="s">
        <v>81</v>
      </c>
      <c r="AG1048" t="s">
        <v>81</v>
      </c>
      <c r="AH1048" t="s">
        <v>83</v>
      </c>
      <c r="AI1048" t="s">
        <v>88</v>
      </c>
      <c r="AJ1048" t="s">
        <v>89</v>
      </c>
      <c r="AK1048" t="s">
        <v>100</v>
      </c>
      <c r="AL1048" t="s">
        <v>73</v>
      </c>
      <c r="AM1048" t="s">
        <v>87</v>
      </c>
      <c r="AN1048" t="s">
        <v>87</v>
      </c>
      <c r="AO1048" t="s">
        <v>87</v>
      </c>
      <c r="AP1048" t="s">
        <v>87</v>
      </c>
      <c r="AQ1048" t="s">
        <v>86</v>
      </c>
      <c r="AR1048" t="s">
        <v>75</v>
      </c>
      <c r="AS1048" t="s">
        <v>76</v>
      </c>
      <c r="AT1048" t="s">
        <v>73</v>
      </c>
      <c r="AU1048">
        <v>0</v>
      </c>
      <c r="AV1048">
        <v>0</v>
      </c>
      <c r="AW1048">
        <v>0</v>
      </c>
      <c r="AX1048">
        <v>1</v>
      </c>
      <c r="AY1048">
        <v>0</v>
      </c>
      <c r="AZ1048" t="s">
        <v>579</v>
      </c>
    </row>
    <row r="1049" spans="1:52" x14ac:dyDescent="0.2">
      <c r="A1049">
        <v>1</v>
      </c>
      <c r="B1049">
        <v>0</v>
      </c>
      <c r="C1049">
        <v>0</v>
      </c>
      <c r="D1049">
        <v>0</v>
      </c>
      <c r="E1049">
        <v>1</v>
      </c>
      <c r="F1049">
        <v>0</v>
      </c>
      <c r="G1049">
        <v>0</v>
      </c>
      <c r="H1049">
        <v>0</v>
      </c>
      <c r="I1049">
        <v>0</v>
      </c>
      <c r="L1049">
        <v>0</v>
      </c>
      <c r="M1049">
        <v>1</v>
      </c>
      <c r="N1049">
        <v>0</v>
      </c>
      <c r="O1049">
        <v>0</v>
      </c>
      <c r="P1049">
        <v>0</v>
      </c>
      <c r="Q1049" t="s">
        <v>584</v>
      </c>
      <c r="AA1049" t="s">
        <v>83</v>
      </c>
      <c r="AB1049" t="s">
        <v>82</v>
      </c>
      <c r="AC1049" t="s">
        <v>81</v>
      </c>
      <c r="AD1049" t="s">
        <v>81</v>
      </c>
      <c r="AE1049" t="s">
        <v>81</v>
      </c>
      <c r="AF1049" t="s">
        <v>81</v>
      </c>
      <c r="AG1049" t="s">
        <v>81</v>
      </c>
      <c r="AH1049" t="s">
        <v>83</v>
      </c>
      <c r="AI1049" t="s">
        <v>88</v>
      </c>
      <c r="AJ1049" t="s">
        <v>89</v>
      </c>
      <c r="AK1049" t="s">
        <v>100</v>
      </c>
      <c r="AL1049" t="s">
        <v>73</v>
      </c>
      <c r="AM1049" t="s">
        <v>87</v>
      </c>
      <c r="AN1049" t="s">
        <v>87</v>
      </c>
      <c r="AO1049" t="s">
        <v>87</v>
      </c>
      <c r="AP1049" t="s">
        <v>87</v>
      </c>
      <c r="AQ1049" t="s">
        <v>87</v>
      </c>
      <c r="AR1049" t="s">
        <v>75</v>
      </c>
      <c r="AS1049" t="s">
        <v>76</v>
      </c>
      <c r="AT1049" t="s">
        <v>73</v>
      </c>
      <c r="AU1049">
        <v>0</v>
      </c>
      <c r="AV1049">
        <v>0</v>
      </c>
      <c r="AW1049">
        <v>0</v>
      </c>
      <c r="AX1049">
        <v>1</v>
      </c>
      <c r="AY1049">
        <v>1</v>
      </c>
      <c r="AZ1049" t="s">
        <v>579</v>
      </c>
    </row>
    <row r="1050" spans="1:52" x14ac:dyDescent="0.2">
      <c r="A1050">
        <v>1</v>
      </c>
      <c r="B1050">
        <v>0</v>
      </c>
      <c r="C1050">
        <v>0</v>
      </c>
      <c r="D1050">
        <v>0</v>
      </c>
      <c r="E1050">
        <v>1</v>
      </c>
      <c r="F1050">
        <v>0</v>
      </c>
      <c r="G1050">
        <v>0</v>
      </c>
      <c r="H1050">
        <v>0</v>
      </c>
      <c r="I1050">
        <v>0</v>
      </c>
      <c r="L1050">
        <v>1</v>
      </c>
      <c r="M1050">
        <v>0</v>
      </c>
      <c r="N1050">
        <v>0</v>
      </c>
      <c r="O1050">
        <v>0</v>
      </c>
      <c r="P1050">
        <v>0</v>
      </c>
      <c r="Q1050" t="s">
        <v>584</v>
      </c>
      <c r="R1050">
        <v>0</v>
      </c>
      <c r="S1050">
        <v>0</v>
      </c>
      <c r="T1050">
        <v>0</v>
      </c>
      <c r="U1050">
        <v>0</v>
      </c>
      <c r="V1050">
        <v>0</v>
      </c>
      <c r="W1050">
        <v>0</v>
      </c>
      <c r="X1050">
        <v>0</v>
      </c>
      <c r="Y1050">
        <v>1</v>
      </c>
      <c r="Z1050">
        <v>0</v>
      </c>
      <c r="AL1050" t="s">
        <v>107</v>
      </c>
      <c r="AM1050" t="s">
        <v>74</v>
      </c>
      <c r="AR1050" t="s">
        <v>75</v>
      </c>
      <c r="AS1050" t="s">
        <v>76</v>
      </c>
      <c r="AT1050" t="s">
        <v>107</v>
      </c>
      <c r="AU1050">
        <v>0</v>
      </c>
      <c r="AV1050">
        <v>0</v>
      </c>
      <c r="AW1050">
        <v>0</v>
      </c>
      <c r="AX1050">
        <v>1</v>
      </c>
      <c r="AY1050">
        <v>0</v>
      </c>
      <c r="AZ1050" t="s">
        <v>579</v>
      </c>
    </row>
    <row r="1051" spans="1:52" x14ac:dyDescent="0.2">
      <c r="A1051">
        <v>0</v>
      </c>
      <c r="B1051">
        <v>1</v>
      </c>
      <c r="C1051">
        <v>0</v>
      </c>
      <c r="D1051">
        <v>0</v>
      </c>
      <c r="E1051">
        <v>0</v>
      </c>
      <c r="F1051">
        <v>1</v>
      </c>
      <c r="G1051">
        <v>0</v>
      </c>
      <c r="H1051">
        <v>0</v>
      </c>
      <c r="I1051">
        <v>0</v>
      </c>
      <c r="J1051" t="s">
        <v>79</v>
      </c>
      <c r="K1051" t="s">
        <v>80</v>
      </c>
      <c r="L1051">
        <v>0</v>
      </c>
      <c r="M1051">
        <v>1</v>
      </c>
      <c r="N1051">
        <v>0</v>
      </c>
      <c r="O1051">
        <v>0</v>
      </c>
      <c r="P1051">
        <v>0</v>
      </c>
      <c r="Q1051" t="s">
        <v>584</v>
      </c>
      <c r="AA1051" t="s">
        <v>83</v>
      </c>
      <c r="AB1051" t="s">
        <v>82</v>
      </c>
      <c r="AC1051" t="s">
        <v>83</v>
      </c>
      <c r="AD1051" t="s">
        <v>82</v>
      </c>
      <c r="AE1051" t="s">
        <v>81</v>
      </c>
      <c r="AF1051" t="s">
        <v>83</v>
      </c>
      <c r="AG1051" t="s">
        <v>83</v>
      </c>
      <c r="AH1051" t="s">
        <v>83</v>
      </c>
      <c r="AI1051" t="s">
        <v>84</v>
      </c>
      <c r="AJ1051" t="s">
        <v>80</v>
      </c>
      <c r="AK1051" t="s">
        <v>85</v>
      </c>
      <c r="AL1051" t="s">
        <v>120</v>
      </c>
      <c r="AM1051" t="s">
        <v>87</v>
      </c>
      <c r="AN1051" t="s">
        <v>87</v>
      </c>
      <c r="AO1051" t="s">
        <v>87</v>
      </c>
      <c r="AP1051" t="s">
        <v>74</v>
      </c>
      <c r="AQ1051" t="s">
        <v>74</v>
      </c>
      <c r="AR1051" t="s">
        <v>75</v>
      </c>
      <c r="AS1051" t="s">
        <v>76</v>
      </c>
      <c r="AT1051" t="s">
        <v>120</v>
      </c>
      <c r="AU1051">
        <v>0</v>
      </c>
      <c r="AV1051">
        <v>0</v>
      </c>
      <c r="AW1051">
        <v>0</v>
      </c>
      <c r="AX1051">
        <v>0</v>
      </c>
      <c r="AY1051">
        <v>1</v>
      </c>
      <c r="AZ1051" t="s">
        <v>579</v>
      </c>
    </row>
    <row r="1052" spans="1:52" x14ac:dyDescent="0.2">
      <c r="A1052">
        <v>1</v>
      </c>
      <c r="B1052">
        <v>0</v>
      </c>
      <c r="C1052">
        <v>0</v>
      </c>
      <c r="D1052">
        <v>0</v>
      </c>
      <c r="E1052">
        <v>1</v>
      </c>
      <c r="F1052">
        <v>0</v>
      </c>
      <c r="G1052">
        <v>0</v>
      </c>
      <c r="H1052">
        <v>0</v>
      </c>
      <c r="I1052">
        <v>0</v>
      </c>
      <c r="L1052">
        <v>0</v>
      </c>
      <c r="M1052">
        <v>0</v>
      </c>
      <c r="N1052">
        <v>0</v>
      </c>
      <c r="O1052">
        <v>1</v>
      </c>
      <c r="P1052">
        <v>0</v>
      </c>
      <c r="Q1052" t="s">
        <v>584</v>
      </c>
      <c r="AA1052" t="s">
        <v>90</v>
      </c>
      <c r="AB1052" t="s">
        <v>82</v>
      </c>
      <c r="AC1052" t="s">
        <v>90</v>
      </c>
      <c r="AD1052" t="s">
        <v>83</v>
      </c>
      <c r="AE1052" t="s">
        <v>83</v>
      </c>
      <c r="AF1052" t="s">
        <v>90</v>
      </c>
      <c r="AG1052" t="s">
        <v>90</v>
      </c>
      <c r="AH1052" t="s">
        <v>83</v>
      </c>
      <c r="AI1052" t="s">
        <v>135</v>
      </c>
      <c r="AJ1052" t="s">
        <v>80</v>
      </c>
      <c r="AK1052" t="s">
        <v>153</v>
      </c>
      <c r="AL1052" t="s">
        <v>107</v>
      </c>
      <c r="AM1052" t="s">
        <v>86</v>
      </c>
      <c r="AN1052" t="s">
        <v>86</v>
      </c>
      <c r="AO1052" t="s">
        <v>87</v>
      </c>
      <c r="AP1052" t="s">
        <v>87</v>
      </c>
      <c r="AQ1052" t="s">
        <v>86</v>
      </c>
      <c r="AR1052" t="s">
        <v>75</v>
      </c>
      <c r="AS1052" t="s">
        <v>76</v>
      </c>
      <c r="AT1052" t="s">
        <v>107</v>
      </c>
      <c r="AU1052">
        <v>0</v>
      </c>
      <c r="AV1052">
        <v>0</v>
      </c>
      <c r="AW1052">
        <v>0</v>
      </c>
      <c r="AX1052">
        <v>1</v>
      </c>
      <c r="AY1052">
        <v>0</v>
      </c>
      <c r="AZ1052" t="s">
        <v>579</v>
      </c>
    </row>
    <row r="1053" spans="1:52" x14ac:dyDescent="0.2">
      <c r="A1053">
        <v>0</v>
      </c>
      <c r="B1053">
        <v>1</v>
      </c>
      <c r="C1053">
        <v>0</v>
      </c>
      <c r="D1053">
        <v>0</v>
      </c>
      <c r="E1053">
        <v>0</v>
      </c>
      <c r="F1053">
        <v>0</v>
      </c>
      <c r="G1053">
        <v>1</v>
      </c>
      <c r="H1053">
        <v>0</v>
      </c>
      <c r="I1053">
        <v>0</v>
      </c>
      <c r="J1053" t="s">
        <v>88</v>
      </c>
      <c r="K1053" t="s">
        <v>89</v>
      </c>
      <c r="L1053">
        <v>0</v>
      </c>
      <c r="M1053">
        <v>1</v>
      </c>
      <c r="N1053">
        <v>0</v>
      </c>
      <c r="O1053">
        <v>0</v>
      </c>
      <c r="P1053">
        <v>0</v>
      </c>
      <c r="Q1053" t="s">
        <v>584</v>
      </c>
      <c r="AA1053" t="s">
        <v>90</v>
      </c>
      <c r="AB1053" t="s">
        <v>82</v>
      </c>
      <c r="AC1053" t="s">
        <v>81</v>
      </c>
      <c r="AD1053" t="s">
        <v>83</v>
      </c>
      <c r="AE1053" t="s">
        <v>81</v>
      </c>
      <c r="AF1053" t="s">
        <v>90</v>
      </c>
      <c r="AG1053" t="s">
        <v>90</v>
      </c>
      <c r="AH1053" t="s">
        <v>83</v>
      </c>
      <c r="AI1053" t="s">
        <v>88</v>
      </c>
      <c r="AJ1053" t="s">
        <v>89</v>
      </c>
      <c r="AK1053" t="s">
        <v>100</v>
      </c>
      <c r="AL1053" t="s">
        <v>73</v>
      </c>
      <c r="AM1053" t="s">
        <v>86</v>
      </c>
      <c r="AN1053" t="s">
        <v>74</v>
      </c>
      <c r="AO1053" t="s">
        <v>86</v>
      </c>
      <c r="AP1053" t="s">
        <v>86</v>
      </c>
      <c r="AQ1053" t="s">
        <v>86</v>
      </c>
      <c r="AR1053" t="s">
        <v>101</v>
      </c>
      <c r="AS1053" t="s">
        <v>76</v>
      </c>
      <c r="AT1053" t="s">
        <v>73</v>
      </c>
      <c r="AU1053">
        <v>0</v>
      </c>
      <c r="AV1053">
        <v>0</v>
      </c>
      <c r="AW1053">
        <v>0</v>
      </c>
      <c r="AX1053">
        <v>1</v>
      </c>
      <c r="AY1053">
        <v>0</v>
      </c>
      <c r="AZ1053" t="s">
        <v>578</v>
      </c>
    </row>
    <row r="1054" spans="1:52" x14ac:dyDescent="0.2">
      <c r="A1054">
        <v>1</v>
      </c>
      <c r="B1054">
        <v>0</v>
      </c>
      <c r="C1054">
        <v>0</v>
      </c>
      <c r="D1054">
        <v>0</v>
      </c>
      <c r="E1054">
        <v>1</v>
      </c>
      <c r="F1054">
        <v>0</v>
      </c>
      <c r="G1054">
        <v>0</v>
      </c>
      <c r="H1054">
        <v>0</v>
      </c>
      <c r="I1054">
        <v>0</v>
      </c>
      <c r="L1054">
        <v>1</v>
      </c>
      <c r="M1054">
        <v>0</v>
      </c>
      <c r="N1054">
        <v>0</v>
      </c>
      <c r="O1054">
        <v>0</v>
      </c>
      <c r="P1054">
        <v>0</v>
      </c>
      <c r="Q1054" t="s">
        <v>584</v>
      </c>
      <c r="R1054">
        <v>0</v>
      </c>
      <c r="S1054">
        <v>0</v>
      </c>
      <c r="T1054">
        <v>1</v>
      </c>
      <c r="U1054">
        <v>0</v>
      </c>
      <c r="V1054">
        <v>0</v>
      </c>
      <c r="W1054">
        <v>0</v>
      </c>
      <c r="X1054">
        <v>0</v>
      </c>
      <c r="Y1054">
        <v>0</v>
      </c>
      <c r="Z1054">
        <v>0</v>
      </c>
      <c r="AL1054" t="s">
        <v>73</v>
      </c>
      <c r="AM1054" t="s">
        <v>87</v>
      </c>
      <c r="AN1054" t="s">
        <v>87</v>
      </c>
      <c r="AO1054" t="s">
        <v>87</v>
      </c>
      <c r="AP1054" t="s">
        <v>87</v>
      </c>
      <c r="AQ1054" t="s">
        <v>87</v>
      </c>
      <c r="AR1054" t="s">
        <v>75</v>
      </c>
      <c r="AS1054" t="s">
        <v>76</v>
      </c>
      <c r="AT1054" t="s">
        <v>73</v>
      </c>
      <c r="AU1054">
        <v>0</v>
      </c>
      <c r="AV1054">
        <v>0</v>
      </c>
      <c r="AW1054">
        <v>0</v>
      </c>
      <c r="AX1054">
        <v>1</v>
      </c>
      <c r="AY1054">
        <v>0</v>
      </c>
      <c r="AZ1054" t="s">
        <v>578</v>
      </c>
    </row>
    <row r="1055" spans="1:52" x14ac:dyDescent="0.2">
      <c r="A1055">
        <v>1</v>
      </c>
      <c r="B1055">
        <v>0</v>
      </c>
      <c r="C1055">
        <v>0</v>
      </c>
      <c r="D1055">
        <v>0</v>
      </c>
      <c r="E1055">
        <v>0</v>
      </c>
      <c r="F1055">
        <v>1</v>
      </c>
      <c r="G1055">
        <v>1</v>
      </c>
      <c r="H1055">
        <v>1</v>
      </c>
      <c r="I1055">
        <v>0</v>
      </c>
      <c r="J1055" t="s">
        <v>88</v>
      </c>
      <c r="K1055" t="s">
        <v>89</v>
      </c>
      <c r="L1055">
        <v>0</v>
      </c>
      <c r="M1055">
        <v>1</v>
      </c>
      <c r="N1055">
        <v>0</v>
      </c>
      <c r="O1055">
        <v>1</v>
      </c>
      <c r="P1055">
        <v>0</v>
      </c>
      <c r="Q1055" t="s">
        <v>584</v>
      </c>
      <c r="AA1055" t="s">
        <v>83</v>
      </c>
      <c r="AB1055" t="s">
        <v>82</v>
      </c>
      <c r="AC1055" t="s">
        <v>81</v>
      </c>
      <c r="AD1055" t="s">
        <v>81</v>
      </c>
      <c r="AE1055" t="s">
        <v>82</v>
      </c>
      <c r="AF1055" t="s">
        <v>83</v>
      </c>
      <c r="AG1055" t="s">
        <v>82</v>
      </c>
      <c r="AH1055" t="s">
        <v>83</v>
      </c>
      <c r="AI1055" t="s">
        <v>88</v>
      </c>
      <c r="AJ1055" t="s">
        <v>89</v>
      </c>
      <c r="AK1055" t="s">
        <v>100</v>
      </c>
      <c r="AL1055" t="s">
        <v>73</v>
      </c>
      <c r="AM1055" t="s">
        <v>87</v>
      </c>
      <c r="AN1055" t="s">
        <v>87</v>
      </c>
      <c r="AO1055" t="s">
        <v>87</v>
      </c>
      <c r="AP1055" t="s">
        <v>87</v>
      </c>
      <c r="AQ1055" t="s">
        <v>87</v>
      </c>
      <c r="AR1055" t="s">
        <v>108</v>
      </c>
      <c r="AS1055" t="s">
        <v>171</v>
      </c>
      <c r="AT1055" t="s">
        <v>73</v>
      </c>
      <c r="AU1055">
        <v>0</v>
      </c>
      <c r="AV1055">
        <v>0</v>
      </c>
      <c r="AW1055">
        <v>0</v>
      </c>
      <c r="AX1055">
        <v>1</v>
      </c>
      <c r="AY1055">
        <v>0</v>
      </c>
      <c r="AZ1055" t="s">
        <v>579</v>
      </c>
    </row>
    <row r="1056" spans="1:52" x14ac:dyDescent="0.2">
      <c r="A1056">
        <v>1</v>
      </c>
      <c r="B1056">
        <v>0</v>
      </c>
      <c r="C1056">
        <v>0</v>
      </c>
      <c r="D1056">
        <v>0</v>
      </c>
      <c r="E1056">
        <v>1</v>
      </c>
      <c r="F1056">
        <v>0</v>
      </c>
      <c r="G1056">
        <v>0</v>
      </c>
      <c r="H1056">
        <v>0</v>
      </c>
      <c r="I1056">
        <v>0</v>
      </c>
      <c r="L1056">
        <v>0</v>
      </c>
      <c r="M1056">
        <v>1</v>
      </c>
      <c r="N1056">
        <v>0</v>
      </c>
      <c r="O1056">
        <v>0</v>
      </c>
      <c r="P1056">
        <v>0</v>
      </c>
      <c r="Q1056" t="s">
        <v>584</v>
      </c>
      <c r="AA1056" t="s">
        <v>90</v>
      </c>
      <c r="AB1056" t="s">
        <v>82</v>
      </c>
      <c r="AC1056" t="s">
        <v>81</v>
      </c>
      <c r="AD1056" t="s">
        <v>90</v>
      </c>
      <c r="AE1056" t="s">
        <v>90</v>
      </c>
      <c r="AF1056" t="s">
        <v>90</v>
      </c>
      <c r="AG1056" t="s">
        <v>90</v>
      </c>
      <c r="AH1056" t="s">
        <v>90</v>
      </c>
      <c r="AI1056" t="s">
        <v>127</v>
      </c>
      <c r="AJ1056" t="s">
        <v>127</v>
      </c>
      <c r="AL1056" t="s">
        <v>73</v>
      </c>
      <c r="AM1056" t="s">
        <v>74</v>
      </c>
      <c r="AR1056" t="s">
        <v>75</v>
      </c>
      <c r="AS1056" t="s">
        <v>76</v>
      </c>
      <c r="AT1056" t="s">
        <v>73</v>
      </c>
      <c r="AU1056">
        <v>0</v>
      </c>
      <c r="AV1056">
        <v>0</v>
      </c>
      <c r="AW1056">
        <v>0</v>
      </c>
      <c r="AX1056">
        <v>1</v>
      </c>
      <c r="AY1056">
        <v>0</v>
      </c>
      <c r="AZ1056" t="s">
        <v>579</v>
      </c>
    </row>
    <row r="1057" spans="1:52" x14ac:dyDescent="0.2">
      <c r="A1057">
        <v>1</v>
      </c>
      <c r="B1057">
        <v>0</v>
      </c>
      <c r="C1057">
        <v>0</v>
      </c>
      <c r="D1057">
        <v>0</v>
      </c>
      <c r="E1057">
        <v>0</v>
      </c>
      <c r="F1057">
        <v>1</v>
      </c>
      <c r="G1057">
        <v>1</v>
      </c>
      <c r="H1057">
        <v>0</v>
      </c>
      <c r="I1057">
        <v>0</v>
      </c>
      <c r="J1057" t="s">
        <v>88</v>
      </c>
      <c r="K1057" t="s">
        <v>89</v>
      </c>
      <c r="L1057">
        <v>0</v>
      </c>
      <c r="M1057">
        <v>0</v>
      </c>
      <c r="N1057">
        <v>1</v>
      </c>
      <c r="O1057">
        <v>0</v>
      </c>
      <c r="P1057">
        <v>0</v>
      </c>
      <c r="Q1057" t="s">
        <v>584</v>
      </c>
      <c r="AA1057" t="s">
        <v>81</v>
      </c>
      <c r="AB1057" t="s">
        <v>81</v>
      </c>
      <c r="AC1057" t="s">
        <v>83</v>
      </c>
      <c r="AD1057" t="s">
        <v>81</v>
      </c>
      <c r="AE1057" t="s">
        <v>82</v>
      </c>
      <c r="AF1057" t="s">
        <v>81</v>
      </c>
      <c r="AG1057" t="s">
        <v>82</v>
      </c>
      <c r="AH1057" t="s">
        <v>83</v>
      </c>
      <c r="AI1057" t="s">
        <v>88</v>
      </c>
      <c r="AJ1057" t="s">
        <v>89</v>
      </c>
      <c r="AK1057" t="s">
        <v>85</v>
      </c>
      <c r="AL1057" t="s">
        <v>107</v>
      </c>
      <c r="AM1057" t="s">
        <v>86</v>
      </c>
      <c r="AN1057" t="s">
        <v>74</v>
      </c>
      <c r="AO1057" t="s">
        <v>74</v>
      </c>
      <c r="AP1057" t="s">
        <v>74</v>
      </c>
      <c r="AQ1057" t="s">
        <v>74</v>
      </c>
      <c r="AR1057" t="s">
        <v>75</v>
      </c>
      <c r="AS1057" t="s">
        <v>76</v>
      </c>
      <c r="AT1057" t="s">
        <v>107</v>
      </c>
      <c r="AU1057">
        <v>0</v>
      </c>
      <c r="AV1057">
        <v>0</v>
      </c>
      <c r="AW1057">
        <v>0</v>
      </c>
      <c r="AX1057">
        <v>1</v>
      </c>
      <c r="AY1057">
        <v>0</v>
      </c>
      <c r="AZ1057" t="s">
        <v>579</v>
      </c>
    </row>
    <row r="1058" spans="1:52" x14ac:dyDescent="0.2">
      <c r="A1058">
        <v>1</v>
      </c>
      <c r="B1058">
        <v>0</v>
      </c>
      <c r="C1058">
        <v>0</v>
      </c>
      <c r="D1058">
        <v>0</v>
      </c>
      <c r="E1058">
        <v>0</v>
      </c>
      <c r="F1058">
        <v>1</v>
      </c>
      <c r="G1058">
        <v>0</v>
      </c>
      <c r="H1058">
        <v>0</v>
      </c>
      <c r="I1058">
        <v>0</v>
      </c>
      <c r="J1058" t="s">
        <v>135</v>
      </c>
      <c r="K1058" t="s">
        <v>80</v>
      </c>
      <c r="L1058">
        <v>1</v>
      </c>
      <c r="M1058">
        <v>0</v>
      </c>
      <c r="N1058">
        <v>0</v>
      </c>
      <c r="O1058">
        <v>0</v>
      </c>
      <c r="P1058">
        <v>0</v>
      </c>
      <c r="Q1058" t="s">
        <v>584</v>
      </c>
      <c r="R1058">
        <v>0</v>
      </c>
      <c r="S1058">
        <v>1</v>
      </c>
      <c r="T1058">
        <v>0</v>
      </c>
      <c r="U1058">
        <v>0</v>
      </c>
      <c r="V1058">
        <v>0</v>
      </c>
      <c r="W1058">
        <v>0</v>
      </c>
      <c r="X1058">
        <v>0</v>
      </c>
      <c r="Y1058">
        <v>0</v>
      </c>
      <c r="Z1058">
        <v>0</v>
      </c>
      <c r="AL1058" t="s">
        <v>107</v>
      </c>
      <c r="AM1058" t="s">
        <v>87</v>
      </c>
      <c r="AN1058" t="s">
        <v>74</v>
      </c>
      <c r="AO1058" t="s">
        <v>87</v>
      </c>
      <c r="AP1058" t="s">
        <v>74</v>
      </c>
      <c r="AQ1058" t="s">
        <v>74</v>
      </c>
      <c r="AR1058" t="s">
        <v>75</v>
      </c>
      <c r="AS1058" t="s">
        <v>76</v>
      </c>
      <c r="AT1058" t="s">
        <v>107</v>
      </c>
      <c r="AU1058">
        <v>0</v>
      </c>
      <c r="AV1058">
        <v>0</v>
      </c>
      <c r="AW1058">
        <v>0</v>
      </c>
      <c r="AX1058">
        <v>1</v>
      </c>
      <c r="AY1058">
        <v>0</v>
      </c>
      <c r="AZ1058" t="s">
        <v>579</v>
      </c>
    </row>
    <row r="1059" spans="1:52" x14ac:dyDescent="0.2">
      <c r="A1059">
        <v>1</v>
      </c>
      <c r="B1059">
        <v>0</v>
      </c>
      <c r="C1059">
        <v>0</v>
      </c>
      <c r="D1059">
        <v>0</v>
      </c>
      <c r="E1059">
        <v>0</v>
      </c>
      <c r="F1059">
        <v>0</v>
      </c>
      <c r="G1059">
        <v>0</v>
      </c>
      <c r="H1059">
        <v>0</v>
      </c>
      <c r="I1059">
        <v>1</v>
      </c>
      <c r="J1059" t="s">
        <v>135</v>
      </c>
      <c r="K1059" t="s">
        <v>80</v>
      </c>
      <c r="L1059">
        <v>0</v>
      </c>
      <c r="M1059">
        <v>1</v>
      </c>
      <c r="N1059">
        <v>0</v>
      </c>
      <c r="O1059">
        <v>0</v>
      </c>
      <c r="P1059">
        <v>0</v>
      </c>
      <c r="Q1059" t="s">
        <v>584</v>
      </c>
      <c r="AA1059" t="s">
        <v>90</v>
      </c>
      <c r="AB1059" t="s">
        <v>82</v>
      </c>
      <c r="AC1059" t="s">
        <v>90</v>
      </c>
      <c r="AD1059" t="s">
        <v>90</v>
      </c>
      <c r="AE1059" t="s">
        <v>90</v>
      </c>
      <c r="AF1059" t="s">
        <v>90</v>
      </c>
      <c r="AG1059" t="s">
        <v>90</v>
      </c>
      <c r="AH1059" t="s">
        <v>90</v>
      </c>
      <c r="AI1059" t="s">
        <v>135</v>
      </c>
      <c r="AJ1059" t="s">
        <v>80</v>
      </c>
      <c r="AK1059" t="s">
        <v>85</v>
      </c>
      <c r="AL1059" t="s">
        <v>107</v>
      </c>
      <c r="AM1059" t="s">
        <v>87</v>
      </c>
      <c r="AN1059" t="s">
        <v>87</v>
      </c>
      <c r="AO1059" t="s">
        <v>87</v>
      </c>
      <c r="AP1059" t="s">
        <v>87</v>
      </c>
      <c r="AQ1059" t="s">
        <v>86</v>
      </c>
      <c r="AR1059" t="s">
        <v>101</v>
      </c>
      <c r="AS1059" t="s">
        <v>76</v>
      </c>
      <c r="AT1059" t="s">
        <v>107</v>
      </c>
      <c r="AU1059">
        <v>0</v>
      </c>
      <c r="AV1059">
        <v>0</v>
      </c>
      <c r="AW1059">
        <v>0</v>
      </c>
      <c r="AX1059">
        <v>1</v>
      </c>
      <c r="AY1059">
        <v>0</v>
      </c>
      <c r="AZ1059" t="s">
        <v>579</v>
      </c>
    </row>
    <row r="1060" spans="1:52" x14ac:dyDescent="0.2">
      <c r="A1060">
        <v>1</v>
      </c>
      <c r="B1060">
        <v>0</v>
      </c>
      <c r="C1060">
        <v>0</v>
      </c>
      <c r="D1060">
        <v>0</v>
      </c>
      <c r="E1060">
        <v>1</v>
      </c>
      <c r="F1060">
        <v>0</v>
      </c>
      <c r="G1060">
        <v>0</v>
      </c>
      <c r="H1060">
        <v>0</v>
      </c>
      <c r="I1060">
        <v>0</v>
      </c>
      <c r="L1060">
        <v>0</v>
      </c>
      <c r="M1060">
        <v>1</v>
      </c>
      <c r="N1060">
        <v>1</v>
      </c>
      <c r="O1060">
        <v>0</v>
      </c>
      <c r="P1060">
        <v>0</v>
      </c>
      <c r="Q1060" t="s">
        <v>584</v>
      </c>
      <c r="AA1060" t="s">
        <v>81</v>
      </c>
      <c r="AB1060" t="s">
        <v>83</v>
      </c>
      <c r="AC1060" t="s">
        <v>83</v>
      </c>
      <c r="AD1060" t="s">
        <v>83</v>
      </c>
      <c r="AE1060" t="s">
        <v>82</v>
      </c>
      <c r="AF1060" t="s">
        <v>83</v>
      </c>
      <c r="AG1060" t="s">
        <v>81</v>
      </c>
      <c r="AH1060" t="s">
        <v>81</v>
      </c>
      <c r="AI1060" t="s">
        <v>135</v>
      </c>
      <c r="AJ1060" t="s">
        <v>127</v>
      </c>
      <c r="AK1060" t="s">
        <v>85</v>
      </c>
      <c r="AL1060" t="s">
        <v>107</v>
      </c>
      <c r="AM1060" t="s">
        <v>87</v>
      </c>
      <c r="AN1060" t="s">
        <v>87</v>
      </c>
      <c r="AO1060" t="s">
        <v>87</v>
      </c>
      <c r="AP1060" t="s">
        <v>87</v>
      </c>
      <c r="AQ1060" t="s">
        <v>87</v>
      </c>
      <c r="AR1060" t="s">
        <v>75</v>
      </c>
      <c r="AS1060" t="s">
        <v>92</v>
      </c>
      <c r="AT1060" t="s">
        <v>107</v>
      </c>
      <c r="AU1060">
        <v>0</v>
      </c>
      <c r="AV1060">
        <v>0</v>
      </c>
      <c r="AW1060">
        <v>0</v>
      </c>
      <c r="AX1060">
        <v>1</v>
      </c>
      <c r="AY1060">
        <v>0</v>
      </c>
      <c r="AZ1060" t="s">
        <v>579</v>
      </c>
    </row>
    <row r="1061" spans="1:52" x14ac:dyDescent="0.2">
      <c r="A1061">
        <v>1</v>
      </c>
      <c r="B1061">
        <v>0</v>
      </c>
      <c r="C1061">
        <v>0</v>
      </c>
      <c r="D1061">
        <v>0</v>
      </c>
      <c r="E1061">
        <v>0</v>
      </c>
      <c r="F1061">
        <v>1</v>
      </c>
      <c r="G1061">
        <v>0</v>
      </c>
      <c r="H1061">
        <v>0</v>
      </c>
      <c r="I1061">
        <v>0</v>
      </c>
      <c r="J1061" t="s">
        <v>88</v>
      </c>
      <c r="K1061" t="s">
        <v>89</v>
      </c>
      <c r="L1061">
        <v>0</v>
      </c>
      <c r="M1061">
        <v>0</v>
      </c>
      <c r="N1061">
        <v>1</v>
      </c>
      <c r="O1061">
        <v>0</v>
      </c>
      <c r="P1061">
        <v>0</v>
      </c>
      <c r="Q1061" t="s">
        <v>584</v>
      </c>
      <c r="AA1061" t="s">
        <v>83</v>
      </c>
      <c r="AB1061" t="s">
        <v>82</v>
      </c>
      <c r="AC1061" t="s">
        <v>90</v>
      </c>
      <c r="AD1061" t="s">
        <v>83</v>
      </c>
      <c r="AE1061" t="s">
        <v>83</v>
      </c>
      <c r="AF1061" t="s">
        <v>83</v>
      </c>
      <c r="AG1061" t="s">
        <v>90</v>
      </c>
      <c r="AH1061" t="s">
        <v>83</v>
      </c>
      <c r="AI1061" t="s">
        <v>88</v>
      </c>
      <c r="AJ1061" t="s">
        <v>89</v>
      </c>
      <c r="AK1061" t="s">
        <v>85</v>
      </c>
      <c r="AL1061" t="s">
        <v>107</v>
      </c>
      <c r="AM1061" t="s">
        <v>86</v>
      </c>
      <c r="AN1061" t="s">
        <v>74</v>
      </c>
      <c r="AO1061" t="s">
        <v>87</v>
      </c>
      <c r="AP1061" t="s">
        <v>74</v>
      </c>
      <c r="AQ1061" t="s">
        <v>86</v>
      </c>
      <c r="AR1061" t="s">
        <v>101</v>
      </c>
      <c r="AS1061" t="s">
        <v>76</v>
      </c>
      <c r="AT1061" t="s">
        <v>107</v>
      </c>
      <c r="AU1061">
        <v>0</v>
      </c>
      <c r="AV1061">
        <v>0</v>
      </c>
      <c r="AW1061">
        <v>0</v>
      </c>
      <c r="AX1061">
        <v>1</v>
      </c>
      <c r="AY1061">
        <v>0</v>
      </c>
      <c r="AZ1061" t="s">
        <v>579</v>
      </c>
    </row>
    <row r="1062" spans="1:52" x14ac:dyDescent="0.2">
      <c r="A1062">
        <v>1</v>
      </c>
      <c r="B1062">
        <v>0</v>
      </c>
      <c r="C1062">
        <v>0</v>
      </c>
      <c r="D1062">
        <v>0</v>
      </c>
      <c r="E1062">
        <v>0</v>
      </c>
      <c r="F1062">
        <v>0</v>
      </c>
      <c r="G1062">
        <v>0</v>
      </c>
      <c r="H1062">
        <v>0</v>
      </c>
      <c r="I1062">
        <v>1</v>
      </c>
      <c r="J1062" t="s">
        <v>88</v>
      </c>
      <c r="K1062" t="s">
        <v>89</v>
      </c>
      <c r="L1062">
        <v>1</v>
      </c>
      <c r="M1062">
        <v>0</v>
      </c>
      <c r="N1062">
        <v>0</v>
      </c>
      <c r="O1062">
        <v>0</v>
      </c>
      <c r="P1062">
        <v>0</v>
      </c>
      <c r="Q1062" t="s">
        <v>584</v>
      </c>
      <c r="R1062">
        <v>0</v>
      </c>
      <c r="S1062">
        <v>0</v>
      </c>
      <c r="T1062">
        <v>0</v>
      </c>
      <c r="U1062">
        <v>0</v>
      </c>
      <c r="V1062">
        <v>0</v>
      </c>
      <c r="W1062">
        <v>0</v>
      </c>
      <c r="X1062">
        <v>0</v>
      </c>
      <c r="Y1062">
        <v>0</v>
      </c>
      <c r="Z1062">
        <v>1</v>
      </c>
      <c r="AL1062" t="s">
        <v>107</v>
      </c>
      <c r="AM1062" t="s">
        <v>87</v>
      </c>
      <c r="AN1062" t="s">
        <v>87</v>
      </c>
      <c r="AO1062" t="s">
        <v>87</v>
      </c>
      <c r="AP1062" t="s">
        <v>87</v>
      </c>
      <c r="AQ1062" t="s">
        <v>87</v>
      </c>
      <c r="AR1062" t="s">
        <v>108</v>
      </c>
      <c r="AS1062" t="s">
        <v>76</v>
      </c>
      <c r="AT1062" t="s">
        <v>107</v>
      </c>
      <c r="AU1062">
        <v>0</v>
      </c>
      <c r="AV1062">
        <v>0</v>
      </c>
      <c r="AW1062">
        <v>0</v>
      </c>
      <c r="AX1062">
        <v>1</v>
      </c>
      <c r="AY1062">
        <v>0</v>
      </c>
      <c r="AZ1062" t="s">
        <v>579</v>
      </c>
    </row>
    <row r="1063" spans="1:52" x14ac:dyDescent="0.2">
      <c r="A1063">
        <v>1</v>
      </c>
      <c r="B1063">
        <v>0</v>
      </c>
      <c r="C1063">
        <v>0</v>
      </c>
      <c r="D1063">
        <v>0</v>
      </c>
      <c r="E1063">
        <v>0</v>
      </c>
      <c r="F1063">
        <v>1</v>
      </c>
      <c r="G1063">
        <v>1</v>
      </c>
      <c r="H1063">
        <v>1</v>
      </c>
      <c r="I1063">
        <v>0</v>
      </c>
      <c r="J1063" t="s">
        <v>88</v>
      </c>
      <c r="K1063" t="s">
        <v>89</v>
      </c>
      <c r="L1063">
        <v>0</v>
      </c>
      <c r="M1063">
        <v>1</v>
      </c>
      <c r="N1063">
        <v>1</v>
      </c>
      <c r="O1063">
        <v>0</v>
      </c>
      <c r="P1063">
        <v>0</v>
      </c>
      <c r="Q1063" t="s">
        <v>584</v>
      </c>
      <c r="AA1063" t="s">
        <v>81</v>
      </c>
      <c r="AB1063" t="s">
        <v>82</v>
      </c>
      <c r="AC1063" t="s">
        <v>82</v>
      </c>
      <c r="AD1063" t="s">
        <v>82</v>
      </c>
      <c r="AE1063" t="s">
        <v>81</v>
      </c>
      <c r="AF1063" t="s">
        <v>83</v>
      </c>
      <c r="AG1063" t="s">
        <v>83</v>
      </c>
      <c r="AH1063" t="s">
        <v>83</v>
      </c>
      <c r="AI1063" t="s">
        <v>88</v>
      </c>
      <c r="AJ1063" t="s">
        <v>89</v>
      </c>
      <c r="AK1063" t="s">
        <v>100</v>
      </c>
      <c r="AL1063" t="s">
        <v>107</v>
      </c>
      <c r="AM1063" t="s">
        <v>87</v>
      </c>
      <c r="AN1063" t="s">
        <v>87</v>
      </c>
      <c r="AO1063" t="s">
        <v>87</v>
      </c>
      <c r="AP1063" t="s">
        <v>87</v>
      </c>
      <c r="AQ1063" t="s">
        <v>87</v>
      </c>
      <c r="AR1063" t="s">
        <v>159</v>
      </c>
      <c r="AS1063" t="s">
        <v>92</v>
      </c>
      <c r="AT1063" t="s">
        <v>107</v>
      </c>
      <c r="AU1063">
        <v>0</v>
      </c>
      <c r="AV1063">
        <v>0</v>
      </c>
      <c r="AW1063">
        <v>0</v>
      </c>
      <c r="AX1063">
        <v>1</v>
      </c>
      <c r="AY1063">
        <v>0</v>
      </c>
      <c r="AZ1063" t="s">
        <v>579</v>
      </c>
    </row>
    <row r="1064" spans="1:52" x14ac:dyDescent="0.2">
      <c r="A1064">
        <v>1</v>
      </c>
      <c r="B1064">
        <v>0</v>
      </c>
      <c r="C1064">
        <v>0</v>
      </c>
      <c r="D1064">
        <v>0</v>
      </c>
      <c r="E1064">
        <v>0</v>
      </c>
      <c r="F1064">
        <v>1</v>
      </c>
      <c r="G1064">
        <v>0</v>
      </c>
      <c r="H1064">
        <v>0</v>
      </c>
      <c r="I1064">
        <v>0</v>
      </c>
      <c r="J1064" t="s">
        <v>135</v>
      </c>
      <c r="K1064" t="s">
        <v>80</v>
      </c>
      <c r="L1064">
        <v>0</v>
      </c>
      <c r="M1064">
        <v>0</v>
      </c>
      <c r="N1064">
        <v>1</v>
      </c>
      <c r="O1064">
        <v>0</v>
      </c>
      <c r="P1064">
        <v>0</v>
      </c>
      <c r="Q1064" t="s">
        <v>584</v>
      </c>
      <c r="AA1064" t="s">
        <v>82</v>
      </c>
      <c r="AB1064" t="s">
        <v>81</v>
      </c>
      <c r="AC1064" t="s">
        <v>83</v>
      </c>
      <c r="AD1064" t="s">
        <v>81</v>
      </c>
      <c r="AE1064" t="s">
        <v>82</v>
      </c>
      <c r="AF1064" t="s">
        <v>81</v>
      </c>
      <c r="AG1064" t="s">
        <v>81</v>
      </c>
      <c r="AH1064" t="s">
        <v>83</v>
      </c>
      <c r="AI1064" t="s">
        <v>88</v>
      </c>
      <c r="AJ1064" t="s">
        <v>89</v>
      </c>
      <c r="AK1064" t="s">
        <v>85</v>
      </c>
      <c r="AL1064" t="s">
        <v>73</v>
      </c>
      <c r="AM1064" t="s">
        <v>87</v>
      </c>
      <c r="AN1064" t="s">
        <v>87</v>
      </c>
      <c r="AO1064" t="s">
        <v>87</v>
      </c>
      <c r="AP1064" t="s">
        <v>87</v>
      </c>
      <c r="AQ1064" t="s">
        <v>87</v>
      </c>
      <c r="AR1064" t="s">
        <v>75</v>
      </c>
      <c r="AS1064" t="s">
        <v>76</v>
      </c>
      <c r="AT1064" t="s">
        <v>73</v>
      </c>
      <c r="AU1064">
        <v>0</v>
      </c>
      <c r="AV1064">
        <v>0</v>
      </c>
      <c r="AW1064">
        <v>0</v>
      </c>
      <c r="AX1064">
        <v>1</v>
      </c>
      <c r="AY1064">
        <v>0</v>
      </c>
      <c r="AZ1064" t="s">
        <v>579</v>
      </c>
    </row>
    <row r="1065" spans="1:52" x14ac:dyDescent="0.2">
      <c r="A1065">
        <v>0</v>
      </c>
      <c r="B1065">
        <v>1</v>
      </c>
      <c r="C1065">
        <v>0</v>
      </c>
      <c r="D1065">
        <v>0</v>
      </c>
      <c r="E1065">
        <v>0</v>
      </c>
      <c r="F1065">
        <v>0</v>
      </c>
      <c r="G1065">
        <v>0</v>
      </c>
      <c r="H1065">
        <v>0</v>
      </c>
      <c r="I1065">
        <v>1</v>
      </c>
      <c r="J1065" t="s">
        <v>88</v>
      </c>
      <c r="K1065" t="s">
        <v>89</v>
      </c>
      <c r="L1065">
        <v>1</v>
      </c>
      <c r="M1065">
        <v>0</v>
      </c>
      <c r="N1065">
        <v>0</v>
      </c>
      <c r="O1065">
        <v>0</v>
      </c>
      <c r="P1065">
        <v>0</v>
      </c>
      <c r="Q1065" t="s">
        <v>584</v>
      </c>
      <c r="R1065">
        <v>0</v>
      </c>
      <c r="S1065">
        <v>0</v>
      </c>
      <c r="T1065">
        <v>0</v>
      </c>
      <c r="U1065">
        <v>1</v>
      </c>
      <c r="V1065">
        <v>1</v>
      </c>
      <c r="W1065">
        <v>0</v>
      </c>
      <c r="X1065">
        <v>0</v>
      </c>
      <c r="Y1065">
        <v>0</v>
      </c>
      <c r="Z1065">
        <v>0</v>
      </c>
      <c r="AL1065" t="s">
        <v>107</v>
      </c>
      <c r="AM1065" t="s">
        <v>86</v>
      </c>
      <c r="AN1065" t="s">
        <v>86</v>
      </c>
      <c r="AO1065" t="s">
        <v>86</v>
      </c>
      <c r="AP1065" t="s">
        <v>86</v>
      </c>
      <c r="AQ1065" t="s">
        <v>86</v>
      </c>
      <c r="AR1065" t="s">
        <v>75</v>
      </c>
      <c r="AS1065" t="s">
        <v>76</v>
      </c>
      <c r="AT1065" t="s">
        <v>107</v>
      </c>
      <c r="AU1065">
        <v>0</v>
      </c>
      <c r="AV1065">
        <v>0</v>
      </c>
      <c r="AW1065">
        <v>0</v>
      </c>
      <c r="AX1065">
        <v>1</v>
      </c>
      <c r="AY1065">
        <v>0</v>
      </c>
      <c r="AZ1065" t="s">
        <v>579</v>
      </c>
    </row>
    <row r="1066" spans="1:52" x14ac:dyDescent="0.2">
      <c r="A1066">
        <v>1</v>
      </c>
      <c r="B1066">
        <v>0</v>
      </c>
      <c r="C1066">
        <v>0</v>
      </c>
      <c r="D1066">
        <v>0</v>
      </c>
      <c r="E1066">
        <v>0</v>
      </c>
      <c r="F1066">
        <v>1</v>
      </c>
      <c r="G1066">
        <v>1</v>
      </c>
      <c r="H1066">
        <v>1</v>
      </c>
      <c r="I1066">
        <v>0</v>
      </c>
      <c r="J1066" t="s">
        <v>88</v>
      </c>
      <c r="K1066" t="s">
        <v>89</v>
      </c>
      <c r="L1066">
        <v>0</v>
      </c>
      <c r="M1066">
        <v>1</v>
      </c>
      <c r="N1066">
        <v>1</v>
      </c>
      <c r="O1066">
        <v>0</v>
      </c>
      <c r="P1066">
        <v>0</v>
      </c>
      <c r="Q1066" t="s">
        <v>584</v>
      </c>
      <c r="AA1066" t="s">
        <v>83</v>
      </c>
      <c r="AB1066" t="s">
        <v>81</v>
      </c>
      <c r="AC1066" t="s">
        <v>83</v>
      </c>
      <c r="AD1066" t="s">
        <v>81</v>
      </c>
      <c r="AE1066" t="s">
        <v>82</v>
      </c>
      <c r="AF1066" t="s">
        <v>83</v>
      </c>
      <c r="AG1066" t="s">
        <v>81</v>
      </c>
      <c r="AH1066" t="s">
        <v>83</v>
      </c>
      <c r="AI1066" t="s">
        <v>88</v>
      </c>
      <c r="AJ1066" t="s">
        <v>89</v>
      </c>
      <c r="AK1066" t="s">
        <v>85</v>
      </c>
      <c r="AL1066" t="s">
        <v>107</v>
      </c>
      <c r="AM1066" t="s">
        <v>86</v>
      </c>
      <c r="AN1066" t="s">
        <v>86</v>
      </c>
      <c r="AO1066" t="s">
        <v>86</v>
      </c>
      <c r="AP1066" t="s">
        <v>86</v>
      </c>
      <c r="AQ1066" t="s">
        <v>86</v>
      </c>
      <c r="AR1066" t="s">
        <v>75</v>
      </c>
      <c r="AS1066" t="s">
        <v>76</v>
      </c>
      <c r="AT1066" t="s">
        <v>107</v>
      </c>
      <c r="AU1066">
        <v>0</v>
      </c>
      <c r="AV1066">
        <v>0</v>
      </c>
      <c r="AW1066">
        <v>0</v>
      </c>
      <c r="AX1066">
        <v>1</v>
      </c>
      <c r="AY1066">
        <v>0</v>
      </c>
      <c r="AZ1066" t="s">
        <v>578</v>
      </c>
    </row>
    <row r="1067" spans="1:52" x14ac:dyDescent="0.2">
      <c r="A1067">
        <v>1</v>
      </c>
      <c r="B1067">
        <v>0</v>
      </c>
      <c r="C1067">
        <v>0</v>
      </c>
      <c r="D1067">
        <v>0</v>
      </c>
      <c r="E1067">
        <v>0</v>
      </c>
      <c r="F1067">
        <v>1</v>
      </c>
      <c r="G1067">
        <v>1</v>
      </c>
      <c r="H1067">
        <v>0</v>
      </c>
      <c r="I1067">
        <v>0</v>
      </c>
      <c r="J1067" t="s">
        <v>88</v>
      </c>
      <c r="K1067" t="s">
        <v>89</v>
      </c>
      <c r="L1067">
        <v>0</v>
      </c>
      <c r="M1067">
        <v>0</v>
      </c>
      <c r="N1067">
        <v>1</v>
      </c>
      <c r="O1067">
        <v>0</v>
      </c>
      <c r="P1067">
        <v>0</v>
      </c>
      <c r="Q1067" t="s">
        <v>584</v>
      </c>
      <c r="AA1067" t="s">
        <v>81</v>
      </c>
      <c r="AB1067" t="s">
        <v>82</v>
      </c>
      <c r="AC1067" t="s">
        <v>83</v>
      </c>
      <c r="AD1067" t="s">
        <v>81</v>
      </c>
      <c r="AE1067" t="s">
        <v>82</v>
      </c>
      <c r="AF1067" t="s">
        <v>81</v>
      </c>
      <c r="AG1067" t="s">
        <v>81</v>
      </c>
      <c r="AH1067" t="s">
        <v>83</v>
      </c>
      <c r="AI1067" t="s">
        <v>88</v>
      </c>
      <c r="AJ1067" t="s">
        <v>89</v>
      </c>
      <c r="AK1067" t="s">
        <v>85</v>
      </c>
      <c r="AL1067" t="s">
        <v>107</v>
      </c>
      <c r="AM1067" t="s">
        <v>87</v>
      </c>
      <c r="AN1067" t="s">
        <v>87</v>
      </c>
      <c r="AO1067" t="s">
        <v>87</v>
      </c>
      <c r="AP1067" t="s">
        <v>74</v>
      </c>
      <c r="AQ1067" t="s">
        <v>87</v>
      </c>
      <c r="AR1067" t="s">
        <v>159</v>
      </c>
      <c r="AS1067" t="s">
        <v>76</v>
      </c>
      <c r="AT1067" t="s">
        <v>107</v>
      </c>
      <c r="AU1067">
        <v>0</v>
      </c>
      <c r="AV1067">
        <v>0</v>
      </c>
      <c r="AW1067">
        <v>0</v>
      </c>
      <c r="AX1067">
        <v>1</v>
      </c>
      <c r="AY1067">
        <v>0</v>
      </c>
      <c r="AZ1067" t="s">
        <v>579</v>
      </c>
    </row>
    <row r="1068" spans="1:52" x14ac:dyDescent="0.2">
      <c r="A1068">
        <v>1</v>
      </c>
      <c r="B1068">
        <v>0</v>
      </c>
      <c r="C1068">
        <v>0</v>
      </c>
      <c r="D1068">
        <v>0</v>
      </c>
      <c r="E1068">
        <v>1</v>
      </c>
      <c r="F1068">
        <v>0</v>
      </c>
      <c r="G1068">
        <v>0</v>
      </c>
      <c r="H1068">
        <v>0</v>
      </c>
      <c r="I1068">
        <v>0</v>
      </c>
      <c r="L1068">
        <v>1</v>
      </c>
      <c r="M1068">
        <v>0</v>
      </c>
      <c r="N1068">
        <v>0</v>
      </c>
      <c r="O1068">
        <v>0</v>
      </c>
      <c r="P1068">
        <v>0</v>
      </c>
      <c r="Q1068" t="s">
        <v>584</v>
      </c>
      <c r="R1068">
        <v>0</v>
      </c>
      <c r="S1068">
        <v>0</v>
      </c>
      <c r="T1068">
        <v>1</v>
      </c>
      <c r="U1068">
        <v>0</v>
      </c>
      <c r="V1068">
        <v>0</v>
      </c>
      <c r="W1068">
        <v>0</v>
      </c>
      <c r="X1068">
        <v>0</v>
      </c>
      <c r="Y1068">
        <v>0</v>
      </c>
      <c r="Z1068">
        <v>0</v>
      </c>
      <c r="AL1068" t="s">
        <v>107</v>
      </c>
      <c r="AM1068" t="s">
        <v>86</v>
      </c>
      <c r="AN1068" t="s">
        <v>87</v>
      </c>
      <c r="AO1068" t="s">
        <v>87</v>
      </c>
      <c r="AP1068" t="s">
        <v>87</v>
      </c>
      <c r="AQ1068" t="s">
        <v>87</v>
      </c>
      <c r="AR1068" t="s">
        <v>159</v>
      </c>
      <c r="AS1068" t="s">
        <v>76</v>
      </c>
      <c r="AT1068" t="s">
        <v>107</v>
      </c>
      <c r="AU1068">
        <v>0</v>
      </c>
      <c r="AV1068">
        <v>0</v>
      </c>
      <c r="AW1068">
        <v>0</v>
      </c>
      <c r="AX1068">
        <v>1</v>
      </c>
      <c r="AY1068">
        <v>0</v>
      </c>
      <c r="AZ1068" t="s">
        <v>579</v>
      </c>
    </row>
    <row r="1069" spans="1:52" x14ac:dyDescent="0.2">
      <c r="A1069">
        <v>1</v>
      </c>
      <c r="B1069">
        <v>0</v>
      </c>
      <c r="C1069">
        <v>0</v>
      </c>
      <c r="D1069">
        <v>0</v>
      </c>
      <c r="E1069">
        <v>1</v>
      </c>
      <c r="F1069">
        <v>0</v>
      </c>
      <c r="G1069">
        <v>0</v>
      </c>
      <c r="H1069">
        <v>0</v>
      </c>
      <c r="I1069">
        <v>0</v>
      </c>
      <c r="L1069">
        <v>1</v>
      </c>
      <c r="M1069">
        <v>0</v>
      </c>
      <c r="N1069">
        <v>0</v>
      </c>
      <c r="O1069">
        <v>0</v>
      </c>
      <c r="P1069">
        <v>0</v>
      </c>
      <c r="Q1069" t="s">
        <v>584</v>
      </c>
      <c r="R1069">
        <v>0</v>
      </c>
      <c r="S1069">
        <v>0</v>
      </c>
      <c r="T1069">
        <v>0</v>
      </c>
      <c r="U1069">
        <v>0</v>
      </c>
      <c r="V1069">
        <v>0</v>
      </c>
      <c r="W1069">
        <v>0</v>
      </c>
      <c r="X1069">
        <v>1</v>
      </c>
      <c r="Y1069">
        <v>0</v>
      </c>
      <c r="Z1069">
        <v>0</v>
      </c>
      <c r="AL1069" t="s">
        <v>107</v>
      </c>
      <c r="AM1069" t="s">
        <v>74</v>
      </c>
      <c r="AR1069" t="s">
        <v>75</v>
      </c>
      <c r="AS1069" t="s">
        <v>76</v>
      </c>
      <c r="AT1069" t="s">
        <v>107</v>
      </c>
      <c r="AU1069">
        <v>0</v>
      </c>
      <c r="AV1069">
        <v>0</v>
      </c>
      <c r="AW1069">
        <v>0</v>
      </c>
      <c r="AX1069">
        <v>1</v>
      </c>
      <c r="AY1069">
        <v>0</v>
      </c>
      <c r="AZ1069" t="s">
        <v>579</v>
      </c>
    </row>
    <row r="1070" spans="1:52" x14ac:dyDescent="0.2">
      <c r="A1070">
        <v>1</v>
      </c>
      <c r="B1070">
        <v>0</v>
      </c>
      <c r="C1070">
        <v>0</v>
      </c>
      <c r="D1070">
        <v>0</v>
      </c>
      <c r="E1070">
        <v>1</v>
      </c>
      <c r="F1070">
        <v>0</v>
      </c>
      <c r="G1070">
        <v>0</v>
      </c>
      <c r="H1070">
        <v>0</v>
      </c>
      <c r="I1070">
        <v>0</v>
      </c>
      <c r="L1070">
        <v>1</v>
      </c>
      <c r="M1070">
        <v>0</v>
      </c>
      <c r="N1070">
        <v>0</v>
      </c>
      <c r="O1070">
        <v>0</v>
      </c>
      <c r="P1070">
        <v>0</v>
      </c>
      <c r="Q1070" t="s">
        <v>584</v>
      </c>
      <c r="R1070">
        <v>0</v>
      </c>
      <c r="S1070">
        <v>1</v>
      </c>
      <c r="T1070">
        <v>0</v>
      </c>
      <c r="U1070">
        <v>0</v>
      </c>
      <c r="V1070">
        <v>0</v>
      </c>
      <c r="W1070">
        <v>0</v>
      </c>
      <c r="X1070">
        <v>0</v>
      </c>
      <c r="Y1070">
        <v>0</v>
      </c>
      <c r="Z1070">
        <v>0</v>
      </c>
      <c r="AL1070" t="s">
        <v>107</v>
      </c>
      <c r="AM1070" t="s">
        <v>74</v>
      </c>
      <c r="AR1070" t="s">
        <v>75</v>
      </c>
      <c r="AS1070" t="s">
        <v>92</v>
      </c>
      <c r="AT1070" t="s">
        <v>107</v>
      </c>
      <c r="AU1070">
        <v>0</v>
      </c>
      <c r="AV1070">
        <v>0</v>
      </c>
      <c r="AW1070">
        <v>0</v>
      </c>
      <c r="AX1070">
        <v>1</v>
      </c>
      <c r="AY1070">
        <v>0</v>
      </c>
      <c r="AZ1070" t="s">
        <v>579</v>
      </c>
    </row>
    <row r="1071" spans="1:52" x14ac:dyDescent="0.2">
      <c r="A1071">
        <v>1</v>
      </c>
      <c r="B1071">
        <v>0</v>
      </c>
      <c r="C1071">
        <v>0</v>
      </c>
      <c r="D1071">
        <v>0</v>
      </c>
      <c r="E1071">
        <v>0</v>
      </c>
      <c r="F1071">
        <v>1</v>
      </c>
      <c r="G1071">
        <v>0</v>
      </c>
      <c r="H1071">
        <v>0</v>
      </c>
      <c r="I1071">
        <v>0</v>
      </c>
      <c r="J1071" t="s">
        <v>79</v>
      </c>
      <c r="K1071" t="s">
        <v>142</v>
      </c>
      <c r="L1071">
        <v>0</v>
      </c>
      <c r="M1071">
        <v>0</v>
      </c>
      <c r="N1071">
        <v>1</v>
      </c>
      <c r="O1071">
        <v>0</v>
      </c>
      <c r="P1071">
        <v>0</v>
      </c>
      <c r="Q1071" t="s">
        <v>584</v>
      </c>
      <c r="AA1071" t="s">
        <v>83</v>
      </c>
      <c r="AB1071" t="s">
        <v>81</v>
      </c>
      <c r="AC1071" t="s">
        <v>83</v>
      </c>
      <c r="AD1071" t="s">
        <v>81</v>
      </c>
      <c r="AE1071" t="s">
        <v>82</v>
      </c>
      <c r="AF1071" t="s">
        <v>83</v>
      </c>
      <c r="AG1071" t="s">
        <v>83</v>
      </c>
      <c r="AH1071" t="s">
        <v>82</v>
      </c>
      <c r="AI1071" t="s">
        <v>88</v>
      </c>
      <c r="AJ1071" t="s">
        <v>89</v>
      </c>
      <c r="AK1071" t="s">
        <v>85</v>
      </c>
      <c r="AL1071" t="s">
        <v>96</v>
      </c>
      <c r="AM1071" t="s">
        <v>86</v>
      </c>
      <c r="AN1071" t="s">
        <v>74</v>
      </c>
      <c r="AO1071" t="s">
        <v>87</v>
      </c>
      <c r="AP1071" t="s">
        <v>86</v>
      </c>
      <c r="AQ1071" t="s">
        <v>86</v>
      </c>
      <c r="AR1071" t="s">
        <v>75</v>
      </c>
      <c r="AS1071" t="s">
        <v>76</v>
      </c>
      <c r="AT1071" t="s">
        <v>96</v>
      </c>
      <c r="AU1071">
        <v>0</v>
      </c>
      <c r="AV1071">
        <v>0</v>
      </c>
      <c r="AW1071">
        <v>0</v>
      </c>
      <c r="AX1071">
        <v>1</v>
      </c>
      <c r="AY1071">
        <v>0</v>
      </c>
      <c r="AZ1071" t="s">
        <v>579</v>
      </c>
    </row>
    <row r="1072" spans="1:52" x14ac:dyDescent="0.2">
      <c r="A1072">
        <v>1</v>
      </c>
      <c r="B1072">
        <v>0</v>
      </c>
      <c r="C1072">
        <v>0</v>
      </c>
      <c r="D1072">
        <v>0</v>
      </c>
      <c r="E1072">
        <v>0</v>
      </c>
      <c r="F1072">
        <v>0</v>
      </c>
      <c r="G1072">
        <v>0</v>
      </c>
      <c r="H1072">
        <v>0</v>
      </c>
      <c r="I1072">
        <v>1</v>
      </c>
      <c r="J1072" t="s">
        <v>127</v>
      </c>
      <c r="K1072" t="s">
        <v>127</v>
      </c>
      <c r="L1072">
        <v>0</v>
      </c>
      <c r="M1072">
        <v>1</v>
      </c>
      <c r="N1072">
        <v>0</v>
      </c>
      <c r="O1072">
        <v>1</v>
      </c>
      <c r="P1072">
        <v>0</v>
      </c>
      <c r="Q1072" t="s">
        <v>585</v>
      </c>
      <c r="AA1072" t="s">
        <v>83</v>
      </c>
      <c r="AB1072" t="s">
        <v>82</v>
      </c>
      <c r="AC1072" t="s">
        <v>81</v>
      </c>
      <c r="AD1072" t="s">
        <v>82</v>
      </c>
      <c r="AE1072" t="s">
        <v>83</v>
      </c>
      <c r="AF1072" t="s">
        <v>83</v>
      </c>
      <c r="AG1072" t="s">
        <v>83</v>
      </c>
      <c r="AH1072" t="s">
        <v>83</v>
      </c>
      <c r="AI1072" t="s">
        <v>127</v>
      </c>
      <c r="AJ1072" t="s">
        <v>127</v>
      </c>
      <c r="AL1072" t="s">
        <v>73</v>
      </c>
      <c r="AM1072" t="s">
        <v>74</v>
      </c>
      <c r="AR1072" t="s">
        <v>101</v>
      </c>
      <c r="AS1072" t="s">
        <v>76</v>
      </c>
      <c r="AT1072" t="s">
        <v>73</v>
      </c>
      <c r="AU1072">
        <v>0</v>
      </c>
      <c r="AV1072">
        <v>0</v>
      </c>
      <c r="AW1072">
        <v>0</v>
      </c>
      <c r="AX1072">
        <v>1</v>
      </c>
      <c r="AY1072">
        <v>0</v>
      </c>
      <c r="AZ1072" t="s">
        <v>579</v>
      </c>
    </row>
    <row r="1073" spans="1:52" x14ac:dyDescent="0.2">
      <c r="A1073">
        <v>1</v>
      </c>
      <c r="B1073">
        <v>0</v>
      </c>
      <c r="C1073">
        <v>0</v>
      </c>
      <c r="D1073">
        <v>0</v>
      </c>
      <c r="E1073">
        <v>1</v>
      </c>
      <c r="F1073">
        <v>0</v>
      </c>
      <c r="G1073">
        <v>0</v>
      </c>
      <c r="H1073">
        <v>0</v>
      </c>
      <c r="I1073">
        <v>0</v>
      </c>
      <c r="L1073">
        <v>1</v>
      </c>
      <c r="M1073">
        <v>0</v>
      </c>
      <c r="N1073">
        <v>0</v>
      </c>
      <c r="O1073">
        <v>0</v>
      </c>
      <c r="P1073">
        <v>0</v>
      </c>
      <c r="Q1073" t="s">
        <v>584</v>
      </c>
      <c r="R1073">
        <v>0</v>
      </c>
      <c r="S1073">
        <v>0</v>
      </c>
      <c r="T1073">
        <v>0</v>
      </c>
      <c r="U1073">
        <v>0</v>
      </c>
      <c r="V1073">
        <v>0</v>
      </c>
      <c r="W1073">
        <v>0</v>
      </c>
      <c r="X1073">
        <v>0</v>
      </c>
      <c r="Y1073">
        <v>0</v>
      </c>
      <c r="Z1073">
        <v>1</v>
      </c>
      <c r="AL1073" t="s">
        <v>96</v>
      </c>
      <c r="AM1073" t="s">
        <v>87</v>
      </c>
      <c r="AN1073" t="s">
        <v>87</v>
      </c>
      <c r="AO1073" t="s">
        <v>87</v>
      </c>
      <c r="AP1073" t="s">
        <v>87</v>
      </c>
      <c r="AQ1073" t="s">
        <v>87</v>
      </c>
      <c r="AR1073" t="s">
        <v>159</v>
      </c>
      <c r="AS1073" t="s">
        <v>76</v>
      </c>
      <c r="AT1073" t="s">
        <v>96</v>
      </c>
      <c r="AU1073">
        <v>0</v>
      </c>
      <c r="AV1073">
        <v>0</v>
      </c>
      <c r="AW1073">
        <v>0</v>
      </c>
      <c r="AX1073">
        <v>1</v>
      </c>
      <c r="AY1073">
        <v>0</v>
      </c>
      <c r="AZ1073" t="s">
        <v>579</v>
      </c>
    </row>
    <row r="1074" spans="1:52" x14ac:dyDescent="0.2">
      <c r="A1074">
        <v>0</v>
      </c>
      <c r="B1074">
        <v>1</v>
      </c>
      <c r="C1074">
        <v>0</v>
      </c>
      <c r="D1074">
        <v>0</v>
      </c>
      <c r="E1074">
        <v>1</v>
      </c>
      <c r="F1074">
        <v>0</v>
      </c>
      <c r="G1074">
        <v>0</v>
      </c>
      <c r="H1074">
        <v>0</v>
      </c>
      <c r="I1074">
        <v>0</v>
      </c>
      <c r="L1074">
        <v>1</v>
      </c>
      <c r="M1074">
        <v>0</v>
      </c>
      <c r="N1074">
        <v>0</v>
      </c>
      <c r="O1074">
        <v>0</v>
      </c>
      <c r="P1074">
        <v>0</v>
      </c>
      <c r="Q1074" t="s">
        <v>584</v>
      </c>
      <c r="R1074">
        <v>1</v>
      </c>
      <c r="S1074">
        <v>0</v>
      </c>
      <c r="T1074">
        <v>0</v>
      </c>
      <c r="U1074">
        <v>0</v>
      </c>
      <c r="V1074">
        <v>0</v>
      </c>
      <c r="W1074">
        <v>0</v>
      </c>
      <c r="X1074">
        <v>0</v>
      </c>
      <c r="Y1074">
        <v>0</v>
      </c>
      <c r="Z1074">
        <v>0</v>
      </c>
      <c r="AL1074" t="s">
        <v>96</v>
      </c>
      <c r="AM1074" t="s">
        <v>87</v>
      </c>
      <c r="AN1074" t="s">
        <v>87</v>
      </c>
      <c r="AO1074" t="s">
        <v>87</v>
      </c>
      <c r="AP1074" t="s">
        <v>87</v>
      </c>
      <c r="AQ1074" t="s">
        <v>87</v>
      </c>
      <c r="AR1074" t="s">
        <v>101</v>
      </c>
      <c r="AS1074" t="s">
        <v>76</v>
      </c>
      <c r="AT1074" t="s">
        <v>96</v>
      </c>
      <c r="AU1074">
        <v>0</v>
      </c>
      <c r="AV1074">
        <v>0</v>
      </c>
      <c r="AW1074">
        <v>0</v>
      </c>
      <c r="AX1074">
        <v>1</v>
      </c>
      <c r="AY1074">
        <v>0</v>
      </c>
      <c r="AZ1074" t="s">
        <v>579</v>
      </c>
    </row>
    <row r="1075" spans="1:52" x14ac:dyDescent="0.2">
      <c r="A1075">
        <v>1</v>
      </c>
      <c r="B1075">
        <v>0</v>
      </c>
      <c r="C1075">
        <v>0</v>
      </c>
      <c r="D1075">
        <v>0</v>
      </c>
      <c r="E1075">
        <v>0</v>
      </c>
      <c r="F1075">
        <v>1</v>
      </c>
      <c r="G1075">
        <v>0</v>
      </c>
      <c r="H1075">
        <v>1</v>
      </c>
      <c r="I1075">
        <v>0</v>
      </c>
      <c r="J1075" t="s">
        <v>88</v>
      </c>
      <c r="K1075" t="s">
        <v>89</v>
      </c>
      <c r="L1075">
        <v>0</v>
      </c>
      <c r="M1075">
        <v>0</v>
      </c>
      <c r="N1075">
        <v>0</v>
      </c>
      <c r="O1075">
        <v>1</v>
      </c>
      <c r="P1075">
        <v>0</v>
      </c>
      <c r="Q1075" t="s">
        <v>584</v>
      </c>
      <c r="AA1075" t="s">
        <v>83</v>
      </c>
      <c r="AB1075" t="s">
        <v>82</v>
      </c>
      <c r="AC1075" t="s">
        <v>81</v>
      </c>
      <c r="AD1075" t="s">
        <v>83</v>
      </c>
      <c r="AE1075" t="s">
        <v>83</v>
      </c>
      <c r="AF1075" t="s">
        <v>83</v>
      </c>
      <c r="AG1075" t="s">
        <v>83</v>
      </c>
      <c r="AH1075" t="s">
        <v>83</v>
      </c>
      <c r="AI1075" t="s">
        <v>88</v>
      </c>
      <c r="AJ1075" t="s">
        <v>89</v>
      </c>
      <c r="AK1075" t="s">
        <v>85</v>
      </c>
      <c r="AL1075" t="s">
        <v>73</v>
      </c>
      <c r="AM1075" t="s">
        <v>87</v>
      </c>
      <c r="AN1075" t="s">
        <v>87</v>
      </c>
      <c r="AO1075" t="s">
        <v>87</v>
      </c>
      <c r="AP1075" t="s">
        <v>87</v>
      </c>
      <c r="AQ1075" t="s">
        <v>87</v>
      </c>
      <c r="AR1075" t="s">
        <v>75</v>
      </c>
      <c r="AS1075" t="s">
        <v>92</v>
      </c>
      <c r="AT1075" t="s">
        <v>73</v>
      </c>
      <c r="AU1075">
        <v>0</v>
      </c>
      <c r="AV1075">
        <v>0</v>
      </c>
      <c r="AW1075">
        <v>0</v>
      </c>
      <c r="AX1075">
        <v>1</v>
      </c>
      <c r="AY1075">
        <v>0</v>
      </c>
      <c r="AZ1075" t="s">
        <v>580</v>
      </c>
    </row>
    <row r="1076" spans="1:52" x14ac:dyDescent="0.2">
      <c r="A1076">
        <v>1</v>
      </c>
      <c r="B1076">
        <v>0</v>
      </c>
      <c r="C1076">
        <v>0</v>
      </c>
      <c r="D1076">
        <v>0</v>
      </c>
      <c r="E1076">
        <v>1</v>
      </c>
      <c r="F1076">
        <v>0</v>
      </c>
      <c r="G1076">
        <v>0</v>
      </c>
      <c r="H1076">
        <v>0</v>
      </c>
      <c r="I1076">
        <v>0</v>
      </c>
      <c r="L1076">
        <v>1</v>
      </c>
      <c r="M1076">
        <v>0</v>
      </c>
      <c r="N1076">
        <v>0</v>
      </c>
      <c r="O1076">
        <v>0</v>
      </c>
      <c r="P1076">
        <v>0</v>
      </c>
      <c r="Q1076" t="s">
        <v>584</v>
      </c>
      <c r="R1076">
        <v>1</v>
      </c>
      <c r="S1076">
        <v>0</v>
      </c>
      <c r="T1076">
        <v>0</v>
      </c>
      <c r="U1076">
        <v>0</v>
      </c>
      <c r="V1076">
        <v>0</v>
      </c>
      <c r="W1076">
        <v>0</v>
      </c>
      <c r="X1076">
        <v>0</v>
      </c>
      <c r="Y1076">
        <v>0</v>
      </c>
      <c r="Z1076">
        <v>0</v>
      </c>
      <c r="AL1076" t="s">
        <v>107</v>
      </c>
      <c r="AM1076" t="s">
        <v>74</v>
      </c>
      <c r="AR1076" t="s">
        <v>75</v>
      </c>
      <c r="AS1076" t="s">
        <v>92</v>
      </c>
      <c r="AT1076" t="s">
        <v>107</v>
      </c>
      <c r="AU1076">
        <v>0</v>
      </c>
      <c r="AV1076">
        <v>0</v>
      </c>
      <c r="AW1076">
        <v>0</v>
      </c>
      <c r="AX1076">
        <v>1</v>
      </c>
      <c r="AY1076">
        <v>0</v>
      </c>
      <c r="AZ1076" t="s">
        <v>579</v>
      </c>
    </row>
    <row r="1077" spans="1:52" x14ac:dyDescent="0.2">
      <c r="A1077">
        <v>0</v>
      </c>
      <c r="B1077">
        <v>1</v>
      </c>
      <c r="C1077">
        <v>0</v>
      </c>
      <c r="D1077">
        <v>0</v>
      </c>
      <c r="E1077">
        <v>0</v>
      </c>
      <c r="F1077">
        <v>1</v>
      </c>
      <c r="G1077">
        <v>1</v>
      </c>
      <c r="H1077">
        <v>1</v>
      </c>
      <c r="I1077">
        <v>0</v>
      </c>
      <c r="J1077" t="s">
        <v>88</v>
      </c>
      <c r="K1077" t="s">
        <v>89</v>
      </c>
      <c r="L1077">
        <v>0</v>
      </c>
      <c r="M1077">
        <v>0</v>
      </c>
      <c r="N1077">
        <v>0</v>
      </c>
      <c r="O1077">
        <v>1</v>
      </c>
      <c r="P1077">
        <v>0</v>
      </c>
      <c r="Q1077" t="s">
        <v>584</v>
      </c>
      <c r="AA1077" t="s">
        <v>83</v>
      </c>
      <c r="AB1077" t="s">
        <v>82</v>
      </c>
      <c r="AC1077" t="s">
        <v>82</v>
      </c>
      <c r="AD1077" t="s">
        <v>82</v>
      </c>
      <c r="AE1077" t="s">
        <v>81</v>
      </c>
      <c r="AF1077" t="s">
        <v>81</v>
      </c>
      <c r="AG1077" t="s">
        <v>81</v>
      </c>
      <c r="AH1077" t="s">
        <v>83</v>
      </c>
      <c r="AI1077" t="s">
        <v>88</v>
      </c>
      <c r="AJ1077" t="s">
        <v>89</v>
      </c>
      <c r="AK1077" t="s">
        <v>100</v>
      </c>
      <c r="AL1077" t="s">
        <v>73</v>
      </c>
      <c r="AM1077" t="s">
        <v>87</v>
      </c>
      <c r="AN1077" t="s">
        <v>87</v>
      </c>
      <c r="AO1077" t="s">
        <v>87</v>
      </c>
      <c r="AP1077" t="s">
        <v>87</v>
      </c>
      <c r="AQ1077" t="s">
        <v>74</v>
      </c>
      <c r="AR1077" t="s">
        <v>75</v>
      </c>
      <c r="AS1077" t="s">
        <v>92</v>
      </c>
      <c r="AT1077" t="s">
        <v>73</v>
      </c>
      <c r="AU1077">
        <v>0</v>
      </c>
      <c r="AV1077">
        <v>0</v>
      </c>
      <c r="AW1077">
        <v>0</v>
      </c>
      <c r="AX1077">
        <v>1</v>
      </c>
      <c r="AY1077">
        <v>0</v>
      </c>
      <c r="AZ1077" t="s">
        <v>580</v>
      </c>
    </row>
    <row r="1078" spans="1:52" x14ac:dyDescent="0.2">
      <c r="A1078">
        <v>1</v>
      </c>
      <c r="B1078">
        <v>0</v>
      </c>
      <c r="C1078">
        <v>0</v>
      </c>
      <c r="D1078">
        <v>0</v>
      </c>
      <c r="E1078">
        <v>0</v>
      </c>
      <c r="F1078">
        <v>1</v>
      </c>
      <c r="G1078">
        <v>1</v>
      </c>
      <c r="H1078">
        <v>0</v>
      </c>
      <c r="I1078">
        <v>0</v>
      </c>
      <c r="J1078" t="s">
        <v>88</v>
      </c>
      <c r="K1078" t="s">
        <v>80</v>
      </c>
      <c r="L1078">
        <v>0</v>
      </c>
      <c r="M1078">
        <v>0</v>
      </c>
      <c r="N1078">
        <v>1</v>
      </c>
      <c r="O1078">
        <v>0</v>
      </c>
      <c r="P1078">
        <v>0</v>
      </c>
      <c r="Q1078" t="s">
        <v>584</v>
      </c>
      <c r="AA1078" t="s">
        <v>83</v>
      </c>
      <c r="AB1078" t="s">
        <v>81</v>
      </c>
      <c r="AC1078" t="s">
        <v>90</v>
      </c>
      <c r="AD1078" t="s">
        <v>83</v>
      </c>
      <c r="AE1078" t="s">
        <v>82</v>
      </c>
      <c r="AF1078" t="s">
        <v>83</v>
      </c>
      <c r="AG1078" t="s">
        <v>81</v>
      </c>
      <c r="AH1078" t="s">
        <v>83</v>
      </c>
      <c r="AI1078" t="s">
        <v>88</v>
      </c>
      <c r="AJ1078" t="s">
        <v>89</v>
      </c>
      <c r="AK1078" t="s">
        <v>85</v>
      </c>
      <c r="AL1078" t="s">
        <v>96</v>
      </c>
      <c r="AM1078" t="s">
        <v>87</v>
      </c>
      <c r="AN1078" t="s">
        <v>87</v>
      </c>
      <c r="AO1078" t="s">
        <v>87</v>
      </c>
      <c r="AP1078" t="s">
        <v>86</v>
      </c>
      <c r="AQ1078" t="s">
        <v>87</v>
      </c>
      <c r="AR1078" t="s">
        <v>75</v>
      </c>
      <c r="AS1078" t="s">
        <v>76</v>
      </c>
      <c r="AT1078" t="s">
        <v>96</v>
      </c>
      <c r="AU1078">
        <v>0</v>
      </c>
      <c r="AV1078">
        <v>0</v>
      </c>
      <c r="AW1078">
        <v>0</v>
      </c>
      <c r="AX1078">
        <v>1</v>
      </c>
      <c r="AY1078">
        <v>0</v>
      </c>
      <c r="AZ1078" t="s">
        <v>578</v>
      </c>
    </row>
    <row r="1079" spans="1:52" x14ac:dyDescent="0.2">
      <c r="A1079">
        <v>1</v>
      </c>
      <c r="B1079">
        <v>0</v>
      </c>
      <c r="C1079">
        <v>0</v>
      </c>
      <c r="D1079">
        <v>0</v>
      </c>
      <c r="E1079">
        <v>1</v>
      </c>
      <c r="F1079">
        <v>0</v>
      </c>
      <c r="G1079">
        <v>0</v>
      </c>
      <c r="H1079">
        <v>0</v>
      </c>
      <c r="I1079">
        <v>0</v>
      </c>
      <c r="L1079">
        <v>1</v>
      </c>
      <c r="M1079">
        <v>0</v>
      </c>
      <c r="N1079">
        <v>0</v>
      </c>
      <c r="O1079">
        <v>0</v>
      </c>
      <c r="P1079">
        <v>0</v>
      </c>
      <c r="Q1079" t="s">
        <v>584</v>
      </c>
      <c r="R1079">
        <v>0</v>
      </c>
      <c r="S1079">
        <v>1</v>
      </c>
      <c r="T1079">
        <v>0</v>
      </c>
      <c r="U1079">
        <v>0</v>
      </c>
      <c r="V1079">
        <v>0</v>
      </c>
      <c r="W1079">
        <v>0</v>
      </c>
      <c r="X1079">
        <v>0</v>
      </c>
      <c r="Y1079">
        <v>0</v>
      </c>
      <c r="Z1079">
        <v>0</v>
      </c>
      <c r="AL1079" t="s">
        <v>96</v>
      </c>
      <c r="AM1079" t="s">
        <v>87</v>
      </c>
      <c r="AN1079" t="s">
        <v>87</v>
      </c>
      <c r="AO1079" t="s">
        <v>74</v>
      </c>
      <c r="AP1079" t="s">
        <v>87</v>
      </c>
      <c r="AQ1079" t="s">
        <v>87</v>
      </c>
      <c r="AR1079" t="s">
        <v>108</v>
      </c>
      <c r="AS1079" t="s">
        <v>76</v>
      </c>
      <c r="AT1079" t="s">
        <v>96</v>
      </c>
      <c r="AU1079">
        <v>0</v>
      </c>
      <c r="AV1079">
        <v>0</v>
      </c>
      <c r="AW1079">
        <v>0</v>
      </c>
      <c r="AX1079">
        <v>1</v>
      </c>
      <c r="AY1079">
        <v>0</v>
      </c>
      <c r="AZ1079" t="s">
        <v>579</v>
      </c>
    </row>
    <row r="1080" spans="1:52" x14ac:dyDescent="0.2">
      <c r="A1080">
        <v>0</v>
      </c>
      <c r="B1080">
        <v>1</v>
      </c>
      <c r="C1080">
        <v>0</v>
      </c>
      <c r="D1080">
        <v>0</v>
      </c>
      <c r="E1080">
        <v>1</v>
      </c>
      <c r="F1080">
        <v>0</v>
      </c>
      <c r="G1080">
        <v>0</v>
      </c>
      <c r="H1080">
        <v>0</v>
      </c>
      <c r="I1080">
        <v>0</v>
      </c>
      <c r="L1080">
        <v>1</v>
      </c>
      <c r="M1080">
        <v>0</v>
      </c>
      <c r="N1080">
        <v>0</v>
      </c>
      <c r="O1080">
        <v>0</v>
      </c>
      <c r="P1080">
        <v>0</v>
      </c>
      <c r="Q1080" t="s">
        <v>584</v>
      </c>
      <c r="R1080">
        <v>0</v>
      </c>
      <c r="S1080">
        <v>0</v>
      </c>
      <c r="T1080">
        <v>0</v>
      </c>
      <c r="U1080">
        <v>1</v>
      </c>
      <c r="V1080">
        <v>0</v>
      </c>
      <c r="W1080">
        <v>0</v>
      </c>
      <c r="X1080">
        <v>1</v>
      </c>
      <c r="Y1080">
        <v>1</v>
      </c>
      <c r="Z1080">
        <v>0</v>
      </c>
      <c r="AL1080" t="s">
        <v>73</v>
      </c>
      <c r="AM1080" t="s">
        <v>87</v>
      </c>
      <c r="AN1080" t="s">
        <v>87</v>
      </c>
      <c r="AO1080" t="s">
        <v>87</v>
      </c>
      <c r="AP1080" t="s">
        <v>87</v>
      </c>
      <c r="AQ1080" t="s">
        <v>87</v>
      </c>
      <c r="AR1080" t="s">
        <v>75</v>
      </c>
      <c r="AS1080" t="s">
        <v>92</v>
      </c>
      <c r="AT1080" t="s">
        <v>73</v>
      </c>
      <c r="AU1080">
        <v>0</v>
      </c>
      <c r="AV1080">
        <v>0</v>
      </c>
      <c r="AW1080">
        <v>0</v>
      </c>
      <c r="AX1080">
        <v>1</v>
      </c>
      <c r="AY1080">
        <v>0</v>
      </c>
      <c r="AZ1080" t="s">
        <v>579</v>
      </c>
    </row>
    <row r="1081" spans="1:52" x14ac:dyDescent="0.2">
      <c r="A1081">
        <v>0</v>
      </c>
      <c r="B1081">
        <v>1</v>
      </c>
      <c r="C1081">
        <v>0</v>
      </c>
      <c r="D1081">
        <v>0</v>
      </c>
      <c r="E1081">
        <v>0</v>
      </c>
      <c r="F1081">
        <v>1</v>
      </c>
      <c r="G1081">
        <v>1</v>
      </c>
      <c r="H1081">
        <v>0</v>
      </c>
      <c r="I1081">
        <v>0</v>
      </c>
      <c r="J1081" t="s">
        <v>135</v>
      </c>
      <c r="K1081" t="s">
        <v>80</v>
      </c>
      <c r="L1081">
        <v>0</v>
      </c>
      <c r="M1081">
        <v>0</v>
      </c>
      <c r="N1081">
        <v>0</v>
      </c>
      <c r="O1081">
        <v>1</v>
      </c>
      <c r="P1081">
        <v>0</v>
      </c>
      <c r="Q1081" t="s">
        <v>584</v>
      </c>
      <c r="AA1081" t="s">
        <v>81</v>
      </c>
      <c r="AB1081" t="s">
        <v>81</v>
      </c>
      <c r="AC1081" t="s">
        <v>83</v>
      </c>
      <c r="AD1081" t="s">
        <v>82</v>
      </c>
      <c r="AE1081" t="s">
        <v>81</v>
      </c>
      <c r="AF1081" t="s">
        <v>90</v>
      </c>
      <c r="AG1081" t="s">
        <v>83</v>
      </c>
      <c r="AH1081" t="s">
        <v>83</v>
      </c>
      <c r="AI1081" t="s">
        <v>88</v>
      </c>
      <c r="AJ1081" t="s">
        <v>89</v>
      </c>
      <c r="AK1081" t="s">
        <v>85</v>
      </c>
      <c r="AL1081" t="s">
        <v>107</v>
      </c>
      <c r="AM1081" t="s">
        <v>87</v>
      </c>
      <c r="AN1081" t="s">
        <v>87</v>
      </c>
      <c r="AO1081" t="s">
        <v>87</v>
      </c>
      <c r="AP1081" t="s">
        <v>86</v>
      </c>
      <c r="AQ1081" t="s">
        <v>87</v>
      </c>
      <c r="AR1081" t="s">
        <v>75</v>
      </c>
      <c r="AS1081" t="s">
        <v>76</v>
      </c>
      <c r="AT1081" t="s">
        <v>107</v>
      </c>
      <c r="AU1081">
        <v>0</v>
      </c>
      <c r="AV1081">
        <v>0</v>
      </c>
      <c r="AW1081">
        <v>0</v>
      </c>
      <c r="AX1081">
        <v>1</v>
      </c>
      <c r="AY1081">
        <v>0</v>
      </c>
      <c r="AZ1081" t="s">
        <v>579</v>
      </c>
    </row>
    <row r="1082" spans="1:52" x14ac:dyDescent="0.2">
      <c r="A1082">
        <v>1</v>
      </c>
      <c r="B1082">
        <v>0</v>
      </c>
      <c r="C1082">
        <v>0</v>
      </c>
      <c r="D1082">
        <v>0</v>
      </c>
      <c r="E1082">
        <v>1</v>
      </c>
      <c r="F1082">
        <v>0</v>
      </c>
      <c r="G1082">
        <v>0</v>
      </c>
      <c r="H1082">
        <v>0</v>
      </c>
      <c r="I1082">
        <v>0</v>
      </c>
      <c r="L1082">
        <v>1</v>
      </c>
      <c r="M1082">
        <v>0</v>
      </c>
      <c r="N1082">
        <v>0</v>
      </c>
      <c r="O1082">
        <v>0</v>
      </c>
      <c r="P1082">
        <v>0</v>
      </c>
      <c r="Q1082" t="s">
        <v>584</v>
      </c>
      <c r="R1082">
        <v>0</v>
      </c>
      <c r="S1082">
        <v>1</v>
      </c>
      <c r="T1082">
        <v>0</v>
      </c>
      <c r="U1082">
        <v>0</v>
      </c>
      <c r="V1082">
        <v>0</v>
      </c>
      <c r="W1082">
        <v>0</v>
      </c>
      <c r="X1082">
        <v>0</v>
      </c>
      <c r="Y1082">
        <v>0</v>
      </c>
      <c r="Z1082">
        <v>0</v>
      </c>
      <c r="AL1082" t="s">
        <v>73</v>
      </c>
      <c r="AM1082" t="s">
        <v>86</v>
      </c>
      <c r="AN1082" t="s">
        <v>86</v>
      </c>
      <c r="AO1082" t="s">
        <v>86</v>
      </c>
      <c r="AP1082" t="s">
        <v>86</v>
      </c>
      <c r="AQ1082" t="s">
        <v>86</v>
      </c>
      <c r="AR1082" t="s">
        <v>159</v>
      </c>
      <c r="AS1082" t="s">
        <v>76</v>
      </c>
      <c r="AT1082" t="s">
        <v>73</v>
      </c>
      <c r="AU1082">
        <v>0</v>
      </c>
      <c r="AV1082">
        <v>0</v>
      </c>
      <c r="AW1082">
        <v>0</v>
      </c>
      <c r="AX1082">
        <v>1</v>
      </c>
      <c r="AY1082">
        <v>0</v>
      </c>
      <c r="AZ1082" t="s">
        <v>578</v>
      </c>
    </row>
    <row r="1083" spans="1:52" x14ac:dyDescent="0.2">
      <c r="A1083">
        <v>1</v>
      </c>
      <c r="B1083">
        <v>0</v>
      </c>
      <c r="C1083">
        <v>0</v>
      </c>
      <c r="D1083">
        <v>0</v>
      </c>
      <c r="E1083">
        <v>0</v>
      </c>
      <c r="F1083">
        <v>0</v>
      </c>
      <c r="G1083">
        <v>0</v>
      </c>
      <c r="H1083">
        <v>1</v>
      </c>
      <c r="I1083">
        <v>0</v>
      </c>
      <c r="J1083" t="s">
        <v>135</v>
      </c>
      <c r="K1083" t="s">
        <v>127</v>
      </c>
      <c r="L1083">
        <v>0</v>
      </c>
      <c r="M1083">
        <v>0</v>
      </c>
      <c r="N1083">
        <v>1</v>
      </c>
      <c r="O1083">
        <v>0</v>
      </c>
      <c r="P1083">
        <v>0</v>
      </c>
      <c r="Q1083" t="s">
        <v>584</v>
      </c>
      <c r="AA1083" t="s">
        <v>83</v>
      </c>
      <c r="AB1083" t="s">
        <v>81</v>
      </c>
      <c r="AC1083" t="s">
        <v>82</v>
      </c>
      <c r="AD1083" t="s">
        <v>81</v>
      </c>
      <c r="AE1083" t="s">
        <v>81</v>
      </c>
      <c r="AF1083" t="s">
        <v>83</v>
      </c>
      <c r="AG1083" t="s">
        <v>83</v>
      </c>
      <c r="AH1083" t="s">
        <v>83</v>
      </c>
      <c r="AI1083" t="s">
        <v>88</v>
      </c>
      <c r="AJ1083" t="s">
        <v>80</v>
      </c>
      <c r="AK1083" t="s">
        <v>100</v>
      </c>
      <c r="AL1083" t="s">
        <v>107</v>
      </c>
      <c r="AM1083" t="s">
        <v>74</v>
      </c>
      <c r="AR1083" t="s">
        <v>75</v>
      </c>
      <c r="AS1083" t="s">
        <v>76</v>
      </c>
      <c r="AT1083" t="s">
        <v>107</v>
      </c>
      <c r="AU1083">
        <v>0</v>
      </c>
      <c r="AV1083">
        <v>0</v>
      </c>
      <c r="AW1083">
        <v>0</v>
      </c>
      <c r="AX1083">
        <v>1</v>
      </c>
      <c r="AY1083">
        <v>0</v>
      </c>
      <c r="AZ1083" t="s">
        <v>579</v>
      </c>
    </row>
    <row r="1084" spans="1:52" x14ac:dyDescent="0.2">
      <c r="A1084">
        <v>0</v>
      </c>
      <c r="B1084">
        <v>1</v>
      </c>
      <c r="C1084">
        <v>0</v>
      </c>
      <c r="D1084">
        <v>0</v>
      </c>
      <c r="E1084">
        <v>0</v>
      </c>
      <c r="F1084">
        <v>1</v>
      </c>
      <c r="G1084">
        <v>0</v>
      </c>
      <c r="H1084">
        <v>1</v>
      </c>
      <c r="I1084">
        <v>0</v>
      </c>
      <c r="J1084" t="s">
        <v>88</v>
      </c>
      <c r="K1084" t="s">
        <v>80</v>
      </c>
      <c r="L1084">
        <v>0</v>
      </c>
      <c r="M1084">
        <v>1</v>
      </c>
      <c r="N1084">
        <v>0</v>
      </c>
      <c r="O1084">
        <v>0</v>
      </c>
      <c r="P1084">
        <v>0</v>
      </c>
      <c r="Q1084" t="s">
        <v>584</v>
      </c>
      <c r="AA1084" t="s">
        <v>90</v>
      </c>
      <c r="AB1084" t="s">
        <v>82</v>
      </c>
      <c r="AC1084" t="s">
        <v>81</v>
      </c>
      <c r="AD1084" t="s">
        <v>81</v>
      </c>
      <c r="AE1084" t="s">
        <v>83</v>
      </c>
      <c r="AF1084" t="s">
        <v>90</v>
      </c>
      <c r="AG1084" t="s">
        <v>90</v>
      </c>
      <c r="AH1084" t="s">
        <v>83</v>
      </c>
      <c r="AI1084" t="s">
        <v>88</v>
      </c>
      <c r="AJ1084" t="s">
        <v>89</v>
      </c>
      <c r="AK1084" t="s">
        <v>100</v>
      </c>
      <c r="AL1084" t="s">
        <v>107</v>
      </c>
      <c r="AM1084" t="s">
        <v>87</v>
      </c>
      <c r="AN1084" t="s">
        <v>86</v>
      </c>
      <c r="AO1084" t="s">
        <v>87</v>
      </c>
      <c r="AP1084" t="s">
        <v>87</v>
      </c>
      <c r="AQ1084" t="s">
        <v>86</v>
      </c>
      <c r="AR1084" t="s">
        <v>75</v>
      </c>
      <c r="AS1084" t="s">
        <v>76</v>
      </c>
      <c r="AT1084" t="s">
        <v>107</v>
      </c>
      <c r="AU1084">
        <v>0</v>
      </c>
      <c r="AV1084">
        <v>0</v>
      </c>
      <c r="AW1084">
        <v>0</v>
      </c>
      <c r="AX1084">
        <v>1</v>
      </c>
      <c r="AY1084">
        <v>0</v>
      </c>
      <c r="AZ1084" t="s">
        <v>579</v>
      </c>
    </row>
    <row r="1085" spans="1:52" x14ac:dyDescent="0.2">
      <c r="A1085">
        <v>1</v>
      </c>
      <c r="B1085">
        <v>0</v>
      </c>
      <c r="C1085">
        <v>0</v>
      </c>
      <c r="D1085">
        <v>0</v>
      </c>
      <c r="E1085">
        <v>0</v>
      </c>
      <c r="F1085">
        <v>1</v>
      </c>
      <c r="G1085">
        <v>0</v>
      </c>
      <c r="H1085">
        <v>0</v>
      </c>
      <c r="I1085">
        <v>1</v>
      </c>
      <c r="J1085" t="s">
        <v>88</v>
      </c>
      <c r="K1085" t="s">
        <v>89</v>
      </c>
      <c r="L1085">
        <v>0</v>
      </c>
      <c r="M1085">
        <v>0</v>
      </c>
      <c r="N1085">
        <v>1</v>
      </c>
      <c r="O1085">
        <v>0</v>
      </c>
      <c r="P1085">
        <v>0</v>
      </c>
      <c r="Q1085" t="s">
        <v>584</v>
      </c>
      <c r="AA1085" t="s">
        <v>83</v>
      </c>
      <c r="AB1085" t="s">
        <v>82</v>
      </c>
      <c r="AC1085" t="s">
        <v>90</v>
      </c>
      <c r="AD1085" t="s">
        <v>82</v>
      </c>
      <c r="AE1085" t="s">
        <v>83</v>
      </c>
      <c r="AF1085" t="s">
        <v>83</v>
      </c>
      <c r="AG1085" t="s">
        <v>83</v>
      </c>
      <c r="AH1085" t="s">
        <v>83</v>
      </c>
      <c r="AI1085" t="s">
        <v>88</v>
      </c>
      <c r="AJ1085" t="s">
        <v>89</v>
      </c>
      <c r="AK1085" t="s">
        <v>85</v>
      </c>
      <c r="AL1085" t="s">
        <v>107</v>
      </c>
      <c r="AM1085" t="s">
        <v>87</v>
      </c>
      <c r="AN1085" t="s">
        <v>87</v>
      </c>
      <c r="AO1085" t="s">
        <v>87</v>
      </c>
      <c r="AP1085" t="s">
        <v>87</v>
      </c>
      <c r="AQ1085" t="s">
        <v>87</v>
      </c>
      <c r="AR1085" t="s">
        <v>75</v>
      </c>
      <c r="AS1085" t="s">
        <v>76</v>
      </c>
      <c r="AT1085" t="s">
        <v>107</v>
      </c>
      <c r="AU1085">
        <v>0</v>
      </c>
      <c r="AV1085">
        <v>0</v>
      </c>
      <c r="AW1085">
        <v>0</v>
      </c>
      <c r="AX1085">
        <v>1</v>
      </c>
      <c r="AY1085">
        <v>0</v>
      </c>
      <c r="AZ1085" t="s">
        <v>579</v>
      </c>
    </row>
    <row r="1086" spans="1:52" x14ac:dyDescent="0.2">
      <c r="A1086">
        <v>0</v>
      </c>
      <c r="B1086">
        <v>1</v>
      </c>
      <c r="C1086">
        <v>0</v>
      </c>
      <c r="D1086">
        <v>0</v>
      </c>
      <c r="E1086">
        <v>0</v>
      </c>
      <c r="F1086">
        <v>1</v>
      </c>
      <c r="G1086">
        <v>0</v>
      </c>
      <c r="H1086">
        <v>0</v>
      </c>
      <c r="I1086">
        <v>0</v>
      </c>
      <c r="J1086" t="s">
        <v>88</v>
      </c>
      <c r="K1086" t="s">
        <v>89</v>
      </c>
      <c r="L1086">
        <v>0</v>
      </c>
      <c r="M1086">
        <v>0</v>
      </c>
      <c r="N1086">
        <v>0</v>
      </c>
      <c r="O1086">
        <v>0</v>
      </c>
      <c r="P1086">
        <v>0</v>
      </c>
      <c r="Q1086" t="s">
        <v>585</v>
      </c>
      <c r="AA1086" t="s">
        <v>83</v>
      </c>
      <c r="AB1086" t="s">
        <v>82</v>
      </c>
      <c r="AC1086" t="s">
        <v>83</v>
      </c>
      <c r="AD1086" t="s">
        <v>81</v>
      </c>
      <c r="AE1086" t="s">
        <v>83</v>
      </c>
      <c r="AF1086" t="s">
        <v>83</v>
      </c>
      <c r="AG1086" t="s">
        <v>83</v>
      </c>
      <c r="AH1086" t="s">
        <v>83</v>
      </c>
      <c r="AI1086" t="s">
        <v>88</v>
      </c>
      <c r="AJ1086" t="s">
        <v>89</v>
      </c>
      <c r="AK1086" t="s">
        <v>85</v>
      </c>
      <c r="AL1086" t="s">
        <v>73</v>
      </c>
      <c r="AM1086" t="s">
        <v>86</v>
      </c>
      <c r="AN1086" t="s">
        <v>74</v>
      </c>
      <c r="AO1086" t="s">
        <v>87</v>
      </c>
      <c r="AP1086" t="s">
        <v>74</v>
      </c>
      <c r="AQ1086" t="s">
        <v>74</v>
      </c>
      <c r="AR1086" t="s">
        <v>75</v>
      </c>
      <c r="AS1086" t="s">
        <v>92</v>
      </c>
      <c r="AT1086" t="s">
        <v>73</v>
      </c>
      <c r="AU1086">
        <v>0</v>
      </c>
      <c r="AV1086">
        <v>0</v>
      </c>
      <c r="AW1086">
        <v>0</v>
      </c>
      <c r="AX1086">
        <v>1</v>
      </c>
      <c r="AY1086">
        <v>0</v>
      </c>
      <c r="AZ1086" t="s">
        <v>579</v>
      </c>
    </row>
    <row r="1087" spans="1:52" x14ac:dyDescent="0.2">
      <c r="A1087">
        <v>1</v>
      </c>
      <c r="B1087">
        <v>0</v>
      </c>
      <c r="C1087">
        <v>0</v>
      </c>
      <c r="D1087">
        <v>0</v>
      </c>
      <c r="E1087">
        <v>0</v>
      </c>
      <c r="F1087">
        <v>1</v>
      </c>
      <c r="G1087">
        <v>1</v>
      </c>
      <c r="H1087">
        <v>1</v>
      </c>
      <c r="I1087">
        <v>0</v>
      </c>
      <c r="J1087" t="s">
        <v>88</v>
      </c>
      <c r="K1087" t="s">
        <v>89</v>
      </c>
      <c r="L1087">
        <v>0</v>
      </c>
      <c r="M1087">
        <v>0</v>
      </c>
      <c r="N1087">
        <v>1</v>
      </c>
      <c r="O1087">
        <v>0</v>
      </c>
      <c r="P1087">
        <v>0</v>
      </c>
      <c r="Q1087" t="s">
        <v>584</v>
      </c>
      <c r="AA1087" t="s">
        <v>83</v>
      </c>
      <c r="AB1087" t="s">
        <v>81</v>
      </c>
      <c r="AC1087" t="s">
        <v>81</v>
      </c>
      <c r="AD1087" t="s">
        <v>81</v>
      </c>
      <c r="AE1087" t="s">
        <v>82</v>
      </c>
      <c r="AF1087" t="s">
        <v>83</v>
      </c>
      <c r="AG1087" t="s">
        <v>83</v>
      </c>
      <c r="AH1087" t="s">
        <v>81</v>
      </c>
      <c r="AI1087" t="s">
        <v>88</v>
      </c>
      <c r="AJ1087" t="s">
        <v>89</v>
      </c>
      <c r="AK1087" t="s">
        <v>100</v>
      </c>
      <c r="AL1087" t="s">
        <v>73</v>
      </c>
      <c r="AM1087" t="s">
        <v>87</v>
      </c>
      <c r="AN1087" t="s">
        <v>87</v>
      </c>
      <c r="AO1087" t="s">
        <v>87</v>
      </c>
      <c r="AP1087" t="s">
        <v>87</v>
      </c>
      <c r="AQ1087" t="s">
        <v>87</v>
      </c>
      <c r="AR1087" t="s">
        <v>75</v>
      </c>
      <c r="AS1087" t="s">
        <v>92</v>
      </c>
      <c r="AT1087" t="s">
        <v>73</v>
      </c>
      <c r="AU1087">
        <v>0</v>
      </c>
      <c r="AV1087">
        <v>0</v>
      </c>
      <c r="AW1087">
        <v>0</v>
      </c>
      <c r="AX1087">
        <v>1</v>
      </c>
      <c r="AY1087">
        <v>0</v>
      </c>
      <c r="AZ1087" t="s">
        <v>579</v>
      </c>
    </row>
    <row r="1088" spans="1:52" x14ac:dyDescent="0.2">
      <c r="A1088">
        <v>1</v>
      </c>
      <c r="B1088">
        <v>0</v>
      </c>
      <c r="C1088">
        <v>0</v>
      </c>
      <c r="D1088">
        <v>0</v>
      </c>
      <c r="E1088">
        <v>0</v>
      </c>
      <c r="F1088">
        <v>1</v>
      </c>
      <c r="G1088">
        <v>0</v>
      </c>
      <c r="H1088">
        <v>0</v>
      </c>
      <c r="I1088">
        <v>0</v>
      </c>
      <c r="J1088" t="s">
        <v>135</v>
      </c>
      <c r="K1088" t="s">
        <v>80</v>
      </c>
      <c r="L1088">
        <v>0</v>
      </c>
      <c r="M1088">
        <v>0</v>
      </c>
      <c r="N1088">
        <v>1</v>
      </c>
      <c r="O1088">
        <v>0</v>
      </c>
      <c r="P1088">
        <v>0</v>
      </c>
      <c r="Q1088" t="s">
        <v>584</v>
      </c>
      <c r="AA1088" t="s">
        <v>83</v>
      </c>
      <c r="AB1088" t="s">
        <v>82</v>
      </c>
      <c r="AC1088" t="s">
        <v>83</v>
      </c>
      <c r="AD1088" t="s">
        <v>82</v>
      </c>
      <c r="AE1088" t="s">
        <v>82</v>
      </c>
      <c r="AF1088" t="s">
        <v>81</v>
      </c>
      <c r="AG1088" t="s">
        <v>83</v>
      </c>
      <c r="AH1088" t="s">
        <v>83</v>
      </c>
      <c r="AI1088" t="s">
        <v>84</v>
      </c>
      <c r="AJ1088" t="s">
        <v>80</v>
      </c>
      <c r="AK1088" t="s">
        <v>153</v>
      </c>
      <c r="AL1088" t="s">
        <v>96</v>
      </c>
      <c r="AM1088" t="s">
        <v>87</v>
      </c>
      <c r="AN1088" t="s">
        <v>74</v>
      </c>
      <c r="AO1088" t="s">
        <v>87</v>
      </c>
      <c r="AP1088" t="s">
        <v>74</v>
      </c>
      <c r="AQ1088" t="s">
        <v>87</v>
      </c>
      <c r="AR1088" t="s">
        <v>159</v>
      </c>
      <c r="AS1088" t="s">
        <v>76</v>
      </c>
      <c r="AT1088" t="s">
        <v>96</v>
      </c>
      <c r="AU1088">
        <v>0</v>
      </c>
      <c r="AV1088">
        <v>0</v>
      </c>
      <c r="AW1088">
        <v>0</v>
      </c>
      <c r="AX1088">
        <v>1</v>
      </c>
      <c r="AY1088">
        <v>0</v>
      </c>
      <c r="AZ1088" t="s">
        <v>579</v>
      </c>
    </row>
    <row r="1089" spans="1:52" x14ac:dyDescent="0.2">
      <c r="A1089">
        <v>1</v>
      </c>
      <c r="B1089">
        <v>0</v>
      </c>
      <c r="C1089">
        <v>0</v>
      </c>
      <c r="D1089">
        <v>0</v>
      </c>
      <c r="E1089">
        <v>1</v>
      </c>
      <c r="F1089">
        <v>0</v>
      </c>
      <c r="G1089">
        <v>0</v>
      </c>
      <c r="H1089">
        <v>0</v>
      </c>
      <c r="I1089">
        <v>0</v>
      </c>
      <c r="L1089">
        <v>0</v>
      </c>
      <c r="M1089">
        <v>1</v>
      </c>
      <c r="N1089">
        <v>0</v>
      </c>
      <c r="O1089">
        <v>0</v>
      </c>
      <c r="P1089">
        <v>0</v>
      </c>
      <c r="Q1089" t="s">
        <v>584</v>
      </c>
      <c r="AA1089" t="s">
        <v>90</v>
      </c>
      <c r="AB1089" t="s">
        <v>82</v>
      </c>
      <c r="AC1089" t="s">
        <v>81</v>
      </c>
      <c r="AD1089" t="s">
        <v>90</v>
      </c>
      <c r="AE1089" t="s">
        <v>90</v>
      </c>
      <c r="AF1089" t="s">
        <v>90</v>
      </c>
      <c r="AG1089" t="s">
        <v>90</v>
      </c>
      <c r="AH1089" t="s">
        <v>83</v>
      </c>
      <c r="AI1089" t="s">
        <v>127</v>
      </c>
      <c r="AJ1089" t="s">
        <v>127</v>
      </c>
      <c r="AL1089" t="s">
        <v>73</v>
      </c>
      <c r="AM1089" t="s">
        <v>74</v>
      </c>
      <c r="AR1089" t="s">
        <v>75</v>
      </c>
      <c r="AS1089" t="s">
        <v>76</v>
      </c>
      <c r="AT1089" t="s">
        <v>73</v>
      </c>
      <c r="AU1089">
        <v>0</v>
      </c>
      <c r="AV1089">
        <v>0</v>
      </c>
      <c r="AW1089">
        <v>0</v>
      </c>
      <c r="AX1089">
        <v>1</v>
      </c>
      <c r="AY1089">
        <v>0</v>
      </c>
      <c r="AZ1089" t="s">
        <v>578</v>
      </c>
    </row>
    <row r="1090" spans="1:52" x14ac:dyDescent="0.2">
      <c r="A1090">
        <v>1</v>
      </c>
      <c r="B1090">
        <v>0</v>
      </c>
      <c r="C1090">
        <v>0</v>
      </c>
      <c r="D1090">
        <v>0</v>
      </c>
      <c r="E1090">
        <v>1</v>
      </c>
      <c r="F1090">
        <v>0</v>
      </c>
      <c r="G1090">
        <v>0</v>
      </c>
      <c r="H1090">
        <v>0</v>
      </c>
      <c r="I1090">
        <v>0</v>
      </c>
      <c r="L1090">
        <v>0</v>
      </c>
      <c r="M1090">
        <v>0</v>
      </c>
      <c r="N1090">
        <v>1</v>
      </c>
      <c r="O1090">
        <v>0</v>
      </c>
      <c r="P1090">
        <v>0</v>
      </c>
      <c r="Q1090" t="s">
        <v>584</v>
      </c>
      <c r="AA1090" t="s">
        <v>83</v>
      </c>
      <c r="AB1090" t="s">
        <v>82</v>
      </c>
      <c r="AC1090" t="s">
        <v>83</v>
      </c>
      <c r="AD1090" t="s">
        <v>83</v>
      </c>
      <c r="AE1090" t="s">
        <v>81</v>
      </c>
      <c r="AF1090" t="s">
        <v>83</v>
      </c>
      <c r="AG1090" t="s">
        <v>83</v>
      </c>
      <c r="AH1090" t="s">
        <v>83</v>
      </c>
      <c r="AI1090" t="s">
        <v>88</v>
      </c>
      <c r="AJ1090" t="s">
        <v>80</v>
      </c>
      <c r="AK1090" t="s">
        <v>85</v>
      </c>
      <c r="AL1090" t="s">
        <v>73</v>
      </c>
      <c r="AM1090" t="s">
        <v>86</v>
      </c>
      <c r="AN1090" t="s">
        <v>86</v>
      </c>
      <c r="AO1090" t="s">
        <v>86</v>
      </c>
      <c r="AP1090" t="s">
        <v>74</v>
      </c>
      <c r="AQ1090" t="s">
        <v>86</v>
      </c>
      <c r="AR1090" t="s">
        <v>75</v>
      </c>
      <c r="AS1090" t="s">
        <v>76</v>
      </c>
      <c r="AT1090" t="s">
        <v>73</v>
      </c>
      <c r="AU1090">
        <v>0</v>
      </c>
      <c r="AV1090">
        <v>0</v>
      </c>
      <c r="AW1090">
        <v>0</v>
      </c>
      <c r="AX1090">
        <v>1</v>
      </c>
      <c r="AY1090">
        <v>0</v>
      </c>
      <c r="AZ1090" t="s">
        <v>579</v>
      </c>
    </row>
    <row r="1091" spans="1:52" x14ac:dyDescent="0.2">
      <c r="A1091">
        <v>1</v>
      </c>
      <c r="B1091">
        <v>0</v>
      </c>
      <c r="C1091">
        <v>0</v>
      </c>
      <c r="D1091">
        <v>0</v>
      </c>
      <c r="E1091">
        <v>1</v>
      </c>
      <c r="F1091">
        <v>0</v>
      </c>
      <c r="G1091">
        <v>0</v>
      </c>
      <c r="H1091">
        <v>0</v>
      </c>
      <c r="I1091">
        <v>0</v>
      </c>
      <c r="L1091">
        <v>1</v>
      </c>
      <c r="M1091">
        <v>0</v>
      </c>
      <c r="N1091">
        <v>0</v>
      </c>
      <c r="O1091">
        <v>0</v>
      </c>
      <c r="P1091">
        <v>0</v>
      </c>
      <c r="Q1091" t="s">
        <v>584</v>
      </c>
      <c r="R1091">
        <v>0</v>
      </c>
      <c r="S1091">
        <v>1</v>
      </c>
      <c r="T1091">
        <v>0</v>
      </c>
      <c r="U1091">
        <v>0</v>
      </c>
      <c r="V1091">
        <v>0</v>
      </c>
      <c r="W1091">
        <v>0</v>
      </c>
      <c r="X1091">
        <v>0</v>
      </c>
      <c r="Y1091">
        <v>0</v>
      </c>
      <c r="Z1091">
        <v>0</v>
      </c>
      <c r="AL1091" t="s">
        <v>107</v>
      </c>
      <c r="AM1091" t="s">
        <v>87</v>
      </c>
      <c r="AN1091" t="s">
        <v>87</v>
      </c>
      <c r="AO1091" t="s">
        <v>87</v>
      </c>
      <c r="AP1091" t="s">
        <v>87</v>
      </c>
      <c r="AQ1091" t="s">
        <v>87</v>
      </c>
      <c r="AR1091" t="s">
        <v>108</v>
      </c>
      <c r="AS1091" t="s">
        <v>92</v>
      </c>
      <c r="AT1091" t="s">
        <v>107</v>
      </c>
      <c r="AU1091">
        <v>0</v>
      </c>
      <c r="AV1091">
        <v>0</v>
      </c>
      <c r="AW1091">
        <v>0</v>
      </c>
      <c r="AX1091">
        <v>1</v>
      </c>
      <c r="AY1091">
        <v>1</v>
      </c>
      <c r="AZ1091" t="s">
        <v>578</v>
      </c>
    </row>
    <row r="1092" spans="1:52" x14ac:dyDescent="0.2">
      <c r="A1092">
        <v>0</v>
      </c>
      <c r="B1092">
        <v>1</v>
      </c>
      <c r="C1092">
        <v>0</v>
      </c>
      <c r="D1092">
        <v>0</v>
      </c>
      <c r="E1092">
        <v>0</v>
      </c>
      <c r="F1092">
        <v>1</v>
      </c>
      <c r="G1092">
        <v>1</v>
      </c>
      <c r="H1092">
        <v>1</v>
      </c>
      <c r="I1092">
        <v>0</v>
      </c>
      <c r="J1092" t="s">
        <v>79</v>
      </c>
      <c r="K1092" t="s">
        <v>89</v>
      </c>
      <c r="L1092">
        <v>0</v>
      </c>
      <c r="M1092">
        <v>0</v>
      </c>
      <c r="N1092">
        <v>0</v>
      </c>
      <c r="O1092">
        <v>0</v>
      </c>
      <c r="P1092">
        <v>1</v>
      </c>
      <c r="Q1092" t="s">
        <v>584</v>
      </c>
      <c r="AA1092" t="s">
        <v>81</v>
      </c>
      <c r="AB1092" t="s">
        <v>82</v>
      </c>
      <c r="AC1092" t="s">
        <v>81</v>
      </c>
      <c r="AD1092" t="s">
        <v>82</v>
      </c>
      <c r="AE1092" t="s">
        <v>81</v>
      </c>
      <c r="AF1092" t="s">
        <v>83</v>
      </c>
      <c r="AG1092" t="s">
        <v>90</v>
      </c>
      <c r="AH1092" t="s">
        <v>83</v>
      </c>
      <c r="AI1092" t="s">
        <v>88</v>
      </c>
      <c r="AJ1092" t="s">
        <v>89</v>
      </c>
      <c r="AK1092" t="s">
        <v>100</v>
      </c>
      <c r="AL1092" t="s">
        <v>73</v>
      </c>
      <c r="AM1092" t="s">
        <v>87</v>
      </c>
      <c r="AN1092" t="s">
        <v>87</v>
      </c>
      <c r="AO1092" t="s">
        <v>86</v>
      </c>
      <c r="AP1092" t="s">
        <v>87</v>
      </c>
      <c r="AQ1092" t="s">
        <v>87</v>
      </c>
      <c r="AR1092" t="s">
        <v>75</v>
      </c>
      <c r="AS1092" t="s">
        <v>76</v>
      </c>
      <c r="AT1092" t="s">
        <v>73</v>
      </c>
      <c r="AU1092">
        <v>0</v>
      </c>
      <c r="AV1092">
        <v>0</v>
      </c>
      <c r="AW1092">
        <v>0</v>
      </c>
      <c r="AX1092">
        <v>1</v>
      </c>
      <c r="AY1092">
        <v>0</v>
      </c>
      <c r="AZ1092" t="s">
        <v>579</v>
      </c>
    </row>
    <row r="1093" spans="1:52" x14ac:dyDescent="0.2">
      <c r="A1093">
        <v>1</v>
      </c>
      <c r="B1093">
        <v>0</v>
      </c>
      <c r="C1093">
        <v>0</v>
      </c>
      <c r="D1093">
        <v>0</v>
      </c>
      <c r="E1093">
        <v>1</v>
      </c>
      <c r="F1093">
        <v>0</v>
      </c>
      <c r="G1093">
        <v>0</v>
      </c>
      <c r="H1093">
        <v>0</v>
      </c>
      <c r="I1093">
        <v>0</v>
      </c>
      <c r="L1093">
        <v>1</v>
      </c>
      <c r="M1093">
        <v>0</v>
      </c>
      <c r="N1093">
        <v>0</v>
      </c>
      <c r="O1093">
        <v>0</v>
      </c>
      <c r="P1093">
        <v>0</v>
      </c>
      <c r="Q1093" t="s">
        <v>584</v>
      </c>
      <c r="R1093">
        <v>0</v>
      </c>
      <c r="S1093">
        <v>0</v>
      </c>
      <c r="T1093">
        <v>0</v>
      </c>
      <c r="U1093">
        <v>0</v>
      </c>
      <c r="V1093">
        <v>0</v>
      </c>
      <c r="W1093">
        <v>0</v>
      </c>
      <c r="X1093">
        <v>0</v>
      </c>
      <c r="Y1093">
        <v>0</v>
      </c>
      <c r="Z1093">
        <v>1</v>
      </c>
      <c r="AL1093" t="s">
        <v>107</v>
      </c>
      <c r="AM1093" t="s">
        <v>87</v>
      </c>
      <c r="AN1093" t="s">
        <v>87</v>
      </c>
      <c r="AO1093" t="s">
        <v>87</v>
      </c>
      <c r="AP1093" t="s">
        <v>87</v>
      </c>
      <c r="AQ1093" t="s">
        <v>87</v>
      </c>
      <c r="AR1093" t="s">
        <v>75</v>
      </c>
      <c r="AS1093" t="s">
        <v>92</v>
      </c>
      <c r="AT1093" t="s">
        <v>107</v>
      </c>
      <c r="AU1093">
        <v>0</v>
      </c>
      <c r="AV1093">
        <v>0</v>
      </c>
      <c r="AW1093">
        <v>0</v>
      </c>
      <c r="AX1093">
        <v>1</v>
      </c>
      <c r="AY1093">
        <v>0</v>
      </c>
      <c r="AZ1093" t="s">
        <v>578</v>
      </c>
    </row>
    <row r="1094" spans="1:52" x14ac:dyDescent="0.2">
      <c r="A1094">
        <v>1</v>
      </c>
      <c r="B1094">
        <v>0</v>
      </c>
      <c r="C1094">
        <v>0</v>
      </c>
      <c r="D1094">
        <v>0</v>
      </c>
      <c r="E1094">
        <v>1</v>
      </c>
      <c r="F1094">
        <v>0</v>
      </c>
      <c r="G1094">
        <v>0</v>
      </c>
      <c r="H1094">
        <v>0</v>
      </c>
      <c r="I1094">
        <v>0</v>
      </c>
      <c r="L1094">
        <v>0</v>
      </c>
      <c r="M1094">
        <v>0</v>
      </c>
      <c r="N1094">
        <v>1</v>
      </c>
      <c r="O1094">
        <v>1</v>
      </c>
      <c r="P1094">
        <v>0</v>
      </c>
      <c r="Q1094" t="s">
        <v>584</v>
      </c>
      <c r="AA1094" t="s">
        <v>83</v>
      </c>
      <c r="AB1094" t="s">
        <v>82</v>
      </c>
      <c r="AC1094" t="s">
        <v>83</v>
      </c>
      <c r="AD1094" t="s">
        <v>82</v>
      </c>
      <c r="AE1094" t="s">
        <v>81</v>
      </c>
      <c r="AF1094" t="s">
        <v>83</v>
      </c>
      <c r="AG1094" t="s">
        <v>81</v>
      </c>
      <c r="AH1094" t="s">
        <v>81</v>
      </c>
      <c r="AI1094" t="s">
        <v>88</v>
      </c>
      <c r="AJ1094" t="s">
        <v>89</v>
      </c>
      <c r="AK1094" t="s">
        <v>85</v>
      </c>
      <c r="AL1094" t="s">
        <v>96</v>
      </c>
      <c r="AM1094" t="s">
        <v>87</v>
      </c>
      <c r="AN1094" t="s">
        <v>87</v>
      </c>
      <c r="AO1094" t="s">
        <v>87</v>
      </c>
      <c r="AP1094" t="s">
        <v>86</v>
      </c>
      <c r="AQ1094" t="s">
        <v>87</v>
      </c>
      <c r="AR1094" t="s">
        <v>75</v>
      </c>
      <c r="AS1094" t="s">
        <v>76</v>
      </c>
      <c r="AT1094" t="s">
        <v>96</v>
      </c>
      <c r="AU1094">
        <v>0</v>
      </c>
      <c r="AV1094">
        <v>0</v>
      </c>
      <c r="AW1094">
        <v>0</v>
      </c>
      <c r="AX1094">
        <v>1</v>
      </c>
      <c r="AY1094">
        <v>0</v>
      </c>
      <c r="AZ1094" t="s">
        <v>579</v>
      </c>
    </row>
    <row r="1095" spans="1:52" x14ac:dyDescent="0.2">
      <c r="A1095">
        <v>0</v>
      </c>
      <c r="B1095">
        <v>1</v>
      </c>
      <c r="C1095">
        <v>0</v>
      </c>
      <c r="D1095">
        <v>0</v>
      </c>
      <c r="E1095">
        <v>0</v>
      </c>
      <c r="F1095">
        <v>1</v>
      </c>
      <c r="G1095">
        <v>1</v>
      </c>
      <c r="H1095">
        <v>1</v>
      </c>
      <c r="I1095">
        <v>0</v>
      </c>
      <c r="J1095" t="s">
        <v>88</v>
      </c>
      <c r="K1095" t="s">
        <v>89</v>
      </c>
      <c r="L1095">
        <v>0</v>
      </c>
      <c r="M1095">
        <v>1</v>
      </c>
      <c r="N1095">
        <v>0</v>
      </c>
      <c r="O1095">
        <v>0</v>
      </c>
      <c r="P1095">
        <v>0</v>
      </c>
      <c r="Q1095" t="s">
        <v>584</v>
      </c>
      <c r="AA1095" t="s">
        <v>83</v>
      </c>
      <c r="AB1095" t="s">
        <v>82</v>
      </c>
      <c r="AC1095" t="s">
        <v>82</v>
      </c>
      <c r="AD1095" t="s">
        <v>81</v>
      </c>
      <c r="AE1095" t="s">
        <v>81</v>
      </c>
      <c r="AF1095" t="s">
        <v>90</v>
      </c>
      <c r="AG1095" t="s">
        <v>90</v>
      </c>
      <c r="AH1095" t="s">
        <v>83</v>
      </c>
      <c r="AI1095" t="s">
        <v>88</v>
      </c>
      <c r="AJ1095" t="s">
        <v>89</v>
      </c>
      <c r="AK1095" t="s">
        <v>100</v>
      </c>
      <c r="AL1095" t="s">
        <v>107</v>
      </c>
      <c r="AM1095" t="s">
        <v>87</v>
      </c>
      <c r="AN1095" t="s">
        <v>87</v>
      </c>
      <c r="AO1095" t="s">
        <v>87</v>
      </c>
      <c r="AP1095" t="s">
        <v>87</v>
      </c>
      <c r="AQ1095" t="s">
        <v>87</v>
      </c>
      <c r="AR1095" t="s">
        <v>75</v>
      </c>
      <c r="AS1095" t="s">
        <v>76</v>
      </c>
      <c r="AT1095" t="s">
        <v>107</v>
      </c>
      <c r="AU1095">
        <v>0</v>
      </c>
      <c r="AV1095">
        <v>0</v>
      </c>
      <c r="AW1095">
        <v>0</v>
      </c>
      <c r="AX1095">
        <v>1</v>
      </c>
      <c r="AY1095">
        <v>0</v>
      </c>
      <c r="AZ1095" t="s">
        <v>578</v>
      </c>
    </row>
    <row r="1096" spans="1:52" x14ac:dyDescent="0.2">
      <c r="A1096">
        <v>0</v>
      </c>
      <c r="B1096">
        <v>1</v>
      </c>
      <c r="C1096">
        <v>0</v>
      </c>
      <c r="D1096">
        <v>0</v>
      </c>
      <c r="E1096">
        <v>0</v>
      </c>
      <c r="F1096">
        <v>1</v>
      </c>
      <c r="G1096">
        <v>0</v>
      </c>
      <c r="H1096">
        <v>1</v>
      </c>
      <c r="I1096">
        <v>0</v>
      </c>
      <c r="J1096" t="s">
        <v>79</v>
      </c>
      <c r="K1096" t="s">
        <v>80</v>
      </c>
      <c r="L1096">
        <v>0</v>
      </c>
      <c r="M1096">
        <v>1</v>
      </c>
      <c r="N1096">
        <v>0</v>
      </c>
      <c r="O1096">
        <v>0</v>
      </c>
      <c r="P1096">
        <v>1</v>
      </c>
      <c r="Q1096" t="s">
        <v>584</v>
      </c>
      <c r="AA1096" t="s">
        <v>83</v>
      </c>
      <c r="AB1096" t="s">
        <v>81</v>
      </c>
      <c r="AC1096" t="s">
        <v>81</v>
      </c>
      <c r="AD1096" t="s">
        <v>81</v>
      </c>
      <c r="AE1096" t="s">
        <v>82</v>
      </c>
      <c r="AF1096" t="s">
        <v>83</v>
      </c>
      <c r="AG1096" t="s">
        <v>83</v>
      </c>
      <c r="AH1096" t="s">
        <v>83</v>
      </c>
      <c r="AI1096" t="s">
        <v>88</v>
      </c>
      <c r="AJ1096" t="s">
        <v>89</v>
      </c>
      <c r="AK1096" t="s">
        <v>100</v>
      </c>
      <c r="AL1096" t="s">
        <v>73</v>
      </c>
      <c r="AM1096" t="s">
        <v>74</v>
      </c>
      <c r="AR1096" t="s">
        <v>75</v>
      </c>
      <c r="AS1096" t="s">
        <v>76</v>
      </c>
      <c r="AT1096" t="s">
        <v>73</v>
      </c>
      <c r="AU1096">
        <v>0</v>
      </c>
      <c r="AV1096">
        <v>0</v>
      </c>
      <c r="AW1096">
        <v>0</v>
      </c>
      <c r="AX1096">
        <v>1</v>
      </c>
      <c r="AY1096">
        <v>0</v>
      </c>
      <c r="AZ1096" t="s">
        <v>579</v>
      </c>
    </row>
    <row r="1097" spans="1:52" x14ac:dyDescent="0.2">
      <c r="A1097">
        <v>1</v>
      </c>
      <c r="B1097">
        <v>0</v>
      </c>
      <c r="C1097">
        <v>0</v>
      </c>
      <c r="D1097">
        <v>0</v>
      </c>
      <c r="E1097">
        <v>0</v>
      </c>
      <c r="F1097">
        <v>1</v>
      </c>
      <c r="G1097">
        <v>0</v>
      </c>
      <c r="H1097">
        <v>1</v>
      </c>
      <c r="I1097">
        <v>0</v>
      </c>
      <c r="J1097" t="s">
        <v>88</v>
      </c>
      <c r="K1097" t="s">
        <v>80</v>
      </c>
      <c r="L1097">
        <v>0</v>
      </c>
      <c r="M1097">
        <v>0</v>
      </c>
      <c r="N1097">
        <v>0</v>
      </c>
      <c r="O1097">
        <v>1</v>
      </c>
      <c r="P1097">
        <v>0</v>
      </c>
      <c r="Q1097" t="s">
        <v>584</v>
      </c>
      <c r="AA1097" t="s">
        <v>90</v>
      </c>
      <c r="AB1097" t="s">
        <v>82</v>
      </c>
      <c r="AC1097" t="s">
        <v>90</v>
      </c>
      <c r="AD1097" t="s">
        <v>90</v>
      </c>
      <c r="AE1097" t="s">
        <v>90</v>
      </c>
      <c r="AF1097" t="s">
        <v>90</v>
      </c>
      <c r="AG1097" t="s">
        <v>81</v>
      </c>
      <c r="AH1097" t="s">
        <v>90</v>
      </c>
      <c r="AI1097" t="s">
        <v>84</v>
      </c>
      <c r="AJ1097" t="s">
        <v>80</v>
      </c>
      <c r="AK1097" t="s">
        <v>153</v>
      </c>
      <c r="AL1097" t="s">
        <v>107</v>
      </c>
      <c r="AM1097" t="s">
        <v>87</v>
      </c>
      <c r="AN1097" t="s">
        <v>87</v>
      </c>
      <c r="AO1097" t="s">
        <v>87</v>
      </c>
      <c r="AP1097" t="s">
        <v>87</v>
      </c>
      <c r="AQ1097" t="s">
        <v>87</v>
      </c>
      <c r="AR1097" t="s">
        <v>75</v>
      </c>
      <c r="AS1097" t="s">
        <v>76</v>
      </c>
      <c r="AT1097" t="s">
        <v>107</v>
      </c>
      <c r="AU1097">
        <v>0</v>
      </c>
      <c r="AV1097">
        <v>0</v>
      </c>
      <c r="AW1097">
        <v>0</v>
      </c>
      <c r="AX1097">
        <v>1</v>
      </c>
      <c r="AY1097">
        <v>0</v>
      </c>
      <c r="AZ1097" t="s">
        <v>579</v>
      </c>
    </row>
    <row r="1098" spans="1:52" x14ac:dyDescent="0.2">
      <c r="A1098">
        <v>0</v>
      </c>
      <c r="B1098">
        <v>1</v>
      </c>
      <c r="C1098">
        <v>0</v>
      </c>
      <c r="D1098">
        <v>0</v>
      </c>
      <c r="E1098">
        <v>0</v>
      </c>
      <c r="F1098">
        <v>1</v>
      </c>
      <c r="G1098">
        <v>0</v>
      </c>
      <c r="H1098">
        <v>1</v>
      </c>
      <c r="I1098">
        <v>0</v>
      </c>
      <c r="J1098" t="s">
        <v>88</v>
      </c>
      <c r="K1098" t="s">
        <v>89</v>
      </c>
      <c r="L1098">
        <v>0</v>
      </c>
      <c r="M1098">
        <v>0</v>
      </c>
      <c r="N1098">
        <v>0</v>
      </c>
      <c r="O1098">
        <v>0</v>
      </c>
      <c r="P1098">
        <v>0</v>
      </c>
      <c r="Q1098" t="s">
        <v>585</v>
      </c>
      <c r="AA1098" t="s">
        <v>83</v>
      </c>
      <c r="AB1098" t="s">
        <v>82</v>
      </c>
      <c r="AC1098" t="s">
        <v>81</v>
      </c>
      <c r="AD1098" t="s">
        <v>83</v>
      </c>
      <c r="AE1098" t="s">
        <v>83</v>
      </c>
      <c r="AF1098" t="s">
        <v>83</v>
      </c>
      <c r="AG1098" t="s">
        <v>83</v>
      </c>
      <c r="AH1098" t="s">
        <v>83</v>
      </c>
      <c r="AI1098" t="s">
        <v>88</v>
      </c>
      <c r="AJ1098" t="s">
        <v>89</v>
      </c>
      <c r="AK1098" t="s">
        <v>100</v>
      </c>
      <c r="AL1098" t="s">
        <v>73</v>
      </c>
      <c r="AM1098" t="s">
        <v>74</v>
      </c>
      <c r="AR1098" t="s">
        <v>75</v>
      </c>
      <c r="AS1098" t="s">
        <v>76</v>
      </c>
      <c r="AT1098" t="s">
        <v>73</v>
      </c>
      <c r="AU1098">
        <v>0</v>
      </c>
      <c r="AV1098">
        <v>0</v>
      </c>
      <c r="AW1098">
        <v>0</v>
      </c>
      <c r="AX1098">
        <v>1</v>
      </c>
      <c r="AY1098">
        <v>0</v>
      </c>
      <c r="AZ1098" t="s">
        <v>579</v>
      </c>
    </row>
    <row r="1099" spans="1:52" x14ac:dyDescent="0.2">
      <c r="A1099">
        <v>0</v>
      </c>
      <c r="B1099">
        <v>1</v>
      </c>
      <c r="C1099">
        <v>0</v>
      </c>
      <c r="D1099">
        <v>0</v>
      </c>
      <c r="E1099">
        <v>0</v>
      </c>
      <c r="F1099">
        <v>0</v>
      </c>
      <c r="G1099">
        <v>0</v>
      </c>
      <c r="H1099">
        <v>1</v>
      </c>
      <c r="I1099">
        <v>0</v>
      </c>
      <c r="J1099" t="s">
        <v>79</v>
      </c>
      <c r="K1099" t="s">
        <v>80</v>
      </c>
      <c r="L1099">
        <v>1</v>
      </c>
      <c r="M1099">
        <v>0</v>
      </c>
      <c r="N1099">
        <v>0</v>
      </c>
      <c r="O1099">
        <v>0</v>
      </c>
      <c r="P1099">
        <v>0</v>
      </c>
      <c r="Q1099" t="s">
        <v>584</v>
      </c>
      <c r="R1099">
        <v>0</v>
      </c>
      <c r="S1099">
        <v>0</v>
      </c>
      <c r="T1099">
        <v>0</v>
      </c>
      <c r="U1099">
        <v>0</v>
      </c>
      <c r="V1099">
        <v>0</v>
      </c>
      <c r="W1099">
        <v>0</v>
      </c>
      <c r="X1099">
        <v>0</v>
      </c>
      <c r="Y1099">
        <v>0</v>
      </c>
      <c r="Z1099">
        <v>1</v>
      </c>
      <c r="AL1099" t="s">
        <v>107</v>
      </c>
      <c r="AM1099" t="s">
        <v>74</v>
      </c>
      <c r="AR1099" t="s">
        <v>97</v>
      </c>
      <c r="AS1099" t="s">
        <v>76</v>
      </c>
      <c r="AT1099" t="s">
        <v>107</v>
      </c>
      <c r="AU1099">
        <v>0</v>
      </c>
      <c r="AV1099">
        <v>0</v>
      </c>
      <c r="AW1099">
        <v>0</v>
      </c>
      <c r="AX1099">
        <v>1</v>
      </c>
      <c r="AY1099">
        <v>0</v>
      </c>
      <c r="AZ1099" t="s">
        <v>579</v>
      </c>
    </row>
    <row r="1100" spans="1:52" x14ac:dyDescent="0.2">
      <c r="A1100">
        <v>1</v>
      </c>
      <c r="B1100">
        <v>0</v>
      </c>
      <c r="C1100">
        <v>0</v>
      </c>
      <c r="D1100">
        <v>0</v>
      </c>
      <c r="E1100">
        <v>1</v>
      </c>
      <c r="F1100">
        <v>0</v>
      </c>
      <c r="G1100">
        <v>0</v>
      </c>
      <c r="H1100">
        <v>0</v>
      </c>
      <c r="I1100">
        <v>0</v>
      </c>
      <c r="L1100">
        <v>1</v>
      </c>
      <c r="M1100">
        <v>0</v>
      </c>
      <c r="N1100">
        <v>0</v>
      </c>
      <c r="O1100">
        <v>0</v>
      </c>
      <c r="P1100">
        <v>0</v>
      </c>
      <c r="Q1100" t="s">
        <v>584</v>
      </c>
      <c r="R1100">
        <v>0</v>
      </c>
      <c r="S1100">
        <v>0</v>
      </c>
      <c r="T1100">
        <v>0</v>
      </c>
      <c r="U1100">
        <v>0</v>
      </c>
      <c r="V1100">
        <v>1</v>
      </c>
      <c r="W1100">
        <v>0</v>
      </c>
      <c r="X1100">
        <v>1</v>
      </c>
      <c r="Y1100">
        <v>1</v>
      </c>
      <c r="Z1100">
        <v>0</v>
      </c>
      <c r="AL1100" t="s">
        <v>107</v>
      </c>
      <c r="AM1100" t="s">
        <v>86</v>
      </c>
      <c r="AN1100" t="s">
        <v>86</v>
      </c>
      <c r="AO1100" t="s">
        <v>86</v>
      </c>
      <c r="AP1100" t="s">
        <v>86</v>
      </c>
      <c r="AQ1100" t="s">
        <v>86</v>
      </c>
      <c r="AR1100" t="s">
        <v>75</v>
      </c>
      <c r="AS1100" t="s">
        <v>92</v>
      </c>
      <c r="AT1100" t="s">
        <v>107</v>
      </c>
      <c r="AU1100">
        <v>0</v>
      </c>
      <c r="AV1100">
        <v>0</v>
      </c>
      <c r="AW1100">
        <v>0</v>
      </c>
      <c r="AX1100">
        <v>1</v>
      </c>
      <c r="AY1100">
        <v>0</v>
      </c>
      <c r="AZ1100" t="s">
        <v>579</v>
      </c>
    </row>
    <row r="1101" spans="1:52" x14ac:dyDescent="0.2">
      <c r="A1101">
        <v>1</v>
      </c>
      <c r="B1101">
        <v>0</v>
      </c>
      <c r="C1101">
        <v>0</v>
      </c>
      <c r="D1101">
        <v>0</v>
      </c>
      <c r="E1101">
        <v>0</v>
      </c>
      <c r="F1101">
        <v>1</v>
      </c>
      <c r="G1101">
        <v>0</v>
      </c>
      <c r="H1101">
        <v>1</v>
      </c>
      <c r="I1101">
        <v>0</v>
      </c>
      <c r="J1101" t="s">
        <v>88</v>
      </c>
      <c r="K1101" t="s">
        <v>89</v>
      </c>
      <c r="L1101">
        <v>0</v>
      </c>
      <c r="M1101">
        <v>1</v>
      </c>
      <c r="N1101">
        <v>0</v>
      </c>
      <c r="O1101">
        <v>0</v>
      </c>
      <c r="P1101">
        <v>0</v>
      </c>
      <c r="Q1101" t="s">
        <v>584</v>
      </c>
      <c r="AA1101" t="s">
        <v>90</v>
      </c>
      <c r="AB1101" t="s">
        <v>81</v>
      </c>
      <c r="AC1101" t="s">
        <v>81</v>
      </c>
      <c r="AD1101" t="s">
        <v>90</v>
      </c>
      <c r="AE1101" t="s">
        <v>90</v>
      </c>
      <c r="AF1101" t="s">
        <v>90</v>
      </c>
      <c r="AG1101" t="s">
        <v>90</v>
      </c>
      <c r="AH1101" t="s">
        <v>90</v>
      </c>
      <c r="AI1101" t="s">
        <v>88</v>
      </c>
      <c r="AJ1101" t="s">
        <v>89</v>
      </c>
      <c r="AK1101" t="s">
        <v>100</v>
      </c>
      <c r="AL1101" t="s">
        <v>107</v>
      </c>
      <c r="AM1101" t="s">
        <v>87</v>
      </c>
      <c r="AN1101" t="s">
        <v>74</v>
      </c>
      <c r="AO1101" t="s">
        <v>87</v>
      </c>
      <c r="AP1101" t="s">
        <v>87</v>
      </c>
      <c r="AQ1101" t="s">
        <v>74</v>
      </c>
      <c r="AR1101" t="s">
        <v>101</v>
      </c>
      <c r="AS1101" t="s">
        <v>92</v>
      </c>
      <c r="AT1101" t="s">
        <v>107</v>
      </c>
      <c r="AU1101">
        <v>0</v>
      </c>
      <c r="AV1101">
        <v>0</v>
      </c>
      <c r="AW1101">
        <v>0</v>
      </c>
      <c r="AX1101">
        <v>1</v>
      </c>
      <c r="AY1101">
        <v>0</v>
      </c>
      <c r="AZ1101" t="s">
        <v>579</v>
      </c>
    </row>
    <row r="1102" spans="1:52" x14ac:dyDescent="0.2">
      <c r="A1102">
        <v>1</v>
      </c>
      <c r="B1102">
        <v>0</v>
      </c>
      <c r="C1102">
        <v>0</v>
      </c>
      <c r="D1102">
        <v>0</v>
      </c>
      <c r="E1102">
        <v>0</v>
      </c>
      <c r="F1102">
        <v>1</v>
      </c>
      <c r="G1102">
        <v>0</v>
      </c>
      <c r="H1102">
        <v>0</v>
      </c>
      <c r="I1102">
        <v>0</v>
      </c>
      <c r="J1102" t="s">
        <v>135</v>
      </c>
      <c r="K1102" t="s">
        <v>80</v>
      </c>
      <c r="L1102">
        <v>0</v>
      </c>
      <c r="M1102">
        <v>0</v>
      </c>
      <c r="N1102">
        <v>1</v>
      </c>
      <c r="O1102">
        <v>0</v>
      </c>
      <c r="P1102">
        <v>0</v>
      </c>
      <c r="Q1102" t="s">
        <v>584</v>
      </c>
      <c r="AA1102" t="s">
        <v>83</v>
      </c>
      <c r="AB1102" t="s">
        <v>81</v>
      </c>
      <c r="AC1102" t="s">
        <v>83</v>
      </c>
      <c r="AD1102" t="s">
        <v>83</v>
      </c>
      <c r="AE1102" t="s">
        <v>82</v>
      </c>
      <c r="AF1102" t="s">
        <v>81</v>
      </c>
      <c r="AG1102" t="s">
        <v>83</v>
      </c>
      <c r="AH1102" t="s">
        <v>82</v>
      </c>
      <c r="AI1102" t="s">
        <v>88</v>
      </c>
      <c r="AJ1102" t="s">
        <v>80</v>
      </c>
      <c r="AK1102" t="s">
        <v>85</v>
      </c>
      <c r="AL1102" t="s">
        <v>73</v>
      </c>
      <c r="AM1102" t="s">
        <v>87</v>
      </c>
      <c r="AN1102" t="s">
        <v>86</v>
      </c>
      <c r="AO1102" t="s">
        <v>87</v>
      </c>
      <c r="AP1102" t="s">
        <v>74</v>
      </c>
      <c r="AQ1102" t="s">
        <v>86</v>
      </c>
      <c r="AR1102" t="s">
        <v>75</v>
      </c>
      <c r="AS1102" t="s">
        <v>76</v>
      </c>
      <c r="AT1102" t="s">
        <v>73</v>
      </c>
      <c r="AU1102">
        <v>0</v>
      </c>
      <c r="AV1102">
        <v>0</v>
      </c>
      <c r="AW1102">
        <v>0</v>
      </c>
      <c r="AX1102">
        <v>1</v>
      </c>
      <c r="AY1102">
        <v>0</v>
      </c>
      <c r="AZ1102" t="s">
        <v>578</v>
      </c>
    </row>
    <row r="1103" spans="1:52" x14ac:dyDescent="0.2">
      <c r="A1103">
        <v>0</v>
      </c>
      <c r="B1103">
        <v>1</v>
      </c>
      <c r="C1103">
        <v>0</v>
      </c>
      <c r="D1103">
        <v>0</v>
      </c>
      <c r="E1103">
        <v>1</v>
      </c>
      <c r="F1103">
        <v>0</v>
      </c>
      <c r="G1103">
        <v>0</v>
      </c>
      <c r="H1103">
        <v>0</v>
      </c>
      <c r="I1103">
        <v>0</v>
      </c>
      <c r="L1103">
        <v>0</v>
      </c>
      <c r="M1103">
        <v>0</v>
      </c>
      <c r="N1103">
        <v>0</v>
      </c>
      <c r="O1103">
        <v>1</v>
      </c>
      <c r="P1103">
        <v>0</v>
      </c>
      <c r="Q1103" t="s">
        <v>584</v>
      </c>
      <c r="AA1103" t="s">
        <v>83</v>
      </c>
      <c r="AB1103" t="s">
        <v>82</v>
      </c>
      <c r="AC1103" t="s">
        <v>82</v>
      </c>
      <c r="AD1103" t="s">
        <v>82</v>
      </c>
      <c r="AE1103" t="s">
        <v>83</v>
      </c>
      <c r="AF1103" t="s">
        <v>81</v>
      </c>
      <c r="AG1103" t="s">
        <v>83</v>
      </c>
      <c r="AH1103" t="s">
        <v>83</v>
      </c>
      <c r="AI1103" t="s">
        <v>88</v>
      </c>
      <c r="AJ1103" t="s">
        <v>89</v>
      </c>
      <c r="AK1103" t="s">
        <v>100</v>
      </c>
      <c r="AL1103" t="s">
        <v>73</v>
      </c>
      <c r="AM1103" t="s">
        <v>86</v>
      </c>
      <c r="AN1103" t="s">
        <v>86</v>
      </c>
      <c r="AO1103" t="s">
        <v>87</v>
      </c>
      <c r="AP1103" t="s">
        <v>87</v>
      </c>
      <c r="AQ1103" t="s">
        <v>86</v>
      </c>
      <c r="AR1103" t="s">
        <v>75</v>
      </c>
      <c r="AS1103" t="s">
        <v>76</v>
      </c>
      <c r="AT1103" t="s">
        <v>73</v>
      </c>
      <c r="AU1103">
        <v>0</v>
      </c>
      <c r="AV1103">
        <v>0</v>
      </c>
      <c r="AW1103">
        <v>0</v>
      </c>
      <c r="AX1103">
        <v>1</v>
      </c>
      <c r="AY1103">
        <v>0</v>
      </c>
      <c r="AZ1103" t="s">
        <v>579</v>
      </c>
    </row>
    <row r="1104" spans="1:52" x14ac:dyDescent="0.2">
      <c r="A1104">
        <v>1</v>
      </c>
      <c r="B1104">
        <v>0</v>
      </c>
      <c r="C1104">
        <v>0</v>
      </c>
      <c r="D1104">
        <v>0</v>
      </c>
      <c r="E1104">
        <v>0</v>
      </c>
      <c r="F1104">
        <v>1</v>
      </c>
      <c r="G1104">
        <v>0</v>
      </c>
      <c r="H1104">
        <v>0</v>
      </c>
      <c r="I1104">
        <v>0</v>
      </c>
      <c r="J1104" t="s">
        <v>88</v>
      </c>
      <c r="K1104" t="s">
        <v>89</v>
      </c>
      <c r="L1104">
        <v>0</v>
      </c>
      <c r="M1104">
        <v>1</v>
      </c>
      <c r="N1104">
        <v>0</v>
      </c>
      <c r="O1104">
        <v>0</v>
      </c>
      <c r="P1104">
        <v>0</v>
      </c>
      <c r="Q1104" t="s">
        <v>584</v>
      </c>
      <c r="AA1104" t="s">
        <v>83</v>
      </c>
      <c r="AB1104" t="s">
        <v>82</v>
      </c>
      <c r="AC1104" t="s">
        <v>83</v>
      </c>
      <c r="AD1104" t="s">
        <v>82</v>
      </c>
      <c r="AE1104" t="s">
        <v>83</v>
      </c>
      <c r="AF1104" t="s">
        <v>83</v>
      </c>
      <c r="AG1104" t="s">
        <v>90</v>
      </c>
      <c r="AH1104" t="s">
        <v>81</v>
      </c>
      <c r="AI1104" t="s">
        <v>88</v>
      </c>
      <c r="AJ1104" t="s">
        <v>89</v>
      </c>
      <c r="AK1104" t="s">
        <v>85</v>
      </c>
      <c r="AL1104" t="s">
        <v>96</v>
      </c>
      <c r="AM1104" t="s">
        <v>87</v>
      </c>
      <c r="AN1104" t="s">
        <v>87</v>
      </c>
      <c r="AO1104" t="s">
        <v>87</v>
      </c>
      <c r="AP1104" t="s">
        <v>87</v>
      </c>
      <c r="AQ1104" t="s">
        <v>87</v>
      </c>
      <c r="AR1104" t="s">
        <v>101</v>
      </c>
      <c r="AS1104" t="s">
        <v>76</v>
      </c>
      <c r="AT1104" t="s">
        <v>96</v>
      </c>
      <c r="AU1104">
        <v>0</v>
      </c>
      <c r="AV1104">
        <v>0</v>
      </c>
      <c r="AW1104">
        <v>0</v>
      </c>
      <c r="AX1104">
        <v>1</v>
      </c>
      <c r="AY1104">
        <v>0</v>
      </c>
      <c r="AZ1104" t="s">
        <v>579</v>
      </c>
    </row>
    <row r="1105" spans="1:52" x14ac:dyDescent="0.2">
      <c r="A1105">
        <v>1</v>
      </c>
      <c r="B1105">
        <v>0</v>
      </c>
      <c r="C1105">
        <v>0</v>
      </c>
      <c r="D1105">
        <v>0</v>
      </c>
      <c r="E1105">
        <v>0</v>
      </c>
      <c r="F1105">
        <v>0</v>
      </c>
      <c r="G1105">
        <v>1</v>
      </c>
      <c r="H1105">
        <v>0</v>
      </c>
      <c r="I1105">
        <v>1</v>
      </c>
      <c r="J1105" t="s">
        <v>88</v>
      </c>
      <c r="K1105" t="s">
        <v>89</v>
      </c>
      <c r="L1105">
        <v>0</v>
      </c>
      <c r="M1105">
        <v>0</v>
      </c>
      <c r="N1105">
        <v>1</v>
      </c>
      <c r="O1105">
        <v>0</v>
      </c>
      <c r="P1105">
        <v>0</v>
      </c>
      <c r="Q1105" t="s">
        <v>584</v>
      </c>
      <c r="AA1105" t="s">
        <v>83</v>
      </c>
      <c r="AB1105" t="s">
        <v>83</v>
      </c>
      <c r="AC1105" t="s">
        <v>83</v>
      </c>
      <c r="AD1105" t="s">
        <v>83</v>
      </c>
      <c r="AE1105" t="s">
        <v>82</v>
      </c>
      <c r="AF1105" t="s">
        <v>83</v>
      </c>
      <c r="AG1105" t="s">
        <v>81</v>
      </c>
      <c r="AH1105" t="s">
        <v>83</v>
      </c>
      <c r="AI1105" t="s">
        <v>88</v>
      </c>
      <c r="AJ1105" t="s">
        <v>89</v>
      </c>
      <c r="AK1105" t="s">
        <v>85</v>
      </c>
      <c r="AL1105" t="s">
        <v>107</v>
      </c>
      <c r="AM1105" t="s">
        <v>74</v>
      </c>
      <c r="AR1105" t="s">
        <v>75</v>
      </c>
      <c r="AS1105" t="s">
        <v>92</v>
      </c>
      <c r="AT1105" t="s">
        <v>107</v>
      </c>
      <c r="AU1105">
        <v>0</v>
      </c>
      <c r="AV1105">
        <v>0</v>
      </c>
      <c r="AW1105">
        <v>0</v>
      </c>
      <c r="AX1105">
        <v>1</v>
      </c>
      <c r="AY1105">
        <v>0</v>
      </c>
      <c r="AZ1105" t="s">
        <v>579</v>
      </c>
    </row>
    <row r="1106" spans="1:52" x14ac:dyDescent="0.2">
      <c r="A1106">
        <v>1</v>
      </c>
      <c r="B1106">
        <v>0</v>
      </c>
      <c r="C1106">
        <v>0</v>
      </c>
      <c r="D1106">
        <v>0</v>
      </c>
      <c r="E1106">
        <v>1</v>
      </c>
      <c r="F1106">
        <v>0</v>
      </c>
      <c r="G1106">
        <v>0</v>
      </c>
      <c r="H1106">
        <v>0</v>
      </c>
      <c r="I1106">
        <v>0</v>
      </c>
      <c r="L1106">
        <v>0</v>
      </c>
      <c r="M1106">
        <v>1</v>
      </c>
      <c r="N1106">
        <v>0</v>
      </c>
      <c r="O1106">
        <v>0</v>
      </c>
      <c r="P1106">
        <v>0</v>
      </c>
      <c r="Q1106" t="s">
        <v>584</v>
      </c>
      <c r="AA1106" t="s">
        <v>83</v>
      </c>
      <c r="AB1106" t="s">
        <v>82</v>
      </c>
      <c r="AC1106" t="s">
        <v>81</v>
      </c>
      <c r="AD1106" t="s">
        <v>81</v>
      </c>
      <c r="AE1106" t="s">
        <v>83</v>
      </c>
      <c r="AF1106" t="s">
        <v>83</v>
      </c>
      <c r="AG1106" t="s">
        <v>83</v>
      </c>
      <c r="AH1106" t="s">
        <v>83</v>
      </c>
      <c r="AI1106" t="s">
        <v>88</v>
      </c>
      <c r="AJ1106" t="s">
        <v>89</v>
      </c>
      <c r="AK1106" t="s">
        <v>100</v>
      </c>
      <c r="AL1106" t="s">
        <v>107</v>
      </c>
      <c r="AM1106" t="s">
        <v>86</v>
      </c>
      <c r="AN1106" t="s">
        <v>86</v>
      </c>
      <c r="AO1106" t="s">
        <v>86</v>
      </c>
      <c r="AP1106" t="s">
        <v>86</v>
      </c>
      <c r="AQ1106" t="s">
        <v>74</v>
      </c>
      <c r="AR1106" t="s">
        <v>159</v>
      </c>
      <c r="AS1106" t="s">
        <v>76</v>
      </c>
      <c r="AT1106" t="s">
        <v>107</v>
      </c>
      <c r="AU1106">
        <v>0</v>
      </c>
      <c r="AV1106">
        <v>0</v>
      </c>
      <c r="AW1106">
        <v>0</v>
      </c>
      <c r="AX1106">
        <v>1</v>
      </c>
      <c r="AY1106">
        <v>0</v>
      </c>
      <c r="AZ1106" t="s">
        <v>578</v>
      </c>
    </row>
    <row r="1107" spans="1:52" x14ac:dyDescent="0.2">
      <c r="A1107">
        <v>1</v>
      </c>
      <c r="B1107">
        <v>0</v>
      </c>
      <c r="C1107">
        <v>0</v>
      </c>
      <c r="D1107">
        <v>0</v>
      </c>
      <c r="E1107">
        <v>0</v>
      </c>
      <c r="F1107">
        <v>1</v>
      </c>
      <c r="G1107">
        <v>0</v>
      </c>
      <c r="H1107">
        <v>0</v>
      </c>
      <c r="I1107">
        <v>0</v>
      </c>
      <c r="J1107" t="s">
        <v>88</v>
      </c>
      <c r="K1107" t="s">
        <v>80</v>
      </c>
      <c r="L1107">
        <v>1</v>
      </c>
      <c r="M1107">
        <v>0</v>
      </c>
      <c r="N1107">
        <v>0</v>
      </c>
      <c r="O1107">
        <v>0</v>
      </c>
      <c r="P1107">
        <v>0</v>
      </c>
      <c r="Q1107" t="s">
        <v>584</v>
      </c>
      <c r="R1107">
        <v>0</v>
      </c>
      <c r="S1107">
        <v>0</v>
      </c>
      <c r="T1107">
        <v>1</v>
      </c>
      <c r="U1107">
        <v>0</v>
      </c>
      <c r="V1107">
        <v>0</v>
      </c>
      <c r="W1107">
        <v>0</v>
      </c>
      <c r="X1107">
        <v>0</v>
      </c>
      <c r="Y1107">
        <v>0</v>
      </c>
      <c r="Z1107">
        <v>0</v>
      </c>
      <c r="AL1107" t="s">
        <v>107</v>
      </c>
      <c r="AM1107" t="s">
        <v>87</v>
      </c>
      <c r="AN1107" t="s">
        <v>74</v>
      </c>
      <c r="AO1107" t="s">
        <v>87</v>
      </c>
      <c r="AP1107" t="s">
        <v>74</v>
      </c>
      <c r="AQ1107" t="s">
        <v>87</v>
      </c>
      <c r="AR1107" t="s">
        <v>159</v>
      </c>
      <c r="AS1107" t="s">
        <v>76</v>
      </c>
      <c r="AT1107" t="s">
        <v>107</v>
      </c>
      <c r="AU1107">
        <v>0</v>
      </c>
      <c r="AV1107">
        <v>0</v>
      </c>
      <c r="AW1107">
        <v>0</v>
      </c>
      <c r="AX1107">
        <v>0</v>
      </c>
      <c r="AY1107">
        <v>1</v>
      </c>
      <c r="AZ1107" t="s">
        <v>579</v>
      </c>
    </row>
    <row r="1108" spans="1:52" x14ac:dyDescent="0.2">
      <c r="A1108">
        <v>1</v>
      </c>
      <c r="B1108">
        <v>0</v>
      </c>
      <c r="C1108">
        <v>0</v>
      </c>
      <c r="D1108">
        <v>0</v>
      </c>
      <c r="E1108">
        <v>0</v>
      </c>
      <c r="F1108">
        <v>1</v>
      </c>
      <c r="G1108">
        <v>0</v>
      </c>
      <c r="H1108">
        <v>0</v>
      </c>
      <c r="I1108">
        <v>0</v>
      </c>
      <c r="J1108" t="s">
        <v>88</v>
      </c>
      <c r="K1108" t="s">
        <v>89</v>
      </c>
      <c r="L1108">
        <v>0</v>
      </c>
      <c r="M1108">
        <v>0</v>
      </c>
      <c r="N1108">
        <v>1</v>
      </c>
      <c r="O1108">
        <v>0</v>
      </c>
      <c r="P1108">
        <v>0</v>
      </c>
      <c r="Q1108" t="s">
        <v>584</v>
      </c>
      <c r="AA1108" t="s">
        <v>81</v>
      </c>
      <c r="AB1108" t="s">
        <v>82</v>
      </c>
      <c r="AC1108" t="s">
        <v>83</v>
      </c>
      <c r="AD1108" t="s">
        <v>83</v>
      </c>
      <c r="AE1108" t="s">
        <v>82</v>
      </c>
      <c r="AF1108" t="s">
        <v>81</v>
      </c>
      <c r="AG1108" t="s">
        <v>81</v>
      </c>
      <c r="AH1108" t="s">
        <v>83</v>
      </c>
      <c r="AI1108" t="s">
        <v>88</v>
      </c>
      <c r="AJ1108" t="s">
        <v>89</v>
      </c>
      <c r="AK1108" t="s">
        <v>85</v>
      </c>
      <c r="AL1108" t="s">
        <v>107</v>
      </c>
      <c r="AM1108" t="s">
        <v>87</v>
      </c>
      <c r="AN1108" t="s">
        <v>86</v>
      </c>
      <c r="AO1108" t="s">
        <v>87</v>
      </c>
      <c r="AP1108" t="s">
        <v>86</v>
      </c>
      <c r="AQ1108" t="s">
        <v>87</v>
      </c>
      <c r="AR1108" t="s">
        <v>108</v>
      </c>
      <c r="AS1108" t="s">
        <v>76</v>
      </c>
      <c r="AT1108" t="s">
        <v>107</v>
      </c>
      <c r="AU1108">
        <v>0</v>
      </c>
      <c r="AV1108">
        <v>0</v>
      </c>
      <c r="AW1108">
        <v>0</v>
      </c>
      <c r="AX1108">
        <v>1</v>
      </c>
      <c r="AY1108">
        <v>0</v>
      </c>
      <c r="AZ1108" t="s">
        <v>579</v>
      </c>
    </row>
    <row r="1109" spans="1:52" x14ac:dyDescent="0.2">
      <c r="A1109">
        <v>1</v>
      </c>
      <c r="B1109">
        <v>0</v>
      </c>
      <c r="C1109">
        <v>0</v>
      </c>
      <c r="D1109">
        <v>0</v>
      </c>
      <c r="E1109">
        <v>0</v>
      </c>
      <c r="F1109">
        <v>1</v>
      </c>
      <c r="G1109">
        <v>0</v>
      </c>
      <c r="H1109">
        <v>0</v>
      </c>
      <c r="I1109">
        <v>0</v>
      </c>
      <c r="J1109" t="s">
        <v>135</v>
      </c>
      <c r="K1109" t="s">
        <v>80</v>
      </c>
      <c r="L1109">
        <v>0</v>
      </c>
      <c r="M1109">
        <v>0</v>
      </c>
      <c r="N1109">
        <v>1</v>
      </c>
      <c r="O1109">
        <v>0</v>
      </c>
      <c r="P1109">
        <v>0</v>
      </c>
      <c r="Q1109" t="s">
        <v>584</v>
      </c>
      <c r="AA1109" t="s">
        <v>83</v>
      </c>
      <c r="AB1109" t="s">
        <v>82</v>
      </c>
      <c r="AC1109" t="s">
        <v>83</v>
      </c>
      <c r="AD1109" t="s">
        <v>82</v>
      </c>
      <c r="AE1109" t="s">
        <v>82</v>
      </c>
      <c r="AF1109" t="s">
        <v>81</v>
      </c>
      <c r="AG1109" t="s">
        <v>81</v>
      </c>
      <c r="AH1109" t="s">
        <v>83</v>
      </c>
      <c r="AI1109" t="s">
        <v>88</v>
      </c>
      <c r="AJ1109" t="s">
        <v>89</v>
      </c>
      <c r="AK1109" t="s">
        <v>85</v>
      </c>
      <c r="AL1109" t="s">
        <v>96</v>
      </c>
      <c r="AM1109" t="s">
        <v>87</v>
      </c>
      <c r="AN1109" t="s">
        <v>87</v>
      </c>
      <c r="AO1109" t="s">
        <v>87</v>
      </c>
      <c r="AP1109" t="s">
        <v>87</v>
      </c>
      <c r="AQ1109" t="s">
        <v>87</v>
      </c>
      <c r="AR1109" t="s">
        <v>75</v>
      </c>
      <c r="AS1109" t="s">
        <v>76</v>
      </c>
      <c r="AT1109" t="s">
        <v>96</v>
      </c>
      <c r="AU1109">
        <v>0</v>
      </c>
      <c r="AV1109">
        <v>0</v>
      </c>
      <c r="AW1109">
        <v>0</v>
      </c>
      <c r="AX1109">
        <v>1</v>
      </c>
      <c r="AY1109">
        <v>0</v>
      </c>
      <c r="AZ1109" t="s">
        <v>579</v>
      </c>
    </row>
    <row r="1110" spans="1:52" x14ac:dyDescent="0.2">
      <c r="A1110">
        <v>1</v>
      </c>
      <c r="B1110">
        <v>0</v>
      </c>
      <c r="C1110">
        <v>0</v>
      </c>
      <c r="D1110">
        <v>0</v>
      </c>
      <c r="E1110">
        <v>0</v>
      </c>
      <c r="F1110">
        <v>1</v>
      </c>
      <c r="G1110">
        <v>0</v>
      </c>
      <c r="H1110">
        <v>0</v>
      </c>
      <c r="I1110">
        <v>0</v>
      </c>
      <c r="J1110" t="s">
        <v>135</v>
      </c>
      <c r="K1110" t="s">
        <v>80</v>
      </c>
      <c r="L1110">
        <v>0</v>
      </c>
      <c r="M1110">
        <v>0</v>
      </c>
      <c r="N1110">
        <v>1</v>
      </c>
      <c r="O1110">
        <v>0</v>
      </c>
      <c r="P1110">
        <v>0</v>
      </c>
      <c r="Q1110" t="s">
        <v>585</v>
      </c>
      <c r="AA1110" t="s">
        <v>83</v>
      </c>
      <c r="AB1110" t="s">
        <v>82</v>
      </c>
      <c r="AC1110" t="s">
        <v>83</v>
      </c>
      <c r="AD1110" t="s">
        <v>81</v>
      </c>
      <c r="AE1110" t="s">
        <v>83</v>
      </c>
      <c r="AF1110" t="s">
        <v>83</v>
      </c>
      <c r="AG1110" t="s">
        <v>83</v>
      </c>
      <c r="AH1110" t="s">
        <v>83</v>
      </c>
      <c r="AI1110" t="s">
        <v>84</v>
      </c>
      <c r="AJ1110" t="s">
        <v>80</v>
      </c>
      <c r="AK1110" t="s">
        <v>85</v>
      </c>
      <c r="AL1110" t="s">
        <v>107</v>
      </c>
      <c r="AM1110" t="s">
        <v>86</v>
      </c>
      <c r="AN1110" t="s">
        <v>87</v>
      </c>
      <c r="AO1110" t="s">
        <v>87</v>
      </c>
      <c r="AP1110" t="s">
        <v>86</v>
      </c>
      <c r="AQ1110" t="s">
        <v>86</v>
      </c>
      <c r="AR1110" t="s">
        <v>159</v>
      </c>
      <c r="AS1110" t="s">
        <v>76</v>
      </c>
      <c r="AT1110" t="s">
        <v>107</v>
      </c>
      <c r="AU1110">
        <v>0</v>
      </c>
      <c r="AV1110">
        <v>0</v>
      </c>
      <c r="AW1110">
        <v>0</v>
      </c>
      <c r="AX1110">
        <v>1</v>
      </c>
      <c r="AY1110">
        <v>0</v>
      </c>
      <c r="AZ1110" t="s">
        <v>578</v>
      </c>
    </row>
    <row r="1111" spans="1:52" x14ac:dyDescent="0.2">
      <c r="A1111">
        <v>1</v>
      </c>
      <c r="B1111">
        <v>0</v>
      </c>
      <c r="C1111">
        <v>0</v>
      </c>
      <c r="D1111">
        <v>0</v>
      </c>
      <c r="E1111">
        <v>0</v>
      </c>
      <c r="F1111">
        <v>1</v>
      </c>
      <c r="G1111">
        <v>1</v>
      </c>
      <c r="H1111">
        <v>0</v>
      </c>
      <c r="I1111">
        <v>0</v>
      </c>
      <c r="J1111" t="s">
        <v>79</v>
      </c>
      <c r="K1111" t="s">
        <v>80</v>
      </c>
      <c r="L1111">
        <v>0</v>
      </c>
      <c r="M1111">
        <v>0</v>
      </c>
      <c r="N1111">
        <v>1</v>
      </c>
      <c r="O1111">
        <v>0</v>
      </c>
      <c r="P1111">
        <v>0</v>
      </c>
      <c r="Q1111" t="s">
        <v>584</v>
      </c>
      <c r="AA1111" t="s">
        <v>82</v>
      </c>
      <c r="AB1111" t="s">
        <v>81</v>
      </c>
      <c r="AC1111" t="s">
        <v>83</v>
      </c>
      <c r="AD1111" t="s">
        <v>82</v>
      </c>
      <c r="AE1111" t="s">
        <v>82</v>
      </c>
      <c r="AF1111" t="s">
        <v>82</v>
      </c>
      <c r="AG1111" t="s">
        <v>81</v>
      </c>
      <c r="AH1111" t="s">
        <v>83</v>
      </c>
      <c r="AI1111" t="s">
        <v>88</v>
      </c>
      <c r="AJ1111" t="s">
        <v>89</v>
      </c>
      <c r="AK1111" t="s">
        <v>85</v>
      </c>
      <c r="AL1111" t="s">
        <v>73</v>
      </c>
      <c r="AM1111" t="s">
        <v>86</v>
      </c>
      <c r="AN1111" t="s">
        <v>87</v>
      </c>
      <c r="AO1111" t="s">
        <v>86</v>
      </c>
      <c r="AP1111" t="s">
        <v>86</v>
      </c>
      <c r="AQ1111" t="s">
        <v>87</v>
      </c>
      <c r="AR1111" t="s">
        <v>75</v>
      </c>
      <c r="AS1111" t="s">
        <v>76</v>
      </c>
      <c r="AT1111" t="s">
        <v>73</v>
      </c>
      <c r="AU1111">
        <v>0</v>
      </c>
      <c r="AV1111">
        <v>0</v>
      </c>
      <c r="AW1111">
        <v>0</v>
      </c>
      <c r="AX1111">
        <v>1</v>
      </c>
      <c r="AY1111">
        <v>0</v>
      </c>
      <c r="AZ1111" t="s">
        <v>579</v>
      </c>
    </row>
    <row r="1112" spans="1:52" x14ac:dyDescent="0.2">
      <c r="A1112">
        <v>1</v>
      </c>
      <c r="B1112">
        <v>0</v>
      </c>
      <c r="C1112">
        <v>0</v>
      </c>
      <c r="D1112">
        <v>0</v>
      </c>
      <c r="E1112">
        <v>0</v>
      </c>
      <c r="F1112">
        <v>1</v>
      </c>
      <c r="G1112">
        <v>1</v>
      </c>
      <c r="H1112">
        <v>0</v>
      </c>
      <c r="I1112">
        <v>0</v>
      </c>
      <c r="J1112" t="s">
        <v>79</v>
      </c>
      <c r="K1112" t="s">
        <v>80</v>
      </c>
      <c r="L1112">
        <v>0</v>
      </c>
      <c r="M1112">
        <v>0</v>
      </c>
      <c r="N1112">
        <v>1</v>
      </c>
      <c r="O1112">
        <v>0</v>
      </c>
      <c r="P1112">
        <v>0</v>
      </c>
      <c r="Q1112" t="s">
        <v>584</v>
      </c>
      <c r="AA1112" t="s">
        <v>82</v>
      </c>
      <c r="AB1112" t="s">
        <v>81</v>
      </c>
      <c r="AC1112" t="s">
        <v>81</v>
      </c>
      <c r="AD1112" t="s">
        <v>82</v>
      </c>
      <c r="AE1112" t="s">
        <v>82</v>
      </c>
      <c r="AF1112" t="s">
        <v>82</v>
      </c>
      <c r="AG1112" t="s">
        <v>81</v>
      </c>
      <c r="AH1112" t="s">
        <v>81</v>
      </c>
      <c r="AI1112" t="s">
        <v>88</v>
      </c>
      <c r="AJ1112" t="s">
        <v>89</v>
      </c>
      <c r="AK1112" t="s">
        <v>100</v>
      </c>
      <c r="AL1112" t="s">
        <v>120</v>
      </c>
      <c r="AM1112" t="s">
        <v>74</v>
      </c>
      <c r="AR1112" t="s">
        <v>75</v>
      </c>
      <c r="AS1112" t="s">
        <v>76</v>
      </c>
      <c r="AT1112" t="s">
        <v>120</v>
      </c>
      <c r="AU1112">
        <v>1</v>
      </c>
      <c r="AV1112">
        <v>0</v>
      </c>
      <c r="AW1112">
        <v>0</v>
      </c>
      <c r="AX1112">
        <v>0</v>
      </c>
      <c r="AY1112">
        <v>0</v>
      </c>
      <c r="AZ1112" t="s">
        <v>578</v>
      </c>
    </row>
    <row r="1113" spans="1:52" x14ac:dyDescent="0.2">
      <c r="A1113">
        <v>1</v>
      </c>
      <c r="B1113">
        <v>0</v>
      </c>
      <c r="C1113">
        <v>0</v>
      </c>
      <c r="D1113">
        <v>0</v>
      </c>
      <c r="E1113">
        <v>0</v>
      </c>
      <c r="F1113">
        <v>1</v>
      </c>
      <c r="G1113">
        <v>1</v>
      </c>
      <c r="H1113">
        <v>0</v>
      </c>
      <c r="I1113">
        <v>0</v>
      </c>
      <c r="J1113" t="s">
        <v>88</v>
      </c>
      <c r="K1113" t="s">
        <v>89</v>
      </c>
      <c r="L1113">
        <v>0</v>
      </c>
      <c r="M1113">
        <v>0</v>
      </c>
      <c r="N1113">
        <v>1</v>
      </c>
      <c r="O1113">
        <v>0</v>
      </c>
      <c r="P1113">
        <v>0</v>
      </c>
      <c r="Q1113" t="s">
        <v>584</v>
      </c>
      <c r="AA1113" t="s">
        <v>81</v>
      </c>
      <c r="AB1113" t="s">
        <v>82</v>
      </c>
      <c r="AC1113" t="s">
        <v>83</v>
      </c>
      <c r="AD1113" t="s">
        <v>82</v>
      </c>
      <c r="AE1113" t="s">
        <v>83</v>
      </c>
      <c r="AF1113" t="s">
        <v>83</v>
      </c>
      <c r="AG1113" t="s">
        <v>83</v>
      </c>
      <c r="AH1113" t="s">
        <v>83</v>
      </c>
      <c r="AI1113" t="s">
        <v>88</v>
      </c>
      <c r="AJ1113" t="s">
        <v>89</v>
      </c>
      <c r="AK1113" t="s">
        <v>85</v>
      </c>
      <c r="AL1113" t="s">
        <v>107</v>
      </c>
      <c r="AM1113" t="s">
        <v>87</v>
      </c>
      <c r="AN1113" t="s">
        <v>87</v>
      </c>
      <c r="AO1113" t="s">
        <v>87</v>
      </c>
      <c r="AP1113" t="s">
        <v>87</v>
      </c>
      <c r="AQ1113" t="s">
        <v>87</v>
      </c>
      <c r="AR1113" t="s">
        <v>75</v>
      </c>
      <c r="AS1113" t="s">
        <v>76</v>
      </c>
      <c r="AT1113" t="s">
        <v>107</v>
      </c>
      <c r="AU1113">
        <v>0</v>
      </c>
      <c r="AV1113">
        <v>0</v>
      </c>
      <c r="AW1113">
        <v>0</v>
      </c>
      <c r="AX1113">
        <v>1</v>
      </c>
      <c r="AY1113">
        <v>0</v>
      </c>
      <c r="AZ1113" t="s">
        <v>578</v>
      </c>
    </row>
    <row r="1114" spans="1:52" x14ac:dyDescent="0.2">
      <c r="A1114">
        <v>1</v>
      </c>
      <c r="B1114">
        <v>0</v>
      </c>
      <c r="C1114">
        <v>0</v>
      </c>
      <c r="D1114">
        <v>0</v>
      </c>
      <c r="E1114">
        <v>0</v>
      </c>
      <c r="F1114">
        <v>1</v>
      </c>
      <c r="G1114">
        <v>0</v>
      </c>
      <c r="H1114">
        <v>0</v>
      </c>
      <c r="I1114">
        <v>1</v>
      </c>
      <c r="J1114" t="s">
        <v>79</v>
      </c>
      <c r="K1114" t="s">
        <v>80</v>
      </c>
      <c r="L1114">
        <v>0</v>
      </c>
      <c r="M1114">
        <v>0</v>
      </c>
      <c r="N1114">
        <v>1</v>
      </c>
      <c r="O1114">
        <v>0</v>
      </c>
      <c r="P1114">
        <v>0</v>
      </c>
      <c r="Q1114" t="s">
        <v>584</v>
      </c>
      <c r="AA1114" t="s">
        <v>83</v>
      </c>
      <c r="AB1114" t="s">
        <v>81</v>
      </c>
      <c r="AC1114" t="s">
        <v>83</v>
      </c>
      <c r="AD1114" t="s">
        <v>81</v>
      </c>
      <c r="AE1114" t="s">
        <v>82</v>
      </c>
      <c r="AF1114" t="s">
        <v>83</v>
      </c>
      <c r="AG1114" t="s">
        <v>83</v>
      </c>
      <c r="AH1114" t="s">
        <v>83</v>
      </c>
      <c r="AI1114" t="s">
        <v>84</v>
      </c>
      <c r="AJ1114" t="s">
        <v>80</v>
      </c>
      <c r="AK1114" t="s">
        <v>85</v>
      </c>
      <c r="AL1114" t="s">
        <v>73</v>
      </c>
      <c r="AM1114" t="s">
        <v>87</v>
      </c>
      <c r="AN1114" t="s">
        <v>87</v>
      </c>
      <c r="AO1114" t="s">
        <v>87</v>
      </c>
      <c r="AP1114" t="s">
        <v>87</v>
      </c>
      <c r="AQ1114" t="s">
        <v>87</v>
      </c>
      <c r="AR1114" t="s">
        <v>75</v>
      </c>
      <c r="AS1114" t="s">
        <v>76</v>
      </c>
      <c r="AT1114" t="s">
        <v>73</v>
      </c>
      <c r="AU1114">
        <v>0</v>
      </c>
      <c r="AV1114">
        <v>0</v>
      </c>
      <c r="AW1114">
        <v>0</v>
      </c>
      <c r="AX1114">
        <v>1</v>
      </c>
      <c r="AY1114">
        <v>0</v>
      </c>
      <c r="AZ1114" t="s">
        <v>579</v>
      </c>
    </row>
    <row r="1115" spans="1:52" x14ac:dyDescent="0.2">
      <c r="A1115">
        <v>1</v>
      </c>
      <c r="B1115">
        <v>0</v>
      </c>
      <c r="C1115">
        <v>0</v>
      </c>
      <c r="D1115">
        <v>0</v>
      </c>
      <c r="E1115">
        <v>0</v>
      </c>
      <c r="F1115">
        <v>1</v>
      </c>
      <c r="G1115">
        <v>0</v>
      </c>
      <c r="H1115">
        <v>0</v>
      </c>
      <c r="I1115">
        <v>0</v>
      </c>
      <c r="J1115" t="s">
        <v>88</v>
      </c>
      <c r="K1115" t="s">
        <v>89</v>
      </c>
      <c r="L1115">
        <v>1</v>
      </c>
      <c r="M1115">
        <v>0</v>
      </c>
      <c r="N1115">
        <v>0</v>
      </c>
      <c r="O1115">
        <v>0</v>
      </c>
      <c r="P1115">
        <v>0</v>
      </c>
      <c r="Q1115" t="s">
        <v>584</v>
      </c>
      <c r="R1115">
        <v>0</v>
      </c>
      <c r="S1115">
        <v>1</v>
      </c>
      <c r="T1115">
        <v>0</v>
      </c>
      <c r="U1115">
        <v>0</v>
      </c>
      <c r="V1115">
        <v>0</v>
      </c>
      <c r="W1115">
        <v>0</v>
      </c>
      <c r="X1115">
        <v>0</v>
      </c>
      <c r="Y1115">
        <v>0</v>
      </c>
      <c r="Z1115">
        <v>0</v>
      </c>
      <c r="AL1115" t="s">
        <v>96</v>
      </c>
      <c r="AM1115" t="s">
        <v>86</v>
      </c>
      <c r="AN1115" t="s">
        <v>74</v>
      </c>
      <c r="AO1115" t="s">
        <v>87</v>
      </c>
      <c r="AP1115" t="s">
        <v>74</v>
      </c>
      <c r="AQ1115" t="s">
        <v>74</v>
      </c>
      <c r="AR1115" t="s">
        <v>75</v>
      </c>
      <c r="AS1115" t="s">
        <v>92</v>
      </c>
      <c r="AT1115" t="s">
        <v>96</v>
      </c>
      <c r="AU1115">
        <v>0</v>
      </c>
      <c r="AV1115">
        <v>0</v>
      </c>
      <c r="AW1115">
        <v>0</v>
      </c>
      <c r="AX1115">
        <v>1</v>
      </c>
      <c r="AY1115">
        <v>0</v>
      </c>
      <c r="AZ1115" t="s">
        <v>579</v>
      </c>
    </row>
    <row r="1116" spans="1:52" x14ac:dyDescent="0.2">
      <c r="A1116">
        <v>0</v>
      </c>
      <c r="B1116">
        <v>1</v>
      </c>
      <c r="C1116">
        <v>0</v>
      </c>
      <c r="D1116">
        <v>0</v>
      </c>
      <c r="E1116">
        <v>0</v>
      </c>
      <c r="F1116">
        <v>0</v>
      </c>
      <c r="G1116">
        <v>0</v>
      </c>
      <c r="H1116">
        <v>0</v>
      </c>
      <c r="I1116">
        <v>1</v>
      </c>
      <c r="J1116" t="s">
        <v>88</v>
      </c>
      <c r="K1116" t="s">
        <v>89</v>
      </c>
      <c r="L1116">
        <v>0</v>
      </c>
      <c r="M1116">
        <v>1</v>
      </c>
      <c r="N1116">
        <v>0</v>
      </c>
      <c r="O1116">
        <v>0</v>
      </c>
      <c r="P1116">
        <v>0</v>
      </c>
      <c r="Q1116" t="s">
        <v>584</v>
      </c>
      <c r="AA1116" t="s">
        <v>90</v>
      </c>
      <c r="AB1116" t="s">
        <v>82</v>
      </c>
      <c r="AC1116" t="s">
        <v>81</v>
      </c>
      <c r="AD1116" t="s">
        <v>81</v>
      </c>
      <c r="AE1116" t="s">
        <v>83</v>
      </c>
      <c r="AF1116" t="s">
        <v>83</v>
      </c>
      <c r="AG1116" t="s">
        <v>83</v>
      </c>
      <c r="AH1116" t="s">
        <v>83</v>
      </c>
      <c r="AI1116" t="s">
        <v>88</v>
      </c>
      <c r="AJ1116" t="s">
        <v>89</v>
      </c>
      <c r="AK1116" t="s">
        <v>100</v>
      </c>
      <c r="AL1116" t="s">
        <v>107</v>
      </c>
      <c r="AM1116" t="s">
        <v>87</v>
      </c>
      <c r="AN1116" t="s">
        <v>86</v>
      </c>
      <c r="AO1116" t="s">
        <v>87</v>
      </c>
      <c r="AP1116" t="s">
        <v>87</v>
      </c>
      <c r="AQ1116" t="s">
        <v>86</v>
      </c>
      <c r="AR1116" t="s">
        <v>101</v>
      </c>
      <c r="AS1116" t="s">
        <v>76</v>
      </c>
      <c r="AT1116" t="s">
        <v>107</v>
      </c>
      <c r="AU1116">
        <v>0</v>
      </c>
      <c r="AV1116">
        <v>0</v>
      </c>
      <c r="AW1116">
        <v>0</v>
      </c>
      <c r="AX1116">
        <v>1</v>
      </c>
      <c r="AY1116">
        <v>0</v>
      </c>
      <c r="AZ1116" t="s">
        <v>579</v>
      </c>
    </row>
    <row r="1117" spans="1:52" x14ac:dyDescent="0.2">
      <c r="A1117">
        <v>1</v>
      </c>
      <c r="B1117">
        <v>0</v>
      </c>
      <c r="C1117">
        <v>0</v>
      </c>
      <c r="D1117">
        <v>0</v>
      </c>
      <c r="E1117">
        <v>0</v>
      </c>
      <c r="F1117">
        <v>1</v>
      </c>
      <c r="G1117">
        <v>0</v>
      </c>
      <c r="H1117">
        <v>0</v>
      </c>
      <c r="I1117">
        <v>0</v>
      </c>
      <c r="J1117" t="s">
        <v>79</v>
      </c>
      <c r="K1117" t="s">
        <v>89</v>
      </c>
      <c r="L1117">
        <v>1</v>
      </c>
      <c r="M1117">
        <v>0</v>
      </c>
      <c r="N1117">
        <v>0</v>
      </c>
      <c r="O1117">
        <v>0</v>
      </c>
      <c r="P1117">
        <v>0</v>
      </c>
      <c r="Q1117" t="s">
        <v>584</v>
      </c>
      <c r="R1117">
        <v>0</v>
      </c>
      <c r="S1117">
        <v>1</v>
      </c>
      <c r="T1117">
        <v>0</v>
      </c>
      <c r="U1117">
        <v>0</v>
      </c>
      <c r="V1117">
        <v>0</v>
      </c>
      <c r="W1117">
        <v>0</v>
      </c>
      <c r="X1117">
        <v>0</v>
      </c>
      <c r="Y1117">
        <v>0</v>
      </c>
      <c r="Z1117">
        <v>0</v>
      </c>
      <c r="AL1117" t="s">
        <v>107</v>
      </c>
      <c r="AM1117" t="s">
        <v>86</v>
      </c>
      <c r="AN1117" t="s">
        <v>86</v>
      </c>
      <c r="AO1117" t="s">
        <v>86</v>
      </c>
      <c r="AP1117" t="s">
        <v>86</v>
      </c>
      <c r="AQ1117" t="s">
        <v>86</v>
      </c>
      <c r="AR1117" t="s">
        <v>75</v>
      </c>
      <c r="AS1117" t="s">
        <v>76</v>
      </c>
      <c r="AT1117" t="s">
        <v>107</v>
      </c>
      <c r="AU1117">
        <v>0</v>
      </c>
      <c r="AV1117">
        <v>0</v>
      </c>
      <c r="AW1117">
        <v>0</v>
      </c>
      <c r="AX1117">
        <v>1</v>
      </c>
      <c r="AY1117">
        <v>0</v>
      </c>
      <c r="AZ1117" t="s">
        <v>580</v>
      </c>
    </row>
    <row r="1118" spans="1:52" x14ac:dyDescent="0.2">
      <c r="A1118">
        <v>1</v>
      </c>
      <c r="B1118">
        <v>0</v>
      </c>
      <c r="C1118">
        <v>0</v>
      </c>
      <c r="D1118">
        <v>0</v>
      </c>
      <c r="E1118">
        <v>1</v>
      </c>
      <c r="F1118">
        <v>0</v>
      </c>
      <c r="G1118">
        <v>0</v>
      </c>
      <c r="H1118">
        <v>0</v>
      </c>
      <c r="I1118">
        <v>0</v>
      </c>
      <c r="L1118">
        <v>1</v>
      </c>
      <c r="M1118">
        <v>0</v>
      </c>
      <c r="N1118">
        <v>0</v>
      </c>
      <c r="O1118">
        <v>0</v>
      </c>
      <c r="P1118">
        <v>0</v>
      </c>
      <c r="Q1118" t="s">
        <v>584</v>
      </c>
      <c r="R1118">
        <v>0</v>
      </c>
      <c r="S1118">
        <v>0</v>
      </c>
      <c r="T1118">
        <v>0</v>
      </c>
      <c r="U1118">
        <v>0</v>
      </c>
      <c r="V1118">
        <v>0</v>
      </c>
      <c r="W1118">
        <v>0</v>
      </c>
      <c r="X1118">
        <v>1</v>
      </c>
      <c r="Y1118">
        <v>0</v>
      </c>
      <c r="Z1118">
        <v>0</v>
      </c>
      <c r="AL1118" t="s">
        <v>120</v>
      </c>
      <c r="AM1118" t="s">
        <v>74</v>
      </c>
      <c r="AR1118" t="s">
        <v>75</v>
      </c>
      <c r="AS1118" t="s">
        <v>92</v>
      </c>
      <c r="AT1118" t="s">
        <v>120</v>
      </c>
      <c r="AU1118">
        <v>0</v>
      </c>
      <c r="AV1118">
        <v>0</v>
      </c>
      <c r="AW1118">
        <v>0</v>
      </c>
      <c r="AX1118">
        <v>1</v>
      </c>
      <c r="AY1118">
        <v>0</v>
      </c>
      <c r="AZ1118" t="s">
        <v>579</v>
      </c>
    </row>
    <row r="1119" spans="1:52" x14ac:dyDescent="0.2">
      <c r="A1119">
        <v>1</v>
      </c>
      <c r="B1119">
        <v>0</v>
      </c>
      <c r="C1119">
        <v>1</v>
      </c>
      <c r="D1119">
        <v>0</v>
      </c>
      <c r="E1119">
        <v>0</v>
      </c>
      <c r="F1119">
        <v>0</v>
      </c>
      <c r="G1119">
        <v>0</v>
      </c>
      <c r="H1119">
        <v>0</v>
      </c>
      <c r="I1119">
        <v>1</v>
      </c>
      <c r="J1119" t="s">
        <v>88</v>
      </c>
      <c r="K1119" t="s">
        <v>89</v>
      </c>
      <c r="L1119">
        <v>0</v>
      </c>
      <c r="M1119">
        <v>1</v>
      </c>
      <c r="N1119">
        <v>0</v>
      </c>
      <c r="O1119">
        <v>0</v>
      </c>
      <c r="P1119">
        <v>0</v>
      </c>
      <c r="Q1119" t="s">
        <v>584</v>
      </c>
      <c r="AA1119" t="s">
        <v>82</v>
      </c>
      <c r="AB1119" t="s">
        <v>82</v>
      </c>
      <c r="AC1119" t="s">
        <v>83</v>
      </c>
      <c r="AD1119" t="s">
        <v>82</v>
      </c>
      <c r="AE1119" t="s">
        <v>82</v>
      </c>
      <c r="AF1119" t="s">
        <v>82</v>
      </c>
      <c r="AG1119" t="s">
        <v>82</v>
      </c>
      <c r="AH1119" t="s">
        <v>82</v>
      </c>
      <c r="AI1119" t="s">
        <v>88</v>
      </c>
      <c r="AJ1119" t="s">
        <v>89</v>
      </c>
      <c r="AK1119" t="s">
        <v>85</v>
      </c>
      <c r="AL1119" t="s">
        <v>96</v>
      </c>
      <c r="AM1119" t="s">
        <v>74</v>
      </c>
      <c r="AR1119" t="s">
        <v>75</v>
      </c>
      <c r="AS1119" t="s">
        <v>76</v>
      </c>
      <c r="AT1119" t="s">
        <v>96</v>
      </c>
      <c r="AU1119">
        <v>0</v>
      </c>
      <c r="AV1119">
        <v>0</v>
      </c>
      <c r="AW1119">
        <v>0</v>
      </c>
      <c r="AX1119">
        <v>1</v>
      </c>
      <c r="AY1119">
        <v>0</v>
      </c>
      <c r="AZ1119" t="s">
        <v>579</v>
      </c>
    </row>
    <row r="1120" spans="1:52" x14ac:dyDescent="0.2">
      <c r="A1120">
        <v>0</v>
      </c>
      <c r="B1120">
        <v>1</v>
      </c>
      <c r="C1120">
        <v>0</v>
      </c>
      <c r="D1120">
        <v>0</v>
      </c>
      <c r="E1120">
        <v>0</v>
      </c>
      <c r="F1120">
        <v>0</v>
      </c>
      <c r="G1120">
        <v>1</v>
      </c>
      <c r="H1120">
        <v>0</v>
      </c>
      <c r="I1120">
        <v>0</v>
      </c>
      <c r="J1120" t="s">
        <v>135</v>
      </c>
      <c r="K1120" t="s">
        <v>89</v>
      </c>
      <c r="L1120">
        <v>1</v>
      </c>
      <c r="M1120">
        <v>0</v>
      </c>
      <c r="N1120">
        <v>0</v>
      </c>
      <c r="O1120">
        <v>0</v>
      </c>
      <c r="P1120">
        <v>0</v>
      </c>
      <c r="Q1120" t="s">
        <v>584</v>
      </c>
      <c r="R1120">
        <v>0</v>
      </c>
      <c r="S1120">
        <v>1</v>
      </c>
      <c r="T1120">
        <v>0</v>
      </c>
      <c r="U1120">
        <v>0</v>
      </c>
      <c r="V1120">
        <v>0</v>
      </c>
      <c r="W1120">
        <v>0</v>
      </c>
      <c r="X1120">
        <v>0</v>
      </c>
      <c r="Y1120">
        <v>0</v>
      </c>
      <c r="Z1120">
        <v>0</v>
      </c>
      <c r="AL1120" t="s">
        <v>107</v>
      </c>
      <c r="AM1120" t="s">
        <v>74</v>
      </c>
      <c r="AR1120" t="s">
        <v>75</v>
      </c>
      <c r="AS1120" t="s">
        <v>76</v>
      </c>
      <c r="AT1120" t="s">
        <v>107</v>
      </c>
      <c r="AU1120">
        <v>0</v>
      </c>
      <c r="AV1120">
        <v>0</v>
      </c>
      <c r="AW1120">
        <v>0</v>
      </c>
      <c r="AX1120">
        <v>1</v>
      </c>
      <c r="AY1120">
        <v>0</v>
      </c>
      <c r="AZ1120" t="s">
        <v>579</v>
      </c>
    </row>
    <row r="1121" spans="1:52" x14ac:dyDescent="0.2">
      <c r="A1121">
        <v>1</v>
      </c>
      <c r="B1121">
        <v>0</v>
      </c>
      <c r="C1121">
        <v>0</v>
      </c>
      <c r="D1121">
        <v>0</v>
      </c>
      <c r="E1121">
        <v>0</v>
      </c>
      <c r="F1121">
        <v>1</v>
      </c>
      <c r="G1121">
        <v>1</v>
      </c>
      <c r="H1121">
        <v>0</v>
      </c>
      <c r="I1121">
        <v>0</v>
      </c>
      <c r="J1121" t="s">
        <v>135</v>
      </c>
      <c r="K1121" t="s">
        <v>80</v>
      </c>
      <c r="L1121">
        <v>0</v>
      </c>
      <c r="M1121">
        <v>0</v>
      </c>
      <c r="N1121">
        <v>1</v>
      </c>
      <c r="O1121">
        <v>0</v>
      </c>
      <c r="P1121">
        <v>0</v>
      </c>
      <c r="Q1121" t="s">
        <v>584</v>
      </c>
      <c r="AA1121" t="s">
        <v>82</v>
      </c>
      <c r="AB1121" t="s">
        <v>81</v>
      </c>
      <c r="AC1121" t="s">
        <v>81</v>
      </c>
      <c r="AD1121" t="s">
        <v>81</v>
      </c>
      <c r="AE1121" t="s">
        <v>82</v>
      </c>
      <c r="AF1121" t="s">
        <v>83</v>
      </c>
      <c r="AG1121" t="s">
        <v>83</v>
      </c>
      <c r="AH1121" t="s">
        <v>83</v>
      </c>
      <c r="AI1121" t="s">
        <v>84</v>
      </c>
      <c r="AJ1121" t="s">
        <v>80</v>
      </c>
      <c r="AK1121" t="s">
        <v>117</v>
      </c>
      <c r="AL1121" t="s">
        <v>107</v>
      </c>
      <c r="AM1121" t="s">
        <v>87</v>
      </c>
      <c r="AN1121" t="s">
        <v>87</v>
      </c>
      <c r="AO1121" t="s">
        <v>87</v>
      </c>
      <c r="AP1121" t="s">
        <v>87</v>
      </c>
      <c r="AQ1121" t="s">
        <v>86</v>
      </c>
      <c r="AR1121" t="s">
        <v>113</v>
      </c>
      <c r="AS1121" t="s">
        <v>76</v>
      </c>
      <c r="AT1121" t="s">
        <v>107</v>
      </c>
      <c r="AU1121">
        <v>0</v>
      </c>
      <c r="AV1121">
        <v>0</v>
      </c>
      <c r="AW1121">
        <v>0</v>
      </c>
      <c r="AX1121">
        <v>1</v>
      </c>
      <c r="AY1121">
        <v>0</v>
      </c>
      <c r="AZ1121" t="s">
        <v>579</v>
      </c>
    </row>
    <row r="1122" spans="1:52" x14ac:dyDescent="0.2">
      <c r="A1122">
        <v>0</v>
      </c>
      <c r="B1122">
        <v>1</v>
      </c>
      <c r="C1122">
        <v>0</v>
      </c>
      <c r="D1122">
        <v>0</v>
      </c>
      <c r="E1122">
        <v>0</v>
      </c>
      <c r="F1122">
        <v>1</v>
      </c>
      <c r="G1122">
        <v>0</v>
      </c>
      <c r="H1122">
        <v>0</v>
      </c>
      <c r="I1122">
        <v>0</v>
      </c>
      <c r="J1122" t="s">
        <v>135</v>
      </c>
      <c r="K1122" t="s">
        <v>127</v>
      </c>
      <c r="L1122">
        <v>0</v>
      </c>
      <c r="M1122">
        <v>0</v>
      </c>
      <c r="N1122">
        <v>0</v>
      </c>
      <c r="O1122">
        <v>0</v>
      </c>
      <c r="P1122">
        <v>1</v>
      </c>
      <c r="Q1122" t="s">
        <v>584</v>
      </c>
      <c r="AA1122" t="s">
        <v>83</v>
      </c>
      <c r="AB1122" t="s">
        <v>83</v>
      </c>
      <c r="AC1122" t="s">
        <v>83</v>
      </c>
      <c r="AD1122" t="s">
        <v>83</v>
      </c>
      <c r="AE1122" t="s">
        <v>82</v>
      </c>
      <c r="AF1122" t="s">
        <v>83</v>
      </c>
      <c r="AG1122" t="s">
        <v>83</v>
      </c>
      <c r="AH1122" t="s">
        <v>83</v>
      </c>
      <c r="AI1122" t="s">
        <v>135</v>
      </c>
      <c r="AJ1122" t="s">
        <v>127</v>
      </c>
      <c r="AK1122" t="s">
        <v>85</v>
      </c>
      <c r="AL1122" t="s">
        <v>73</v>
      </c>
      <c r="AM1122" t="s">
        <v>87</v>
      </c>
      <c r="AN1122" t="s">
        <v>87</v>
      </c>
      <c r="AO1122" t="s">
        <v>87</v>
      </c>
      <c r="AP1122" t="s">
        <v>87</v>
      </c>
      <c r="AQ1122" t="s">
        <v>74</v>
      </c>
      <c r="AR1122" t="s">
        <v>101</v>
      </c>
      <c r="AS1122" t="s">
        <v>76</v>
      </c>
      <c r="AT1122" t="s">
        <v>73</v>
      </c>
      <c r="AU1122">
        <v>0</v>
      </c>
      <c r="AV1122">
        <v>0</v>
      </c>
      <c r="AW1122">
        <v>0</v>
      </c>
      <c r="AX1122">
        <v>1</v>
      </c>
      <c r="AY1122">
        <v>0</v>
      </c>
      <c r="AZ1122" t="s">
        <v>579</v>
      </c>
    </row>
    <row r="1123" spans="1:52" x14ac:dyDescent="0.2">
      <c r="A1123">
        <v>1</v>
      </c>
      <c r="B1123">
        <v>0</v>
      </c>
      <c r="C1123">
        <v>0</v>
      </c>
      <c r="D1123">
        <v>0</v>
      </c>
      <c r="E1123">
        <v>0</v>
      </c>
      <c r="F1123">
        <v>1</v>
      </c>
      <c r="G1123">
        <v>0</v>
      </c>
      <c r="H1123">
        <v>1</v>
      </c>
      <c r="I1123">
        <v>0</v>
      </c>
      <c r="J1123" t="s">
        <v>79</v>
      </c>
      <c r="K1123" t="s">
        <v>80</v>
      </c>
      <c r="L1123">
        <v>1</v>
      </c>
      <c r="M1123">
        <v>0</v>
      </c>
      <c r="N1123">
        <v>0</v>
      </c>
      <c r="O1123">
        <v>0</v>
      </c>
      <c r="P1123">
        <v>0</v>
      </c>
      <c r="Q1123" t="s">
        <v>584</v>
      </c>
      <c r="R1123">
        <v>0</v>
      </c>
      <c r="S1123">
        <v>0</v>
      </c>
      <c r="T1123">
        <v>0</v>
      </c>
      <c r="U1123">
        <v>0</v>
      </c>
      <c r="V1123">
        <v>0</v>
      </c>
      <c r="W1123">
        <v>0</v>
      </c>
      <c r="X1123">
        <v>0</v>
      </c>
      <c r="Y1123">
        <v>0</v>
      </c>
      <c r="Z1123">
        <v>1</v>
      </c>
      <c r="AL1123" t="s">
        <v>73</v>
      </c>
      <c r="AM1123" t="s">
        <v>86</v>
      </c>
      <c r="AN1123" t="s">
        <v>87</v>
      </c>
      <c r="AO1123" t="s">
        <v>86</v>
      </c>
      <c r="AP1123" t="s">
        <v>87</v>
      </c>
      <c r="AQ1123" t="s">
        <v>86</v>
      </c>
      <c r="AR1123" t="s">
        <v>75</v>
      </c>
      <c r="AS1123" t="s">
        <v>76</v>
      </c>
      <c r="AT1123" t="s">
        <v>73</v>
      </c>
      <c r="AU1123">
        <v>0</v>
      </c>
      <c r="AV1123">
        <v>0</v>
      </c>
      <c r="AW1123">
        <v>0</v>
      </c>
      <c r="AX1123">
        <v>1</v>
      </c>
      <c r="AY1123">
        <v>0</v>
      </c>
      <c r="AZ1123" t="s">
        <v>579</v>
      </c>
    </row>
    <row r="1124" spans="1:52" x14ac:dyDescent="0.2">
      <c r="A1124">
        <v>1</v>
      </c>
      <c r="B1124">
        <v>0</v>
      </c>
      <c r="C1124">
        <v>0</v>
      </c>
      <c r="D1124">
        <v>0</v>
      </c>
      <c r="E1124">
        <v>0</v>
      </c>
      <c r="F1124">
        <v>1</v>
      </c>
      <c r="G1124">
        <v>0</v>
      </c>
      <c r="H1124">
        <v>0</v>
      </c>
      <c r="I1124">
        <v>1</v>
      </c>
      <c r="J1124" t="s">
        <v>79</v>
      </c>
      <c r="K1124" t="s">
        <v>89</v>
      </c>
      <c r="L1124">
        <v>0</v>
      </c>
      <c r="M1124">
        <v>1</v>
      </c>
      <c r="N1124">
        <v>1</v>
      </c>
      <c r="O1124">
        <v>0</v>
      </c>
      <c r="P1124">
        <v>0</v>
      </c>
      <c r="Q1124" t="s">
        <v>584</v>
      </c>
      <c r="AA1124" t="s">
        <v>83</v>
      </c>
      <c r="AB1124" t="s">
        <v>82</v>
      </c>
      <c r="AC1124" t="s">
        <v>83</v>
      </c>
      <c r="AD1124" t="s">
        <v>90</v>
      </c>
      <c r="AE1124" t="s">
        <v>81</v>
      </c>
      <c r="AF1124" t="s">
        <v>83</v>
      </c>
      <c r="AG1124" t="s">
        <v>81</v>
      </c>
      <c r="AH1124" t="s">
        <v>83</v>
      </c>
      <c r="AI1124" t="s">
        <v>88</v>
      </c>
      <c r="AJ1124" t="s">
        <v>89</v>
      </c>
      <c r="AK1124" t="s">
        <v>85</v>
      </c>
      <c r="AL1124" t="s">
        <v>107</v>
      </c>
      <c r="AM1124" t="s">
        <v>86</v>
      </c>
      <c r="AN1124" t="s">
        <v>74</v>
      </c>
      <c r="AO1124" t="s">
        <v>87</v>
      </c>
      <c r="AP1124" t="s">
        <v>86</v>
      </c>
      <c r="AQ1124" t="s">
        <v>87</v>
      </c>
      <c r="AR1124" t="s">
        <v>75</v>
      </c>
      <c r="AS1124" t="s">
        <v>76</v>
      </c>
      <c r="AT1124" t="s">
        <v>107</v>
      </c>
      <c r="AU1124">
        <v>0</v>
      </c>
      <c r="AV1124">
        <v>0</v>
      </c>
      <c r="AW1124">
        <v>0</v>
      </c>
      <c r="AX1124">
        <v>1</v>
      </c>
      <c r="AY1124">
        <v>0</v>
      </c>
      <c r="AZ1124" t="s">
        <v>579</v>
      </c>
    </row>
    <row r="1125" spans="1:52" x14ac:dyDescent="0.2">
      <c r="A1125">
        <v>0</v>
      </c>
      <c r="B1125">
        <v>1</v>
      </c>
      <c r="C1125">
        <v>0</v>
      </c>
      <c r="D1125">
        <v>0</v>
      </c>
      <c r="E1125">
        <v>0</v>
      </c>
      <c r="F1125">
        <v>1</v>
      </c>
      <c r="G1125">
        <v>1</v>
      </c>
      <c r="H1125">
        <v>1</v>
      </c>
      <c r="I1125">
        <v>0</v>
      </c>
      <c r="J1125" t="s">
        <v>88</v>
      </c>
      <c r="K1125" t="s">
        <v>89</v>
      </c>
      <c r="L1125">
        <v>0</v>
      </c>
      <c r="M1125">
        <v>0</v>
      </c>
      <c r="N1125">
        <v>0</v>
      </c>
      <c r="O1125">
        <v>0</v>
      </c>
      <c r="P1125">
        <v>1</v>
      </c>
      <c r="Q1125" t="s">
        <v>584</v>
      </c>
      <c r="AA1125" t="s">
        <v>83</v>
      </c>
      <c r="AB1125" t="s">
        <v>82</v>
      </c>
      <c r="AC1125" t="s">
        <v>81</v>
      </c>
      <c r="AD1125" t="s">
        <v>82</v>
      </c>
      <c r="AE1125" t="s">
        <v>81</v>
      </c>
      <c r="AF1125" t="s">
        <v>83</v>
      </c>
      <c r="AG1125" t="s">
        <v>83</v>
      </c>
      <c r="AH1125" t="s">
        <v>83</v>
      </c>
      <c r="AI1125" t="s">
        <v>88</v>
      </c>
      <c r="AJ1125" t="s">
        <v>89</v>
      </c>
      <c r="AK1125" t="s">
        <v>100</v>
      </c>
      <c r="AL1125" t="s">
        <v>96</v>
      </c>
      <c r="AM1125" t="s">
        <v>87</v>
      </c>
      <c r="AN1125" t="s">
        <v>87</v>
      </c>
      <c r="AO1125" t="s">
        <v>87</v>
      </c>
      <c r="AP1125" t="s">
        <v>87</v>
      </c>
      <c r="AQ1125" t="s">
        <v>87</v>
      </c>
      <c r="AR1125" t="s">
        <v>101</v>
      </c>
      <c r="AS1125" t="s">
        <v>76</v>
      </c>
      <c r="AT1125" t="s">
        <v>96</v>
      </c>
      <c r="AU1125">
        <v>0</v>
      </c>
      <c r="AV1125">
        <v>0</v>
      </c>
      <c r="AW1125">
        <v>0</v>
      </c>
      <c r="AX1125">
        <v>1</v>
      </c>
      <c r="AY1125">
        <v>0</v>
      </c>
      <c r="AZ1125" t="s">
        <v>579</v>
      </c>
    </row>
    <row r="1126" spans="1:52" x14ac:dyDescent="0.2">
      <c r="A1126">
        <v>1</v>
      </c>
      <c r="B1126">
        <v>0</v>
      </c>
      <c r="C1126">
        <v>0</v>
      </c>
      <c r="D1126">
        <v>0</v>
      </c>
      <c r="E1126">
        <v>0</v>
      </c>
      <c r="F1126">
        <v>1</v>
      </c>
      <c r="G1126">
        <v>1</v>
      </c>
      <c r="H1126">
        <v>0</v>
      </c>
      <c r="I1126">
        <v>0</v>
      </c>
      <c r="J1126" t="s">
        <v>135</v>
      </c>
      <c r="K1126" t="s">
        <v>80</v>
      </c>
      <c r="L1126">
        <v>0</v>
      </c>
      <c r="M1126">
        <v>0</v>
      </c>
      <c r="N1126">
        <v>1</v>
      </c>
      <c r="O1126">
        <v>0</v>
      </c>
      <c r="P1126">
        <v>0</v>
      </c>
      <c r="Q1126" t="s">
        <v>584</v>
      </c>
      <c r="AA1126" t="s">
        <v>83</v>
      </c>
      <c r="AB1126" t="s">
        <v>81</v>
      </c>
      <c r="AC1126" t="s">
        <v>83</v>
      </c>
      <c r="AD1126" t="s">
        <v>81</v>
      </c>
      <c r="AE1126" t="s">
        <v>82</v>
      </c>
      <c r="AF1126" t="s">
        <v>83</v>
      </c>
      <c r="AG1126" t="s">
        <v>83</v>
      </c>
      <c r="AH1126" t="s">
        <v>83</v>
      </c>
      <c r="AI1126" t="s">
        <v>88</v>
      </c>
      <c r="AJ1126" t="s">
        <v>89</v>
      </c>
      <c r="AK1126" t="s">
        <v>85</v>
      </c>
      <c r="AL1126" t="s">
        <v>107</v>
      </c>
      <c r="AM1126" t="s">
        <v>87</v>
      </c>
      <c r="AN1126" t="s">
        <v>87</v>
      </c>
      <c r="AO1126" t="s">
        <v>87</v>
      </c>
      <c r="AP1126" t="s">
        <v>86</v>
      </c>
      <c r="AQ1126" t="s">
        <v>86</v>
      </c>
      <c r="AR1126" t="s">
        <v>75</v>
      </c>
      <c r="AS1126" t="s">
        <v>92</v>
      </c>
      <c r="AT1126" t="s">
        <v>107</v>
      </c>
      <c r="AU1126">
        <v>0</v>
      </c>
      <c r="AV1126">
        <v>0</v>
      </c>
      <c r="AW1126">
        <v>0</v>
      </c>
      <c r="AX1126">
        <v>1</v>
      </c>
      <c r="AY1126">
        <v>0</v>
      </c>
      <c r="AZ1126" t="s">
        <v>579</v>
      </c>
    </row>
    <row r="1127" spans="1:52" x14ac:dyDescent="0.2">
      <c r="A1127">
        <v>1</v>
      </c>
      <c r="B1127">
        <v>0</v>
      </c>
      <c r="C1127">
        <v>0</v>
      </c>
      <c r="D1127">
        <v>0</v>
      </c>
      <c r="E1127">
        <v>0</v>
      </c>
      <c r="F1127">
        <v>1</v>
      </c>
      <c r="G1127">
        <v>0</v>
      </c>
      <c r="H1127">
        <v>1</v>
      </c>
      <c r="I1127">
        <v>0</v>
      </c>
      <c r="J1127" t="s">
        <v>88</v>
      </c>
      <c r="K1127" t="s">
        <v>89</v>
      </c>
      <c r="L1127">
        <v>0</v>
      </c>
      <c r="M1127">
        <v>0</v>
      </c>
      <c r="N1127">
        <v>0</v>
      </c>
      <c r="O1127">
        <v>1</v>
      </c>
      <c r="P1127">
        <v>0</v>
      </c>
      <c r="Q1127" t="s">
        <v>585</v>
      </c>
      <c r="AA1127" t="s">
        <v>81</v>
      </c>
      <c r="AB1127" t="s">
        <v>82</v>
      </c>
      <c r="AC1127" t="s">
        <v>82</v>
      </c>
      <c r="AD1127" t="s">
        <v>83</v>
      </c>
      <c r="AE1127" t="s">
        <v>82</v>
      </c>
      <c r="AF1127" t="s">
        <v>81</v>
      </c>
      <c r="AG1127" t="s">
        <v>82</v>
      </c>
      <c r="AH1127" t="s">
        <v>83</v>
      </c>
      <c r="AI1127" t="s">
        <v>88</v>
      </c>
      <c r="AJ1127" t="s">
        <v>89</v>
      </c>
      <c r="AK1127" t="s">
        <v>100</v>
      </c>
      <c r="AL1127" t="s">
        <v>107</v>
      </c>
      <c r="AM1127" t="s">
        <v>87</v>
      </c>
      <c r="AN1127" t="s">
        <v>86</v>
      </c>
      <c r="AO1127" t="s">
        <v>87</v>
      </c>
      <c r="AP1127" t="s">
        <v>87</v>
      </c>
      <c r="AQ1127" t="s">
        <v>86</v>
      </c>
      <c r="AR1127" t="s">
        <v>75</v>
      </c>
      <c r="AS1127" t="s">
        <v>92</v>
      </c>
      <c r="AT1127" t="s">
        <v>107</v>
      </c>
      <c r="AU1127">
        <v>0</v>
      </c>
      <c r="AV1127">
        <v>0</v>
      </c>
      <c r="AW1127">
        <v>0</v>
      </c>
      <c r="AX1127">
        <v>1</v>
      </c>
      <c r="AY1127">
        <v>0</v>
      </c>
      <c r="AZ1127" t="s">
        <v>579</v>
      </c>
    </row>
    <row r="1128" spans="1:52" x14ac:dyDescent="0.2">
      <c r="A1128">
        <v>1</v>
      </c>
      <c r="B1128">
        <v>0</v>
      </c>
      <c r="C1128">
        <v>0</v>
      </c>
      <c r="D1128">
        <v>0</v>
      </c>
      <c r="E1128">
        <v>0</v>
      </c>
      <c r="F1128">
        <v>1</v>
      </c>
      <c r="G1128">
        <v>1</v>
      </c>
      <c r="H1128">
        <v>1</v>
      </c>
      <c r="I1128">
        <v>0</v>
      </c>
      <c r="J1128" t="s">
        <v>88</v>
      </c>
      <c r="K1128" t="s">
        <v>89</v>
      </c>
      <c r="L1128">
        <v>0</v>
      </c>
      <c r="M1128">
        <v>0</v>
      </c>
      <c r="N1128">
        <v>1</v>
      </c>
      <c r="O1128">
        <v>0</v>
      </c>
      <c r="P1128">
        <v>0</v>
      </c>
      <c r="Q1128" t="s">
        <v>584</v>
      </c>
      <c r="AA1128" t="s">
        <v>83</v>
      </c>
      <c r="AB1128" t="s">
        <v>81</v>
      </c>
      <c r="AC1128" t="s">
        <v>81</v>
      </c>
      <c r="AD1128" t="s">
        <v>82</v>
      </c>
      <c r="AE1128" t="s">
        <v>81</v>
      </c>
      <c r="AF1128" t="s">
        <v>83</v>
      </c>
      <c r="AG1128" t="s">
        <v>83</v>
      </c>
      <c r="AH1128" t="s">
        <v>83</v>
      </c>
      <c r="AI1128" t="s">
        <v>88</v>
      </c>
      <c r="AJ1128" t="s">
        <v>89</v>
      </c>
      <c r="AK1128" t="s">
        <v>100</v>
      </c>
      <c r="AL1128" t="s">
        <v>73</v>
      </c>
      <c r="AM1128" t="s">
        <v>86</v>
      </c>
      <c r="AN1128" t="s">
        <v>86</v>
      </c>
      <c r="AO1128" t="s">
        <v>87</v>
      </c>
      <c r="AP1128" t="s">
        <v>86</v>
      </c>
      <c r="AQ1128" t="s">
        <v>87</v>
      </c>
      <c r="AR1128" t="s">
        <v>75</v>
      </c>
      <c r="AS1128" t="s">
        <v>92</v>
      </c>
      <c r="AT1128" t="s">
        <v>73</v>
      </c>
      <c r="AU1128">
        <v>0</v>
      </c>
      <c r="AV1128">
        <v>0</v>
      </c>
      <c r="AW1128">
        <v>0</v>
      </c>
      <c r="AX1128">
        <v>1</v>
      </c>
      <c r="AY1128">
        <v>0</v>
      </c>
      <c r="AZ1128" t="s">
        <v>578</v>
      </c>
    </row>
    <row r="1129" spans="1:52" x14ac:dyDescent="0.2">
      <c r="A1129">
        <v>1</v>
      </c>
      <c r="B1129">
        <v>0</v>
      </c>
      <c r="C1129">
        <v>0</v>
      </c>
      <c r="D1129">
        <v>0</v>
      </c>
      <c r="E1129">
        <v>0</v>
      </c>
      <c r="F1129">
        <v>1</v>
      </c>
      <c r="G1129">
        <v>1</v>
      </c>
      <c r="H1129">
        <v>0</v>
      </c>
      <c r="I1129">
        <v>0</v>
      </c>
      <c r="J1129" t="s">
        <v>79</v>
      </c>
      <c r="K1129" t="s">
        <v>89</v>
      </c>
      <c r="L1129">
        <v>0</v>
      </c>
      <c r="M1129">
        <v>0</v>
      </c>
      <c r="N1129">
        <v>1</v>
      </c>
      <c r="O1129">
        <v>0</v>
      </c>
      <c r="P1129">
        <v>0</v>
      </c>
      <c r="Q1129" t="s">
        <v>584</v>
      </c>
      <c r="AA1129" t="s">
        <v>83</v>
      </c>
      <c r="AB1129" t="s">
        <v>82</v>
      </c>
      <c r="AC1129" t="s">
        <v>83</v>
      </c>
      <c r="AD1129" t="s">
        <v>82</v>
      </c>
      <c r="AE1129" t="s">
        <v>81</v>
      </c>
      <c r="AF1129" t="s">
        <v>81</v>
      </c>
      <c r="AG1129" t="s">
        <v>83</v>
      </c>
      <c r="AH1129" t="s">
        <v>83</v>
      </c>
      <c r="AI1129" t="s">
        <v>88</v>
      </c>
      <c r="AJ1129" t="s">
        <v>89</v>
      </c>
      <c r="AK1129" t="s">
        <v>85</v>
      </c>
      <c r="AL1129" t="s">
        <v>73</v>
      </c>
      <c r="AM1129" t="s">
        <v>87</v>
      </c>
      <c r="AN1129" t="s">
        <v>87</v>
      </c>
      <c r="AO1129" t="s">
        <v>87</v>
      </c>
      <c r="AP1129" t="s">
        <v>74</v>
      </c>
      <c r="AQ1129" t="s">
        <v>74</v>
      </c>
      <c r="AR1129" t="s">
        <v>75</v>
      </c>
      <c r="AS1129" t="s">
        <v>76</v>
      </c>
      <c r="AT1129" t="s">
        <v>73</v>
      </c>
      <c r="AU1129">
        <v>1</v>
      </c>
      <c r="AV1129">
        <v>0</v>
      </c>
      <c r="AW1129">
        <v>0</v>
      </c>
      <c r="AX1129">
        <v>1</v>
      </c>
      <c r="AY1129">
        <v>0</v>
      </c>
      <c r="AZ1129" t="s">
        <v>579</v>
      </c>
    </row>
    <row r="1130" spans="1:52" x14ac:dyDescent="0.2">
      <c r="A1130">
        <v>0</v>
      </c>
      <c r="B1130">
        <v>0</v>
      </c>
      <c r="C1130">
        <v>0</v>
      </c>
      <c r="D1130">
        <v>1</v>
      </c>
      <c r="L1130">
        <v>1</v>
      </c>
      <c r="M1130">
        <v>0</v>
      </c>
      <c r="N1130">
        <v>0</v>
      </c>
      <c r="O1130">
        <v>0</v>
      </c>
      <c r="P1130">
        <v>0</v>
      </c>
      <c r="Q1130" t="s">
        <v>584</v>
      </c>
      <c r="R1130">
        <v>0</v>
      </c>
      <c r="S1130">
        <v>0</v>
      </c>
      <c r="T1130">
        <v>1</v>
      </c>
      <c r="U1130">
        <v>0</v>
      </c>
      <c r="V1130">
        <v>0</v>
      </c>
      <c r="W1130">
        <v>0</v>
      </c>
      <c r="X1130">
        <v>0</v>
      </c>
      <c r="Y1130">
        <v>0</v>
      </c>
      <c r="Z1130">
        <v>0</v>
      </c>
      <c r="AL1130" t="s">
        <v>120</v>
      </c>
      <c r="AR1130" t="s">
        <v>101</v>
      </c>
      <c r="AS1130" t="s">
        <v>76</v>
      </c>
      <c r="AT1130" t="s">
        <v>120</v>
      </c>
      <c r="AU1130">
        <v>0</v>
      </c>
      <c r="AV1130">
        <v>0</v>
      </c>
      <c r="AW1130">
        <v>0</v>
      </c>
      <c r="AX1130">
        <v>1</v>
      </c>
      <c r="AY1130">
        <v>0</v>
      </c>
      <c r="AZ1130" t="s">
        <v>579</v>
      </c>
    </row>
    <row r="1131" spans="1:52" x14ac:dyDescent="0.2">
      <c r="A1131">
        <v>1</v>
      </c>
      <c r="B1131">
        <v>0</v>
      </c>
      <c r="C1131">
        <v>0</v>
      </c>
      <c r="D1131">
        <v>0</v>
      </c>
      <c r="E1131">
        <v>0</v>
      </c>
      <c r="F1131">
        <v>1</v>
      </c>
      <c r="G1131">
        <v>1</v>
      </c>
      <c r="H1131">
        <v>0</v>
      </c>
      <c r="I1131">
        <v>1</v>
      </c>
      <c r="J1131" t="s">
        <v>88</v>
      </c>
      <c r="K1131" t="s">
        <v>89</v>
      </c>
      <c r="L1131">
        <v>1</v>
      </c>
      <c r="M1131">
        <v>0</v>
      </c>
      <c r="N1131">
        <v>0</v>
      </c>
      <c r="O1131">
        <v>0</v>
      </c>
      <c r="P1131">
        <v>0</v>
      </c>
      <c r="Q1131" t="s">
        <v>584</v>
      </c>
      <c r="R1131">
        <v>0</v>
      </c>
      <c r="S1131">
        <v>0</v>
      </c>
      <c r="T1131">
        <v>0</v>
      </c>
      <c r="U1131">
        <v>0</v>
      </c>
      <c r="V1131">
        <v>0</v>
      </c>
      <c r="W1131">
        <v>0</v>
      </c>
      <c r="X1131">
        <v>0</v>
      </c>
      <c r="Y1131">
        <v>0</v>
      </c>
      <c r="Z1131">
        <v>1</v>
      </c>
      <c r="AL1131" t="s">
        <v>73</v>
      </c>
      <c r="AM1131" t="s">
        <v>87</v>
      </c>
      <c r="AN1131" t="s">
        <v>74</v>
      </c>
      <c r="AO1131" t="s">
        <v>86</v>
      </c>
      <c r="AP1131" t="s">
        <v>74</v>
      </c>
      <c r="AQ1131" t="s">
        <v>86</v>
      </c>
      <c r="AR1131" t="s">
        <v>75</v>
      </c>
      <c r="AS1131" t="s">
        <v>76</v>
      </c>
      <c r="AT1131" t="s">
        <v>73</v>
      </c>
      <c r="AU1131">
        <v>0</v>
      </c>
      <c r="AV1131">
        <v>0</v>
      </c>
      <c r="AW1131">
        <v>0</v>
      </c>
      <c r="AX1131">
        <v>1</v>
      </c>
      <c r="AY1131">
        <v>0</v>
      </c>
      <c r="AZ1131" t="s">
        <v>579</v>
      </c>
    </row>
    <row r="1132" spans="1:52" x14ac:dyDescent="0.2">
      <c r="A1132">
        <v>1</v>
      </c>
      <c r="B1132">
        <v>0</v>
      </c>
      <c r="C1132">
        <v>0</v>
      </c>
      <c r="D1132">
        <v>0</v>
      </c>
      <c r="E1132">
        <v>0</v>
      </c>
      <c r="F1132">
        <v>0</v>
      </c>
      <c r="G1132">
        <v>0</v>
      </c>
      <c r="H1132">
        <v>0</v>
      </c>
      <c r="I1132">
        <v>1</v>
      </c>
      <c r="J1132" t="s">
        <v>127</v>
      </c>
      <c r="K1132" t="s">
        <v>223</v>
      </c>
      <c r="L1132">
        <v>1</v>
      </c>
      <c r="M1132">
        <v>0</v>
      </c>
      <c r="N1132">
        <v>0</v>
      </c>
      <c r="O1132">
        <v>0</v>
      </c>
      <c r="P1132">
        <v>0</v>
      </c>
      <c r="Q1132" t="s">
        <v>584</v>
      </c>
      <c r="R1132">
        <v>0</v>
      </c>
      <c r="S1132">
        <v>0</v>
      </c>
      <c r="T1132">
        <v>1</v>
      </c>
      <c r="U1132">
        <v>0</v>
      </c>
      <c r="V1132">
        <v>0</v>
      </c>
      <c r="W1132">
        <v>0</v>
      </c>
      <c r="X1132">
        <v>0</v>
      </c>
      <c r="Y1132">
        <v>0</v>
      </c>
      <c r="Z1132">
        <v>0</v>
      </c>
      <c r="AL1132" t="s">
        <v>73</v>
      </c>
      <c r="AM1132" t="s">
        <v>87</v>
      </c>
      <c r="AN1132" t="s">
        <v>87</v>
      </c>
      <c r="AO1132" t="s">
        <v>87</v>
      </c>
      <c r="AP1132" t="s">
        <v>87</v>
      </c>
      <c r="AQ1132" t="s">
        <v>87</v>
      </c>
      <c r="AR1132" t="s">
        <v>75</v>
      </c>
      <c r="AS1132" t="s">
        <v>76</v>
      </c>
      <c r="AT1132" t="s">
        <v>73</v>
      </c>
      <c r="AU1132">
        <v>0</v>
      </c>
      <c r="AV1132">
        <v>0</v>
      </c>
      <c r="AW1132">
        <v>0</v>
      </c>
      <c r="AX1132">
        <v>1</v>
      </c>
      <c r="AY1132">
        <v>0</v>
      </c>
      <c r="AZ1132" t="s">
        <v>579</v>
      </c>
    </row>
    <row r="1133" spans="1:52" x14ac:dyDescent="0.2">
      <c r="A1133">
        <v>0</v>
      </c>
      <c r="B1133">
        <v>1</v>
      </c>
      <c r="C1133">
        <v>0</v>
      </c>
      <c r="D1133">
        <v>0</v>
      </c>
      <c r="E1133">
        <v>1</v>
      </c>
      <c r="F1133">
        <v>0</v>
      </c>
      <c r="G1133">
        <v>0</v>
      </c>
      <c r="H1133">
        <v>0</v>
      </c>
      <c r="I1133">
        <v>0</v>
      </c>
      <c r="L1133">
        <v>1</v>
      </c>
      <c r="M1133">
        <v>0</v>
      </c>
      <c r="N1133">
        <v>0</v>
      </c>
      <c r="O1133">
        <v>0</v>
      </c>
      <c r="P1133">
        <v>0</v>
      </c>
      <c r="Q1133" t="s">
        <v>584</v>
      </c>
      <c r="R1133">
        <v>0</v>
      </c>
      <c r="S1133">
        <v>0</v>
      </c>
      <c r="T1133">
        <v>0</v>
      </c>
      <c r="U1133">
        <v>0</v>
      </c>
      <c r="V1133">
        <v>0</v>
      </c>
      <c r="W1133">
        <v>1</v>
      </c>
      <c r="X1133">
        <v>0</v>
      </c>
      <c r="Y1133">
        <v>0</v>
      </c>
      <c r="Z1133">
        <v>0</v>
      </c>
      <c r="AL1133" t="s">
        <v>107</v>
      </c>
      <c r="AM1133" t="s">
        <v>74</v>
      </c>
      <c r="AR1133" t="s">
        <v>75</v>
      </c>
      <c r="AS1133" t="s">
        <v>92</v>
      </c>
      <c r="AT1133" t="s">
        <v>107</v>
      </c>
      <c r="AU1133">
        <v>0</v>
      </c>
      <c r="AV1133">
        <v>0</v>
      </c>
      <c r="AW1133">
        <v>0</v>
      </c>
      <c r="AX1133">
        <v>1</v>
      </c>
      <c r="AY1133">
        <v>0</v>
      </c>
      <c r="AZ1133" t="s">
        <v>579</v>
      </c>
    </row>
    <row r="1134" spans="1:52" x14ac:dyDescent="0.2">
      <c r="A1134">
        <v>1</v>
      </c>
      <c r="B1134">
        <v>0</v>
      </c>
      <c r="C1134">
        <v>0</v>
      </c>
      <c r="D1134">
        <v>0</v>
      </c>
      <c r="E1134">
        <v>0</v>
      </c>
      <c r="F1134">
        <v>1</v>
      </c>
      <c r="G1134">
        <v>1</v>
      </c>
      <c r="H1134">
        <v>0</v>
      </c>
      <c r="I1134">
        <v>0</v>
      </c>
      <c r="J1134" t="s">
        <v>88</v>
      </c>
      <c r="K1134" t="s">
        <v>89</v>
      </c>
      <c r="L1134">
        <v>0</v>
      </c>
      <c r="M1134">
        <v>0</v>
      </c>
      <c r="N1134">
        <v>1</v>
      </c>
      <c r="O1134">
        <v>1</v>
      </c>
      <c r="P1134">
        <v>0</v>
      </c>
      <c r="Q1134" t="s">
        <v>585</v>
      </c>
      <c r="AA1134" t="s">
        <v>83</v>
      </c>
      <c r="AB1134" t="s">
        <v>82</v>
      </c>
      <c r="AC1134" t="s">
        <v>81</v>
      </c>
      <c r="AD1134" t="s">
        <v>81</v>
      </c>
      <c r="AE1134" t="s">
        <v>81</v>
      </c>
      <c r="AF1134" t="s">
        <v>83</v>
      </c>
      <c r="AG1134" t="s">
        <v>83</v>
      </c>
      <c r="AH1134" t="s">
        <v>83</v>
      </c>
      <c r="AI1134" t="s">
        <v>88</v>
      </c>
      <c r="AJ1134" t="s">
        <v>89</v>
      </c>
      <c r="AK1134" t="s">
        <v>100</v>
      </c>
      <c r="AL1134" t="s">
        <v>73</v>
      </c>
      <c r="AM1134" t="s">
        <v>87</v>
      </c>
      <c r="AN1134" t="s">
        <v>86</v>
      </c>
      <c r="AO1134" t="s">
        <v>86</v>
      </c>
      <c r="AP1134" t="s">
        <v>86</v>
      </c>
      <c r="AQ1134" t="s">
        <v>74</v>
      </c>
      <c r="AR1134" t="s">
        <v>75</v>
      </c>
      <c r="AS1134" t="s">
        <v>76</v>
      </c>
      <c r="AT1134" t="s">
        <v>73</v>
      </c>
      <c r="AU1134">
        <v>0</v>
      </c>
      <c r="AV1134">
        <v>0</v>
      </c>
      <c r="AW1134">
        <v>0</v>
      </c>
      <c r="AX1134">
        <v>1</v>
      </c>
      <c r="AY1134">
        <v>0</v>
      </c>
      <c r="AZ1134" t="s">
        <v>579</v>
      </c>
    </row>
    <row r="1135" spans="1:52" x14ac:dyDescent="0.2">
      <c r="A1135">
        <v>1</v>
      </c>
      <c r="B1135">
        <v>0</v>
      </c>
      <c r="C1135">
        <v>0</v>
      </c>
      <c r="D1135">
        <v>0</v>
      </c>
      <c r="E1135">
        <v>0</v>
      </c>
      <c r="F1135">
        <v>1</v>
      </c>
      <c r="G1135">
        <v>1</v>
      </c>
      <c r="H1135">
        <v>0</v>
      </c>
      <c r="I1135">
        <v>1</v>
      </c>
      <c r="J1135" t="s">
        <v>88</v>
      </c>
      <c r="K1135" t="s">
        <v>89</v>
      </c>
      <c r="L1135">
        <v>0</v>
      </c>
      <c r="M1135">
        <v>0</v>
      </c>
      <c r="N1135">
        <v>1</v>
      </c>
      <c r="O1135">
        <v>1</v>
      </c>
      <c r="P1135">
        <v>0</v>
      </c>
      <c r="Q1135" t="s">
        <v>584</v>
      </c>
      <c r="AA1135" t="s">
        <v>83</v>
      </c>
      <c r="AB1135" t="s">
        <v>82</v>
      </c>
      <c r="AC1135" t="s">
        <v>83</v>
      </c>
      <c r="AD1135" t="s">
        <v>81</v>
      </c>
      <c r="AE1135" t="s">
        <v>82</v>
      </c>
      <c r="AF1135" t="s">
        <v>83</v>
      </c>
      <c r="AG1135" t="s">
        <v>83</v>
      </c>
      <c r="AH1135" t="s">
        <v>81</v>
      </c>
      <c r="AI1135" t="s">
        <v>88</v>
      </c>
      <c r="AJ1135" t="s">
        <v>89</v>
      </c>
      <c r="AK1135" t="s">
        <v>85</v>
      </c>
      <c r="AL1135" t="s">
        <v>107</v>
      </c>
      <c r="AM1135" t="s">
        <v>86</v>
      </c>
      <c r="AN1135" t="s">
        <v>87</v>
      </c>
      <c r="AO1135" t="s">
        <v>87</v>
      </c>
      <c r="AP1135" t="s">
        <v>87</v>
      </c>
      <c r="AQ1135" t="s">
        <v>87</v>
      </c>
      <c r="AR1135" t="s">
        <v>75</v>
      </c>
      <c r="AS1135" t="s">
        <v>76</v>
      </c>
      <c r="AT1135" t="s">
        <v>107</v>
      </c>
      <c r="AU1135">
        <v>0</v>
      </c>
      <c r="AV1135">
        <v>0</v>
      </c>
      <c r="AW1135">
        <v>0</v>
      </c>
      <c r="AX1135">
        <v>1</v>
      </c>
      <c r="AY1135">
        <v>0</v>
      </c>
      <c r="AZ1135" t="s">
        <v>579</v>
      </c>
    </row>
    <row r="1136" spans="1:52" x14ac:dyDescent="0.2">
      <c r="A1136">
        <v>0</v>
      </c>
      <c r="B1136">
        <v>1</v>
      </c>
      <c r="C1136">
        <v>0</v>
      </c>
      <c r="D1136">
        <v>0</v>
      </c>
      <c r="E1136">
        <v>0</v>
      </c>
      <c r="F1136">
        <v>0</v>
      </c>
      <c r="G1136">
        <v>0</v>
      </c>
      <c r="H1136">
        <v>0</v>
      </c>
      <c r="I1136">
        <v>1</v>
      </c>
      <c r="J1136" t="s">
        <v>88</v>
      </c>
      <c r="K1136" t="s">
        <v>89</v>
      </c>
      <c r="L1136">
        <v>0</v>
      </c>
      <c r="M1136">
        <v>0</v>
      </c>
      <c r="N1136">
        <v>0</v>
      </c>
      <c r="O1136">
        <v>1</v>
      </c>
      <c r="P1136">
        <v>0</v>
      </c>
      <c r="Q1136" t="s">
        <v>584</v>
      </c>
      <c r="AA1136" t="s">
        <v>83</v>
      </c>
      <c r="AB1136" t="s">
        <v>83</v>
      </c>
      <c r="AC1136" t="s">
        <v>82</v>
      </c>
      <c r="AD1136" t="s">
        <v>82</v>
      </c>
      <c r="AE1136" t="s">
        <v>83</v>
      </c>
      <c r="AF1136" t="s">
        <v>83</v>
      </c>
      <c r="AG1136" t="s">
        <v>83</v>
      </c>
      <c r="AH1136" t="s">
        <v>83</v>
      </c>
      <c r="AI1136" t="s">
        <v>88</v>
      </c>
      <c r="AJ1136" t="s">
        <v>89</v>
      </c>
      <c r="AK1136" t="s">
        <v>100</v>
      </c>
      <c r="AL1136" t="s">
        <v>107</v>
      </c>
      <c r="AM1136" t="s">
        <v>87</v>
      </c>
      <c r="AN1136" t="s">
        <v>87</v>
      </c>
      <c r="AO1136" t="s">
        <v>87</v>
      </c>
      <c r="AP1136" t="s">
        <v>87</v>
      </c>
      <c r="AQ1136" t="s">
        <v>86</v>
      </c>
      <c r="AR1136" t="s">
        <v>101</v>
      </c>
      <c r="AS1136" t="s">
        <v>92</v>
      </c>
      <c r="AT1136" t="s">
        <v>107</v>
      </c>
      <c r="AU1136">
        <v>0</v>
      </c>
      <c r="AV1136">
        <v>0</v>
      </c>
      <c r="AW1136">
        <v>0</v>
      </c>
      <c r="AX1136">
        <v>1</v>
      </c>
      <c r="AY1136">
        <v>0</v>
      </c>
      <c r="AZ1136" t="s">
        <v>580</v>
      </c>
    </row>
    <row r="1137" spans="1:52" x14ac:dyDescent="0.2">
      <c r="A1137">
        <v>0</v>
      </c>
      <c r="B1137">
        <v>1</v>
      </c>
      <c r="C1137">
        <v>0</v>
      </c>
      <c r="D1137">
        <v>0</v>
      </c>
      <c r="E1137">
        <v>0</v>
      </c>
      <c r="F1137">
        <v>0</v>
      </c>
      <c r="G1137">
        <v>0</v>
      </c>
      <c r="H1137">
        <v>0</v>
      </c>
      <c r="I1137">
        <v>1</v>
      </c>
      <c r="J1137" t="s">
        <v>79</v>
      </c>
      <c r="K1137" t="s">
        <v>80</v>
      </c>
      <c r="L1137">
        <v>0</v>
      </c>
      <c r="M1137">
        <v>1</v>
      </c>
      <c r="N1137">
        <v>0</v>
      </c>
      <c r="O1137">
        <v>0</v>
      </c>
      <c r="P1137">
        <v>0</v>
      </c>
      <c r="Q1137" t="s">
        <v>584</v>
      </c>
      <c r="AA1137" t="s">
        <v>90</v>
      </c>
      <c r="AB1137" t="s">
        <v>82</v>
      </c>
      <c r="AC1137" t="s">
        <v>90</v>
      </c>
      <c r="AD1137" t="s">
        <v>90</v>
      </c>
      <c r="AE1137" t="s">
        <v>90</v>
      </c>
      <c r="AF1137" t="s">
        <v>90</v>
      </c>
      <c r="AG1137" t="s">
        <v>90</v>
      </c>
      <c r="AH1137" t="s">
        <v>90</v>
      </c>
      <c r="AI1137" t="s">
        <v>127</v>
      </c>
      <c r="AJ1137" t="s">
        <v>127</v>
      </c>
      <c r="AL1137" t="s">
        <v>107</v>
      </c>
      <c r="AM1137" t="s">
        <v>87</v>
      </c>
      <c r="AN1137" t="s">
        <v>87</v>
      </c>
      <c r="AO1137" t="s">
        <v>87</v>
      </c>
      <c r="AP1137" t="s">
        <v>87</v>
      </c>
      <c r="AQ1137" t="s">
        <v>87</v>
      </c>
      <c r="AR1137" t="s">
        <v>101</v>
      </c>
      <c r="AS1137" t="s">
        <v>76</v>
      </c>
      <c r="AT1137" t="s">
        <v>107</v>
      </c>
      <c r="AU1137">
        <v>0</v>
      </c>
      <c r="AV1137">
        <v>0</v>
      </c>
      <c r="AW1137">
        <v>0</v>
      </c>
      <c r="AX1137">
        <v>1</v>
      </c>
      <c r="AY1137">
        <v>0</v>
      </c>
      <c r="AZ1137" t="s">
        <v>578</v>
      </c>
    </row>
    <row r="1138" spans="1:52" x14ac:dyDescent="0.2">
      <c r="A1138">
        <v>1</v>
      </c>
      <c r="B1138">
        <v>0</v>
      </c>
      <c r="C1138">
        <v>0</v>
      </c>
      <c r="D1138">
        <v>0</v>
      </c>
      <c r="E1138">
        <v>1</v>
      </c>
      <c r="F1138">
        <v>0</v>
      </c>
      <c r="G1138">
        <v>0</v>
      </c>
      <c r="H1138">
        <v>0</v>
      </c>
      <c r="I1138">
        <v>0</v>
      </c>
      <c r="L1138">
        <v>0</v>
      </c>
      <c r="M1138">
        <v>0</v>
      </c>
      <c r="N1138">
        <v>1</v>
      </c>
      <c r="O1138">
        <v>0</v>
      </c>
      <c r="P1138">
        <v>0</v>
      </c>
      <c r="Q1138" t="s">
        <v>584</v>
      </c>
      <c r="AA1138" t="s">
        <v>82</v>
      </c>
      <c r="AB1138" t="s">
        <v>81</v>
      </c>
      <c r="AC1138" t="s">
        <v>83</v>
      </c>
      <c r="AD1138" t="s">
        <v>83</v>
      </c>
      <c r="AE1138" t="s">
        <v>82</v>
      </c>
      <c r="AF1138" t="s">
        <v>82</v>
      </c>
      <c r="AG1138" t="s">
        <v>81</v>
      </c>
      <c r="AH1138" t="s">
        <v>82</v>
      </c>
      <c r="AI1138" t="s">
        <v>84</v>
      </c>
      <c r="AJ1138" t="s">
        <v>80</v>
      </c>
      <c r="AK1138" t="s">
        <v>117</v>
      </c>
      <c r="AL1138" t="s">
        <v>96</v>
      </c>
      <c r="AM1138" t="s">
        <v>87</v>
      </c>
      <c r="AN1138" t="s">
        <v>74</v>
      </c>
      <c r="AO1138" t="s">
        <v>74</v>
      </c>
      <c r="AP1138" t="s">
        <v>87</v>
      </c>
      <c r="AQ1138" t="s">
        <v>74</v>
      </c>
      <c r="AR1138" t="s">
        <v>101</v>
      </c>
      <c r="AS1138" t="s">
        <v>76</v>
      </c>
      <c r="AT1138" t="s">
        <v>96</v>
      </c>
      <c r="AU1138">
        <v>0</v>
      </c>
      <c r="AV1138">
        <v>0</v>
      </c>
      <c r="AW1138">
        <v>0</v>
      </c>
      <c r="AX1138">
        <v>1</v>
      </c>
      <c r="AY1138">
        <v>0</v>
      </c>
      <c r="AZ1138" t="s">
        <v>579</v>
      </c>
    </row>
    <row r="1139" spans="1:52" x14ac:dyDescent="0.2">
      <c r="A1139">
        <v>0</v>
      </c>
      <c r="B1139">
        <v>1</v>
      </c>
      <c r="C1139">
        <v>0</v>
      </c>
      <c r="D1139">
        <v>0</v>
      </c>
      <c r="E1139">
        <v>0</v>
      </c>
      <c r="F1139">
        <v>0</v>
      </c>
      <c r="G1139">
        <v>0</v>
      </c>
      <c r="H1139">
        <v>0</v>
      </c>
      <c r="I1139">
        <v>1</v>
      </c>
      <c r="J1139" t="s">
        <v>88</v>
      </c>
      <c r="K1139" t="s">
        <v>89</v>
      </c>
      <c r="L1139">
        <v>0</v>
      </c>
      <c r="M1139">
        <v>0</v>
      </c>
      <c r="N1139">
        <v>0</v>
      </c>
      <c r="O1139">
        <v>0</v>
      </c>
      <c r="P1139">
        <v>1</v>
      </c>
      <c r="Q1139" t="s">
        <v>584</v>
      </c>
      <c r="AA1139" t="s">
        <v>81</v>
      </c>
      <c r="AB1139" t="s">
        <v>82</v>
      </c>
      <c r="AC1139" t="s">
        <v>90</v>
      </c>
      <c r="AD1139" t="s">
        <v>82</v>
      </c>
      <c r="AE1139" t="s">
        <v>82</v>
      </c>
      <c r="AF1139" t="s">
        <v>82</v>
      </c>
      <c r="AG1139" t="s">
        <v>82</v>
      </c>
      <c r="AH1139" t="s">
        <v>90</v>
      </c>
      <c r="AI1139" t="s">
        <v>88</v>
      </c>
      <c r="AJ1139" t="s">
        <v>89</v>
      </c>
      <c r="AK1139" t="s">
        <v>100</v>
      </c>
      <c r="AL1139" t="s">
        <v>107</v>
      </c>
      <c r="AM1139" t="s">
        <v>86</v>
      </c>
      <c r="AN1139" t="s">
        <v>86</v>
      </c>
      <c r="AO1139" t="s">
        <v>86</v>
      </c>
      <c r="AP1139" t="s">
        <v>74</v>
      </c>
      <c r="AQ1139" t="s">
        <v>74</v>
      </c>
      <c r="AR1139" t="s">
        <v>97</v>
      </c>
      <c r="AS1139" t="s">
        <v>76</v>
      </c>
      <c r="AT1139" t="s">
        <v>107</v>
      </c>
      <c r="AU1139">
        <v>0</v>
      </c>
      <c r="AV1139">
        <v>0</v>
      </c>
      <c r="AW1139">
        <v>0</v>
      </c>
      <c r="AX1139">
        <v>1</v>
      </c>
      <c r="AY1139">
        <v>0</v>
      </c>
      <c r="AZ1139" t="s">
        <v>580</v>
      </c>
    </row>
    <row r="1140" spans="1:52" x14ac:dyDescent="0.2">
      <c r="A1140">
        <v>1</v>
      </c>
      <c r="B1140">
        <v>0</v>
      </c>
      <c r="C1140">
        <v>0</v>
      </c>
      <c r="D1140">
        <v>0</v>
      </c>
      <c r="E1140">
        <v>0</v>
      </c>
      <c r="F1140">
        <v>1</v>
      </c>
      <c r="G1140">
        <v>1</v>
      </c>
      <c r="H1140">
        <v>1</v>
      </c>
      <c r="I1140">
        <v>0</v>
      </c>
      <c r="J1140" t="s">
        <v>88</v>
      </c>
      <c r="K1140" t="s">
        <v>89</v>
      </c>
      <c r="L1140">
        <v>0</v>
      </c>
      <c r="M1140">
        <v>0</v>
      </c>
      <c r="N1140">
        <v>1</v>
      </c>
      <c r="O1140">
        <v>0</v>
      </c>
      <c r="P1140">
        <v>0</v>
      </c>
      <c r="Q1140" t="s">
        <v>584</v>
      </c>
      <c r="AA1140" t="s">
        <v>82</v>
      </c>
      <c r="AB1140" t="s">
        <v>82</v>
      </c>
      <c r="AC1140" t="s">
        <v>81</v>
      </c>
      <c r="AD1140" t="s">
        <v>82</v>
      </c>
      <c r="AE1140" t="s">
        <v>82</v>
      </c>
      <c r="AF1140" t="s">
        <v>83</v>
      </c>
      <c r="AG1140" t="s">
        <v>83</v>
      </c>
      <c r="AH1140" t="s">
        <v>83</v>
      </c>
      <c r="AI1140" t="s">
        <v>88</v>
      </c>
      <c r="AJ1140" t="s">
        <v>89</v>
      </c>
      <c r="AK1140" t="s">
        <v>100</v>
      </c>
      <c r="AL1140" t="s">
        <v>107</v>
      </c>
      <c r="AM1140" t="s">
        <v>87</v>
      </c>
      <c r="AN1140" t="s">
        <v>87</v>
      </c>
      <c r="AO1140" t="s">
        <v>87</v>
      </c>
      <c r="AP1140" t="s">
        <v>87</v>
      </c>
      <c r="AQ1140" t="s">
        <v>87</v>
      </c>
      <c r="AR1140" t="s">
        <v>101</v>
      </c>
      <c r="AS1140" t="s">
        <v>76</v>
      </c>
      <c r="AT1140" t="s">
        <v>107</v>
      </c>
      <c r="AU1140">
        <v>0</v>
      </c>
      <c r="AV1140">
        <v>0</v>
      </c>
      <c r="AW1140">
        <v>0</v>
      </c>
      <c r="AX1140">
        <v>1</v>
      </c>
      <c r="AY1140">
        <v>0</v>
      </c>
      <c r="AZ1140" t="s">
        <v>579</v>
      </c>
    </row>
    <row r="1141" spans="1:52" x14ac:dyDescent="0.2">
      <c r="A1141">
        <v>0</v>
      </c>
      <c r="B1141">
        <v>1</v>
      </c>
      <c r="C1141">
        <v>0</v>
      </c>
      <c r="D1141">
        <v>0</v>
      </c>
      <c r="E1141">
        <v>1</v>
      </c>
      <c r="F1141">
        <v>0</v>
      </c>
      <c r="G1141">
        <v>0</v>
      </c>
      <c r="H1141">
        <v>0</v>
      </c>
      <c r="I1141">
        <v>0</v>
      </c>
      <c r="L1141">
        <v>1</v>
      </c>
      <c r="M1141">
        <v>0</v>
      </c>
      <c r="N1141">
        <v>0</v>
      </c>
      <c r="O1141">
        <v>0</v>
      </c>
      <c r="P1141">
        <v>0</v>
      </c>
      <c r="Q1141" t="s">
        <v>584</v>
      </c>
      <c r="R1141">
        <v>0</v>
      </c>
      <c r="S1141">
        <v>0</v>
      </c>
      <c r="T1141">
        <v>0</v>
      </c>
      <c r="U1141">
        <v>0</v>
      </c>
      <c r="V1141">
        <v>0</v>
      </c>
      <c r="W1141">
        <v>1</v>
      </c>
      <c r="X1141">
        <v>0</v>
      </c>
      <c r="Y1141">
        <v>0</v>
      </c>
      <c r="Z1141">
        <v>0</v>
      </c>
      <c r="AL1141" t="s">
        <v>96</v>
      </c>
      <c r="AM1141" t="s">
        <v>87</v>
      </c>
      <c r="AN1141" t="s">
        <v>87</v>
      </c>
      <c r="AO1141" t="s">
        <v>86</v>
      </c>
      <c r="AP1141" t="s">
        <v>87</v>
      </c>
      <c r="AQ1141" t="s">
        <v>87</v>
      </c>
      <c r="AR1141" t="s">
        <v>159</v>
      </c>
      <c r="AS1141" t="s">
        <v>76</v>
      </c>
      <c r="AT1141" t="s">
        <v>96</v>
      </c>
      <c r="AU1141">
        <v>0</v>
      </c>
      <c r="AV1141">
        <v>0</v>
      </c>
      <c r="AW1141">
        <v>0</v>
      </c>
      <c r="AX1141">
        <v>1</v>
      </c>
      <c r="AY1141">
        <v>0</v>
      </c>
      <c r="AZ1141" t="s">
        <v>579</v>
      </c>
    </row>
    <row r="1142" spans="1:52" x14ac:dyDescent="0.2">
      <c r="A1142">
        <v>1</v>
      </c>
      <c r="B1142">
        <v>0</v>
      </c>
      <c r="C1142">
        <v>0</v>
      </c>
      <c r="D1142">
        <v>0</v>
      </c>
      <c r="E1142">
        <v>1</v>
      </c>
      <c r="F1142">
        <v>0</v>
      </c>
      <c r="G1142">
        <v>0</v>
      </c>
      <c r="H1142">
        <v>0</v>
      </c>
      <c r="I1142">
        <v>0</v>
      </c>
      <c r="L1142">
        <v>1</v>
      </c>
      <c r="M1142">
        <v>0</v>
      </c>
      <c r="N1142">
        <v>0</v>
      </c>
      <c r="O1142">
        <v>0</v>
      </c>
      <c r="P1142">
        <v>0</v>
      </c>
      <c r="Q1142" t="s">
        <v>584</v>
      </c>
      <c r="R1142">
        <v>1</v>
      </c>
      <c r="S1142">
        <v>0</v>
      </c>
      <c r="T1142">
        <v>0</v>
      </c>
      <c r="U1142">
        <v>0</v>
      </c>
      <c r="V1142">
        <v>0</v>
      </c>
      <c r="W1142">
        <v>0</v>
      </c>
      <c r="X1142">
        <v>0</v>
      </c>
      <c r="Y1142">
        <v>0</v>
      </c>
      <c r="Z1142">
        <v>0</v>
      </c>
      <c r="AL1142" t="s">
        <v>96</v>
      </c>
      <c r="AM1142" t="s">
        <v>86</v>
      </c>
      <c r="AN1142" t="s">
        <v>74</v>
      </c>
      <c r="AO1142" t="s">
        <v>86</v>
      </c>
      <c r="AP1142" t="s">
        <v>87</v>
      </c>
      <c r="AQ1142" t="s">
        <v>87</v>
      </c>
      <c r="AR1142" t="s">
        <v>97</v>
      </c>
      <c r="AS1142" t="s">
        <v>76</v>
      </c>
      <c r="AT1142" t="s">
        <v>96</v>
      </c>
      <c r="AU1142">
        <v>0</v>
      </c>
      <c r="AV1142">
        <v>0</v>
      </c>
      <c r="AW1142">
        <v>0</v>
      </c>
      <c r="AX1142">
        <v>1</v>
      </c>
      <c r="AY1142">
        <v>0</v>
      </c>
      <c r="AZ1142" t="s">
        <v>579</v>
      </c>
    </row>
    <row r="1143" spans="1:52" x14ac:dyDescent="0.2">
      <c r="A1143">
        <v>1</v>
      </c>
      <c r="B1143">
        <v>0</v>
      </c>
      <c r="C1143">
        <v>0</v>
      </c>
      <c r="D1143">
        <v>0</v>
      </c>
      <c r="E1143">
        <v>1</v>
      </c>
      <c r="F1143">
        <v>0</v>
      </c>
      <c r="G1143">
        <v>0</v>
      </c>
      <c r="H1143">
        <v>0</v>
      </c>
      <c r="I1143">
        <v>0</v>
      </c>
      <c r="L1143">
        <v>1</v>
      </c>
      <c r="M1143">
        <v>0</v>
      </c>
      <c r="N1143">
        <v>0</v>
      </c>
      <c r="O1143">
        <v>0</v>
      </c>
      <c r="P1143">
        <v>0</v>
      </c>
      <c r="Q1143" t="s">
        <v>584</v>
      </c>
      <c r="R1143">
        <v>0</v>
      </c>
      <c r="S1143">
        <v>1</v>
      </c>
      <c r="T1143">
        <v>0</v>
      </c>
      <c r="U1143">
        <v>0</v>
      </c>
      <c r="V1143">
        <v>0</v>
      </c>
      <c r="W1143">
        <v>0</v>
      </c>
      <c r="X1143">
        <v>0</v>
      </c>
      <c r="Y1143">
        <v>0</v>
      </c>
      <c r="Z1143">
        <v>0</v>
      </c>
      <c r="AL1143" t="s">
        <v>107</v>
      </c>
      <c r="AM1143" t="s">
        <v>86</v>
      </c>
      <c r="AN1143" t="s">
        <v>87</v>
      </c>
      <c r="AO1143" t="s">
        <v>86</v>
      </c>
      <c r="AP1143" t="s">
        <v>86</v>
      </c>
      <c r="AQ1143" t="s">
        <v>86</v>
      </c>
      <c r="AR1143" t="s">
        <v>75</v>
      </c>
      <c r="AS1143" t="s">
        <v>92</v>
      </c>
      <c r="AT1143" t="s">
        <v>107</v>
      </c>
      <c r="AU1143">
        <v>0</v>
      </c>
      <c r="AV1143">
        <v>0</v>
      </c>
      <c r="AW1143">
        <v>0</v>
      </c>
      <c r="AX1143">
        <v>1</v>
      </c>
      <c r="AY1143">
        <v>0</v>
      </c>
      <c r="AZ1143" t="s">
        <v>579</v>
      </c>
    </row>
    <row r="1144" spans="1:52" x14ac:dyDescent="0.2">
      <c r="A1144">
        <v>1</v>
      </c>
      <c r="B1144">
        <v>1</v>
      </c>
      <c r="C1144">
        <v>0</v>
      </c>
      <c r="D1144">
        <v>0</v>
      </c>
      <c r="E1144">
        <v>0</v>
      </c>
      <c r="F1144">
        <v>1</v>
      </c>
      <c r="G1144">
        <v>0</v>
      </c>
      <c r="H1144">
        <v>0</v>
      </c>
      <c r="I1144">
        <v>0</v>
      </c>
      <c r="J1144" t="s">
        <v>79</v>
      </c>
      <c r="K1144" t="s">
        <v>80</v>
      </c>
      <c r="L1144">
        <v>1</v>
      </c>
      <c r="M1144">
        <v>0</v>
      </c>
      <c r="N1144">
        <v>0</v>
      </c>
      <c r="O1144">
        <v>0</v>
      </c>
      <c r="P1144">
        <v>0</v>
      </c>
      <c r="Q1144" t="s">
        <v>584</v>
      </c>
      <c r="R1144">
        <v>0</v>
      </c>
      <c r="S1144">
        <v>0</v>
      </c>
      <c r="T1144">
        <v>1</v>
      </c>
      <c r="U1144">
        <v>0</v>
      </c>
      <c r="V1144">
        <v>0</v>
      </c>
      <c r="W1144">
        <v>0</v>
      </c>
      <c r="X1144">
        <v>0</v>
      </c>
      <c r="Y1144">
        <v>0</v>
      </c>
      <c r="Z1144">
        <v>0</v>
      </c>
      <c r="AL1144" t="s">
        <v>73</v>
      </c>
      <c r="AM1144" t="s">
        <v>86</v>
      </c>
      <c r="AN1144" t="s">
        <v>87</v>
      </c>
      <c r="AO1144" t="s">
        <v>87</v>
      </c>
      <c r="AP1144" t="s">
        <v>87</v>
      </c>
      <c r="AQ1144" t="s">
        <v>86</v>
      </c>
      <c r="AR1144" t="s">
        <v>75</v>
      </c>
      <c r="AS1144" t="s">
        <v>92</v>
      </c>
      <c r="AT1144" t="s">
        <v>73</v>
      </c>
      <c r="AU1144">
        <v>0</v>
      </c>
      <c r="AV1144">
        <v>0</v>
      </c>
      <c r="AW1144">
        <v>0</v>
      </c>
      <c r="AX1144">
        <v>1</v>
      </c>
      <c r="AY1144">
        <v>0</v>
      </c>
      <c r="AZ1144" t="s">
        <v>579</v>
      </c>
    </row>
    <row r="1145" spans="1:52" x14ac:dyDescent="0.2">
      <c r="A1145">
        <v>1</v>
      </c>
      <c r="B1145">
        <v>0</v>
      </c>
      <c r="C1145">
        <v>0</v>
      </c>
      <c r="D1145">
        <v>0</v>
      </c>
      <c r="E1145">
        <v>0</v>
      </c>
      <c r="F1145">
        <v>1</v>
      </c>
      <c r="G1145">
        <v>1</v>
      </c>
      <c r="H1145">
        <v>0</v>
      </c>
      <c r="I1145">
        <v>0</v>
      </c>
      <c r="J1145" t="s">
        <v>88</v>
      </c>
      <c r="K1145" t="s">
        <v>89</v>
      </c>
      <c r="L1145">
        <v>1</v>
      </c>
      <c r="M1145">
        <v>0</v>
      </c>
      <c r="N1145">
        <v>0</v>
      </c>
      <c r="O1145">
        <v>0</v>
      </c>
      <c r="P1145">
        <v>0</v>
      </c>
      <c r="Q1145" t="s">
        <v>584</v>
      </c>
      <c r="R1145">
        <v>0</v>
      </c>
      <c r="S1145">
        <v>0</v>
      </c>
      <c r="T1145">
        <v>1</v>
      </c>
      <c r="U1145">
        <v>0</v>
      </c>
      <c r="V1145">
        <v>0</v>
      </c>
      <c r="W1145">
        <v>0</v>
      </c>
      <c r="X1145">
        <v>0</v>
      </c>
      <c r="Y1145">
        <v>0</v>
      </c>
      <c r="Z1145">
        <v>0</v>
      </c>
      <c r="AL1145" t="s">
        <v>107</v>
      </c>
      <c r="AM1145" t="s">
        <v>86</v>
      </c>
      <c r="AN1145" t="s">
        <v>86</v>
      </c>
      <c r="AO1145" t="s">
        <v>86</v>
      </c>
      <c r="AP1145" t="s">
        <v>74</v>
      </c>
      <c r="AQ1145" t="s">
        <v>86</v>
      </c>
      <c r="AR1145" t="s">
        <v>75</v>
      </c>
      <c r="AS1145" t="s">
        <v>76</v>
      </c>
      <c r="AT1145" t="s">
        <v>107</v>
      </c>
      <c r="AU1145">
        <v>0</v>
      </c>
      <c r="AV1145">
        <v>0</v>
      </c>
      <c r="AW1145">
        <v>0</v>
      </c>
      <c r="AX1145">
        <v>1</v>
      </c>
      <c r="AY1145">
        <v>0</v>
      </c>
      <c r="AZ1145" t="s">
        <v>579</v>
      </c>
    </row>
    <row r="1146" spans="1:52" x14ac:dyDescent="0.2">
      <c r="A1146">
        <v>1</v>
      </c>
      <c r="B1146">
        <v>0</v>
      </c>
      <c r="C1146">
        <v>0</v>
      </c>
      <c r="D1146">
        <v>0</v>
      </c>
      <c r="E1146">
        <v>0</v>
      </c>
      <c r="F1146">
        <v>1</v>
      </c>
      <c r="G1146">
        <v>0</v>
      </c>
      <c r="H1146">
        <v>0</v>
      </c>
      <c r="I1146">
        <v>0</v>
      </c>
      <c r="J1146" t="s">
        <v>88</v>
      </c>
      <c r="K1146" t="s">
        <v>127</v>
      </c>
      <c r="L1146">
        <v>0</v>
      </c>
      <c r="M1146">
        <v>1</v>
      </c>
      <c r="N1146">
        <v>1</v>
      </c>
      <c r="O1146">
        <v>0</v>
      </c>
      <c r="P1146">
        <v>0</v>
      </c>
      <c r="Q1146" t="s">
        <v>584</v>
      </c>
      <c r="AA1146" t="s">
        <v>83</v>
      </c>
      <c r="AB1146" t="s">
        <v>82</v>
      </c>
      <c r="AC1146" t="s">
        <v>83</v>
      </c>
      <c r="AD1146" t="s">
        <v>82</v>
      </c>
      <c r="AE1146" t="s">
        <v>82</v>
      </c>
      <c r="AF1146" t="s">
        <v>83</v>
      </c>
      <c r="AG1146" t="s">
        <v>83</v>
      </c>
      <c r="AH1146" t="s">
        <v>83</v>
      </c>
      <c r="AI1146" t="s">
        <v>88</v>
      </c>
      <c r="AJ1146" t="s">
        <v>89</v>
      </c>
      <c r="AK1146" t="s">
        <v>85</v>
      </c>
      <c r="AL1146" t="s">
        <v>107</v>
      </c>
      <c r="AM1146" t="s">
        <v>87</v>
      </c>
      <c r="AN1146" t="s">
        <v>87</v>
      </c>
      <c r="AO1146" t="s">
        <v>87</v>
      </c>
      <c r="AP1146" t="s">
        <v>87</v>
      </c>
      <c r="AQ1146" t="s">
        <v>87</v>
      </c>
      <c r="AR1146" t="s">
        <v>75</v>
      </c>
      <c r="AS1146" t="s">
        <v>76</v>
      </c>
      <c r="AT1146" t="s">
        <v>107</v>
      </c>
      <c r="AU1146">
        <v>0</v>
      </c>
      <c r="AV1146">
        <v>0</v>
      </c>
      <c r="AW1146">
        <v>0</v>
      </c>
      <c r="AX1146">
        <v>1</v>
      </c>
      <c r="AY1146">
        <v>0</v>
      </c>
      <c r="AZ1146" t="s">
        <v>579</v>
      </c>
    </row>
    <row r="1147" spans="1:52" x14ac:dyDescent="0.2">
      <c r="A1147">
        <v>1</v>
      </c>
      <c r="B1147">
        <v>0</v>
      </c>
      <c r="C1147">
        <v>0</v>
      </c>
      <c r="D1147">
        <v>0</v>
      </c>
      <c r="E1147">
        <v>0</v>
      </c>
      <c r="F1147">
        <v>1</v>
      </c>
      <c r="G1147">
        <v>0</v>
      </c>
      <c r="H1147">
        <v>0</v>
      </c>
      <c r="I1147">
        <v>0</v>
      </c>
      <c r="J1147" t="s">
        <v>88</v>
      </c>
      <c r="K1147" t="s">
        <v>89</v>
      </c>
      <c r="L1147">
        <v>0</v>
      </c>
      <c r="M1147">
        <v>0</v>
      </c>
      <c r="N1147">
        <v>1</v>
      </c>
      <c r="O1147">
        <v>0</v>
      </c>
      <c r="P1147">
        <v>0</v>
      </c>
      <c r="Q1147" t="s">
        <v>584</v>
      </c>
      <c r="AA1147" t="s">
        <v>81</v>
      </c>
      <c r="AB1147" t="s">
        <v>82</v>
      </c>
      <c r="AC1147" t="s">
        <v>83</v>
      </c>
      <c r="AD1147" t="s">
        <v>81</v>
      </c>
      <c r="AE1147" t="s">
        <v>82</v>
      </c>
      <c r="AF1147" t="s">
        <v>81</v>
      </c>
      <c r="AG1147" t="s">
        <v>82</v>
      </c>
      <c r="AH1147" t="s">
        <v>83</v>
      </c>
      <c r="AI1147" t="s">
        <v>88</v>
      </c>
      <c r="AJ1147" t="s">
        <v>89</v>
      </c>
      <c r="AK1147" t="s">
        <v>85</v>
      </c>
      <c r="AL1147" t="s">
        <v>73</v>
      </c>
      <c r="AM1147" t="s">
        <v>87</v>
      </c>
      <c r="AN1147" t="s">
        <v>86</v>
      </c>
      <c r="AO1147" t="s">
        <v>87</v>
      </c>
      <c r="AP1147" t="s">
        <v>86</v>
      </c>
      <c r="AQ1147" t="s">
        <v>87</v>
      </c>
      <c r="AR1147" t="s">
        <v>101</v>
      </c>
      <c r="AS1147" t="s">
        <v>76</v>
      </c>
      <c r="AT1147" t="s">
        <v>73</v>
      </c>
      <c r="AU1147">
        <v>0</v>
      </c>
      <c r="AV1147">
        <v>0</v>
      </c>
      <c r="AW1147">
        <v>0</v>
      </c>
      <c r="AX1147">
        <v>1</v>
      </c>
      <c r="AY1147">
        <v>0</v>
      </c>
      <c r="AZ1147" t="s">
        <v>579</v>
      </c>
    </row>
    <row r="1148" spans="1:52" x14ac:dyDescent="0.2">
      <c r="A1148">
        <v>1</v>
      </c>
      <c r="B1148">
        <v>0</v>
      </c>
      <c r="C1148">
        <v>0</v>
      </c>
      <c r="D1148">
        <v>0</v>
      </c>
      <c r="E1148">
        <v>1</v>
      </c>
      <c r="F1148">
        <v>0</v>
      </c>
      <c r="G1148">
        <v>0</v>
      </c>
      <c r="H1148">
        <v>0</v>
      </c>
      <c r="I1148">
        <v>0</v>
      </c>
      <c r="L1148">
        <v>0</v>
      </c>
      <c r="M1148">
        <v>0</v>
      </c>
      <c r="N1148">
        <v>1</v>
      </c>
      <c r="O1148">
        <v>0</v>
      </c>
      <c r="P1148">
        <v>0</v>
      </c>
      <c r="Q1148" t="s">
        <v>584</v>
      </c>
      <c r="AA1148" t="s">
        <v>83</v>
      </c>
      <c r="AB1148" t="s">
        <v>81</v>
      </c>
      <c r="AC1148" t="s">
        <v>83</v>
      </c>
      <c r="AD1148" t="s">
        <v>83</v>
      </c>
      <c r="AE1148" t="s">
        <v>81</v>
      </c>
      <c r="AF1148" t="s">
        <v>83</v>
      </c>
      <c r="AG1148" t="s">
        <v>83</v>
      </c>
      <c r="AH1148" t="s">
        <v>82</v>
      </c>
      <c r="AI1148" t="s">
        <v>88</v>
      </c>
      <c r="AJ1148" t="s">
        <v>89</v>
      </c>
      <c r="AK1148" t="s">
        <v>85</v>
      </c>
      <c r="AL1148" t="s">
        <v>107</v>
      </c>
      <c r="AM1148" t="s">
        <v>87</v>
      </c>
      <c r="AN1148" t="s">
        <v>87</v>
      </c>
      <c r="AO1148" t="s">
        <v>87</v>
      </c>
      <c r="AP1148" t="s">
        <v>87</v>
      </c>
      <c r="AQ1148" t="s">
        <v>87</v>
      </c>
      <c r="AR1148" t="s">
        <v>75</v>
      </c>
      <c r="AS1148" t="s">
        <v>76</v>
      </c>
      <c r="AT1148" t="s">
        <v>107</v>
      </c>
      <c r="AU1148">
        <v>0</v>
      </c>
      <c r="AV1148">
        <v>0</v>
      </c>
      <c r="AW1148">
        <v>0</v>
      </c>
      <c r="AX1148">
        <v>1</v>
      </c>
      <c r="AY1148">
        <v>0</v>
      </c>
      <c r="AZ1148" t="s">
        <v>579</v>
      </c>
    </row>
    <row r="1149" spans="1:52" x14ac:dyDescent="0.2">
      <c r="A1149">
        <v>1</v>
      </c>
      <c r="B1149">
        <v>0</v>
      </c>
      <c r="C1149">
        <v>0</v>
      </c>
      <c r="D1149">
        <v>0</v>
      </c>
      <c r="E1149">
        <v>1</v>
      </c>
      <c r="F1149">
        <v>0</v>
      </c>
      <c r="G1149">
        <v>0</v>
      </c>
      <c r="H1149">
        <v>0</v>
      </c>
      <c r="I1149">
        <v>0</v>
      </c>
      <c r="L1149">
        <v>1</v>
      </c>
      <c r="M1149">
        <v>0</v>
      </c>
      <c r="N1149">
        <v>0</v>
      </c>
      <c r="O1149">
        <v>0</v>
      </c>
      <c r="P1149">
        <v>0</v>
      </c>
      <c r="Q1149" t="s">
        <v>584</v>
      </c>
      <c r="R1149">
        <v>0</v>
      </c>
      <c r="S1149">
        <v>0</v>
      </c>
      <c r="T1149">
        <v>1</v>
      </c>
      <c r="U1149">
        <v>0</v>
      </c>
      <c r="V1149">
        <v>0</v>
      </c>
      <c r="W1149">
        <v>0</v>
      </c>
      <c r="X1149">
        <v>0</v>
      </c>
      <c r="Y1149">
        <v>0</v>
      </c>
      <c r="Z1149">
        <v>0</v>
      </c>
      <c r="AL1149" t="s">
        <v>96</v>
      </c>
      <c r="AM1149" t="s">
        <v>87</v>
      </c>
      <c r="AN1149" t="s">
        <v>87</v>
      </c>
      <c r="AO1149" t="s">
        <v>87</v>
      </c>
      <c r="AP1149" t="s">
        <v>87</v>
      </c>
      <c r="AQ1149" t="s">
        <v>87</v>
      </c>
      <c r="AR1149" t="s">
        <v>75</v>
      </c>
      <c r="AS1149" t="s">
        <v>76</v>
      </c>
      <c r="AT1149" t="s">
        <v>96</v>
      </c>
      <c r="AU1149">
        <v>0</v>
      </c>
      <c r="AV1149">
        <v>0</v>
      </c>
      <c r="AW1149">
        <v>0</v>
      </c>
      <c r="AX1149">
        <v>1</v>
      </c>
      <c r="AY1149">
        <v>0</v>
      </c>
      <c r="AZ1149" t="s">
        <v>579</v>
      </c>
    </row>
    <row r="1150" spans="1:52" x14ac:dyDescent="0.2">
      <c r="A1150">
        <v>1</v>
      </c>
      <c r="B1150">
        <v>0</v>
      </c>
      <c r="C1150">
        <v>0</v>
      </c>
      <c r="D1150">
        <v>0</v>
      </c>
      <c r="E1150">
        <v>1</v>
      </c>
      <c r="F1150">
        <v>0</v>
      </c>
      <c r="G1150">
        <v>0</v>
      </c>
      <c r="H1150">
        <v>0</v>
      </c>
      <c r="I1150">
        <v>0</v>
      </c>
      <c r="L1150">
        <v>0</v>
      </c>
      <c r="M1150">
        <v>0</v>
      </c>
      <c r="N1150">
        <v>1</v>
      </c>
      <c r="O1150">
        <v>0</v>
      </c>
      <c r="P1150">
        <v>0</v>
      </c>
      <c r="Q1150" t="s">
        <v>584</v>
      </c>
      <c r="AA1150" t="s">
        <v>83</v>
      </c>
      <c r="AB1150" t="s">
        <v>82</v>
      </c>
      <c r="AC1150" t="s">
        <v>83</v>
      </c>
      <c r="AD1150" t="s">
        <v>83</v>
      </c>
      <c r="AE1150" t="s">
        <v>81</v>
      </c>
      <c r="AF1150" t="s">
        <v>81</v>
      </c>
      <c r="AG1150" t="s">
        <v>83</v>
      </c>
      <c r="AH1150" t="s">
        <v>83</v>
      </c>
      <c r="AI1150" t="s">
        <v>88</v>
      </c>
      <c r="AJ1150" t="s">
        <v>89</v>
      </c>
      <c r="AK1150" t="s">
        <v>85</v>
      </c>
      <c r="AL1150" t="s">
        <v>107</v>
      </c>
      <c r="AM1150" t="s">
        <v>74</v>
      </c>
      <c r="AR1150" t="s">
        <v>75</v>
      </c>
      <c r="AS1150" t="s">
        <v>76</v>
      </c>
      <c r="AT1150" t="s">
        <v>107</v>
      </c>
      <c r="AU1150">
        <v>0</v>
      </c>
      <c r="AV1150">
        <v>0</v>
      </c>
      <c r="AW1150">
        <v>0</v>
      </c>
      <c r="AX1150">
        <v>1</v>
      </c>
      <c r="AY1150">
        <v>0</v>
      </c>
      <c r="AZ1150" t="s">
        <v>578</v>
      </c>
    </row>
    <row r="1151" spans="1:52" x14ac:dyDescent="0.2">
      <c r="A1151">
        <v>1</v>
      </c>
      <c r="B1151">
        <v>0</v>
      </c>
      <c r="C1151">
        <v>0</v>
      </c>
      <c r="D1151">
        <v>0</v>
      </c>
      <c r="E1151">
        <v>1</v>
      </c>
      <c r="F1151">
        <v>0</v>
      </c>
      <c r="G1151">
        <v>0</v>
      </c>
      <c r="H1151">
        <v>0</v>
      </c>
      <c r="I1151">
        <v>0</v>
      </c>
      <c r="L1151">
        <v>1</v>
      </c>
      <c r="M1151">
        <v>0</v>
      </c>
      <c r="N1151">
        <v>0</v>
      </c>
      <c r="O1151">
        <v>0</v>
      </c>
      <c r="P1151">
        <v>0</v>
      </c>
      <c r="Q1151" t="s">
        <v>584</v>
      </c>
      <c r="R1151">
        <v>0</v>
      </c>
      <c r="S1151">
        <v>0</v>
      </c>
      <c r="T1151">
        <v>1</v>
      </c>
      <c r="U1151">
        <v>0</v>
      </c>
      <c r="V1151">
        <v>0</v>
      </c>
      <c r="W1151">
        <v>0</v>
      </c>
      <c r="X1151">
        <v>0</v>
      </c>
      <c r="Y1151">
        <v>0</v>
      </c>
      <c r="Z1151">
        <v>0</v>
      </c>
      <c r="AL1151" t="s">
        <v>107</v>
      </c>
      <c r="AM1151" t="s">
        <v>86</v>
      </c>
      <c r="AN1151" t="s">
        <v>87</v>
      </c>
      <c r="AO1151" t="s">
        <v>87</v>
      </c>
      <c r="AP1151" t="s">
        <v>87</v>
      </c>
      <c r="AQ1151" t="s">
        <v>87</v>
      </c>
      <c r="AR1151" t="s">
        <v>75</v>
      </c>
      <c r="AS1151" t="s">
        <v>76</v>
      </c>
      <c r="AT1151" t="s">
        <v>107</v>
      </c>
      <c r="AU1151">
        <v>0</v>
      </c>
      <c r="AV1151">
        <v>0</v>
      </c>
      <c r="AW1151">
        <v>0</v>
      </c>
      <c r="AX1151">
        <v>1</v>
      </c>
      <c r="AY1151">
        <v>0</v>
      </c>
      <c r="AZ1151" t="s">
        <v>579</v>
      </c>
    </row>
    <row r="1152" spans="1:52" x14ac:dyDescent="0.2">
      <c r="A1152">
        <v>1</v>
      </c>
      <c r="B1152">
        <v>0</v>
      </c>
      <c r="C1152">
        <v>0</v>
      </c>
      <c r="D1152">
        <v>0</v>
      </c>
      <c r="E1152">
        <v>0</v>
      </c>
      <c r="F1152">
        <v>1</v>
      </c>
      <c r="G1152">
        <v>0</v>
      </c>
      <c r="H1152">
        <v>0</v>
      </c>
      <c r="I1152">
        <v>0</v>
      </c>
      <c r="J1152" t="s">
        <v>135</v>
      </c>
      <c r="K1152" t="s">
        <v>89</v>
      </c>
      <c r="L1152">
        <v>0</v>
      </c>
      <c r="M1152">
        <v>0</v>
      </c>
      <c r="N1152">
        <v>0</v>
      </c>
      <c r="O1152">
        <v>0</v>
      </c>
      <c r="P1152">
        <v>0</v>
      </c>
      <c r="Q1152" t="s">
        <v>585</v>
      </c>
      <c r="AA1152" t="s">
        <v>83</v>
      </c>
      <c r="AB1152" t="s">
        <v>82</v>
      </c>
      <c r="AC1152" t="s">
        <v>83</v>
      </c>
      <c r="AD1152" t="s">
        <v>81</v>
      </c>
      <c r="AE1152" t="s">
        <v>83</v>
      </c>
      <c r="AF1152" t="s">
        <v>83</v>
      </c>
      <c r="AG1152" t="s">
        <v>83</v>
      </c>
      <c r="AH1152" t="s">
        <v>83</v>
      </c>
      <c r="AI1152" t="s">
        <v>135</v>
      </c>
      <c r="AJ1152" t="s">
        <v>89</v>
      </c>
      <c r="AK1152" t="s">
        <v>85</v>
      </c>
      <c r="AL1152" t="s">
        <v>73</v>
      </c>
      <c r="AM1152" t="s">
        <v>86</v>
      </c>
      <c r="AN1152" t="s">
        <v>87</v>
      </c>
      <c r="AO1152" t="s">
        <v>87</v>
      </c>
      <c r="AP1152" t="s">
        <v>87</v>
      </c>
      <c r="AQ1152" t="s">
        <v>87</v>
      </c>
      <c r="AR1152" t="s">
        <v>108</v>
      </c>
      <c r="AS1152" t="s">
        <v>76</v>
      </c>
      <c r="AT1152" t="s">
        <v>73</v>
      </c>
      <c r="AU1152">
        <v>0</v>
      </c>
      <c r="AV1152">
        <v>0</v>
      </c>
      <c r="AW1152">
        <v>0</v>
      </c>
      <c r="AX1152">
        <v>1</v>
      </c>
      <c r="AY1152">
        <v>0</v>
      </c>
      <c r="AZ1152" t="s">
        <v>579</v>
      </c>
    </row>
    <row r="1153" spans="1:52" x14ac:dyDescent="0.2">
      <c r="A1153">
        <v>0</v>
      </c>
      <c r="B1153">
        <v>1</v>
      </c>
      <c r="C1153">
        <v>0</v>
      </c>
      <c r="D1153">
        <v>0</v>
      </c>
      <c r="E1153">
        <v>0</v>
      </c>
      <c r="F1153">
        <v>1</v>
      </c>
      <c r="G1153">
        <v>1</v>
      </c>
      <c r="H1153">
        <v>1</v>
      </c>
      <c r="I1153">
        <v>0</v>
      </c>
      <c r="J1153" t="s">
        <v>88</v>
      </c>
      <c r="K1153" t="s">
        <v>80</v>
      </c>
      <c r="L1153">
        <v>0</v>
      </c>
      <c r="M1153">
        <v>0</v>
      </c>
      <c r="N1153">
        <v>0</v>
      </c>
      <c r="O1153">
        <v>0</v>
      </c>
      <c r="P1153">
        <v>0</v>
      </c>
      <c r="Q1153" t="s">
        <v>585</v>
      </c>
      <c r="AA1153" t="s">
        <v>83</v>
      </c>
      <c r="AB1153" t="s">
        <v>82</v>
      </c>
      <c r="AC1153" t="s">
        <v>81</v>
      </c>
      <c r="AD1153" t="s">
        <v>81</v>
      </c>
      <c r="AE1153" t="s">
        <v>83</v>
      </c>
      <c r="AF1153" t="s">
        <v>83</v>
      </c>
      <c r="AG1153" t="s">
        <v>83</v>
      </c>
      <c r="AH1153" t="s">
        <v>83</v>
      </c>
      <c r="AI1153" t="s">
        <v>88</v>
      </c>
      <c r="AJ1153" t="s">
        <v>80</v>
      </c>
      <c r="AK1153" t="s">
        <v>100</v>
      </c>
      <c r="AL1153" t="s">
        <v>107</v>
      </c>
      <c r="AM1153" t="s">
        <v>87</v>
      </c>
      <c r="AN1153" t="s">
        <v>87</v>
      </c>
      <c r="AO1153" t="s">
        <v>87</v>
      </c>
      <c r="AP1153" t="s">
        <v>87</v>
      </c>
      <c r="AQ1153" t="s">
        <v>86</v>
      </c>
      <c r="AR1153" t="s">
        <v>75</v>
      </c>
      <c r="AS1153" t="s">
        <v>76</v>
      </c>
      <c r="AT1153" t="s">
        <v>107</v>
      </c>
      <c r="AU1153">
        <v>0</v>
      </c>
      <c r="AV1153">
        <v>0</v>
      </c>
      <c r="AW1153">
        <v>0</v>
      </c>
      <c r="AX1153">
        <v>1</v>
      </c>
      <c r="AY1153">
        <v>0</v>
      </c>
      <c r="AZ1153" t="s">
        <v>579</v>
      </c>
    </row>
    <row r="1154" spans="1:52" x14ac:dyDescent="0.2">
      <c r="A1154">
        <v>1</v>
      </c>
      <c r="B1154">
        <v>0</v>
      </c>
      <c r="C1154">
        <v>0</v>
      </c>
      <c r="D1154">
        <v>0</v>
      </c>
      <c r="E1154">
        <v>1</v>
      </c>
      <c r="F1154">
        <v>0</v>
      </c>
      <c r="G1154">
        <v>0</v>
      </c>
      <c r="H1154">
        <v>0</v>
      </c>
      <c r="I1154">
        <v>0</v>
      </c>
      <c r="L1154">
        <v>1</v>
      </c>
      <c r="M1154">
        <v>0</v>
      </c>
      <c r="N1154">
        <v>0</v>
      </c>
      <c r="O1154">
        <v>0</v>
      </c>
      <c r="P1154">
        <v>0</v>
      </c>
      <c r="Q1154" t="s">
        <v>584</v>
      </c>
      <c r="R1154">
        <v>0</v>
      </c>
      <c r="S1154">
        <v>0</v>
      </c>
      <c r="T1154">
        <v>0</v>
      </c>
      <c r="U1154">
        <v>0</v>
      </c>
      <c r="V1154">
        <v>0</v>
      </c>
      <c r="W1154">
        <v>0</v>
      </c>
      <c r="X1154">
        <v>0</v>
      </c>
      <c r="Y1154">
        <v>0</v>
      </c>
      <c r="Z1154">
        <v>1</v>
      </c>
      <c r="AL1154" t="s">
        <v>107</v>
      </c>
      <c r="AM1154" t="s">
        <v>87</v>
      </c>
      <c r="AN1154" t="s">
        <v>87</v>
      </c>
      <c r="AO1154" t="s">
        <v>87</v>
      </c>
      <c r="AP1154" t="s">
        <v>87</v>
      </c>
      <c r="AQ1154" t="s">
        <v>87</v>
      </c>
      <c r="AR1154" t="s">
        <v>101</v>
      </c>
      <c r="AS1154" t="s">
        <v>76</v>
      </c>
      <c r="AT1154" t="s">
        <v>107</v>
      </c>
      <c r="AU1154">
        <v>0</v>
      </c>
      <c r="AV1154">
        <v>0</v>
      </c>
      <c r="AW1154">
        <v>0</v>
      </c>
      <c r="AX1154">
        <v>1</v>
      </c>
      <c r="AY1154">
        <v>0</v>
      </c>
      <c r="AZ1154" t="s">
        <v>578</v>
      </c>
    </row>
    <row r="1155" spans="1:52" x14ac:dyDescent="0.2">
      <c r="A1155">
        <v>0</v>
      </c>
      <c r="B1155">
        <v>1</v>
      </c>
      <c r="C1155">
        <v>0</v>
      </c>
      <c r="D1155">
        <v>0</v>
      </c>
      <c r="E1155">
        <v>0</v>
      </c>
      <c r="F1155">
        <v>1</v>
      </c>
      <c r="G1155">
        <v>0</v>
      </c>
      <c r="H1155">
        <v>0</v>
      </c>
      <c r="I1155">
        <v>0</v>
      </c>
      <c r="J1155" t="s">
        <v>88</v>
      </c>
      <c r="K1155" t="s">
        <v>127</v>
      </c>
      <c r="L1155">
        <v>0</v>
      </c>
      <c r="M1155">
        <v>0</v>
      </c>
      <c r="N1155">
        <v>0</v>
      </c>
      <c r="O1155">
        <v>0</v>
      </c>
      <c r="P1155">
        <v>1</v>
      </c>
      <c r="Q1155" t="s">
        <v>584</v>
      </c>
      <c r="AA1155" t="s">
        <v>83</v>
      </c>
      <c r="AB1155" t="s">
        <v>82</v>
      </c>
      <c r="AC1155" t="s">
        <v>83</v>
      </c>
      <c r="AD1155" t="s">
        <v>83</v>
      </c>
      <c r="AE1155" t="s">
        <v>82</v>
      </c>
      <c r="AF1155" t="s">
        <v>83</v>
      </c>
      <c r="AG1155" t="s">
        <v>83</v>
      </c>
      <c r="AH1155" t="s">
        <v>82</v>
      </c>
      <c r="AI1155" t="s">
        <v>88</v>
      </c>
      <c r="AJ1155" t="s">
        <v>127</v>
      </c>
      <c r="AK1155" t="s">
        <v>85</v>
      </c>
      <c r="AL1155" t="s">
        <v>96</v>
      </c>
      <c r="AM1155" t="s">
        <v>87</v>
      </c>
      <c r="AN1155" t="s">
        <v>74</v>
      </c>
      <c r="AO1155" t="s">
        <v>86</v>
      </c>
      <c r="AP1155" t="s">
        <v>74</v>
      </c>
      <c r="AQ1155" t="s">
        <v>86</v>
      </c>
      <c r="AR1155" t="s">
        <v>75</v>
      </c>
      <c r="AS1155" t="s">
        <v>76</v>
      </c>
      <c r="AT1155" t="s">
        <v>96</v>
      </c>
      <c r="AU1155">
        <v>0</v>
      </c>
      <c r="AV1155">
        <v>0</v>
      </c>
      <c r="AW1155">
        <v>0</v>
      </c>
      <c r="AX1155">
        <v>1</v>
      </c>
      <c r="AY1155">
        <v>0</v>
      </c>
      <c r="AZ1155" t="s">
        <v>579</v>
      </c>
    </row>
    <row r="1156" spans="1:52" x14ac:dyDescent="0.2">
      <c r="A1156">
        <v>1</v>
      </c>
      <c r="B1156">
        <v>0</v>
      </c>
      <c r="C1156">
        <v>0</v>
      </c>
      <c r="D1156">
        <v>0</v>
      </c>
      <c r="E1156">
        <v>0</v>
      </c>
      <c r="F1156">
        <v>0</v>
      </c>
      <c r="G1156">
        <v>0</v>
      </c>
      <c r="H1156">
        <v>1</v>
      </c>
      <c r="I1156">
        <v>0</v>
      </c>
      <c r="J1156" t="s">
        <v>88</v>
      </c>
      <c r="K1156" t="s">
        <v>80</v>
      </c>
      <c r="L1156">
        <v>0</v>
      </c>
      <c r="M1156">
        <v>1</v>
      </c>
      <c r="N1156">
        <v>0</v>
      </c>
      <c r="O1156">
        <v>0</v>
      </c>
      <c r="P1156">
        <v>0</v>
      </c>
      <c r="Q1156" t="s">
        <v>584</v>
      </c>
      <c r="AA1156" t="s">
        <v>90</v>
      </c>
      <c r="AB1156" t="s">
        <v>81</v>
      </c>
      <c r="AC1156" t="s">
        <v>83</v>
      </c>
      <c r="AD1156" t="s">
        <v>81</v>
      </c>
      <c r="AE1156" t="s">
        <v>82</v>
      </c>
      <c r="AF1156" t="s">
        <v>90</v>
      </c>
      <c r="AG1156" t="s">
        <v>90</v>
      </c>
      <c r="AH1156" t="s">
        <v>83</v>
      </c>
      <c r="AI1156" t="s">
        <v>88</v>
      </c>
      <c r="AJ1156" t="s">
        <v>89</v>
      </c>
      <c r="AK1156" t="s">
        <v>85</v>
      </c>
      <c r="AL1156" t="s">
        <v>73</v>
      </c>
      <c r="AM1156" t="s">
        <v>87</v>
      </c>
      <c r="AN1156" t="s">
        <v>87</v>
      </c>
      <c r="AO1156" t="s">
        <v>87</v>
      </c>
      <c r="AP1156" t="s">
        <v>87</v>
      </c>
      <c r="AQ1156" t="s">
        <v>87</v>
      </c>
      <c r="AR1156" t="s">
        <v>108</v>
      </c>
      <c r="AS1156" t="s">
        <v>76</v>
      </c>
      <c r="AT1156" t="s">
        <v>73</v>
      </c>
      <c r="AU1156">
        <v>0</v>
      </c>
      <c r="AV1156">
        <v>0</v>
      </c>
      <c r="AW1156">
        <v>0</v>
      </c>
      <c r="AX1156">
        <v>1</v>
      </c>
      <c r="AY1156">
        <v>0</v>
      </c>
      <c r="AZ1156" t="s">
        <v>578</v>
      </c>
    </row>
    <row r="1157" spans="1:52" x14ac:dyDescent="0.2">
      <c r="A1157">
        <v>0</v>
      </c>
      <c r="B1157">
        <v>1</v>
      </c>
      <c r="C1157">
        <v>0</v>
      </c>
      <c r="D1157">
        <v>0</v>
      </c>
      <c r="E1157">
        <v>0</v>
      </c>
      <c r="F1157">
        <v>1</v>
      </c>
      <c r="G1157">
        <v>0</v>
      </c>
      <c r="H1157">
        <v>1</v>
      </c>
      <c r="I1157">
        <v>0</v>
      </c>
      <c r="J1157" t="s">
        <v>135</v>
      </c>
      <c r="K1157" t="s">
        <v>80</v>
      </c>
      <c r="L1157">
        <v>0</v>
      </c>
      <c r="M1157">
        <v>1</v>
      </c>
      <c r="N1157">
        <v>0</v>
      </c>
      <c r="O1157">
        <v>0</v>
      </c>
      <c r="P1157">
        <v>0</v>
      </c>
      <c r="Q1157" t="s">
        <v>584</v>
      </c>
      <c r="AA1157" t="s">
        <v>83</v>
      </c>
      <c r="AB1157" t="s">
        <v>82</v>
      </c>
      <c r="AC1157" t="s">
        <v>81</v>
      </c>
      <c r="AD1157" t="s">
        <v>90</v>
      </c>
      <c r="AE1157" t="s">
        <v>83</v>
      </c>
      <c r="AF1157" t="s">
        <v>83</v>
      </c>
      <c r="AG1157" t="s">
        <v>83</v>
      </c>
      <c r="AH1157" t="s">
        <v>83</v>
      </c>
      <c r="AI1157" t="s">
        <v>88</v>
      </c>
      <c r="AJ1157" t="s">
        <v>89</v>
      </c>
      <c r="AK1157" t="s">
        <v>100</v>
      </c>
      <c r="AL1157" t="s">
        <v>107</v>
      </c>
      <c r="AM1157" t="s">
        <v>87</v>
      </c>
      <c r="AN1157" t="s">
        <v>86</v>
      </c>
      <c r="AO1157" t="s">
        <v>86</v>
      </c>
      <c r="AP1157" t="s">
        <v>86</v>
      </c>
      <c r="AQ1157" t="s">
        <v>86</v>
      </c>
      <c r="AR1157" t="s">
        <v>75</v>
      </c>
      <c r="AS1157" t="s">
        <v>76</v>
      </c>
      <c r="AT1157" t="s">
        <v>107</v>
      </c>
      <c r="AU1157">
        <v>0</v>
      </c>
      <c r="AV1157">
        <v>0</v>
      </c>
      <c r="AW1157">
        <v>0</v>
      </c>
      <c r="AX1157">
        <v>1</v>
      </c>
      <c r="AY1157">
        <v>0</v>
      </c>
      <c r="AZ1157" t="s">
        <v>578</v>
      </c>
    </row>
    <row r="1158" spans="1:52" x14ac:dyDescent="0.2">
      <c r="A1158">
        <v>1</v>
      </c>
      <c r="B1158">
        <v>0</v>
      </c>
      <c r="C1158">
        <v>0</v>
      </c>
      <c r="D1158">
        <v>0</v>
      </c>
      <c r="E1158">
        <v>0</v>
      </c>
      <c r="F1158">
        <v>1</v>
      </c>
      <c r="G1158">
        <v>1</v>
      </c>
      <c r="H1158">
        <v>0</v>
      </c>
      <c r="I1158">
        <v>0</v>
      </c>
      <c r="J1158" t="s">
        <v>88</v>
      </c>
      <c r="K1158" t="s">
        <v>89</v>
      </c>
      <c r="L1158">
        <v>0</v>
      </c>
      <c r="M1158">
        <v>0</v>
      </c>
      <c r="N1158">
        <v>1</v>
      </c>
      <c r="O1158">
        <v>0</v>
      </c>
      <c r="P1158">
        <v>0</v>
      </c>
      <c r="Q1158" t="s">
        <v>584</v>
      </c>
      <c r="AA1158" t="s">
        <v>83</v>
      </c>
      <c r="AB1158" t="s">
        <v>82</v>
      </c>
      <c r="AC1158" t="s">
        <v>83</v>
      </c>
      <c r="AD1158" t="s">
        <v>81</v>
      </c>
      <c r="AE1158" t="s">
        <v>81</v>
      </c>
      <c r="AF1158" t="s">
        <v>83</v>
      </c>
      <c r="AG1158" t="s">
        <v>81</v>
      </c>
      <c r="AH1158" t="s">
        <v>83</v>
      </c>
      <c r="AI1158" t="s">
        <v>88</v>
      </c>
      <c r="AJ1158" t="s">
        <v>89</v>
      </c>
      <c r="AK1158" t="s">
        <v>85</v>
      </c>
      <c r="AL1158" t="s">
        <v>107</v>
      </c>
      <c r="AM1158" t="s">
        <v>87</v>
      </c>
      <c r="AN1158" t="s">
        <v>87</v>
      </c>
      <c r="AO1158" t="s">
        <v>87</v>
      </c>
      <c r="AP1158" t="s">
        <v>87</v>
      </c>
      <c r="AQ1158" t="s">
        <v>87</v>
      </c>
      <c r="AR1158" t="s">
        <v>75</v>
      </c>
      <c r="AS1158" t="s">
        <v>92</v>
      </c>
      <c r="AT1158" t="s">
        <v>107</v>
      </c>
      <c r="AU1158">
        <v>0</v>
      </c>
      <c r="AV1158">
        <v>0</v>
      </c>
      <c r="AW1158">
        <v>0</v>
      </c>
      <c r="AX1158">
        <v>1</v>
      </c>
      <c r="AY1158">
        <v>0</v>
      </c>
      <c r="AZ1158" t="s">
        <v>579</v>
      </c>
    </row>
    <row r="1159" spans="1:52" x14ac:dyDescent="0.2">
      <c r="A1159">
        <v>1</v>
      </c>
      <c r="B1159">
        <v>0</v>
      </c>
      <c r="C1159">
        <v>0</v>
      </c>
      <c r="D1159">
        <v>0</v>
      </c>
      <c r="E1159">
        <v>0</v>
      </c>
      <c r="F1159">
        <v>1</v>
      </c>
      <c r="G1159">
        <v>0</v>
      </c>
      <c r="H1159">
        <v>0</v>
      </c>
      <c r="I1159">
        <v>0</v>
      </c>
      <c r="J1159" t="s">
        <v>135</v>
      </c>
      <c r="K1159" t="s">
        <v>80</v>
      </c>
      <c r="L1159">
        <v>0</v>
      </c>
      <c r="M1159">
        <v>1</v>
      </c>
      <c r="N1159">
        <v>0</v>
      </c>
      <c r="O1159">
        <v>0</v>
      </c>
      <c r="P1159">
        <v>0</v>
      </c>
      <c r="Q1159" t="s">
        <v>584</v>
      </c>
      <c r="AA1159" t="s">
        <v>90</v>
      </c>
      <c r="AB1159" t="s">
        <v>82</v>
      </c>
      <c r="AC1159" t="s">
        <v>90</v>
      </c>
      <c r="AD1159" t="s">
        <v>81</v>
      </c>
      <c r="AE1159" t="s">
        <v>90</v>
      </c>
      <c r="AF1159" t="s">
        <v>90</v>
      </c>
      <c r="AG1159" t="s">
        <v>90</v>
      </c>
      <c r="AH1159" t="s">
        <v>90</v>
      </c>
      <c r="AI1159" t="s">
        <v>127</v>
      </c>
      <c r="AJ1159" t="s">
        <v>127</v>
      </c>
      <c r="AL1159" t="s">
        <v>73</v>
      </c>
      <c r="AM1159" t="s">
        <v>86</v>
      </c>
      <c r="AN1159" t="s">
        <v>86</v>
      </c>
      <c r="AO1159" t="s">
        <v>87</v>
      </c>
      <c r="AP1159" t="s">
        <v>86</v>
      </c>
      <c r="AQ1159" t="s">
        <v>87</v>
      </c>
      <c r="AR1159" t="s">
        <v>75</v>
      </c>
      <c r="AS1159" t="s">
        <v>76</v>
      </c>
      <c r="AT1159" t="s">
        <v>73</v>
      </c>
      <c r="AU1159">
        <v>0</v>
      </c>
      <c r="AV1159">
        <v>0</v>
      </c>
      <c r="AW1159">
        <v>0</v>
      </c>
      <c r="AX1159">
        <v>1</v>
      </c>
      <c r="AY1159">
        <v>0</v>
      </c>
      <c r="AZ1159" t="s">
        <v>578</v>
      </c>
    </row>
    <row r="1160" spans="1:52" x14ac:dyDescent="0.2">
      <c r="A1160">
        <v>1</v>
      </c>
      <c r="B1160">
        <v>0</v>
      </c>
      <c r="C1160">
        <v>0</v>
      </c>
      <c r="D1160">
        <v>0</v>
      </c>
      <c r="E1160">
        <v>1</v>
      </c>
      <c r="F1160">
        <v>0</v>
      </c>
      <c r="G1160">
        <v>0</v>
      </c>
      <c r="H1160">
        <v>0</v>
      </c>
      <c r="I1160">
        <v>0</v>
      </c>
      <c r="L1160">
        <v>1</v>
      </c>
      <c r="M1160">
        <v>0</v>
      </c>
      <c r="N1160">
        <v>0</v>
      </c>
      <c r="O1160">
        <v>0</v>
      </c>
      <c r="P1160">
        <v>0</v>
      </c>
      <c r="Q1160" t="s">
        <v>584</v>
      </c>
      <c r="R1160">
        <v>0</v>
      </c>
      <c r="S1160">
        <v>0</v>
      </c>
      <c r="T1160">
        <v>0</v>
      </c>
      <c r="U1160">
        <v>0</v>
      </c>
      <c r="V1160">
        <v>0</v>
      </c>
      <c r="W1160">
        <v>0</v>
      </c>
      <c r="X1160">
        <v>0</v>
      </c>
      <c r="Y1160">
        <v>1</v>
      </c>
      <c r="Z1160">
        <v>0</v>
      </c>
      <c r="AL1160" t="s">
        <v>73</v>
      </c>
      <c r="AM1160" t="s">
        <v>74</v>
      </c>
      <c r="AR1160" t="s">
        <v>108</v>
      </c>
      <c r="AS1160" t="s">
        <v>76</v>
      </c>
      <c r="AT1160" t="s">
        <v>73</v>
      </c>
      <c r="AU1160">
        <v>0</v>
      </c>
      <c r="AV1160">
        <v>0</v>
      </c>
      <c r="AW1160">
        <v>0</v>
      </c>
      <c r="AX1160">
        <v>1</v>
      </c>
      <c r="AY1160">
        <v>0</v>
      </c>
      <c r="AZ1160" t="s">
        <v>579</v>
      </c>
    </row>
    <row r="1161" spans="1:52" x14ac:dyDescent="0.2">
      <c r="A1161">
        <v>0</v>
      </c>
      <c r="B1161">
        <v>1</v>
      </c>
      <c r="C1161">
        <v>0</v>
      </c>
      <c r="D1161">
        <v>0</v>
      </c>
      <c r="E1161">
        <v>1</v>
      </c>
      <c r="F1161">
        <v>0</v>
      </c>
      <c r="G1161">
        <v>0</v>
      </c>
      <c r="H1161">
        <v>0</v>
      </c>
      <c r="I1161">
        <v>0</v>
      </c>
      <c r="L1161">
        <v>0</v>
      </c>
      <c r="M1161">
        <v>1</v>
      </c>
      <c r="N1161">
        <v>0</v>
      </c>
      <c r="O1161">
        <v>0</v>
      </c>
      <c r="P1161">
        <v>0</v>
      </c>
      <c r="Q1161" t="s">
        <v>584</v>
      </c>
      <c r="AA1161" t="s">
        <v>90</v>
      </c>
      <c r="AB1161" t="s">
        <v>82</v>
      </c>
      <c r="AC1161" t="s">
        <v>81</v>
      </c>
      <c r="AD1161" t="s">
        <v>83</v>
      </c>
      <c r="AE1161" t="s">
        <v>90</v>
      </c>
      <c r="AF1161" t="s">
        <v>90</v>
      </c>
      <c r="AG1161" t="s">
        <v>90</v>
      </c>
      <c r="AH1161" t="s">
        <v>83</v>
      </c>
      <c r="AI1161" t="s">
        <v>88</v>
      </c>
      <c r="AJ1161" t="s">
        <v>89</v>
      </c>
      <c r="AK1161" t="s">
        <v>100</v>
      </c>
      <c r="AL1161" t="s">
        <v>73</v>
      </c>
      <c r="AM1161" t="s">
        <v>87</v>
      </c>
      <c r="AN1161" t="s">
        <v>74</v>
      </c>
      <c r="AO1161" t="s">
        <v>87</v>
      </c>
      <c r="AP1161" t="s">
        <v>87</v>
      </c>
      <c r="AQ1161" t="s">
        <v>87</v>
      </c>
      <c r="AR1161" t="s">
        <v>75</v>
      </c>
      <c r="AS1161" t="s">
        <v>92</v>
      </c>
      <c r="AT1161" t="s">
        <v>73</v>
      </c>
      <c r="AU1161">
        <v>0</v>
      </c>
      <c r="AV1161">
        <v>0</v>
      </c>
      <c r="AW1161">
        <v>0</v>
      </c>
      <c r="AX1161">
        <v>1</v>
      </c>
      <c r="AY1161">
        <v>0</v>
      </c>
      <c r="AZ1161" t="s">
        <v>579</v>
      </c>
    </row>
    <row r="1162" spans="1:52" x14ac:dyDescent="0.2">
      <c r="A1162">
        <v>1</v>
      </c>
      <c r="B1162">
        <v>0</v>
      </c>
      <c r="C1162">
        <v>0</v>
      </c>
      <c r="D1162">
        <v>0</v>
      </c>
      <c r="E1162">
        <v>0</v>
      </c>
      <c r="F1162">
        <v>1</v>
      </c>
      <c r="G1162">
        <v>0</v>
      </c>
      <c r="H1162">
        <v>0</v>
      </c>
      <c r="I1162">
        <v>0</v>
      </c>
      <c r="J1162" t="s">
        <v>88</v>
      </c>
      <c r="K1162" t="s">
        <v>89</v>
      </c>
      <c r="L1162">
        <v>1</v>
      </c>
      <c r="M1162">
        <v>0</v>
      </c>
      <c r="N1162">
        <v>0</v>
      </c>
      <c r="O1162">
        <v>0</v>
      </c>
      <c r="P1162">
        <v>0</v>
      </c>
      <c r="Q1162" t="s">
        <v>584</v>
      </c>
      <c r="R1162">
        <v>0</v>
      </c>
      <c r="S1162">
        <v>0</v>
      </c>
      <c r="T1162">
        <v>1</v>
      </c>
      <c r="U1162">
        <v>0</v>
      </c>
      <c r="V1162">
        <v>0</v>
      </c>
      <c r="W1162">
        <v>0</v>
      </c>
      <c r="X1162">
        <v>1</v>
      </c>
      <c r="Y1162">
        <v>1</v>
      </c>
      <c r="Z1162">
        <v>0</v>
      </c>
      <c r="AL1162" t="s">
        <v>107</v>
      </c>
      <c r="AM1162" t="s">
        <v>74</v>
      </c>
      <c r="AR1162" t="s">
        <v>75</v>
      </c>
      <c r="AS1162" t="s">
        <v>92</v>
      </c>
      <c r="AT1162" t="s">
        <v>107</v>
      </c>
      <c r="AU1162">
        <v>0</v>
      </c>
      <c r="AV1162">
        <v>0</v>
      </c>
      <c r="AW1162">
        <v>0</v>
      </c>
      <c r="AX1162">
        <v>1</v>
      </c>
      <c r="AY1162">
        <v>0</v>
      </c>
      <c r="AZ1162" t="s">
        <v>579</v>
      </c>
    </row>
    <row r="1163" spans="1:52" x14ac:dyDescent="0.2">
      <c r="A1163">
        <v>1</v>
      </c>
      <c r="B1163">
        <v>0</v>
      </c>
      <c r="C1163">
        <v>0</v>
      </c>
      <c r="D1163">
        <v>0</v>
      </c>
      <c r="E1163">
        <v>1</v>
      </c>
      <c r="F1163">
        <v>0</v>
      </c>
      <c r="G1163">
        <v>0</v>
      </c>
      <c r="H1163">
        <v>0</v>
      </c>
      <c r="I1163">
        <v>0</v>
      </c>
      <c r="L1163">
        <v>1</v>
      </c>
      <c r="M1163">
        <v>0</v>
      </c>
      <c r="N1163">
        <v>0</v>
      </c>
      <c r="O1163">
        <v>0</v>
      </c>
      <c r="P1163">
        <v>0</v>
      </c>
      <c r="Q1163" t="s">
        <v>584</v>
      </c>
      <c r="R1163">
        <v>0</v>
      </c>
      <c r="S1163">
        <v>0</v>
      </c>
      <c r="T1163">
        <v>0</v>
      </c>
      <c r="U1163">
        <v>0</v>
      </c>
      <c r="V1163">
        <v>0</v>
      </c>
      <c r="W1163">
        <v>0</v>
      </c>
      <c r="X1163">
        <v>1</v>
      </c>
      <c r="Y1163">
        <v>1</v>
      </c>
      <c r="Z1163">
        <v>0</v>
      </c>
      <c r="AL1163" t="s">
        <v>107</v>
      </c>
      <c r="AM1163" t="s">
        <v>74</v>
      </c>
      <c r="AR1163" t="s">
        <v>75</v>
      </c>
      <c r="AS1163" t="s">
        <v>92</v>
      </c>
      <c r="AT1163" t="s">
        <v>107</v>
      </c>
      <c r="AU1163">
        <v>0</v>
      </c>
      <c r="AV1163">
        <v>0</v>
      </c>
      <c r="AW1163">
        <v>0</v>
      </c>
      <c r="AX1163">
        <v>1</v>
      </c>
      <c r="AY1163">
        <v>0</v>
      </c>
      <c r="AZ1163" t="s">
        <v>579</v>
      </c>
    </row>
    <row r="1164" spans="1:52" x14ac:dyDescent="0.2">
      <c r="A1164">
        <v>1</v>
      </c>
      <c r="B1164">
        <v>0</v>
      </c>
      <c r="C1164">
        <v>0</v>
      </c>
      <c r="D1164">
        <v>0</v>
      </c>
      <c r="E1164">
        <v>1</v>
      </c>
      <c r="F1164">
        <v>0</v>
      </c>
      <c r="G1164">
        <v>0</v>
      </c>
      <c r="H1164">
        <v>0</v>
      </c>
      <c r="I1164">
        <v>0</v>
      </c>
      <c r="L1164">
        <v>0</v>
      </c>
      <c r="M1164">
        <v>1</v>
      </c>
      <c r="N1164">
        <v>0</v>
      </c>
      <c r="O1164">
        <v>0</v>
      </c>
      <c r="P1164">
        <v>0</v>
      </c>
      <c r="Q1164" t="s">
        <v>584</v>
      </c>
      <c r="AA1164" t="s">
        <v>90</v>
      </c>
      <c r="AB1164" t="s">
        <v>81</v>
      </c>
      <c r="AC1164" t="s">
        <v>81</v>
      </c>
      <c r="AD1164" t="s">
        <v>90</v>
      </c>
      <c r="AE1164" t="s">
        <v>82</v>
      </c>
      <c r="AF1164" t="s">
        <v>90</v>
      </c>
      <c r="AG1164" t="s">
        <v>90</v>
      </c>
      <c r="AH1164" t="s">
        <v>90</v>
      </c>
      <c r="AI1164" t="s">
        <v>135</v>
      </c>
      <c r="AJ1164" t="s">
        <v>80</v>
      </c>
      <c r="AK1164" t="s">
        <v>117</v>
      </c>
      <c r="AL1164" t="s">
        <v>73</v>
      </c>
      <c r="AM1164" t="s">
        <v>86</v>
      </c>
      <c r="AN1164" t="s">
        <v>87</v>
      </c>
      <c r="AO1164" t="s">
        <v>87</v>
      </c>
      <c r="AP1164" t="s">
        <v>87</v>
      </c>
      <c r="AQ1164" t="s">
        <v>87</v>
      </c>
      <c r="AR1164" t="s">
        <v>75</v>
      </c>
      <c r="AS1164" t="s">
        <v>92</v>
      </c>
      <c r="AT1164" t="s">
        <v>73</v>
      </c>
      <c r="AU1164">
        <v>0</v>
      </c>
      <c r="AV1164">
        <v>0</v>
      </c>
      <c r="AW1164">
        <v>0</v>
      </c>
      <c r="AX1164">
        <v>1</v>
      </c>
      <c r="AY1164">
        <v>0</v>
      </c>
      <c r="AZ1164" t="s">
        <v>579</v>
      </c>
    </row>
    <row r="1165" spans="1:52" x14ac:dyDescent="0.2">
      <c r="A1165">
        <v>1</v>
      </c>
      <c r="B1165">
        <v>0</v>
      </c>
      <c r="C1165">
        <v>0</v>
      </c>
      <c r="D1165">
        <v>0</v>
      </c>
      <c r="E1165">
        <v>0</v>
      </c>
      <c r="F1165">
        <v>1</v>
      </c>
      <c r="G1165">
        <v>0</v>
      </c>
      <c r="H1165">
        <v>0</v>
      </c>
      <c r="I1165">
        <v>0</v>
      </c>
      <c r="J1165" t="s">
        <v>79</v>
      </c>
      <c r="K1165" t="s">
        <v>80</v>
      </c>
      <c r="L1165">
        <v>0</v>
      </c>
      <c r="M1165">
        <v>1</v>
      </c>
      <c r="N1165">
        <v>0</v>
      </c>
      <c r="O1165">
        <v>0</v>
      </c>
      <c r="P1165">
        <v>0</v>
      </c>
      <c r="Q1165" t="s">
        <v>584</v>
      </c>
      <c r="AA1165" t="s">
        <v>90</v>
      </c>
      <c r="AB1165" t="s">
        <v>82</v>
      </c>
      <c r="AC1165" t="s">
        <v>90</v>
      </c>
      <c r="AD1165" t="s">
        <v>90</v>
      </c>
      <c r="AE1165" t="s">
        <v>90</v>
      </c>
      <c r="AF1165" t="s">
        <v>90</v>
      </c>
      <c r="AG1165" t="s">
        <v>90</v>
      </c>
      <c r="AH1165" t="s">
        <v>90</v>
      </c>
      <c r="AI1165" t="s">
        <v>127</v>
      </c>
      <c r="AJ1165" t="s">
        <v>127</v>
      </c>
      <c r="AL1165" t="s">
        <v>107</v>
      </c>
      <c r="AM1165" t="s">
        <v>86</v>
      </c>
      <c r="AN1165" t="s">
        <v>87</v>
      </c>
      <c r="AO1165" t="s">
        <v>87</v>
      </c>
      <c r="AP1165" t="s">
        <v>87</v>
      </c>
      <c r="AQ1165" t="s">
        <v>87</v>
      </c>
      <c r="AR1165" t="s">
        <v>75</v>
      </c>
      <c r="AS1165" t="s">
        <v>92</v>
      </c>
      <c r="AT1165" t="s">
        <v>107</v>
      </c>
      <c r="AU1165">
        <v>0</v>
      </c>
      <c r="AV1165">
        <v>0</v>
      </c>
      <c r="AW1165">
        <v>0</v>
      </c>
      <c r="AX1165">
        <v>1</v>
      </c>
      <c r="AY1165">
        <v>0</v>
      </c>
      <c r="AZ1165" t="s">
        <v>579</v>
      </c>
    </row>
    <row r="1166" spans="1:52" x14ac:dyDescent="0.2">
      <c r="A1166">
        <v>1</v>
      </c>
      <c r="B1166">
        <v>0</v>
      </c>
      <c r="C1166">
        <v>0</v>
      </c>
      <c r="D1166">
        <v>0</v>
      </c>
      <c r="E1166">
        <v>0</v>
      </c>
      <c r="F1166">
        <v>1</v>
      </c>
      <c r="G1166">
        <v>1</v>
      </c>
      <c r="H1166">
        <v>0</v>
      </c>
      <c r="I1166">
        <v>0</v>
      </c>
      <c r="J1166" t="s">
        <v>79</v>
      </c>
      <c r="K1166" t="s">
        <v>80</v>
      </c>
      <c r="L1166">
        <v>0</v>
      </c>
      <c r="M1166">
        <v>0</v>
      </c>
      <c r="N1166">
        <v>1</v>
      </c>
      <c r="O1166">
        <v>0</v>
      </c>
      <c r="P1166">
        <v>0</v>
      </c>
      <c r="Q1166" t="s">
        <v>584</v>
      </c>
      <c r="AA1166" t="s">
        <v>82</v>
      </c>
      <c r="AB1166" t="s">
        <v>82</v>
      </c>
      <c r="AC1166" t="s">
        <v>83</v>
      </c>
      <c r="AD1166" t="s">
        <v>82</v>
      </c>
      <c r="AE1166" t="s">
        <v>82</v>
      </c>
      <c r="AF1166" t="s">
        <v>82</v>
      </c>
      <c r="AG1166" t="s">
        <v>81</v>
      </c>
      <c r="AH1166" t="s">
        <v>83</v>
      </c>
      <c r="AI1166" t="s">
        <v>88</v>
      </c>
      <c r="AJ1166" t="s">
        <v>89</v>
      </c>
      <c r="AK1166" t="s">
        <v>85</v>
      </c>
      <c r="AL1166" t="s">
        <v>73</v>
      </c>
      <c r="AM1166" t="s">
        <v>86</v>
      </c>
      <c r="AN1166" t="s">
        <v>87</v>
      </c>
      <c r="AO1166" t="s">
        <v>87</v>
      </c>
      <c r="AP1166" t="s">
        <v>86</v>
      </c>
      <c r="AQ1166" t="s">
        <v>74</v>
      </c>
      <c r="AR1166" t="s">
        <v>75</v>
      </c>
      <c r="AS1166" t="s">
        <v>92</v>
      </c>
      <c r="AT1166" t="s">
        <v>73</v>
      </c>
      <c r="AU1166">
        <v>0</v>
      </c>
      <c r="AV1166">
        <v>0</v>
      </c>
      <c r="AW1166">
        <v>0</v>
      </c>
      <c r="AX1166">
        <v>1</v>
      </c>
      <c r="AY1166">
        <v>0</v>
      </c>
      <c r="AZ1166" t="s">
        <v>579</v>
      </c>
    </row>
    <row r="1167" spans="1:52" x14ac:dyDescent="0.2">
      <c r="A1167">
        <v>1</v>
      </c>
      <c r="B1167">
        <v>0</v>
      </c>
      <c r="C1167">
        <v>0</v>
      </c>
      <c r="D1167">
        <v>0</v>
      </c>
      <c r="E1167">
        <v>1</v>
      </c>
      <c r="F1167">
        <v>0</v>
      </c>
      <c r="G1167">
        <v>0</v>
      </c>
      <c r="H1167">
        <v>0</v>
      </c>
      <c r="I1167">
        <v>0</v>
      </c>
      <c r="L1167">
        <v>0</v>
      </c>
      <c r="M1167">
        <v>0</v>
      </c>
      <c r="N1167">
        <v>1</v>
      </c>
      <c r="O1167">
        <v>0</v>
      </c>
      <c r="P1167">
        <v>0</v>
      </c>
      <c r="Q1167" t="s">
        <v>584</v>
      </c>
      <c r="AA1167" t="s">
        <v>83</v>
      </c>
      <c r="AB1167" t="s">
        <v>81</v>
      </c>
      <c r="AC1167" t="s">
        <v>83</v>
      </c>
      <c r="AD1167" t="s">
        <v>81</v>
      </c>
      <c r="AE1167" t="s">
        <v>82</v>
      </c>
      <c r="AF1167" t="s">
        <v>83</v>
      </c>
      <c r="AG1167" t="s">
        <v>83</v>
      </c>
      <c r="AH1167" t="s">
        <v>83</v>
      </c>
      <c r="AI1167" t="s">
        <v>88</v>
      </c>
      <c r="AJ1167" t="s">
        <v>89</v>
      </c>
      <c r="AK1167" t="s">
        <v>100</v>
      </c>
      <c r="AL1167" t="s">
        <v>73</v>
      </c>
      <c r="AM1167" t="s">
        <v>74</v>
      </c>
      <c r="AR1167" t="s">
        <v>75</v>
      </c>
      <c r="AS1167" t="s">
        <v>76</v>
      </c>
      <c r="AT1167" t="s">
        <v>73</v>
      </c>
      <c r="AU1167">
        <v>0</v>
      </c>
      <c r="AV1167">
        <v>0</v>
      </c>
      <c r="AW1167">
        <v>0</v>
      </c>
      <c r="AX1167">
        <v>1</v>
      </c>
      <c r="AY1167">
        <v>0</v>
      </c>
      <c r="AZ1167" t="s">
        <v>578</v>
      </c>
    </row>
    <row r="1168" spans="1:52" x14ac:dyDescent="0.2">
      <c r="A1168">
        <v>1</v>
      </c>
      <c r="B1168">
        <v>0</v>
      </c>
      <c r="C1168">
        <v>0</v>
      </c>
      <c r="D1168">
        <v>0</v>
      </c>
      <c r="E1168">
        <v>1</v>
      </c>
      <c r="F1168">
        <v>0</v>
      </c>
      <c r="G1168">
        <v>0</v>
      </c>
      <c r="H1168">
        <v>0</v>
      </c>
      <c r="I1168">
        <v>0</v>
      </c>
      <c r="L1168">
        <v>0</v>
      </c>
      <c r="M1168">
        <v>0</v>
      </c>
      <c r="N1168">
        <v>1</v>
      </c>
      <c r="O1168">
        <v>0</v>
      </c>
      <c r="P1168">
        <v>0</v>
      </c>
      <c r="Q1168" t="s">
        <v>584</v>
      </c>
      <c r="AA1168" t="s">
        <v>83</v>
      </c>
      <c r="AB1168" t="s">
        <v>82</v>
      </c>
      <c r="AC1168" t="s">
        <v>83</v>
      </c>
      <c r="AD1168" t="s">
        <v>83</v>
      </c>
      <c r="AE1168" t="s">
        <v>81</v>
      </c>
      <c r="AF1168" t="s">
        <v>83</v>
      </c>
      <c r="AG1168" t="s">
        <v>83</v>
      </c>
      <c r="AH1168" t="s">
        <v>83</v>
      </c>
      <c r="AI1168" t="s">
        <v>84</v>
      </c>
      <c r="AJ1168" t="s">
        <v>80</v>
      </c>
      <c r="AK1168" t="s">
        <v>153</v>
      </c>
      <c r="AL1168" t="s">
        <v>96</v>
      </c>
      <c r="AM1168" t="s">
        <v>86</v>
      </c>
      <c r="AN1168" t="s">
        <v>86</v>
      </c>
      <c r="AO1168" t="s">
        <v>86</v>
      </c>
      <c r="AP1168" t="s">
        <v>86</v>
      </c>
      <c r="AQ1168" t="s">
        <v>86</v>
      </c>
      <c r="AR1168" t="s">
        <v>159</v>
      </c>
      <c r="AS1168" t="s">
        <v>76</v>
      </c>
      <c r="AT1168" t="s">
        <v>96</v>
      </c>
      <c r="AU1168">
        <v>0</v>
      </c>
      <c r="AV1168">
        <v>0</v>
      </c>
      <c r="AW1168">
        <v>0</v>
      </c>
      <c r="AX1168">
        <v>1</v>
      </c>
      <c r="AY1168">
        <v>0</v>
      </c>
      <c r="AZ1168" t="s">
        <v>579</v>
      </c>
    </row>
    <row r="1169" spans="1:52" x14ac:dyDescent="0.2">
      <c r="A1169">
        <v>1</v>
      </c>
      <c r="B1169">
        <v>0</v>
      </c>
      <c r="C1169">
        <v>0</v>
      </c>
      <c r="D1169">
        <v>0</v>
      </c>
      <c r="E1169">
        <v>0</v>
      </c>
      <c r="F1169">
        <v>1</v>
      </c>
      <c r="G1169">
        <v>0</v>
      </c>
      <c r="H1169">
        <v>0</v>
      </c>
      <c r="I1169">
        <v>1</v>
      </c>
      <c r="J1169" t="s">
        <v>79</v>
      </c>
      <c r="K1169" t="s">
        <v>80</v>
      </c>
      <c r="L1169">
        <v>1</v>
      </c>
      <c r="M1169">
        <v>0</v>
      </c>
      <c r="N1169">
        <v>0</v>
      </c>
      <c r="O1169">
        <v>0</v>
      </c>
      <c r="P1169">
        <v>0</v>
      </c>
      <c r="Q1169" t="s">
        <v>584</v>
      </c>
      <c r="R1169">
        <v>0</v>
      </c>
      <c r="S1169">
        <v>0</v>
      </c>
      <c r="T1169">
        <v>0</v>
      </c>
      <c r="U1169">
        <v>0</v>
      </c>
      <c r="V1169">
        <v>0</v>
      </c>
      <c r="W1169">
        <v>0</v>
      </c>
      <c r="X1169">
        <v>1</v>
      </c>
      <c r="Y1169">
        <v>0</v>
      </c>
      <c r="Z1169">
        <v>1</v>
      </c>
      <c r="AL1169" t="s">
        <v>96</v>
      </c>
      <c r="AM1169" t="s">
        <v>86</v>
      </c>
      <c r="AN1169" t="s">
        <v>74</v>
      </c>
      <c r="AO1169" t="s">
        <v>86</v>
      </c>
      <c r="AP1169" t="s">
        <v>74</v>
      </c>
      <c r="AQ1169" t="s">
        <v>74</v>
      </c>
      <c r="AR1169" t="s">
        <v>75</v>
      </c>
      <c r="AS1169" t="s">
        <v>76</v>
      </c>
      <c r="AT1169" t="s">
        <v>96</v>
      </c>
      <c r="AU1169">
        <v>0</v>
      </c>
      <c r="AV1169">
        <v>0</v>
      </c>
      <c r="AW1169">
        <v>0</v>
      </c>
      <c r="AX1169">
        <v>1</v>
      </c>
      <c r="AY1169">
        <v>0</v>
      </c>
      <c r="AZ1169" t="s">
        <v>579</v>
      </c>
    </row>
    <row r="1170" spans="1:52" x14ac:dyDescent="0.2">
      <c r="A1170">
        <v>0</v>
      </c>
      <c r="B1170">
        <v>1</v>
      </c>
      <c r="C1170">
        <v>0</v>
      </c>
      <c r="D1170">
        <v>0</v>
      </c>
      <c r="E1170">
        <v>0</v>
      </c>
      <c r="F1170">
        <v>0</v>
      </c>
      <c r="G1170">
        <v>1</v>
      </c>
      <c r="H1170">
        <v>0</v>
      </c>
      <c r="I1170">
        <v>0</v>
      </c>
      <c r="J1170" t="s">
        <v>79</v>
      </c>
      <c r="K1170" t="s">
        <v>80</v>
      </c>
      <c r="L1170">
        <v>0</v>
      </c>
      <c r="M1170">
        <v>1</v>
      </c>
      <c r="N1170">
        <v>0</v>
      </c>
      <c r="O1170">
        <v>0</v>
      </c>
      <c r="P1170">
        <v>0</v>
      </c>
      <c r="Q1170" t="s">
        <v>584</v>
      </c>
      <c r="AA1170" t="s">
        <v>83</v>
      </c>
      <c r="AB1170" t="s">
        <v>82</v>
      </c>
      <c r="AC1170" t="s">
        <v>81</v>
      </c>
      <c r="AD1170" t="s">
        <v>82</v>
      </c>
      <c r="AE1170" t="s">
        <v>83</v>
      </c>
      <c r="AF1170" t="s">
        <v>83</v>
      </c>
      <c r="AG1170" t="s">
        <v>83</v>
      </c>
      <c r="AH1170" t="s">
        <v>83</v>
      </c>
      <c r="AI1170" t="s">
        <v>84</v>
      </c>
      <c r="AJ1170" t="s">
        <v>80</v>
      </c>
      <c r="AK1170" t="s">
        <v>100</v>
      </c>
      <c r="AL1170" t="s">
        <v>73</v>
      </c>
      <c r="AM1170" t="s">
        <v>86</v>
      </c>
      <c r="AN1170" t="s">
        <v>87</v>
      </c>
      <c r="AO1170" t="s">
        <v>87</v>
      </c>
      <c r="AP1170" t="s">
        <v>87</v>
      </c>
      <c r="AQ1170" t="s">
        <v>87</v>
      </c>
      <c r="AR1170" t="s">
        <v>75</v>
      </c>
      <c r="AS1170" t="s">
        <v>76</v>
      </c>
      <c r="AT1170" t="s">
        <v>73</v>
      </c>
      <c r="AU1170">
        <v>0</v>
      </c>
      <c r="AV1170">
        <v>0</v>
      </c>
      <c r="AW1170">
        <v>0</v>
      </c>
      <c r="AX1170">
        <v>1</v>
      </c>
      <c r="AY1170">
        <v>0</v>
      </c>
      <c r="AZ1170" t="s">
        <v>578</v>
      </c>
    </row>
    <row r="1171" spans="1:52" x14ac:dyDescent="0.2">
      <c r="A1171">
        <v>1</v>
      </c>
      <c r="B1171">
        <v>0</v>
      </c>
      <c r="C1171">
        <v>0</v>
      </c>
      <c r="D1171">
        <v>0</v>
      </c>
      <c r="E1171">
        <v>0</v>
      </c>
      <c r="F1171">
        <v>1</v>
      </c>
      <c r="G1171">
        <v>1</v>
      </c>
      <c r="H1171">
        <v>1</v>
      </c>
      <c r="I1171">
        <v>0</v>
      </c>
      <c r="J1171" t="s">
        <v>88</v>
      </c>
      <c r="K1171" t="s">
        <v>80</v>
      </c>
      <c r="L1171">
        <v>0</v>
      </c>
      <c r="M1171">
        <v>1</v>
      </c>
      <c r="N1171">
        <v>0</v>
      </c>
      <c r="O1171">
        <v>0</v>
      </c>
      <c r="P1171">
        <v>0</v>
      </c>
      <c r="Q1171" t="s">
        <v>584</v>
      </c>
      <c r="AA1171" t="s">
        <v>83</v>
      </c>
      <c r="AB1171" t="s">
        <v>82</v>
      </c>
      <c r="AC1171" t="s">
        <v>81</v>
      </c>
      <c r="AD1171" t="s">
        <v>81</v>
      </c>
      <c r="AE1171" t="s">
        <v>83</v>
      </c>
      <c r="AF1171" t="s">
        <v>83</v>
      </c>
      <c r="AG1171" t="s">
        <v>83</v>
      </c>
      <c r="AH1171" t="s">
        <v>83</v>
      </c>
      <c r="AI1171" t="s">
        <v>88</v>
      </c>
      <c r="AJ1171" t="s">
        <v>89</v>
      </c>
      <c r="AK1171" t="s">
        <v>100</v>
      </c>
      <c r="AL1171" t="s">
        <v>107</v>
      </c>
      <c r="AM1171" t="s">
        <v>87</v>
      </c>
      <c r="AN1171" t="s">
        <v>87</v>
      </c>
      <c r="AO1171" t="s">
        <v>87</v>
      </c>
      <c r="AP1171" t="s">
        <v>87</v>
      </c>
      <c r="AQ1171" t="s">
        <v>87</v>
      </c>
      <c r="AR1171" t="s">
        <v>75</v>
      </c>
      <c r="AS1171" t="s">
        <v>76</v>
      </c>
      <c r="AT1171" t="s">
        <v>107</v>
      </c>
      <c r="AU1171">
        <v>0</v>
      </c>
      <c r="AV1171">
        <v>0</v>
      </c>
      <c r="AW1171">
        <v>0</v>
      </c>
      <c r="AX1171">
        <v>1</v>
      </c>
      <c r="AY1171">
        <v>0</v>
      </c>
      <c r="AZ1171" t="s">
        <v>578</v>
      </c>
    </row>
    <row r="1172" spans="1:52" x14ac:dyDescent="0.2">
      <c r="A1172">
        <v>1</v>
      </c>
      <c r="B1172">
        <v>0</v>
      </c>
      <c r="C1172">
        <v>0</v>
      </c>
      <c r="D1172">
        <v>0</v>
      </c>
      <c r="E1172">
        <v>0</v>
      </c>
      <c r="F1172">
        <v>1</v>
      </c>
      <c r="G1172">
        <v>1</v>
      </c>
      <c r="H1172">
        <v>1</v>
      </c>
      <c r="I1172">
        <v>1</v>
      </c>
      <c r="J1172" t="s">
        <v>88</v>
      </c>
      <c r="K1172" t="s">
        <v>89</v>
      </c>
      <c r="L1172">
        <v>0</v>
      </c>
      <c r="M1172">
        <v>1</v>
      </c>
      <c r="N1172">
        <v>0</v>
      </c>
      <c r="O1172">
        <v>1</v>
      </c>
      <c r="P1172">
        <v>0</v>
      </c>
      <c r="Q1172" t="s">
        <v>585</v>
      </c>
      <c r="AA1172" t="s">
        <v>83</v>
      </c>
      <c r="AB1172" t="s">
        <v>82</v>
      </c>
      <c r="AC1172" t="s">
        <v>82</v>
      </c>
      <c r="AD1172" t="s">
        <v>82</v>
      </c>
      <c r="AE1172" t="s">
        <v>83</v>
      </c>
      <c r="AF1172" t="s">
        <v>83</v>
      </c>
      <c r="AG1172" t="s">
        <v>81</v>
      </c>
      <c r="AH1172" t="s">
        <v>83</v>
      </c>
      <c r="AI1172" t="s">
        <v>88</v>
      </c>
      <c r="AJ1172" t="s">
        <v>89</v>
      </c>
      <c r="AK1172" t="s">
        <v>100</v>
      </c>
      <c r="AL1172" t="s">
        <v>73</v>
      </c>
      <c r="AM1172" t="s">
        <v>87</v>
      </c>
      <c r="AN1172" t="s">
        <v>87</v>
      </c>
      <c r="AO1172" t="s">
        <v>87</v>
      </c>
      <c r="AP1172" t="s">
        <v>87</v>
      </c>
      <c r="AQ1172" t="s">
        <v>87</v>
      </c>
      <c r="AR1172" t="s">
        <v>75</v>
      </c>
      <c r="AS1172" t="s">
        <v>92</v>
      </c>
      <c r="AT1172" t="s">
        <v>73</v>
      </c>
      <c r="AU1172">
        <v>0</v>
      </c>
      <c r="AV1172">
        <v>0</v>
      </c>
      <c r="AW1172">
        <v>0</v>
      </c>
      <c r="AX1172">
        <v>1</v>
      </c>
      <c r="AY1172">
        <v>0</v>
      </c>
      <c r="AZ1172" t="s">
        <v>579</v>
      </c>
    </row>
    <row r="1173" spans="1:52" x14ac:dyDescent="0.2">
      <c r="A1173">
        <v>0</v>
      </c>
      <c r="B1173">
        <v>1</v>
      </c>
      <c r="C1173">
        <v>0</v>
      </c>
      <c r="D1173">
        <v>0</v>
      </c>
      <c r="E1173">
        <v>0</v>
      </c>
      <c r="F1173">
        <v>1</v>
      </c>
      <c r="G1173">
        <v>1</v>
      </c>
      <c r="H1173">
        <v>1</v>
      </c>
      <c r="I1173">
        <v>0</v>
      </c>
      <c r="J1173" t="s">
        <v>88</v>
      </c>
      <c r="K1173" t="s">
        <v>89</v>
      </c>
      <c r="L1173">
        <v>0</v>
      </c>
      <c r="M1173">
        <v>1</v>
      </c>
      <c r="N1173">
        <v>0</v>
      </c>
      <c r="O1173">
        <v>0</v>
      </c>
      <c r="P1173">
        <v>0</v>
      </c>
      <c r="Q1173" t="s">
        <v>584</v>
      </c>
      <c r="AA1173" t="s">
        <v>83</v>
      </c>
      <c r="AB1173" t="s">
        <v>81</v>
      </c>
      <c r="AC1173" t="s">
        <v>81</v>
      </c>
      <c r="AD1173" t="s">
        <v>82</v>
      </c>
      <c r="AE1173" t="s">
        <v>81</v>
      </c>
      <c r="AF1173" t="s">
        <v>83</v>
      </c>
      <c r="AG1173" t="s">
        <v>83</v>
      </c>
      <c r="AH1173" t="s">
        <v>83</v>
      </c>
      <c r="AI1173" t="s">
        <v>88</v>
      </c>
      <c r="AJ1173" t="s">
        <v>89</v>
      </c>
      <c r="AK1173" t="s">
        <v>100</v>
      </c>
      <c r="AL1173" t="s">
        <v>73</v>
      </c>
      <c r="AM1173" t="s">
        <v>87</v>
      </c>
      <c r="AN1173" t="s">
        <v>87</v>
      </c>
      <c r="AO1173" t="s">
        <v>87</v>
      </c>
      <c r="AP1173" t="s">
        <v>87</v>
      </c>
      <c r="AQ1173" t="s">
        <v>87</v>
      </c>
      <c r="AR1173" t="s">
        <v>75</v>
      </c>
      <c r="AS1173" t="s">
        <v>92</v>
      </c>
      <c r="AT1173" t="s">
        <v>73</v>
      </c>
      <c r="AU1173">
        <v>0</v>
      </c>
      <c r="AV1173">
        <v>0</v>
      </c>
      <c r="AW1173">
        <v>0</v>
      </c>
      <c r="AX1173">
        <v>1</v>
      </c>
      <c r="AY1173">
        <v>0</v>
      </c>
      <c r="AZ1173" t="s">
        <v>579</v>
      </c>
    </row>
    <row r="1174" spans="1:52" x14ac:dyDescent="0.2">
      <c r="A1174">
        <v>1</v>
      </c>
      <c r="B1174">
        <v>0</v>
      </c>
      <c r="C1174">
        <v>0</v>
      </c>
      <c r="D1174">
        <v>0</v>
      </c>
      <c r="E1174">
        <v>0</v>
      </c>
      <c r="F1174">
        <v>1</v>
      </c>
      <c r="G1174">
        <v>0</v>
      </c>
      <c r="H1174">
        <v>1</v>
      </c>
      <c r="I1174">
        <v>0</v>
      </c>
      <c r="J1174" t="s">
        <v>88</v>
      </c>
      <c r="K1174" t="s">
        <v>80</v>
      </c>
      <c r="L1174">
        <v>0</v>
      </c>
      <c r="M1174">
        <v>0</v>
      </c>
      <c r="N1174">
        <v>1</v>
      </c>
      <c r="O1174">
        <v>0</v>
      </c>
      <c r="P1174">
        <v>0</v>
      </c>
      <c r="Q1174" t="s">
        <v>584</v>
      </c>
      <c r="AA1174" t="s">
        <v>83</v>
      </c>
      <c r="AB1174" t="s">
        <v>82</v>
      </c>
      <c r="AC1174" t="s">
        <v>81</v>
      </c>
      <c r="AD1174" t="s">
        <v>83</v>
      </c>
      <c r="AE1174" t="s">
        <v>81</v>
      </c>
      <c r="AF1174" t="s">
        <v>83</v>
      </c>
      <c r="AG1174" t="s">
        <v>83</v>
      </c>
      <c r="AH1174" t="s">
        <v>83</v>
      </c>
      <c r="AI1174" t="s">
        <v>88</v>
      </c>
      <c r="AJ1174" t="s">
        <v>89</v>
      </c>
      <c r="AK1174" t="s">
        <v>100</v>
      </c>
      <c r="AL1174" t="s">
        <v>107</v>
      </c>
      <c r="AM1174" t="s">
        <v>87</v>
      </c>
      <c r="AN1174" t="s">
        <v>87</v>
      </c>
      <c r="AO1174" t="s">
        <v>87</v>
      </c>
      <c r="AP1174" t="s">
        <v>87</v>
      </c>
      <c r="AQ1174" t="s">
        <v>87</v>
      </c>
      <c r="AR1174" t="s">
        <v>75</v>
      </c>
      <c r="AS1174" t="s">
        <v>76</v>
      </c>
      <c r="AT1174" t="s">
        <v>107</v>
      </c>
      <c r="AU1174">
        <v>0</v>
      </c>
      <c r="AV1174">
        <v>0</v>
      </c>
      <c r="AW1174">
        <v>0</v>
      </c>
      <c r="AX1174">
        <v>1</v>
      </c>
      <c r="AY1174">
        <v>0</v>
      </c>
      <c r="AZ1174" t="s">
        <v>578</v>
      </c>
    </row>
    <row r="1175" spans="1:52" x14ac:dyDescent="0.2">
      <c r="A1175">
        <v>1</v>
      </c>
      <c r="B1175">
        <v>0</v>
      </c>
      <c r="C1175">
        <v>0</v>
      </c>
      <c r="D1175">
        <v>0</v>
      </c>
      <c r="E1175">
        <v>1</v>
      </c>
      <c r="F1175">
        <v>0</v>
      </c>
      <c r="G1175">
        <v>0</v>
      </c>
      <c r="H1175">
        <v>0</v>
      </c>
      <c r="I1175">
        <v>0</v>
      </c>
      <c r="L1175">
        <v>1</v>
      </c>
      <c r="M1175">
        <v>0</v>
      </c>
      <c r="N1175">
        <v>0</v>
      </c>
      <c r="O1175">
        <v>0</v>
      </c>
      <c r="P1175">
        <v>0</v>
      </c>
      <c r="Q1175" t="s">
        <v>584</v>
      </c>
      <c r="R1175">
        <v>0</v>
      </c>
      <c r="S1175">
        <v>1</v>
      </c>
      <c r="T1175">
        <v>0</v>
      </c>
      <c r="U1175">
        <v>0</v>
      </c>
      <c r="V1175">
        <v>0</v>
      </c>
      <c r="W1175">
        <v>0</v>
      </c>
      <c r="X1175">
        <v>0</v>
      </c>
      <c r="Y1175">
        <v>0</v>
      </c>
      <c r="Z1175">
        <v>0</v>
      </c>
      <c r="AL1175" t="s">
        <v>107</v>
      </c>
      <c r="AM1175" t="s">
        <v>86</v>
      </c>
      <c r="AN1175" t="s">
        <v>86</v>
      </c>
      <c r="AO1175" t="s">
        <v>86</v>
      </c>
      <c r="AP1175" t="s">
        <v>86</v>
      </c>
      <c r="AQ1175" t="s">
        <v>86</v>
      </c>
      <c r="AR1175" t="s">
        <v>75</v>
      </c>
      <c r="AS1175" t="s">
        <v>92</v>
      </c>
      <c r="AT1175" t="s">
        <v>107</v>
      </c>
      <c r="AU1175">
        <v>0</v>
      </c>
      <c r="AV1175">
        <v>0</v>
      </c>
      <c r="AW1175">
        <v>0</v>
      </c>
      <c r="AX1175">
        <v>1</v>
      </c>
      <c r="AY1175">
        <v>0</v>
      </c>
      <c r="AZ1175" t="s">
        <v>579</v>
      </c>
    </row>
    <row r="1176" spans="1:52" x14ac:dyDescent="0.2">
      <c r="A1176">
        <v>0</v>
      </c>
      <c r="B1176">
        <v>1</v>
      </c>
      <c r="C1176">
        <v>0</v>
      </c>
      <c r="D1176">
        <v>0</v>
      </c>
      <c r="E1176">
        <v>0</v>
      </c>
      <c r="F1176">
        <v>1</v>
      </c>
      <c r="G1176">
        <v>0</v>
      </c>
      <c r="H1176">
        <v>0</v>
      </c>
      <c r="I1176">
        <v>0</v>
      </c>
      <c r="J1176" t="s">
        <v>88</v>
      </c>
      <c r="K1176" t="s">
        <v>89</v>
      </c>
      <c r="L1176">
        <v>0</v>
      </c>
      <c r="M1176">
        <v>0</v>
      </c>
      <c r="N1176">
        <v>0</v>
      </c>
      <c r="O1176">
        <v>0</v>
      </c>
      <c r="P1176">
        <v>0</v>
      </c>
      <c r="Q1176" t="s">
        <v>585</v>
      </c>
      <c r="AA1176" t="s">
        <v>83</v>
      </c>
      <c r="AB1176" t="s">
        <v>82</v>
      </c>
      <c r="AC1176" t="s">
        <v>83</v>
      </c>
      <c r="AD1176" t="s">
        <v>81</v>
      </c>
      <c r="AE1176" t="s">
        <v>81</v>
      </c>
      <c r="AF1176" t="s">
        <v>83</v>
      </c>
      <c r="AG1176" t="s">
        <v>83</v>
      </c>
      <c r="AH1176" t="s">
        <v>83</v>
      </c>
      <c r="AI1176" t="s">
        <v>88</v>
      </c>
      <c r="AJ1176" t="s">
        <v>89</v>
      </c>
      <c r="AK1176" t="s">
        <v>85</v>
      </c>
      <c r="AL1176" t="s">
        <v>73</v>
      </c>
      <c r="AM1176" t="s">
        <v>74</v>
      </c>
      <c r="AR1176" t="s">
        <v>75</v>
      </c>
      <c r="AS1176" t="s">
        <v>92</v>
      </c>
      <c r="AT1176" t="s">
        <v>73</v>
      </c>
      <c r="AU1176">
        <v>0</v>
      </c>
      <c r="AV1176">
        <v>0</v>
      </c>
      <c r="AW1176">
        <v>0</v>
      </c>
      <c r="AX1176">
        <v>1</v>
      </c>
      <c r="AY1176">
        <v>0</v>
      </c>
      <c r="AZ1176" t="s">
        <v>579</v>
      </c>
    </row>
    <row r="1177" spans="1:52" x14ac:dyDescent="0.2">
      <c r="A1177">
        <v>0</v>
      </c>
      <c r="B1177">
        <v>1</v>
      </c>
      <c r="C1177">
        <v>0</v>
      </c>
      <c r="D1177">
        <v>0</v>
      </c>
      <c r="E1177">
        <v>0</v>
      </c>
      <c r="F1177">
        <v>1</v>
      </c>
      <c r="G1177">
        <v>0</v>
      </c>
      <c r="H1177">
        <v>1</v>
      </c>
      <c r="I1177">
        <v>0</v>
      </c>
      <c r="J1177" t="s">
        <v>88</v>
      </c>
      <c r="K1177" t="s">
        <v>89</v>
      </c>
      <c r="L1177">
        <v>0</v>
      </c>
      <c r="M1177">
        <v>1</v>
      </c>
      <c r="N1177">
        <v>0</v>
      </c>
      <c r="O1177">
        <v>0</v>
      </c>
      <c r="P1177">
        <v>0</v>
      </c>
      <c r="Q1177" t="s">
        <v>584</v>
      </c>
      <c r="AA1177" t="s">
        <v>83</v>
      </c>
      <c r="AB1177" t="s">
        <v>82</v>
      </c>
      <c r="AC1177" t="s">
        <v>81</v>
      </c>
      <c r="AD1177" t="s">
        <v>81</v>
      </c>
      <c r="AE1177" t="s">
        <v>81</v>
      </c>
      <c r="AF1177" t="s">
        <v>83</v>
      </c>
      <c r="AG1177" t="s">
        <v>83</v>
      </c>
      <c r="AH1177" t="s">
        <v>83</v>
      </c>
      <c r="AI1177" t="s">
        <v>88</v>
      </c>
      <c r="AJ1177" t="s">
        <v>89</v>
      </c>
      <c r="AK1177" t="s">
        <v>100</v>
      </c>
      <c r="AL1177" t="s">
        <v>73</v>
      </c>
      <c r="AM1177" t="s">
        <v>87</v>
      </c>
      <c r="AN1177" t="s">
        <v>86</v>
      </c>
      <c r="AO1177" t="s">
        <v>87</v>
      </c>
      <c r="AP1177" t="s">
        <v>87</v>
      </c>
      <c r="AQ1177" t="s">
        <v>74</v>
      </c>
      <c r="AR1177" t="s">
        <v>75</v>
      </c>
      <c r="AS1177" t="s">
        <v>76</v>
      </c>
      <c r="AT1177" t="s">
        <v>73</v>
      </c>
      <c r="AU1177">
        <v>0</v>
      </c>
      <c r="AV1177">
        <v>0</v>
      </c>
      <c r="AW1177">
        <v>0</v>
      </c>
      <c r="AX1177">
        <v>1</v>
      </c>
      <c r="AY1177">
        <v>0</v>
      </c>
      <c r="AZ1177" t="s">
        <v>579</v>
      </c>
    </row>
    <row r="1178" spans="1:52" x14ac:dyDescent="0.2">
      <c r="A1178">
        <v>1</v>
      </c>
      <c r="B1178">
        <v>0</v>
      </c>
      <c r="C1178">
        <v>0</v>
      </c>
      <c r="D1178">
        <v>0</v>
      </c>
      <c r="E1178">
        <v>0</v>
      </c>
      <c r="F1178">
        <v>1</v>
      </c>
      <c r="G1178">
        <v>0</v>
      </c>
      <c r="H1178">
        <v>1</v>
      </c>
      <c r="I1178">
        <v>0</v>
      </c>
      <c r="J1178" t="s">
        <v>88</v>
      </c>
      <c r="K1178" t="s">
        <v>89</v>
      </c>
      <c r="L1178">
        <v>0</v>
      </c>
      <c r="M1178">
        <v>1</v>
      </c>
      <c r="N1178">
        <v>1</v>
      </c>
      <c r="O1178">
        <v>0</v>
      </c>
      <c r="P1178">
        <v>0</v>
      </c>
      <c r="Q1178" t="s">
        <v>584</v>
      </c>
      <c r="AA1178" t="s">
        <v>83</v>
      </c>
      <c r="AB1178" t="s">
        <v>82</v>
      </c>
      <c r="AC1178" t="s">
        <v>81</v>
      </c>
      <c r="AD1178" t="s">
        <v>83</v>
      </c>
      <c r="AE1178" t="s">
        <v>81</v>
      </c>
      <c r="AF1178" t="s">
        <v>83</v>
      </c>
      <c r="AG1178" t="s">
        <v>83</v>
      </c>
      <c r="AH1178" t="s">
        <v>83</v>
      </c>
      <c r="AI1178" t="s">
        <v>88</v>
      </c>
      <c r="AJ1178" t="s">
        <v>89</v>
      </c>
      <c r="AK1178" t="s">
        <v>85</v>
      </c>
      <c r="AL1178" t="s">
        <v>107</v>
      </c>
      <c r="AM1178" t="s">
        <v>87</v>
      </c>
      <c r="AN1178" t="s">
        <v>86</v>
      </c>
      <c r="AO1178" t="s">
        <v>87</v>
      </c>
      <c r="AP1178" t="s">
        <v>86</v>
      </c>
      <c r="AQ1178" t="s">
        <v>87</v>
      </c>
      <c r="AR1178" t="s">
        <v>75</v>
      </c>
      <c r="AS1178" t="s">
        <v>76</v>
      </c>
      <c r="AT1178" t="s">
        <v>107</v>
      </c>
      <c r="AU1178">
        <v>0</v>
      </c>
      <c r="AV1178">
        <v>0</v>
      </c>
      <c r="AW1178">
        <v>0</v>
      </c>
      <c r="AX1178">
        <v>1</v>
      </c>
      <c r="AY1178">
        <v>0</v>
      </c>
      <c r="AZ1178" t="s">
        <v>579</v>
      </c>
    </row>
    <row r="1179" spans="1:52" x14ac:dyDescent="0.2">
      <c r="A1179">
        <v>1</v>
      </c>
      <c r="B1179">
        <v>0</v>
      </c>
      <c r="C1179">
        <v>0</v>
      </c>
      <c r="D1179">
        <v>0</v>
      </c>
      <c r="E1179">
        <v>0</v>
      </c>
      <c r="F1179">
        <v>1</v>
      </c>
      <c r="G1179">
        <v>0</v>
      </c>
      <c r="H1179">
        <v>0</v>
      </c>
      <c r="I1179">
        <v>0</v>
      </c>
      <c r="J1179" t="s">
        <v>88</v>
      </c>
      <c r="K1179" t="s">
        <v>89</v>
      </c>
      <c r="L1179">
        <v>0</v>
      </c>
      <c r="M1179">
        <v>0</v>
      </c>
      <c r="N1179">
        <v>1</v>
      </c>
      <c r="O1179">
        <v>0</v>
      </c>
      <c r="P1179">
        <v>0</v>
      </c>
      <c r="Q1179" t="s">
        <v>584</v>
      </c>
      <c r="AA1179" t="s">
        <v>83</v>
      </c>
      <c r="AB1179" t="s">
        <v>81</v>
      </c>
      <c r="AC1179" t="s">
        <v>83</v>
      </c>
      <c r="AD1179" t="s">
        <v>83</v>
      </c>
      <c r="AE1179" t="s">
        <v>82</v>
      </c>
      <c r="AF1179" t="s">
        <v>83</v>
      </c>
      <c r="AG1179" t="s">
        <v>83</v>
      </c>
      <c r="AH1179" t="s">
        <v>83</v>
      </c>
      <c r="AI1179" t="s">
        <v>88</v>
      </c>
      <c r="AJ1179" t="s">
        <v>89</v>
      </c>
      <c r="AK1179" t="s">
        <v>85</v>
      </c>
      <c r="AL1179" t="s">
        <v>107</v>
      </c>
      <c r="AM1179" t="s">
        <v>87</v>
      </c>
      <c r="AN1179" t="s">
        <v>87</v>
      </c>
      <c r="AO1179" t="s">
        <v>87</v>
      </c>
      <c r="AP1179" t="s">
        <v>86</v>
      </c>
      <c r="AQ1179" t="s">
        <v>87</v>
      </c>
      <c r="AR1179" t="s">
        <v>75</v>
      </c>
      <c r="AS1179" t="s">
        <v>92</v>
      </c>
      <c r="AT1179" t="s">
        <v>107</v>
      </c>
      <c r="AU1179">
        <v>0</v>
      </c>
      <c r="AV1179">
        <v>0</v>
      </c>
      <c r="AW1179">
        <v>0</v>
      </c>
      <c r="AX1179">
        <v>1</v>
      </c>
      <c r="AY1179">
        <v>0</v>
      </c>
      <c r="AZ1179" t="s">
        <v>579</v>
      </c>
    </row>
    <row r="1180" spans="1:52" x14ac:dyDescent="0.2">
      <c r="A1180">
        <v>1</v>
      </c>
      <c r="B1180">
        <v>0</v>
      </c>
      <c r="C1180">
        <v>0</v>
      </c>
      <c r="D1180">
        <v>0</v>
      </c>
      <c r="E1180">
        <v>1</v>
      </c>
      <c r="F1180">
        <v>0</v>
      </c>
      <c r="G1180">
        <v>0</v>
      </c>
      <c r="H1180">
        <v>0</v>
      </c>
      <c r="I1180">
        <v>0</v>
      </c>
      <c r="L1180">
        <v>1</v>
      </c>
      <c r="M1180">
        <v>0</v>
      </c>
      <c r="N1180">
        <v>0</v>
      </c>
      <c r="O1180">
        <v>0</v>
      </c>
      <c r="P1180">
        <v>0</v>
      </c>
      <c r="Q1180" t="s">
        <v>584</v>
      </c>
      <c r="R1180">
        <v>0</v>
      </c>
      <c r="S1180">
        <v>0</v>
      </c>
      <c r="T1180">
        <v>1</v>
      </c>
      <c r="U1180">
        <v>0</v>
      </c>
      <c r="V1180">
        <v>0</v>
      </c>
      <c r="W1180">
        <v>0</v>
      </c>
      <c r="X1180">
        <v>0</v>
      </c>
      <c r="Y1180">
        <v>0</v>
      </c>
      <c r="Z1180">
        <v>0</v>
      </c>
      <c r="AL1180" t="s">
        <v>96</v>
      </c>
      <c r="AM1180" t="s">
        <v>74</v>
      </c>
      <c r="AR1180" t="s">
        <v>75</v>
      </c>
      <c r="AS1180" t="s">
        <v>92</v>
      </c>
      <c r="AT1180" t="s">
        <v>96</v>
      </c>
      <c r="AU1180">
        <v>0</v>
      </c>
      <c r="AV1180">
        <v>0</v>
      </c>
      <c r="AW1180">
        <v>0</v>
      </c>
      <c r="AX1180">
        <v>1</v>
      </c>
      <c r="AY1180">
        <v>0</v>
      </c>
      <c r="AZ1180" t="s">
        <v>579</v>
      </c>
    </row>
    <row r="1181" spans="1:52" x14ac:dyDescent="0.2">
      <c r="A1181">
        <v>1</v>
      </c>
      <c r="B1181">
        <v>0</v>
      </c>
      <c r="C1181">
        <v>0</v>
      </c>
      <c r="D1181">
        <v>0</v>
      </c>
      <c r="E1181">
        <v>0</v>
      </c>
      <c r="F1181">
        <v>1</v>
      </c>
      <c r="G1181">
        <v>0</v>
      </c>
      <c r="H1181">
        <v>0</v>
      </c>
      <c r="I1181">
        <v>0</v>
      </c>
      <c r="J1181" t="s">
        <v>88</v>
      </c>
      <c r="K1181" t="s">
        <v>89</v>
      </c>
      <c r="L1181">
        <v>0</v>
      </c>
      <c r="M1181">
        <v>0</v>
      </c>
      <c r="N1181">
        <v>1</v>
      </c>
      <c r="O1181">
        <v>0</v>
      </c>
      <c r="P1181">
        <v>0</v>
      </c>
      <c r="Q1181" t="s">
        <v>584</v>
      </c>
      <c r="AA1181" t="s">
        <v>83</v>
      </c>
      <c r="AB1181" t="s">
        <v>81</v>
      </c>
      <c r="AC1181" t="s">
        <v>83</v>
      </c>
      <c r="AD1181" t="s">
        <v>83</v>
      </c>
      <c r="AE1181" t="s">
        <v>82</v>
      </c>
      <c r="AF1181" t="s">
        <v>83</v>
      </c>
      <c r="AG1181" t="s">
        <v>83</v>
      </c>
      <c r="AH1181" t="s">
        <v>83</v>
      </c>
      <c r="AI1181" t="s">
        <v>88</v>
      </c>
      <c r="AJ1181" t="s">
        <v>89</v>
      </c>
      <c r="AK1181" t="s">
        <v>85</v>
      </c>
      <c r="AL1181" t="s">
        <v>73</v>
      </c>
      <c r="AM1181" t="s">
        <v>86</v>
      </c>
      <c r="AN1181" t="s">
        <v>86</v>
      </c>
      <c r="AO1181" t="s">
        <v>87</v>
      </c>
      <c r="AP1181" t="s">
        <v>74</v>
      </c>
      <c r="AQ1181" t="s">
        <v>86</v>
      </c>
      <c r="AR1181" t="s">
        <v>75</v>
      </c>
      <c r="AS1181" t="s">
        <v>76</v>
      </c>
      <c r="AT1181" t="s">
        <v>73</v>
      </c>
      <c r="AU1181">
        <v>0</v>
      </c>
      <c r="AV1181">
        <v>0</v>
      </c>
      <c r="AW1181">
        <v>0</v>
      </c>
      <c r="AX1181">
        <v>1</v>
      </c>
      <c r="AY1181">
        <v>0</v>
      </c>
      <c r="AZ1181" t="s">
        <v>579</v>
      </c>
    </row>
    <row r="1182" spans="1:52" x14ac:dyDescent="0.2">
      <c r="A1182">
        <v>0</v>
      </c>
      <c r="B1182">
        <v>1</v>
      </c>
      <c r="C1182">
        <v>0</v>
      </c>
      <c r="D1182">
        <v>0</v>
      </c>
      <c r="E1182">
        <v>1</v>
      </c>
      <c r="F1182">
        <v>0</v>
      </c>
      <c r="G1182">
        <v>0</v>
      </c>
      <c r="H1182">
        <v>0</v>
      </c>
      <c r="I1182">
        <v>0</v>
      </c>
      <c r="L1182">
        <v>1</v>
      </c>
      <c r="M1182">
        <v>0</v>
      </c>
      <c r="N1182">
        <v>0</v>
      </c>
      <c r="O1182">
        <v>0</v>
      </c>
      <c r="P1182">
        <v>0</v>
      </c>
      <c r="Q1182" t="s">
        <v>584</v>
      </c>
      <c r="R1182">
        <v>0</v>
      </c>
      <c r="S1182">
        <v>0</v>
      </c>
      <c r="T1182">
        <v>1</v>
      </c>
      <c r="U1182">
        <v>0</v>
      </c>
      <c r="V1182">
        <v>0</v>
      </c>
      <c r="W1182">
        <v>0</v>
      </c>
      <c r="X1182">
        <v>1</v>
      </c>
      <c r="Y1182">
        <v>1</v>
      </c>
      <c r="Z1182">
        <v>0</v>
      </c>
      <c r="AL1182" t="s">
        <v>107</v>
      </c>
      <c r="AM1182" t="s">
        <v>74</v>
      </c>
      <c r="AR1182" t="s">
        <v>108</v>
      </c>
      <c r="AS1182" t="s">
        <v>76</v>
      </c>
      <c r="AT1182" t="s">
        <v>107</v>
      </c>
      <c r="AU1182">
        <v>0</v>
      </c>
      <c r="AV1182">
        <v>0</v>
      </c>
      <c r="AW1182">
        <v>0</v>
      </c>
      <c r="AX1182">
        <v>0</v>
      </c>
      <c r="AY1182">
        <v>1</v>
      </c>
      <c r="AZ1182" t="s">
        <v>579</v>
      </c>
    </row>
    <row r="1183" spans="1:52" x14ac:dyDescent="0.2">
      <c r="A1183">
        <v>1</v>
      </c>
      <c r="B1183">
        <v>0</v>
      </c>
      <c r="C1183">
        <v>0</v>
      </c>
      <c r="D1183">
        <v>0</v>
      </c>
      <c r="E1183">
        <v>0</v>
      </c>
      <c r="F1183">
        <v>1</v>
      </c>
      <c r="G1183">
        <v>0</v>
      </c>
      <c r="H1183">
        <v>0</v>
      </c>
      <c r="I1183">
        <v>0</v>
      </c>
      <c r="J1183" t="s">
        <v>135</v>
      </c>
      <c r="K1183" t="s">
        <v>80</v>
      </c>
      <c r="L1183">
        <v>1</v>
      </c>
      <c r="M1183">
        <v>0</v>
      </c>
      <c r="N1183">
        <v>0</v>
      </c>
      <c r="O1183">
        <v>0</v>
      </c>
      <c r="P1183">
        <v>0</v>
      </c>
      <c r="Q1183" t="s">
        <v>584</v>
      </c>
      <c r="R1183">
        <v>1</v>
      </c>
      <c r="S1183">
        <v>0</v>
      </c>
      <c r="T1183">
        <v>0</v>
      </c>
      <c r="U1183">
        <v>0</v>
      </c>
      <c r="V1183">
        <v>0</v>
      </c>
      <c r="W1183">
        <v>0</v>
      </c>
      <c r="X1183">
        <v>0</v>
      </c>
      <c r="Y1183">
        <v>0</v>
      </c>
      <c r="Z1183">
        <v>0</v>
      </c>
      <c r="AL1183" t="s">
        <v>107</v>
      </c>
      <c r="AM1183" t="s">
        <v>87</v>
      </c>
      <c r="AN1183" t="s">
        <v>87</v>
      </c>
      <c r="AO1183" t="s">
        <v>87</v>
      </c>
      <c r="AP1183" t="s">
        <v>87</v>
      </c>
      <c r="AQ1183" t="s">
        <v>87</v>
      </c>
      <c r="AR1183" t="s">
        <v>101</v>
      </c>
      <c r="AS1183" t="s">
        <v>76</v>
      </c>
      <c r="AT1183" t="s">
        <v>107</v>
      </c>
      <c r="AU1183">
        <v>0</v>
      </c>
      <c r="AV1183">
        <v>0</v>
      </c>
      <c r="AW1183">
        <v>0</v>
      </c>
      <c r="AX1183">
        <v>1</v>
      </c>
      <c r="AY1183">
        <v>0</v>
      </c>
      <c r="AZ1183" t="s">
        <v>579</v>
      </c>
    </row>
    <row r="1184" spans="1:52" x14ac:dyDescent="0.2">
      <c r="A1184">
        <v>1</v>
      </c>
      <c r="B1184">
        <v>0</v>
      </c>
      <c r="C1184">
        <v>0</v>
      </c>
      <c r="D1184">
        <v>0</v>
      </c>
      <c r="E1184">
        <v>0</v>
      </c>
      <c r="F1184">
        <v>1</v>
      </c>
      <c r="G1184">
        <v>1</v>
      </c>
      <c r="H1184">
        <v>0</v>
      </c>
      <c r="I1184">
        <v>1</v>
      </c>
      <c r="J1184" t="s">
        <v>88</v>
      </c>
      <c r="K1184" t="s">
        <v>89</v>
      </c>
      <c r="L1184">
        <v>0</v>
      </c>
      <c r="M1184">
        <v>1</v>
      </c>
      <c r="N1184">
        <v>0</v>
      </c>
      <c r="O1184">
        <v>0</v>
      </c>
      <c r="P1184">
        <v>0</v>
      </c>
      <c r="Q1184" t="s">
        <v>585</v>
      </c>
      <c r="AA1184" t="s">
        <v>83</v>
      </c>
      <c r="AB1184" t="s">
        <v>82</v>
      </c>
      <c r="AC1184" t="s">
        <v>83</v>
      </c>
      <c r="AD1184" t="s">
        <v>81</v>
      </c>
      <c r="AE1184" t="s">
        <v>82</v>
      </c>
      <c r="AF1184" t="s">
        <v>81</v>
      </c>
      <c r="AG1184" t="s">
        <v>82</v>
      </c>
      <c r="AH1184" t="s">
        <v>83</v>
      </c>
      <c r="AI1184" t="s">
        <v>88</v>
      </c>
      <c r="AJ1184" t="s">
        <v>89</v>
      </c>
      <c r="AK1184" t="s">
        <v>100</v>
      </c>
      <c r="AL1184" t="s">
        <v>107</v>
      </c>
      <c r="AM1184" t="s">
        <v>87</v>
      </c>
      <c r="AN1184" t="s">
        <v>87</v>
      </c>
      <c r="AO1184" t="s">
        <v>87</v>
      </c>
      <c r="AP1184" t="s">
        <v>87</v>
      </c>
      <c r="AQ1184" t="s">
        <v>86</v>
      </c>
      <c r="AR1184" t="s">
        <v>159</v>
      </c>
      <c r="AS1184" t="s">
        <v>76</v>
      </c>
      <c r="AT1184" t="s">
        <v>107</v>
      </c>
      <c r="AU1184">
        <v>0</v>
      </c>
      <c r="AV1184">
        <v>0</v>
      </c>
      <c r="AW1184">
        <v>0</v>
      </c>
      <c r="AX1184">
        <v>1</v>
      </c>
      <c r="AY1184">
        <v>0</v>
      </c>
      <c r="AZ1184" t="s">
        <v>578</v>
      </c>
    </row>
    <row r="1185" spans="1:52" x14ac:dyDescent="0.2">
      <c r="A1185">
        <v>0</v>
      </c>
      <c r="B1185">
        <v>1</v>
      </c>
      <c r="C1185">
        <v>0</v>
      </c>
      <c r="D1185">
        <v>0</v>
      </c>
      <c r="E1185">
        <v>1</v>
      </c>
      <c r="F1185">
        <v>0</v>
      </c>
      <c r="G1185">
        <v>0</v>
      </c>
      <c r="H1185">
        <v>0</v>
      </c>
      <c r="I1185">
        <v>0</v>
      </c>
      <c r="L1185">
        <v>0</v>
      </c>
      <c r="M1185">
        <v>0</v>
      </c>
      <c r="N1185">
        <v>0</v>
      </c>
      <c r="O1185">
        <v>0</v>
      </c>
      <c r="P1185">
        <v>0</v>
      </c>
      <c r="Q1185" t="s">
        <v>585</v>
      </c>
      <c r="AA1185" t="s">
        <v>90</v>
      </c>
      <c r="AB1185" t="s">
        <v>81</v>
      </c>
      <c r="AC1185" t="s">
        <v>83</v>
      </c>
      <c r="AD1185" t="s">
        <v>82</v>
      </c>
      <c r="AE1185" t="s">
        <v>81</v>
      </c>
      <c r="AF1185" t="s">
        <v>83</v>
      </c>
      <c r="AG1185" t="s">
        <v>83</v>
      </c>
      <c r="AH1185" t="s">
        <v>83</v>
      </c>
      <c r="AI1185" t="s">
        <v>84</v>
      </c>
      <c r="AJ1185" t="s">
        <v>127</v>
      </c>
      <c r="AK1185" t="s">
        <v>85</v>
      </c>
      <c r="AL1185" t="s">
        <v>107</v>
      </c>
      <c r="AM1185" t="s">
        <v>87</v>
      </c>
      <c r="AN1185" t="s">
        <v>86</v>
      </c>
      <c r="AO1185" t="s">
        <v>86</v>
      </c>
      <c r="AP1185" t="s">
        <v>86</v>
      </c>
      <c r="AQ1185" t="s">
        <v>86</v>
      </c>
      <c r="AR1185" t="s">
        <v>75</v>
      </c>
      <c r="AS1185" t="s">
        <v>76</v>
      </c>
      <c r="AT1185" t="s">
        <v>107</v>
      </c>
      <c r="AU1185">
        <v>0</v>
      </c>
      <c r="AV1185">
        <v>0</v>
      </c>
      <c r="AW1185">
        <v>0</v>
      </c>
      <c r="AX1185">
        <v>1</v>
      </c>
      <c r="AY1185">
        <v>0</v>
      </c>
      <c r="AZ1185" t="s">
        <v>578</v>
      </c>
    </row>
    <row r="1186" spans="1:52" x14ac:dyDescent="0.2">
      <c r="A1186">
        <v>1</v>
      </c>
      <c r="B1186">
        <v>0</v>
      </c>
      <c r="C1186">
        <v>0</v>
      </c>
      <c r="D1186">
        <v>0</v>
      </c>
      <c r="E1186">
        <v>0</v>
      </c>
      <c r="F1186">
        <v>1</v>
      </c>
      <c r="G1186">
        <v>1</v>
      </c>
      <c r="H1186">
        <v>0</v>
      </c>
      <c r="I1186">
        <v>0</v>
      </c>
      <c r="J1186" t="s">
        <v>135</v>
      </c>
      <c r="K1186" t="s">
        <v>80</v>
      </c>
      <c r="L1186">
        <v>0</v>
      </c>
      <c r="M1186">
        <v>0</v>
      </c>
      <c r="N1186">
        <v>1</v>
      </c>
      <c r="O1186">
        <v>0</v>
      </c>
      <c r="P1186">
        <v>0</v>
      </c>
      <c r="Q1186" t="s">
        <v>584</v>
      </c>
      <c r="AA1186" t="s">
        <v>83</v>
      </c>
      <c r="AB1186" t="s">
        <v>82</v>
      </c>
      <c r="AC1186" t="s">
        <v>81</v>
      </c>
      <c r="AD1186" t="s">
        <v>82</v>
      </c>
      <c r="AE1186" t="s">
        <v>81</v>
      </c>
      <c r="AF1186" t="s">
        <v>83</v>
      </c>
      <c r="AG1186" t="s">
        <v>83</v>
      </c>
      <c r="AH1186" t="s">
        <v>83</v>
      </c>
      <c r="AI1186" t="s">
        <v>88</v>
      </c>
      <c r="AJ1186" t="s">
        <v>89</v>
      </c>
      <c r="AK1186" t="s">
        <v>100</v>
      </c>
      <c r="AL1186" t="s">
        <v>73</v>
      </c>
      <c r="AM1186" t="s">
        <v>86</v>
      </c>
      <c r="AN1186" t="s">
        <v>86</v>
      </c>
      <c r="AO1186" t="s">
        <v>86</v>
      </c>
      <c r="AP1186" t="s">
        <v>86</v>
      </c>
      <c r="AQ1186" t="s">
        <v>86</v>
      </c>
      <c r="AR1186" t="s">
        <v>75</v>
      </c>
      <c r="AS1186" t="s">
        <v>76</v>
      </c>
      <c r="AT1186" t="s">
        <v>73</v>
      </c>
      <c r="AU1186">
        <v>0</v>
      </c>
      <c r="AV1186">
        <v>0</v>
      </c>
      <c r="AW1186">
        <v>0</v>
      </c>
      <c r="AX1186">
        <v>1</v>
      </c>
      <c r="AY1186">
        <v>0</v>
      </c>
      <c r="AZ1186" t="s">
        <v>579</v>
      </c>
    </row>
    <row r="1187" spans="1:52" x14ac:dyDescent="0.2">
      <c r="A1187">
        <v>0</v>
      </c>
      <c r="B1187">
        <v>1</v>
      </c>
      <c r="C1187">
        <v>0</v>
      </c>
      <c r="D1187">
        <v>0</v>
      </c>
      <c r="E1187">
        <v>0</v>
      </c>
      <c r="F1187">
        <v>0</v>
      </c>
      <c r="G1187">
        <v>1</v>
      </c>
      <c r="H1187">
        <v>0</v>
      </c>
      <c r="I1187">
        <v>0</v>
      </c>
      <c r="J1187" t="s">
        <v>79</v>
      </c>
      <c r="K1187" t="s">
        <v>89</v>
      </c>
      <c r="L1187">
        <v>1</v>
      </c>
      <c r="M1187">
        <v>0</v>
      </c>
      <c r="N1187">
        <v>0</v>
      </c>
      <c r="O1187">
        <v>0</v>
      </c>
      <c r="P1187">
        <v>0</v>
      </c>
      <c r="Q1187" t="s">
        <v>584</v>
      </c>
      <c r="R1187">
        <v>0</v>
      </c>
      <c r="S1187">
        <v>1</v>
      </c>
      <c r="T1187">
        <v>0</v>
      </c>
      <c r="U1187">
        <v>0</v>
      </c>
      <c r="V1187">
        <v>0</v>
      </c>
      <c r="W1187">
        <v>0</v>
      </c>
      <c r="X1187">
        <v>0</v>
      </c>
      <c r="Y1187">
        <v>0</v>
      </c>
      <c r="Z1187">
        <v>0</v>
      </c>
      <c r="AL1187" t="s">
        <v>107</v>
      </c>
      <c r="AM1187" t="s">
        <v>87</v>
      </c>
      <c r="AN1187" t="s">
        <v>87</v>
      </c>
      <c r="AO1187" t="s">
        <v>86</v>
      </c>
      <c r="AP1187" t="s">
        <v>86</v>
      </c>
      <c r="AQ1187" t="s">
        <v>87</v>
      </c>
      <c r="AR1187" t="s">
        <v>75</v>
      </c>
      <c r="AS1187" t="s">
        <v>92</v>
      </c>
      <c r="AT1187" t="s">
        <v>107</v>
      </c>
      <c r="AU1187">
        <v>0</v>
      </c>
      <c r="AV1187">
        <v>0</v>
      </c>
      <c r="AW1187">
        <v>0</v>
      </c>
      <c r="AX1187">
        <v>1</v>
      </c>
      <c r="AY1187">
        <v>0</v>
      </c>
      <c r="AZ1187" t="s">
        <v>579</v>
      </c>
    </row>
    <row r="1188" spans="1:52" x14ac:dyDescent="0.2">
      <c r="A1188">
        <v>1</v>
      </c>
      <c r="B1188">
        <v>0</v>
      </c>
      <c r="C1188">
        <v>0</v>
      </c>
      <c r="D1188">
        <v>0</v>
      </c>
      <c r="E1188">
        <v>1</v>
      </c>
      <c r="F1188">
        <v>0</v>
      </c>
      <c r="G1188">
        <v>0</v>
      </c>
      <c r="H1188">
        <v>0</v>
      </c>
      <c r="I1188">
        <v>0</v>
      </c>
      <c r="L1188">
        <v>1</v>
      </c>
      <c r="M1188">
        <v>0</v>
      </c>
      <c r="N1188">
        <v>0</v>
      </c>
      <c r="O1188">
        <v>0</v>
      </c>
      <c r="P1188">
        <v>0</v>
      </c>
      <c r="Q1188" t="s">
        <v>584</v>
      </c>
      <c r="R1188">
        <v>0</v>
      </c>
      <c r="S1188">
        <v>0</v>
      </c>
      <c r="T1188">
        <v>1</v>
      </c>
      <c r="U1188">
        <v>0</v>
      </c>
      <c r="V1188">
        <v>0</v>
      </c>
      <c r="W1188">
        <v>1</v>
      </c>
      <c r="X1188">
        <v>0</v>
      </c>
      <c r="Y1188">
        <v>0</v>
      </c>
      <c r="Z1188">
        <v>0</v>
      </c>
      <c r="AL1188" t="s">
        <v>107</v>
      </c>
      <c r="AM1188" t="s">
        <v>87</v>
      </c>
      <c r="AN1188" t="s">
        <v>86</v>
      </c>
      <c r="AO1188" t="s">
        <v>87</v>
      </c>
      <c r="AP1188" t="s">
        <v>87</v>
      </c>
      <c r="AQ1188" t="s">
        <v>86</v>
      </c>
      <c r="AR1188" t="s">
        <v>75</v>
      </c>
      <c r="AS1188" t="s">
        <v>92</v>
      </c>
      <c r="AT1188" t="s">
        <v>107</v>
      </c>
      <c r="AU1188">
        <v>0</v>
      </c>
      <c r="AV1188">
        <v>0</v>
      </c>
      <c r="AW1188">
        <v>0</v>
      </c>
      <c r="AX1188">
        <v>1</v>
      </c>
      <c r="AY1188">
        <v>0</v>
      </c>
      <c r="AZ1188" t="s">
        <v>580</v>
      </c>
    </row>
    <row r="1189" spans="1:52" x14ac:dyDescent="0.2">
      <c r="A1189">
        <v>1</v>
      </c>
      <c r="B1189">
        <v>0</v>
      </c>
      <c r="C1189">
        <v>0</v>
      </c>
      <c r="D1189">
        <v>0</v>
      </c>
      <c r="E1189">
        <v>0</v>
      </c>
      <c r="F1189">
        <v>1</v>
      </c>
      <c r="G1189">
        <v>0</v>
      </c>
      <c r="H1189">
        <v>0</v>
      </c>
      <c r="I1189">
        <v>0</v>
      </c>
      <c r="J1189" t="s">
        <v>88</v>
      </c>
      <c r="K1189" t="s">
        <v>142</v>
      </c>
      <c r="L1189">
        <v>0</v>
      </c>
      <c r="M1189">
        <v>0</v>
      </c>
      <c r="N1189">
        <v>0</v>
      </c>
      <c r="O1189">
        <v>0</v>
      </c>
      <c r="P1189">
        <v>0</v>
      </c>
      <c r="Q1189" t="s">
        <v>585</v>
      </c>
      <c r="AA1189" t="s">
        <v>81</v>
      </c>
      <c r="AB1189" t="s">
        <v>81</v>
      </c>
      <c r="AC1189" t="s">
        <v>81</v>
      </c>
      <c r="AD1189" t="s">
        <v>83</v>
      </c>
      <c r="AE1189" t="s">
        <v>82</v>
      </c>
      <c r="AF1189" t="s">
        <v>90</v>
      </c>
      <c r="AG1189" t="s">
        <v>90</v>
      </c>
      <c r="AH1189" t="s">
        <v>81</v>
      </c>
      <c r="AI1189" t="s">
        <v>88</v>
      </c>
      <c r="AJ1189" t="s">
        <v>142</v>
      </c>
      <c r="AK1189" t="s">
        <v>85</v>
      </c>
      <c r="AL1189" t="s">
        <v>96</v>
      </c>
      <c r="AM1189" t="s">
        <v>87</v>
      </c>
      <c r="AN1189" t="s">
        <v>74</v>
      </c>
      <c r="AO1189" t="s">
        <v>87</v>
      </c>
      <c r="AP1189" t="s">
        <v>74</v>
      </c>
      <c r="AQ1189" t="s">
        <v>87</v>
      </c>
      <c r="AR1189" t="s">
        <v>75</v>
      </c>
      <c r="AS1189" t="s">
        <v>76</v>
      </c>
      <c r="AT1189" t="s">
        <v>96</v>
      </c>
      <c r="AU1189">
        <v>0</v>
      </c>
      <c r="AV1189">
        <v>0</v>
      </c>
      <c r="AW1189">
        <v>0</v>
      </c>
      <c r="AX1189">
        <v>1</v>
      </c>
      <c r="AY1189">
        <v>0</v>
      </c>
      <c r="AZ1189" t="s">
        <v>579</v>
      </c>
    </row>
    <row r="1190" spans="1:52" x14ac:dyDescent="0.2">
      <c r="A1190">
        <v>1</v>
      </c>
      <c r="B1190">
        <v>0</v>
      </c>
      <c r="C1190">
        <v>0</v>
      </c>
      <c r="D1190">
        <v>0</v>
      </c>
      <c r="E1190">
        <v>0</v>
      </c>
      <c r="F1190">
        <v>1</v>
      </c>
      <c r="G1190">
        <v>1</v>
      </c>
      <c r="H1190">
        <v>0</v>
      </c>
      <c r="I1190">
        <v>0</v>
      </c>
      <c r="J1190" t="s">
        <v>88</v>
      </c>
      <c r="K1190" t="s">
        <v>89</v>
      </c>
      <c r="L1190">
        <v>0</v>
      </c>
      <c r="M1190">
        <v>0</v>
      </c>
      <c r="N1190">
        <v>1</v>
      </c>
      <c r="O1190">
        <v>0</v>
      </c>
      <c r="P1190">
        <v>0</v>
      </c>
      <c r="Q1190" t="s">
        <v>585</v>
      </c>
      <c r="AA1190" t="s">
        <v>81</v>
      </c>
      <c r="AB1190" t="s">
        <v>81</v>
      </c>
      <c r="AC1190" t="s">
        <v>83</v>
      </c>
      <c r="AD1190" t="s">
        <v>81</v>
      </c>
      <c r="AE1190" t="s">
        <v>81</v>
      </c>
      <c r="AF1190" t="s">
        <v>81</v>
      </c>
      <c r="AG1190" t="s">
        <v>81</v>
      </c>
      <c r="AH1190" t="s">
        <v>81</v>
      </c>
      <c r="AI1190" t="s">
        <v>88</v>
      </c>
      <c r="AJ1190" t="s">
        <v>89</v>
      </c>
      <c r="AK1190" t="s">
        <v>85</v>
      </c>
      <c r="AL1190" t="s">
        <v>107</v>
      </c>
      <c r="AM1190" t="s">
        <v>86</v>
      </c>
      <c r="AN1190" t="s">
        <v>86</v>
      </c>
      <c r="AO1190" t="s">
        <v>86</v>
      </c>
      <c r="AP1190" t="s">
        <v>74</v>
      </c>
      <c r="AQ1190" t="s">
        <v>86</v>
      </c>
      <c r="AR1190" t="s">
        <v>97</v>
      </c>
      <c r="AS1190" t="s">
        <v>92</v>
      </c>
      <c r="AT1190" t="s">
        <v>107</v>
      </c>
      <c r="AU1190">
        <v>0</v>
      </c>
      <c r="AV1190">
        <v>1</v>
      </c>
      <c r="AW1190">
        <v>0</v>
      </c>
      <c r="AX1190">
        <v>0</v>
      </c>
      <c r="AY1190">
        <v>0</v>
      </c>
      <c r="AZ1190" t="s">
        <v>580</v>
      </c>
    </row>
    <row r="1191" spans="1:52" x14ac:dyDescent="0.2">
      <c r="A1191">
        <v>0</v>
      </c>
      <c r="B1191">
        <v>1</v>
      </c>
      <c r="C1191">
        <v>0</v>
      </c>
      <c r="D1191">
        <v>0</v>
      </c>
      <c r="E1191">
        <v>0</v>
      </c>
      <c r="F1191">
        <v>1</v>
      </c>
      <c r="G1191">
        <v>0</v>
      </c>
      <c r="H1191">
        <v>0</v>
      </c>
      <c r="I1191">
        <v>0</v>
      </c>
      <c r="J1191" t="s">
        <v>88</v>
      </c>
      <c r="K1191" t="s">
        <v>89</v>
      </c>
      <c r="L1191">
        <v>0</v>
      </c>
      <c r="M1191">
        <v>0</v>
      </c>
      <c r="N1191">
        <v>0</v>
      </c>
      <c r="O1191">
        <v>1</v>
      </c>
      <c r="P1191">
        <v>0</v>
      </c>
      <c r="Q1191" t="s">
        <v>584</v>
      </c>
      <c r="AA1191" t="s">
        <v>83</v>
      </c>
      <c r="AB1191" t="s">
        <v>82</v>
      </c>
      <c r="AC1191" t="s">
        <v>81</v>
      </c>
      <c r="AD1191" t="s">
        <v>83</v>
      </c>
      <c r="AE1191" t="s">
        <v>82</v>
      </c>
      <c r="AF1191" t="s">
        <v>83</v>
      </c>
      <c r="AG1191" t="s">
        <v>81</v>
      </c>
      <c r="AH1191" t="s">
        <v>83</v>
      </c>
      <c r="AI1191" t="s">
        <v>88</v>
      </c>
      <c r="AJ1191" t="s">
        <v>89</v>
      </c>
      <c r="AK1191" t="s">
        <v>100</v>
      </c>
      <c r="AL1191" t="s">
        <v>96</v>
      </c>
      <c r="AM1191" t="s">
        <v>87</v>
      </c>
      <c r="AN1191" t="s">
        <v>87</v>
      </c>
      <c r="AO1191" t="s">
        <v>87</v>
      </c>
      <c r="AP1191" t="s">
        <v>87</v>
      </c>
      <c r="AQ1191" t="s">
        <v>86</v>
      </c>
      <c r="AR1191" t="s">
        <v>75</v>
      </c>
      <c r="AS1191" t="s">
        <v>92</v>
      </c>
      <c r="AT1191" t="s">
        <v>96</v>
      </c>
      <c r="AU1191">
        <v>0</v>
      </c>
      <c r="AV1191">
        <v>0</v>
      </c>
      <c r="AW1191">
        <v>0</v>
      </c>
      <c r="AX1191">
        <v>1</v>
      </c>
      <c r="AY1191">
        <v>0</v>
      </c>
      <c r="AZ1191" t="s">
        <v>579</v>
      </c>
    </row>
    <row r="1192" spans="1:52" x14ac:dyDescent="0.2">
      <c r="A1192">
        <v>1</v>
      </c>
      <c r="B1192">
        <v>0</v>
      </c>
      <c r="C1192">
        <v>0</v>
      </c>
      <c r="D1192">
        <v>0</v>
      </c>
      <c r="E1192">
        <v>0</v>
      </c>
      <c r="F1192">
        <v>1</v>
      </c>
      <c r="G1192">
        <v>1</v>
      </c>
      <c r="H1192">
        <v>1</v>
      </c>
      <c r="I1192">
        <v>0</v>
      </c>
      <c r="J1192" t="s">
        <v>88</v>
      </c>
      <c r="K1192" t="s">
        <v>89</v>
      </c>
      <c r="L1192">
        <v>0</v>
      </c>
      <c r="M1192">
        <v>1</v>
      </c>
      <c r="N1192">
        <v>1</v>
      </c>
      <c r="O1192">
        <v>0</v>
      </c>
      <c r="P1192">
        <v>0</v>
      </c>
      <c r="Q1192" t="s">
        <v>584</v>
      </c>
      <c r="AA1192" t="s">
        <v>82</v>
      </c>
      <c r="AB1192" t="s">
        <v>82</v>
      </c>
      <c r="AC1192" t="s">
        <v>82</v>
      </c>
      <c r="AD1192" t="s">
        <v>82</v>
      </c>
      <c r="AE1192" t="s">
        <v>82</v>
      </c>
      <c r="AF1192" t="s">
        <v>82</v>
      </c>
      <c r="AG1192" t="s">
        <v>81</v>
      </c>
      <c r="AH1192" t="s">
        <v>81</v>
      </c>
      <c r="AI1192" t="s">
        <v>88</v>
      </c>
      <c r="AJ1192" t="s">
        <v>89</v>
      </c>
      <c r="AK1192" t="s">
        <v>100</v>
      </c>
      <c r="AL1192" t="s">
        <v>73</v>
      </c>
      <c r="AM1192" t="s">
        <v>87</v>
      </c>
      <c r="AN1192" t="s">
        <v>87</v>
      </c>
      <c r="AO1192" t="s">
        <v>87</v>
      </c>
      <c r="AP1192" t="s">
        <v>87</v>
      </c>
      <c r="AQ1192" t="s">
        <v>87</v>
      </c>
      <c r="AR1192" t="s">
        <v>75</v>
      </c>
      <c r="AS1192" t="s">
        <v>92</v>
      </c>
      <c r="AT1192" t="s">
        <v>73</v>
      </c>
      <c r="AU1192">
        <v>0</v>
      </c>
      <c r="AV1192">
        <v>0</v>
      </c>
      <c r="AW1192">
        <v>0</v>
      </c>
      <c r="AX1192">
        <v>1</v>
      </c>
      <c r="AY1192">
        <v>0</v>
      </c>
      <c r="AZ1192" t="s">
        <v>579</v>
      </c>
    </row>
    <row r="1193" spans="1:52" x14ac:dyDescent="0.2">
      <c r="A1193">
        <v>0</v>
      </c>
      <c r="B1193">
        <v>1</v>
      </c>
      <c r="C1193">
        <v>0</v>
      </c>
      <c r="D1193">
        <v>0</v>
      </c>
      <c r="E1193">
        <v>0</v>
      </c>
      <c r="F1193">
        <v>1</v>
      </c>
      <c r="G1193">
        <v>0</v>
      </c>
      <c r="H1193">
        <v>0</v>
      </c>
      <c r="I1193">
        <v>0</v>
      </c>
      <c r="J1193" t="s">
        <v>79</v>
      </c>
      <c r="K1193" t="s">
        <v>80</v>
      </c>
      <c r="L1193">
        <v>1</v>
      </c>
      <c r="M1193">
        <v>0</v>
      </c>
      <c r="N1193">
        <v>0</v>
      </c>
      <c r="O1193">
        <v>0</v>
      </c>
      <c r="P1193">
        <v>0</v>
      </c>
      <c r="Q1193" t="s">
        <v>584</v>
      </c>
      <c r="R1193">
        <v>1</v>
      </c>
      <c r="S1193">
        <v>0</v>
      </c>
      <c r="T1193">
        <v>0</v>
      </c>
      <c r="U1193">
        <v>0</v>
      </c>
      <c r="V1193">
        <v>0</v>
      </c>
      <c r="W1193">
        <v>0</v>
      </c>
      <c r="X1193">
        <v>0</v>
      </c>
      <c r="Y1193">
        <v>0</v>
      </c>
      <c r="Z1193">
        <v>0</v>
      </c>
      <c r="AL1193" t="s">
        <v>96</v>
      </c>
      <c r="AM1193" t="s">
        <v>74</v>
      </c>
      <c r="AR1193" t="s">
        <v>108</v>
      </c>
      <c r="AS1193" t="s">
        <v>76</v>
      </c>
      <c r="AT1193" t="s">
        <v>96</v>
      </c>
      <c r="AU1193">
        <v>0</v>
      </c>
      <c r="AV1193">
        <v>0</v>
      </c>
      <c r="AW1193">
        <v>0</v>
      </c>
      <c r="AX1193">
        <v>1</v>
      </c>
      <c r="AY1193">
        <v>1</v>
      </c>
      <c r="AZ1193" t="s">
        <v>579</v>
      </c>
    </row>
    <row r="1194" spans="1:52" x14ac:dyDescent="0.2">
      <c r="A1194">
        <v>1</v>
      </c>
      <c r="B1194">
        <v>0</v>
      </c>
      <c r="C1194">
        <v>0</v>
      </c>
      <c r="D1194">
        <v>0</v>
      </c>
      <c r="E1194">
        <v>0</v>
      </c>
      <c r="F1194">
        <v>1</v>
      </c>
      <c r="G1194">
        <v>1</v>
      </c>
      <c r="H1194">
        <v>1</v>
      </c>
      <c r="I1194">
        <v>0</v>
      </c>
      <c r="J1194" t="s">
        <v>88</v>
      </c>
      <c r="K1194" t="s">
        <v>89</v>
      </c>
      <c r="L1194">
        <v>0</v>
      </c>
      <c r="M1194">
        <v>0</v>
      </c>
      <c r="N1194">
        <v>1</v>
      </c>
      <c r="O1194">
        <v>0</v>
      </c>
      <c r="P1194">
        <v>0</v>
      </c>
      <c r="Q1194" t="s">
        <v>584</v>
      </c>
      <c r="AA1194" t="s">
        <v>83</v>
      </c>
      <c r="AB1194" t="s">
        <v>81</v>
      </c>
      <c r="AC1194" t="s">
        <v>81</v>
      </c>
      <c r="AD1194" t="s">
        <v>81</v>
      </c>
      <c r="AE1194" t="s">
        <v>82</v>
      </c>
      <c r="AF1194" t="s">
        <v>81</v>
      </c>
      <c r="AG1194" t="s">
        <v>83</v>
      </c>
      <c r="AH1194" t="s">
        <v>83</v>
      </c>
      <c r="AI1194" t="s">
        <v>88</v>
      </c>
      <c r="AJ1194" t="s">
        <v>89</v>
      </c>
      <c r="AK1194" t="s">
        <v>100</v>
      </c>
      <c r="AL1194" t="s">
        <v>107</v>
      </c>
      <c r="AM1194" t="s">
        <v>86</v>
      </c>
      <c r="AN1194" t="s">
        <v>86</v>
      </c>
      <c r="AO1194" t="s">
        <v>86</v>
      </c>
      <c r="AP1194" t="s">
        <v>86</v>
      </c>
      <c r="AQ1194" t="s">
        <v>86</v>
      </c>
      <c r="AR1194" t="s">
        <v>75</v>
      </c>
      <c r="AS1194" t="s">
        <v>76</v>
      </c>
      <c r="AT1194" t="s">
        <v>107</v>
      </c>
      <c r="AU1194">
        <v>0</v>
      </c>
      <c r="AV1194">
        <v>0</v>
      </c>
      <c r="AW1194">
        <v>0</v>
      </c>
      <c r="AX1194">
        <v>1</v>
      </c>
      <c r="AY1194">
        <v>0</v>
      </c>
      <c r="AZ1194" t="s">
        <v>579</v>
      </c>
    </row>
    <row r="1195" spans="1:52" x14ac:dyDescent="0.2">
      <c r="A1195">
        <v>1</v>
      </c>
      <c r="B1195">
        <v>0</v>
      </c>
      <c r="C1195">
        <v>0</v>
      </c>
      <c r="D1195">
        <v>0</v>
      </c>
      <c r="E1195">
        <v>0</v>
      </c>
      <c r="F1195">
        <v>1</v>
      </c>
      <c r="G1195">
        <v>1</v>
      </c>
      <c r="H1195">
        <v>1</v>
      </c>
      <c r="I1195">
        <v>0</v>
      </c>
      <c r="J1195" t="s">
        <v>88</v>
      </c>
      <c r="K1195" t="s">
        <v>89</v>
      </c>
      <c r="L1195">
        <v>0</v>
      </c>
      <c r="M1195">
        <v>0</v>
      </c>
      <c r="N1195">
        <v>0</v>
      </c>
      <c r="O1195">
        <v>0</v>
      </c>
      <c r="P1195">
        <v>0</v>
      </c>
      <c r="Q1195" t="s">
        <v>585</v>
      </c>
      <c r="AA1195" t="s">
        <v>83</v>
      </c>
      <c r="AB1195" t="s">
        <v>82</v>
      </c>
      <c r="AC1195" t="s">
        <v>82</v>
      </c>
      <c r="AD1195" t="s">
        <v>82</v>
      </c>
      <c r="AE1195" t="s">
        <v>90</v>
      </c>
      <c r="AF1195" t="s">
        <v>90</v>
      </c>
      <c r="AG1195" t="s">
        <v>90</v>
      </c>
      <c r="AH1195" t="s">
        <v>83</v>
      </c>
      <c r="AI1195" t="s">
        <v>88</v>
      </c>
      <c r="AJ1195" t="s">
        <v>89</v>
      </c>
      <c r="AK1195" t="s">
        <v>100</v>
      </c>
      <c r="AL1195" t="s">
        <v>107</v>
      </c>
      <c r="AM1195" t="s">
        <v>87</v>
      </c>
      <c r="AN1195" t="s">
        <v>87</v>
      </c>
      <c r="AO1195" t="s">
        <v>87</v>
      </c>
      <c r="AP1195" t="s">
        <v>87</v>
      </c>
      <c r="AQ1195" t="s">
        <v>86</v>
      </c>
      <c r="AR1195" t="s">
        <v>75</v>
      </c>
      <c r="AS1195" t="s">
        <v>92</v>
      </c>
      <c r="AT1195" t="s">
        <v>107</v>
      </c>
      <c r="AU1195">
        <v>0</v>
      </c>
      <c r="AV1195">
        <v>0</v>
      </c>
      <c r="AW1195">
        <v>0</v>
      </c>
      <c r="AX1195">
        <v>1</v>
      </c>
      <c r="AY1195">
        <v>0</v>
      </c>
      <c r="AZ1195" t="s">
        <v>579</v>
      </c>
    </row>
    <row r="1196" spans="1:52" x14ac:dyDescent="0.2">
      <c r="A1196">
        <v>1</v>
      </c>
      <c r="B1196">
        <v>0</v>
      </c>
      <c r="C1196">
        <v>0</v>
      </c>
      <c r="D1196">
        <v>0</v>
      </c>
      <c r="E1196">
        <v>1</v>
      </c>
      <c r="F1196">
        <v>0</v>
      </c>
      <c r="G1196">
        <v>0</v>
      </c>
      <c r="H1196">
        <v>0</v>
      </c>
      <c r="I1196">
        <v>0</v>
      </c>
      <c r="L1196">
        <v>0</v>
      </c>
      <c r="M1196">
        <v>1</v>
      </c>
      <c r="N1196">
        <v>0</v>
      </c>
      <c r="O1196">
        <v>0</v>
      </c>
      <c r="P1196">
        <v>0</v>
      </c>
      <c r="Q1196" t="s">
        <v>584</v>
      </c>
      <c r="AA1196" t="s">
        <v>83</v>
      </c>
      <c r="AB1196" t="s">
        <v>82</v>
      </c>
      <c r="AC1196" t="s">
        <v>81</v>
      </c>
      <c r="AD1196" t="s">
        <v>82</v>
      </c>
      <c r="AE1196" t="s">
        <v>83</v>
      </c>
      <c r="AF1196" t="s">
        <v>81</v>
      </c>
      <c r="AG1196" t="s">
        <v>83</v>
      </c>
      <c r="AH1196" t="s">
        <v>83</v>
      </c>
      <c r="AI1196" t="s">
        <v>88</v>
      </c>
      <c r="AJ1196" t="s">
        <v>127</v>
      </c>
      <c r="AK1196" t="s">
        <v>85</v>
      </c>
      <c r="AL1196" t="s">
        <v>107</v>
      </c>
      <c r="AM1196" t="s">
        <v>74</v>
      </c>
      <c r="AR1196" t="s">
        <v>75</v>
      </c>
      <c r="AS1196" t="s">
        <v>76</v>
      </c>
      <c r="AT1196" t="s">
        <v>107</v>
      </c>
      <c r="AU1196">
        <v>0</v>
      </c>
      <c r="AV1196">
        <v>0</v>
      </c>
      <c r="AW1196">
        <v>0</v>
      </c>
      <c r="AX1196">
        <v>1</v>
      </c>
      <c r="AY1196">
        <v>0</v>
      </c>
      <c r="AZ1196" t="s">
        <v>579</v>
      </c>
    </row>
    <row r="1197" spans="1:52" x14ac:dyDescent="0.2">
      <c r="A1197">
        <v>1</v>
      </c>
      <c r="B1197">
        <v>0</v>
      </c>
      <c r="C1197">
        <v>0</v>
      </c>
      <c r="D1197">
        <v>0</v>
      </c>
      <c r="E1197">
        <v>1</v>
      </c>
      <c r="F1197">
        <v>0</v>
      </c>
      <c r="G1197">
        <v>0</v>
      </c>
      <c r="H1197">
        <v>0</v>
      </c>
      <c r="I1197">
        <v>0</v>
      </c>
      <c r="L1197">
        <v>0</v>
      </c>
      <c r="M1197">
        <v>0</v>
      </c>
      <c r="N1197">
        <v>1</v>
      </c>
      <c r="O1197">
        <v>0</v>
      </c>
      <c r="P1197">
        <v>0</v>
      </c>
      <c r="Q1197" t="s">
        <v>585</v>
      </c>
      <c r="AA1197" t="s">
        <v>83</v>
      </c>
      <c r="AB1197" t="s">
        <v>82</v>
      </c>
      <c r="AC1197" t="s">
        <v>83</v>
      </c>
      <c r="AD1197" t="s">
        <v>83</v>
      </c>
      <c r="AE1197" t="s">
        <v>83</v>
      </c>
      <c r="AF1197" t="s">
        <v>83</v>
      </c>
      <c r="AG1197" t="s">
        <v>83</v>
      </c>
      <c r="AH1197" t="s">
        <v>83</v>
      </c>
      <c r="AI1197" t="s">
        <v>84</v>
      </c>
      <c r="AJ1197" t="s">
        <v>127</v>
      </c>
      <c r="AK1197" t="s">
        <v>153</v>
      </c>
      <c r="AL1197" t="s">
        <v>73</v>
      </c>
      <c r="AM1197" t="s">
        <v>87</v>
      </c>
      <c r="AN1197" t="s">
        <v>87</v>
      </c>
      <c r="AO1197" t="s">
        <v>87</v>
      </c>
      <c r="AP1197" t="s">
        <v>87</v>
      </c>
      <c r="AQ1197" t="s">
        <v>87</v>
      </c>
      <c r="AR1197" t="s">
        <v>101</v>
      </c>
      <c r="AS1197" t="s">
        <v>225</v>
      </c>
      <c r="AT1197" t="s">
        <v>73</v>
      </c>
      <c r="AU1197">
        <v>0</v>
      </c>
      <c r="AV1197">
        <v>0</v>
      </c>
      <c r="AW1197">
        <v>0</v>
      </c>
      <c r="AX1197">
        <v>0</v>
      </c>
      <c r="AY1197">
        <v>1</v>
      </c>
      <c r="AZ1197" t="s">
        <v>578</v>
      </c>
    </row>
    <row r="1198" spans="1:52" x14ac:dyDescent="0.2">
      <c r="A1198">
        <v>1</v>
      </c>
      <c r="B1198">
        <v>0</v>
      </c>
      <c r="C1198">
        <v>0</v>
      </c>
      <c r="D1198">
        <v>0</v>
      </c>
      <c r="E1198">
        <v>1</v>
      </c>
      <c r="F1198">
        <v>0</v>
      </c>
      <c r="G1198">
        <v>0</v>
      </c>
      <c r="H1198">
        <v>0</v>
      </c>
      <c r="I1198">
        <v>0</v>
      </c>
      <c r="L1198">
        <v>1</v>
      </c>
      <c r="M1198">
        <v>0</v>
      </c>
      <c r="N1198">
        <v>0</v>
      </c>
      <c r="O1198">
        <v>0</v>
      </c>
      <c r="P1198">
        <v>0</v>
      </c>
      <c r="Q1198" t="s">
        <v>584</v>
      </c>
      <c r="R1198">
        <v>0</v>
      </c>
      <c r="S1198">
        <v>0</v>
      </c>
      <c r="T1198">
        <v>0</v>
      </c>
      <c r="U1198">
        <v>0</v>
      </c>
      <c r="V1198">
        <v>0</v>
      </c>
      <c r="W1198">
        <v>0</v>
      </c>
      <c r="X1198">
        <v>1</v>
      </c>
      <c r="Y1198">
        <v>1</v>
      </c>
      <c r="Z1198">
        <v>0</v>
      </c>
      <c r="AL1198" t="s">
        <v>73</v>
      </c>
      <c r="AM1198" t="s">
        <v>86</v>
      </c>
      <c r="AN1198" t="s">
        <v>74</v>
      </c>
      <c r="AO1198" t="s">
        <v>74</v>
      </c>
      <c r="AP1198" t="s">
        <v>74</v>
      </c>
      <c r="AQ1198" t="s">
        <v>86</v>
      </c>
      <c r="AR1198" t="s">
        <v>75</v>
      </c>
      <c r="AS1198" t="s">
        <v>92</v>
      </c>
      <c r="AT1198" t="s">
        <v>73</v>
      </c>
      <c r="AU1198">
        <v>0</v>
      </c>
      <c r="AV1198">
        <v>0</v>
      </c>
      <c r="AW1198">
        <v>0</v>
      </c>
      <c r="AX1198">
        <v>1</v>
      </c>
      <c r="AY1198">
        <v>0</v>
      </c>
      <c r="AZ1198" t="s">
        <v>580</v>
      </c>
    </row>
    <row r="1199" spans="1:52" x14ac:dyDescent="0.2">
      <c r="A1199">
        <v>1</v>
      </c>
      <c r="B1199">
        <v>0</v>
      </c>
      <c r="C1199">
        <v>0</v>
      </c>
      <c r="D1199">
        <v>0</v>
      </c>
      <c r="E1199">
        <v>0</v>
      </c>
      <c r="F1199">
        <v>1</v>
      </c>
      <c r="G1199">
        <v>1</v>
      </c>
      <c r="H1199">
        <v>0</v>
      </c>
      <c r="I1199">
        <v>0</v>
      </c>
      <c r="J1199" t="s">
        <v>79</v>
      </c>
      <c r="K1199" t="s">
        <v>89</v>
      </c>
      <c r="L1199">
        <v>0</v>
      </c>
      <c r="M1199">
        <v>0</v>
      </c>
      <c r="N1199">
        <v>1</v>
      </c>
      <c r="O1199">
        <v>0</v>
      </c>
      <c r="P1199">
        <v>0</v>
      </c>
      <c r="Q1199" t="s">
        <v>584</v>
      </c>
      <c r="AA1199" t="s">
        <v>83</v>
      </c>
      <c r="AB1199" t="s">
        <v>82</v>
      </c>
      <c r="AC1199" t="s">
        <v>83</v>
      </c>
      <c r="AD1199" t="s">
        <v>81</v>
      </c>
      <c r="AE1199" t="s">
        <v>81</v>
      </c>
      <c r="AF1199" t="s">
        <v>82</v>
      </c>
      <c r="AG1199" t="s">
        <v>81</v>
      </c>
      <c r="AH1199" t="s">
        <v>83</v>
      </c>
      <c r="AI1199" t="s">
        <v>88</v>
      </c>
      <c r="AJ1199" t="s">
        <v>89</v>
      </c>
      <c r="AK1199" t="s">
        <v>85</v>
      </c>
      <c r="AL1199" t="s">
        <v>120</v>
      </c>
      <c r="AM1199" t="s">
        <v>87</v>
      </c>
      <c r="AN1199" t="s">
        <v>87</v>
      </c>
      <c r="AO1199" t="s">
        <v>87</v>
      </c>
      <c r="AP1199" t="s">
        <v>87</v>
      </c>
      <c r="AQ1199" t="s">
        <v>87</v>
      </c>
      <c r="AR1199" t="s">
        <v>75</v>
      </c>
      <c r="AS1199" t="s">
        <v>92</v>
      </c>
      <c r="AT1199" t="s">
        <v>120</v>
      </c>
      <c r="AU1199">
        <v>0</v>
      </c>
      <c r="AV1199">
        <v>0</v>
      </c>
      <c r="AW1199">
        <v>0</v>
      </c>
      <c r="AX1199">
        <v>1</v>
      </c>
      <c r="AY1199">
        <v>0</v>
      </c>
      <c r="AZ1199" t="s">
        <v>578</v>
      </c>
    </row>
    <row r="1200" spans="1:52" x14ac:dyDescent="0.2">
      <c r="A1200">
        <v>1</v>
      </c>
      <c r="B1200">
        <v>0</v>
      </c>
      <c r="C1200">
        <v>0</v>
      </c>
      <c r="D1200">
        <v>0</v>
      </c>
      <c r="E1200">
        <v>0</v>
      </c>
      <c r="F1200">
        <v>0</v>
      </c>
      <c r="G1200">
        <v>0</v>
      </c>
      <c r="H1200">
        <v>0</v>
      </c>
      <c r="I1200">
        <v>1</v>
      </c>
      <c r="J1200" t="s">
        <v>135</v>
      </c>
      <c r="K1200" t="s">
        <v>142</v>
      </c>
      <c r="L1200">
        <v>1</v>
      </c>
      <c r="M1200">
        <v>0</v>
      </c>
      <c r="N1200">
        <v>0</v>
      </c>
      <c r="O1200">
        <v>0</v>
      </c>
      <c r="P1200">
        <v>0</v>
      </c>
      <c r="Q1200" t="s">
        <v>584</v>
      </c>
      <c r="R1200">
        <v>0</v>
      </c>
      <c r="S1200">
        <v>0</v>
      </c>
      <c r="T1200">
        <v>1</v>
      </c>
      <c r="U1200">
        <v>0</v>
      </c>
      <c r="V1200">
        <v>1</v>
      </c>
      <c r="W1200">
        <v>1</v>
      </c>
      <c r="X1200">
        <v>1</v>
      </c>
      <c r="Y1200">
        <v>0</v>
      </c>
      <c r="Z1200">
        <v>0</v>
      </c>
      <c r="AL1200" t="s">
        <v>107</v>
      </c>
      <c r="AM1200" t="s">
        <v>87</v>
      </c>
      <c r="AN1200" t="s">
        <v>87</v>
      </c>
      <c r="AO1200" t="s">
        <v>87</v>
      </c>
      <c r="AP1200" t="s">
        <v>87</v>
      </c>
      <c r="AQ1200" t="s">
        <v>87</v>
      </c>
      <c r="AR1200" t="s">
        <v>101</v>
      </c>
      <c r="AS1200" t="s">
        <v>76</v>
      </c>
      <c r="AT1200" t="s">
        <v>107</v>
      </c>
      <c r="AU1200">
        <v>0</v>
      </c>
      <c r="AV1200">
        <v>0</v>
      </c>
      <c r="AW1200">
        <v>0</v>
      </c>
      <c r="AX1200">
        <v>1</v>
      </c>
      <c r="AY1200">
        <v>0</v>
      </c>
      <c r="AZ1200" t="s">
        <v>579</v>
      </c>
    </row>
    <row r="1201" spans="1:52" x14ac:dyDescent="0.2">
      <c r="A1201">
        <v>0</v>
      </c>
      <c r="B1201">
        <v>1</v>
      </c>
      <c r="C1201">
        <v>0</v>
      </c>
      <c r="D1201">
        <v>0</v>
      </c>
      <c r="E1201">
        <v>1</v>
      </c>
      <c r="F1201">
        <v>0</v>
      </c>
      <c r="G1201">
        <v>0</v>
      </c>
      <c r="H1201">
        <v>0</v>
      </c>
      <c r="I1201">
        <v>0</v>
      </c>
      <c r="L1201">
        <v>0</v>
      </c>
      <c r="M1201">
        <v>0</v>
      </c>
      <c r="N1201">
        <v>0</v>
      </c>
      <c r="O1201">
        <v>1</v>
      </c>
      <c r="P1201">
        <v>0</v>
      </c>
      <c r="Q1201" t="s">
        <v>584</v>
      </c>
      <c r="AA1201" t="s">
        <v>81</v>
      </c>
      <c r="AB1201" t="s">
        <v>82</v>
      </c>
      <c r="AC1201" t="s">
        <v>82</v>
      </c>
      <c r="AD1201" t="s">
        <v>82</v>
      </c>
      <c r="AE1201" t="s">
        <v>83</v>
      </c>
      <c r="AF1201" t="s">
        <v>82</v>
      </c>
      <c r="AG1201" t="s">
        <v>82</v>
      </c>
      <c r="AH1201" t="s">
        <v>83</v>
      </c>
      <c r="AI1201" t="s">
        <v>88</v>
      </c>
      <c r="AJ1201" t="s">
        <v>89</v>
      </c>
      <c r="AK1201" t="s">
        <v>100</v>
      </c>
      <c r="AL1201" t="s">
        <v>107</v>
      </c>
      <c r="AM1201" t="s">
        <v>87</v>
      </c>
      <c r="AN1201" t="s">
        <v>87</v>
      </c>
      <c r="AO1201" t="s">
        <v>87</v>
      </c>
      <c r="AP1201" t="s">
        <v>87</v>
      </c>
      <c r="AQ1201" t="s">
        <v>86</v>
      </c>
      <c r="AR1201" t="s">
        <v>75</v>
      </c>
      <c r="AS1201" t="s">
        <v>92</v>
      </c>
      <c r="AT1201" t="s">
        <v>107</v>
      </c>
      <c r="AU1201">
        <v>0</v>
      </c>
      <c r="AV1201">
        <v>0</v>
      </c>
      <c r="AW1201">
        <v>0</v>
      </c>
      <c r="AX1201">
        <v>1</v>
      </c>
      <c r="AY1201">
        <v>0</v>
      </c>
      <c r="AZ1201" t="s">
        <v>579</v>
      </c>
    </row>
    <row r="1202" spans="1:52" x14ac:dyDescent="0.2">
      <c r="A1202">
        <v>0</v>
      </c>
      <c r="B1202">
        <v>1</v>
      </c>
      <c r="C1202">
        <v>0</v>
      </c>
      <c r="D1202">
        <v>0</v>
      </c>
      <c r="E1202">
        <v>1</v>
      </c>
      <c r="F1202">
        <v>0</v>
      </c>
      <c r="G1202">
        <v>0</v>
      </c>
      <c r="H1202">
        <v>0</v>
      </c>
      <c r="I1202">
        <v>0</v>
      </c>
      <c r="L1202">
        <v>0</v>
      </c>
      <c r="M1202">
        <v>1</v>
      </c>
      <c r="N1202">
        <v>0</v>
      </c>
      <c r="O1202">
        <v>0</v>
      </c>
      <c r="P1202">
        <v>0</v>
      </c>
      <c r="Q1202" t="s">
        <v>584</v>
      </c>
      <c r="AA1202" t="s">
        <v>90</v>
      </c>
      <c r="AB1202" t="s">
        <v>82</v>
      </c>
      <c r="AC1202" t="s">
        <v>90</v>
      </c>
      <c r="AD1202" t="s">
        <v>83</v>
      </c>
      <c r="AE1202" t="s">
        <v>90</v>
      </c>
      <c r="AF1202" t="s">
        <v>90</v>
      </c>
      <c r="AG1202" t="s">
        <v>90</v>
      </c>
      <c r="AH1202" t="s">
        <v>90</v>
      </c>
      <c r="AI1202" t="s">
        <v>88</v>
      </c>
      <c r="AJ1202" t="s">
        <v>89</v>
      </c>
      <c r="AK1202" t="s">
        <v>100</v>
      </c>
      <c r="AL1202" t="s">
        <v>96</v>
      </c>
      <c r="AM1202" t="s">
        <v>87</v>
      </c>
      <c r="AN1202" t="s">
        <v>86</v>
      </c>
      <c r="AO1202" t="s">
        <v>86</v>
      </c>
      <c r="AP1202" t="s">
        <v>86</v>
      </c>
      <c r="AQ1202" t="s">
        <v>86</v>
      </c>
      <c r="AR1202" t="s">
        <v>75</v>
      </c>
      <c r="AS1202" t="s">
        <v>76</v>
      </c>
      <c r="AT1202" t="s">
        <v>96</v>
      </c>
      <c r="AU1202">
        <v>0</v>
      </c>
      <c r="AV1202">
        <v>0</v>
      </c>
      <c r="AW1202">
        <v>0</v>
      </c>
      <c r="AX1202">
        <v>1</v>
      </c>
      <c r="AY1202">
        <v>0</v>
      </c>
      <c r="AZ1202" t="s">
        <v>579</v>
      </c>
    </row>
    <row r="1203" spans="1:52" x14ac:dyDescent="0.2">
      <c r="A1203">
        <v>0</v>
      </c>
      <c r="B1203">
        <v>1</v>
      </c>
      <c r="C1203">
        <v>0</v>
      </c>
      <c r="D1203">
        <v>0</v>
      </c>
      <c r="E1203">
        <v>1</v>
      </c>
      <c r="F1203">
        <v>0</v>
      </c>
      <c r="G1203">
        <v>0</v>
      </c>
      <c r="H1203">
        <v>0</v>
      </c>
      <c r="I1203">
        <v>0</v>
      </c>
      <c r="L1203">
        <v>1</v>
      </c>
      <c r="M1203">
        <v>0</v>
      </c>
      <c r="N1203">
        <v>0</v>
      </c>
      <c r="O1203">
        <v>0</v>
      </c>
      <c r="P1203">
        <v>0</v>
      </c>
      <c r="Q1203" t="s">
        <v>584</v>
      </c>
      <c r="R1203">
        <v>0</v>
      </c>
      <c r="S1203">
        <v>0</v>
      </c>
      <c r="T1203">
        <v>1</v>
      </c>
      <c r="U1203">
        <v>0</v>
      </c>
      <c r="V1203">
        <v>0</v>
      </c>
      <c r="W1203">
        <v>0</v>
      </c>
      <c r="X1203">
        <v>0</v>
      </c>
      <c r="Y1203">
        <v>0</v>
      </c>
      <c r="Z1203">
        <v>0</v>
      </c>
      <c r="AL1203" t="s">
        <v>96</v>
      </c>
      <c r="AM1203" t="s">
        <v>86</v>
      </c>
      <c r="AN1203" t="s">
        <v>87</v>
      </c>
      <c r="AO1203" t="s">
        <v>87</v>
      </c>
      <c r="AP1203" t="s">
        <v>87</v>
      </c>
      <c r="AQ1203" t="s">
        <v>87</v>
      </c>
      <c r="AR1203" t="s">
        <v>75</v>
      </c>
      <c r="AS1203" t="s">
        <v>76</v>
      </c>
      <c r="AT1203" t="s">
        <v>96</v>
      </c>
      <c r="AU1203">
        <v>1</v>
      </c>
      <c r="AV1203">
        <v>0</v>
      </c>
      <c r="AW1203">
        <v>0</v>
      </c>
      <c r="AX1203">
        <v>0</v>
      </c>
      <c r="AY1203">
        <v>0</v>
      </c>
      <c r="AZ1203" t="s">
        <v>579</v>
      </c>
    </row>
    <row r="1204" spans="1:52" x14ac:dyDescent="0.2">
      <c r="A1204">
        <v>1</v>
      </c>
      <c r="B1204">
        <v>0</v>
      </c>
      <c r="C1204">
        <v>0</v>
      </c>
      <c r="D1204">
        <v>0</v>
      </c>
      <c r="E1204">
        <v>1</v>
      </c>
      <c r="F1204">
        <v>0</v>
      </c>
      <c r="G1204">
        <v>0</v>
      </c>
      <c r="H1204">
        <v>0</v>
      </c>
      <c r="I1204">
        <v>0</v>
      </c>
      <c r="L1204">
        <v>1</v>
      </c>
      <c r="M1204">
        <v>0</v>
      </c>
      <c r="N1204">
        <v>0</v>
      </c>
      <c r="O1204">
        <v>0</v>
      </c>
      <c r="P1204">
        <v>0</v>
      </c>
      <c r="Q1204" t="s">
        <v>584</v>
      </c>
      <c r="R1204">
        <v>0</v>
      </c>
      <c r="S1204">
        <v>0</v>
      </c>
      <c r="T1204">
        <v>1</v>
      </c>
      <c r="U1204">
        <v>0</v>
      </c>
      <c r="V1204">
        <v>0</v>
      </c>
      <c r="W1204">
        <v>0</v>
      </c>
      <c r="X1204">
        <v>0</v>
      </c>
      <c r="Y1204">
        <v>0</v>
      </c>
      <c r="Z1204">
        <v>0</v>
      </c>
      <c r="AL1204" t="s">
        <v>96</v>
      </c>
      <c r="AM1204" t="s">
        <v>87</v>
      </c>
      <c r="AN1204" t="s">
        <v>87</v>
      </c>
      <c r="AO1204" t="s">
        <v>87</v>
      </c>
      <c r="AP1204" t="s">
        <v>87</v>
      </c>
      <c r="AQ1204" t="s">
        <v>87</v>
      </c>
      <c r="AR1204" t="s">
        <v>75</v>
      </c>
      <c r="AS1204" t="s">
        <v>76</v>
      </c>
      <c r="AT1204" t="s">
        <v>96</v>
      </c>
      <c r="AU1204">
        <v>0</v>
      </c>
      <c r="AV1204">
        <v>0</v>
      </c>
      <c r="AW1204">
        <v>0</v>
      </c>
      <c r="AX1204">
        <v>1</v>
      </c>
      <c r="AY1204">
        <v>0</v>
      </c>
      <c r="AZ1204" t="s">
        <v>579</v>
      </c>
    </row>
    <row r="1205" spans="1:52" x14ac:dyDescent="0.2">
      <c r="A1205">
        <v>1</v>
      </c>
      <c r="B1205">
        <v>0</v>
      </c>
      <c r="C1205">
        <v>0</v>
      </c>
      <c r="D1205">
        <v>0</v>
      </c>
      <c r="E1205">
        <v>0</v>
      </c>
      <c r="F1205">
        <v>0</v>
      </c>
      <c r="G1205">
        <v>1</v>
      </c>
      <c r="H1205">
        <v>0</v>
      </c>
      <c r="I1205">
        <v>0</v>
      </c>
      <c r="J1205" t="s">
        <v>79</v>
      </c>
      <c r="K1205" t="s">
        <v>80</v>
      </c>
      <c r="L1205">
        <v>1</v>
      </c>
      <c r="M1205">
        <v>0</v>
      </c>
      <c r="N1205">
        <v>0</v>
      </c>
      <c r="O1205">
        <v>0</v>
      </c>
      <c r="P1205">
        <v>0</v>
      </c>
      <c r="Q1205" t="s">
        <v>584</v>
      </c>
      <c r="R1205">
        <v>0</v>
      </c>
      <c r="S1205">
        <v>0</v>
      </c>
      <c r="T1205">
        <v>0</v>
      </c>
      <c r="U1205">
        <v>0</v>
      </c>
      <c r="V1205">
        <v>0</v>
      </c>
      <c r="W1205">
        <v>0</v>
      </c>
      <c r="X1205">
        <v>1</v>
      </c>
      <c r="Y1205">
        <v>0</v>
      </c>
      <c r="Z1205">
        <v>0</v>
      </c>
      <c r="AL1205" t="s">
        <v>73</v>
      </c>
      <c r="AM1205" t="s">
        <v>74</v>
      </c>
      <c r="AR1205" t="s">
        <v>159</v>
      </c>
      <c r="AS1205" t="s">
        <v>76</v>
      </c>
      <c r="AT1205" t="s">
        <v>73</v>
      </c>
      <c r="AU1205">
        <v>0</v>
      </c>
      <c r="AV1205">
        <v>0</v>
      </c>
      <c r="AW1205">
        <v>0</v>
      </c>
      <c r="AX1205">
        <v>1</v>
      </c>
      <c r="AY1205">
        <v>0</v>
      </c>
      <c r="AZ1205" t="s">
        <v>578</v>
      </c>
    </row>
    <row r="1206" spans="1:52" x14ac:dyDescent="0.2">
      <c r="A1206">
        <v>1</v>
      </c>
      <c r="B1206">
        <v>0</v>
      </c>
      <c r="C1206">
        <v>0</v>
      </c>
      <c r="D1206">
        <v>0</v>
      </c>
      <c r="E1206">
        <v>0</v>
      </c>
      <c r="F1206">
        <v>1</v>
      </c>
      <c r="G1206">
        <v>0</v>
      </c>
      <c r="H1206">
        <v>0</v>
      </c>
      <c r="I1206">
        <v>0</v>
      </c>
      <c r="J1206" t="s">
        <v>79</v>
      </c>
      <c r="K1206" t="s">
        <v>142</v>
      </c>
      <c r="L1206">
        <v>0</v>
      </c>
      <c r="M1206">
        <v>0</v>
      </c>
      <c r="N1206">
        <v>1</v>
      </c>
      <c r="O1206">
        <v>0</v>
      </c>
      <c r="P1206">
        <v>0</v>
      </c>
      <c r="Q1206" t="s">
        <v>584</v>
      </c>
      <c r="AA1206" t="s">
        <v>81</v>
      </c>
      <c r="AB1206" t="s">
        <v>82</v>
      </c>
      <c r="AC1206" t="s">
        <v>83</v>
      </c>
      <c r="AD1206" t="s">
        <v>83</v>
      </c>
      <c r="AE1206" t="s">
        <v>83</v>
      </c>
      <c r="AF1206" t="s">
        <v>81</v>
      </c>
      <c r="AG1206" t="s">
        <v>83</v>
      </c>
      <c r="AH1206" t="s">
        <v>83</v>
      </c>
      <c r="AI1206" t="s">
        <v>135</v>
      </c>
      <c r="AJ1206" t="s">
        <v>142</v>
      </c>
      <c r="AK1206" t="s">
        <v>85</v>
      </c>
      <c r="AL1206" t="s">
        <v>73</v>
      </c>
      <c r="AM1206" t="s">
        <v>86</v>
      </c>
      <c r="AN1206" t="s">
        <v>87</v>
      </c>
      <c r="AO1206" t="s">
        <v>87</v>
      </c>
      <c r="AP1206" t="s">
        <v>86</v>
      </c>
      <c r="AQ1206" t="s">
        <v>87</v>
      </c>
      <c r="AR1206" t="s">
        <v>75</v>
      </c>
      <c r="AS1206" t="s">
        <v>92</v>
      </c>
      <c r="AT1206" t="s">
        <v>73</v>
      </c>
      <c r="AU1206">
        <v>0</v>
      </c>
      <c r="AV1206">
        <v>0</v>
      </c>
      <c r="AW1206">
        <v>0</v>
      </c>
      <c r="AX1206">
        <v>1</v>
      </c>
      <c r="AY1206">
        <v>0</v>
      </c>
      <c r="AZ1206" t="s">
        <v>580</v>
      </c>
    </row>
    <row r="1207" spans="1:52" x14ac:dyDescent="0.2">
      <c r="A1207">
        <v>1</v>
      </c>
      <c r="B1207">
        <v>0</v>
      </c>
      <c r="C1207">
        <v>0</v>
      </c>
      <c r="D1207">
        <v>0</v>
      </c>
      <c r="E1207">
        <v>0</v>
      </c>
      <c r="F1207">
        <v>1</v>
      </c>
      <c r="G1207">
        <v>1</v>
      </c>
      <c r="H1207">
        <v>0</v>
      </c>
      <c r="I1207">
        <v>0</v>
      </c>
      <c r="J1207" t="s">
        <v>135</v>
      </c>
      <c r="K1207" t="s">
        <v>80</v>
      </c>
      <c r="L1207">
        <v>0</v>
      </c>
      <c r="M1207">
        <v>0</v>
      </c>
      <c r="N1207">
        <v>1</v>
      </c>
      <c r="O1207">
        <v>0</v>
      </c>
      <c r="P1207">
        <v>0</v>
      </c>
      <c r="Q1207" t="s">
        <v>584</v>
      </c>
      <c r="AA1207" t="s">
        <v>83</v>
      </c>
      <c r="AB1207" t="s">
        <v>83</v>
      </c>
      <c r="AC1207" t="s">
        <v>83</v>
      </c>
      <c r="AD1207" t="s">
        <v>81</v>
      </c>
      <c r="AE1207" t="s">
        <v>83</v>
      </c>
      <c r="AF1207" t="s">
        <v>83</v>
      </c>
      <c r="AG1207" t="s">
        <v>83</v>
      </c>
      <c r="AH1207" t="s">
        <v>82</v>
      </c>
      <c r="AI1207" t="s">
        <v>88</v>
      </c>
      <c r="AJ1207" t="s">
        <v>89</v>
      </c>
      <c r="AK1207" t="s">
        <v>85</v>
      </c>
      <c r="AL1207" t="s">
        <v>107</v>
      </c>
      <c r="AM1207" t="s">
        <v>87</v>
      </c>
      <c r="AN1207" t="s">
        <v>87</v>
      </c>
      <c r="AO1207" t="s">
        <v>87</v>
      </c>
      <c r="AP1207" t="s">
        <v>74</v>
      </c>
      <c r="AQ1207" t="s">
        <v>87</v>
      </c>
      <c r="AR1207" t="s">
        <v>75</v>
      </c>
      <c r="AS1207" t="s">
        <v>76</v>
      </c>
      <c r="AT1207" t="s">
        <v>107</v>
      </c>
      <c r="AU1207">
        <v>0</v>
      </c>
      <c r="AV1207">
        <v>0</v>
      </c>
      <c r="AW1207">
        <v>0</v>
      </c>
      <c r="AX1207">
        <v>1</v>
      </c>
      <c r="AY1207">
        <v>0</v>
      </c>
      <c r="AZ1207" t="s">
        <v>579</v>
      </c>
    </row>
    <row r="1208" spans="1:52" x14ac:dyDescent="0.2">
      <c r="A1208">
        <v>1</v>
      </c>
      <c r="B1208">
        <v>0</v>
      </c>
      <c r="C1208">
        <v>0</v>
      </c>
      <c r="D1208">
        <v>0</v>
      </c>
      <c r="E1208">
        <v>0</v>
      </c>
      <c r="F1208">
        <v>1</v>
      </c>
      <c r="G1208">
        <v>0</v>
      </c>
      <c r="H1208">
        <v>0</v>
      </c>
      <c r="I1208">
        <v>0</v>
      </c>
      <c r="J1208" t="s">
        <v>79</v>
      </c>
      <c r="K1208" t="s">
        <v>142</v>
      </c>
      <c r="L1208">
        <v>0</v>
      </c>
      <c r="M1208">
        <v>0</v>
      </c>
      <c r="N1208">
        <v>1</v>
      </c>
      <c r="O1208">
        <v>0</v>
      </c>
      <c r="P1208">
        <v>0</v>
      </c>
      <c r="Q1208" t="s">
        <v>584</v>
      </c>
      <c r="AA1208" t="s">
        <v>81</v>
      </c>
      <c r="AB1208" t="s">
        <v>82</v>
      </c>
      <c r="AC1208" t="s">
        <v>83</v>
      </c>
      <c r="AD1208" t="s">
        <v>82</v>
      </c>
      <c r="AE1208" t="s">
        <v>81</v>
      </c>
      <c r="AF1208" t="s">
        <v>83</v>
      </c>
      <c r="AG1208" t="s">
        <v>81</v>
      </c>
      <c r="AH1208" t="s">
        <v>83</v>
      </c>
      <c r="AI1208" t="s">
        <v>88</v>
      </c>
      <c r="AJ1208" t="s">
        <v>89</v>
      </c>
      <c r="AK1208" t="s">
        <v>85</v>
      </c>
      <c r="AL1208" t="s">
        <v>73</v>
      </c>
      <c r="AM1208" t="s">
        <v>87</v>
      </c>
      <c r="AN1208" t="s">
        <v>87</v>
      </c>
      <c r="AO1208" t="s">
        <v>87</v>
      </c>
      <c r="AP1208" t="s">
        <v>74</v>
      </c>
      <c r="AQ1208" t="s">
        <v>87</v>
      </c>
      <c r="AR1208" t="s">
        <v>75</v>
      </c>
      <c r="AS1208" t="s">
        <v>76</v>
      </c>
      <c r="AT1208" t="s">
        <v>73</v>
      </c>
      <c r="AU1208">
        <v>0</v>
      </c>
      <c r="AV1208">
        <v>0</v>
      </c>
      <c r="AW1208">
        <v>0</v>
      </c>
      <c r="AX1208">
        <v>1</v>
      </c>
      <c r="AY1208">
        <v>0</v>
      </c>
      <c r="AZ1208" t="s">
        <v>579</v>
      </c>
    </row>
    <row r="1209" spans="1:52" x14ac:dyDescent="0.2">
      <c r="A1209">
        <v>0</v>
      </c>
      <c r="B1209">
        <v>1</v>
      </c>
      <c r="C1209">
        <v>0</v>
      </c>
      <c r="D1209">
        <v>0</v>
      </c>
      <c r="E1209">
        <v>1</v>
      </c>
      <c r="F1209">
        <v>0</v>
      </c>
      <c r="G1209">
        <v>0</v>
      </c>
      <c r="H1209">
        <v>0</v>
      </c>
      <c r="I1209">
        <v>0</v>
      </c>
      <c r="L1209">
        <v>1</v>
      </c>
      <c r="M1209">
        <v>0</v>
      </c>
      <c r="N1209">
        <v>0</v>
      </c>
      <c r="O1209">
        <v>0</v>
      </c>
      <c r="P1209">
        <v>0</v>
      </c>
      <c r="Q1209" t="s">
        <v>584</v>
      </c>
      <c r="R1209">
        <v>0</v>
      </c>
      <c r="S1209">
        <v>0</v>
      </c>
      <c r="T1209">
        <v>0</v>
      </c>
      <c r="U1209">
        <v>0</v>
      </c>
      <c r="V1209">
        <v>0</v>
      </c>
      <c r="W1209">
        <v>0</v>
      </c>
      <c r="X1209">
        <v>1</v>
      </c>
      <c r="Y1209">
        <v>0</v>
      </c>
      <c r="Z1209">
        <v>0</v>
      </c>
      <c r="AL1209" t="s">
        <v>120</v>
      </c>
      <c r="AM1209" t="s">
        <v>74</v>
      </c>
      <c r="AR1209" t="s">
        <v>101</v>
      </c>
      <c r="AS1209" t="s">
        <v>92</v>
      </c>
      <c r="AT1209" t="s">
        <v>120</v>
      </c>
      <c r="AU1209">
        <v>0</v>
      </c>
      <c r="AV1209">
        <v>0</v>
      </c>
      <c r="AW1209">
        <v>0</v>
      </c>
      <c r="AX1209">
        <v>1</v>
      </c>
      <c r="AY1209">
        <v>0</v>
      </c>
      <c r="AZ1209" t="s">
        <v>578</v>
      </c>
    </row>
    <row r="1210" spans="1:52" x14ac:dyDescent="0.2">
      <c r="A1210">
        <v>0</v>
      </c>
      <c r="B1210">
        <v>1</v>
      </c>
      <c r="C1210">
        <v>0</v>
      </c>
      <c r="D1210">
        <v>0</v>
      </c>
      <c r="E1210">
        <v>1</v>
      </c>
      <c r="F1210">
        <v>0</v>
      </c>
      <c r="G1210">
        <v>0</v>
      </c>
      <c r="H1210">
        <v>0</v>
      </c>
      <c r="I1210">
        <v>0</v>
      </c>
      <c r="L1210">
        <v>1</v>
      </c>
      <c r="M1210">
        <v>0</v>
      </c>
      <c r="N1210">
        <v>0</v>
      </c>
      <c r="O1210">
        <v>0</v>
      </c>
      <c r="P1210">
        <v>0</v>
      </c>
      <c r="Q1210" t="s">
        <v>584</v>
      </c>
      <c r="R1210">
        <v>0</v>
      </c>
      <c r="S1210">
        <v>0</v>
      </c>
      <c r="T1210">
        <v>0</v>
      </c>
      <c r="U1210">
        <v>0</v>
      </c>
      <c r="V1210">
        <v>0</v>
      </c>
      <c r="W1210">
        <v>1</v>
      </c>
      <c r="X1210">
        <v>1</v>
      </c>
      <c r="Y1210">
        <v>0</v>
      </c>
      <c r="Z1210">
        <v>0</v>
      </c>
      <c r="AL1210" t="s">
        <v>107</v>
      </c>
      <c r="AM1210" t="s">
        <v>86</v>
      </c>
      <c r="AN1210" t="s">
        <v>86</v>
      </c>
      <c r="AO1210" t="s">
        <v>87</v>
      </c>
      <c r="AP1210" t="s">
        <v>87</v>
      </c>
      <c r="AQ1210" t="s">
        <v>87</v>
      </c>
      <c r="AR1210" t="s">
        <v>75</v>
      </c>
      <c r="AS1210" t="s">
        <v>76</v>
      </c>
      <c r="AT1210" t="s">
        <v>107</v>
      </c>
      <c r="AU1210">
        <v>0</v>
      </c>
      <c r="AV1210">
        <v>0</v>
      </c>
      <c r="AW1210">
        <v>0</v>
      </c>
      <c r="AX1210">
        <v>1</v>
      </c>
      <c r="AY1210">
        <v>0</v>
      </c>
      <c r="AZ1210" t="s">
        <v>579</v>
      </c>
    </row>
    <row r="1211" spans="1:52" x14ac:dyDescent="0.2">
      <c r="A1211">
        <v>1</v>
      </c>
      <c r="B1211">
        <v>0</v>
      </c>
      <c r="C1211">
        <v>0</v>
      </c>
      <c r="D1211">
        <v>0</v>
      </c>
      <c r="E1211">
        <v>1</v>
      </c>
      <c r="F1211">
        <v>0</v>
      </c>
      <c r="G1211">
        <v>0</v>
      </c>
      <c r="H1211">
        <v>0</v>
      </c>
      <c r="I1211">
        <v>0</v>
      </c>
      <c r="L1211">
        <v>0</v>
      </c>
      <c r="M1211">
        <v>0</v>
      </c>
      <c r="N1211">
        <v>0</v>
      </c>
      <c r="O1211">
        <v>0</v>
      </c>
      <c r="P1211">
        <v>0</v>
      </c>
      <c r="Q1211" t="s">
        <v>585</v>
      </c>
      <c r="AA1211" t="s">
        <v>90</v>
      </c>
      <c r="AB1211" t="s">
        <v>82</v>
      </c>
      <c r="AC1211" t="s">
        <v>90</v>
      </c>
      <c r="AD1211" t="s">
        <v>90</v>
      </c>
      <c r="AE1211" t="s">
        <v>90</v>
      </c>
      <c r="AF1211" t="s">
        <v>90</v>
      </c>
      <c r="AG1211" t="s">
        <v>90</v>
      </c>
      <c r="AH1211" t="s">
        <v>83</v>
      </c>
      <c r="AI1211" t="s">
        <v>84</v>
      </c>
      <c r="AJ1211" t="s">
        <v>80</v>
      </c>
      <c r="AK1211" t="s">
        <v>85</v>
      </c>
      <c r="AL1211" t="s">
        <v>107</v>
      </c>
      <c r="AM1211" t="s">
        <v>74</v>
      </c>
      <c r="AR1211" t="s">
        <v>101</v>
      </c>
      <c r="AS1211" t="s">
        <v>76</v>
      </c>
      <c r="AT1211" t="s">
        <v>107</v>
      </c>
      <c r="AU1211">
        <v>0</v>
      </c>
      <c r="AV1211">
        <v>0</v>
      </c>
      <c r="AW1211">
        <v>1</v>
      </c>
      <c r="AX1211">
        <v>1</v>
      </c>
      <c r="AY1211">
        <v>0</v>
      </c>
      <c r="AZ1211" t="s">
        <v>578</v>
      </c>
    </row>
    <row r="1212" spans="1:52" x14ac:dyDescent="0.2">
      <c r="A1212">
        <v>1</v>
      </c>
      <c r="B1212">
        <v>0</v>
      </c>
      <c r="C1212">
        <v>0</v>
      </c>
      <c r="D1212">
        <v>0</v>
      </c>
      <c r="E1212">
        <v>1</v>
      </c>
      <c r="F1212">
        <v>0</v>
      </c>
      <c r="G1212">
        <v>0</v>
      </c>
      <c r="H1212">
        <v>0</v>
      </c>
      <c r="I1212">
        <v>0</v>
      </c>
      <c r="L1212">
        <v>0</v>
      </c>
      <c r="M1212">
        <v>1</v>
      </c>
      <c r="N1212">
        <v>0</v>
      </c>
      <c r="O1212">
        <v>0</v>
      </c>
      <c r="P1212">
        <v>0</v>
      </c>
      <c r="Q1212" t="s">
        <v>584</v>
      </c>
      <c r="AA1212" t="s">
        <v>81</v>
      </c>
      <c r="AB1212" t="s">
        <v>82</v>
      </c>
      <c r="AC1212" t="s">
        <v>81</v>
      </c>
      <c r="AD1212" t="s">
        <v>83</v>
      </c>
      <c r="AE1212" t="s">
        <v>90</v>
      </c>
      <c r="AF1212" t="s">
        <v>83</v>
      </c>
      <c r="AG1212" t="s">
        <v>90</v>
      </c>
      <c r="AH1212" t="s">
        <v>83</v>
      </c>
      <c r="AI1212" t="s">
        <v>88</v>
      </c>
      <c r="AJ1212" t="s">
        <v>89</v>
      </c>
      <c r="AK1212" t="s">
        <v>100</v>
      </c>
      <c r="AL1212" t="s">
        <v>107</v>
      </c>
      <c r="AM1212" t="s">
        <v>74</v>
      </c>
      <c r="AR1212" t="s">
        <v>75</v>
      </c>
      <c r="AS1212" t="s">
        <v>76</v>
      </c>
      <c r="AT1212" t="s">
        <v>107</v>
      </c>
      <c r="AU1212">
        <v>0</v>
      </c>
      <c r="AV1212">
        <v>0</v>
      </c>
      <c r="AW1212">
        <v>1</v>
      </c>
      <c r="AX1212">
        <v>0</v>
      </c>
      <c r="AY1212">
        <v>0</v>
      </c>
      <c r="AZ1212" t="s">
        <v>580</v>
      </c>
    </row>
    <row r="1213" spans="1:52" x14ac:dyDescent="0.2">
      <c r="A1213">
        <v>0</v>
      </c>
      <c r="B1213">
        <v>0</v>
      </c>
      <c r="C1213">
        <v>0</v>
      </c>
      <c r="D1213">
        <v>1</v>
      </c>
      <c r="L1213">
        <v>1</v>
      </c>
      <c r="M1213">
        <v>0</v>
      </c>
      <c r="N1213">
        <v>0</v>
      </c>
      <c r="O1213">
        <v>0</v>
      </c>
      <c r="P1213">
        <v>0</v>
      </c>
      <c r="Q1213" t="s">
        <v>584</v>
      </c>
      <c r="R1213">
        <v>0</v>
      </c>
      <c r="S1213">
        <v>0</v>
      </c>
      <c r="T1213">
        <v>0</v>
      </c>
      <c r="U1213">
        <v>0</v>
      </c>
      <c r="V1213">
        <v>0</v>
      </c>
      <c r="W1213">
        <v>0</v>
      </c>
      <c r="X1213">
        <v>1</v>
      </c>
      <c r="Y1213">
        <v>0</v>
      </c>
      <c r="Z1213">
        <v>0</v>
      </c>
      <c r="AL1213" t="s">
        <v>96</v>
      </c>
      <c r="AR1213" t="s">
        <v>75</v>
      </c>
      <c r="AS1213" t="s">
        <v>76</v>
      </c>
      <c r="AT1213" t="s">
        <v>96</v>
      </c>
      <c r="AU1213">
        <v>0</v>
      </c>
      <c r="AV1213">
        <v>0</v>
      </c>
      <c r="AW1213">
        <v>0</v>
      </c>
      <c r="AX1213">
        <v>0</v>
      </c>
      <c r="AY1213">
        <v>1</v>
      </c>
      <c r="AZ1213" t="s">
        <v>579</v>
      </c>
    </row>
    <row r="1214" spans="1:52" x14ac:dyDescent="0.2">
      <c r="A1214">
        <v>1</v>
      </c>
      <c r="B1214">
        <v>0</v>
      </c>
      <c r="C1214">
        <v>0</v>
      </c>
      <c r="D1214">
        <v>0</v>
      </c>
      <c r="E1214">
        <v>0</v>
      </c>
      <c r="F1214">
        <v>1</v>
      </c>
      <c r="G1214">
        <v>1</v>
      </c>
      <c r="H1214">
        <v>0</v>
      </c>
      <c r="I1214">
        <v>0</v>
      </c>
      <c r="J1214" t="s">
        <v>135</v>
      </c>
      <c r="K1214" t="s">
        <v>89</v>
      </c>
      <c r="L1214">
        <v>0</v>
      </c>
      <c r="M1214">
        <v>0</v>
      </c>
      <c r="N1214">
        <v>0</v>
      </c>
      <c r="O1214">
        <v>0</v>
      </c>
      <c r="P1214">
        <v>0</v>
      </c>
      <c r="Q1214" t="s">
        <v>585</v>
      </c>
      <c r="AA1214" t="s">
        <v>83</v>
      </c>
      <c r="AB1214" t="s">
        <v>82</v>
      </c>
      <c r="AC1214" t="s">
        <v>81</v>
      </c>
      <c r="AD1214" t="s">
        <v>83</v>
      </c>
      <c r="AE1214" t="s">
        <v>83</v>
      </c>
      <c r="AF1214" t="s">
        <v>83</v>
      </c>
      <c r="AG1214" t="s">
        <v>83</v>
      </c>
      <c r="AH1214" t="s">
        <v>83</v>
      </c>
      <c r="AI1214" t="s">
        <v>135</v>
      </c>
      <c r="AJ1214" t="s">
        <v>89</v>
      </c>
      <c r="AK1214" t="s">
        <v>117</v>
      </c>
      <c r="AL1214" t="s">
        <v>107</v>
      </c>
      <c r="AM1214" t="s">
        <v>87</v>
      </c>
      <c r="AN1214" t="s">
        <v>86</v>
      </c>
      <c r="AO1214" t="s">
        <v>87</v>
      </c>
      <c r="AP1214" t="s">
        <v>87</v>
      </c>
      <c r="AQ1214" t="s">
        <v>87</v>
      </c>
      <c r="AR1214" t="s">
        <v>75</v>
      </c>
      <c r="AS1214" t="s">
        <v>92</v>
      </c>
      <c r="AT1214" t="s">
        <v>107</v>
      </c>
      <c r="AU1214">
        <v>0</v>
      </c>
      <c r="AV1214">
        <v>0</v>
      </c>
      <c r="AW1214">
        <v>0</v>
      </c>
      <c r="AX1214">
        <v>1</v>
      </c>
      <c r="AY1214">
        <v>0</v>
      </c>
      <c r="AZ1214" t="s">
        <v>578</v>
      </c>
    </row>
    <row r="1215" spans="1:52" x14ac:dyDescent="0.2">
      <c r="A1215">
        <v>1</v>
      </c>
      <c r="B1215">
        <v>0</v>
      </c>
      <c r="C1215">
        <v>0</v>
      </c>
      <c r="D1215">
        <v>0</v>
      </c>
      <c r="E1215">
        <v>1</v>
      </c>
      <c r="F1215">
        <v>0</v>
      </c>
      <c r="G1215">
        <v>0</v>
      </c>
      <c r="H1215">
        <v>0</v>
      </c>
      <c r="I1215">
        <v>0</v>
      </c>
      <c r="L1215">
        <v>0</v>
      </c>
      <c r="M1215">
        <v>0</v>
      </c>
      <c r="N1215">
        <v>0</v>
      </c>
      <c r="O1215">
        <v>1</v>
      </c>
      <c r="P1215">
        <v>0</v>
      </c>
      <c r="Q1215" t="s">
        <v>584</v>
      </c>
      <c r="AA1215" t="s">
        <v>81</v>
      </c>
      <c r="AB1215" t="s">
        <v>82</v>
      </c>
      <c r="AC1215" t="s">
        <v>83</v>
      </c>
      <c r="AD1215" t="s">
        <v>82</v>
      </c>
      <c r="AE1215" t="s">
        <v>81</v>
      </c>
      <c r="AF1215" t="s">
        <v>83</v>
      </c>
      <c r="AG1215" t="s">
        <v>82</v>
      </c>
      <c r="AH1215" t="s">
        <v>83</v>
      </c>
      <c r="AI1215" t="s">
        <v>88</v>
      </c>
      <c r="AJ1215" t="s">
        <v>89</v>
      </c>
      <c r="AK1215" t="s">
        <v>85</v>
      </c>
      <c r="AL1215" t="s">
        <v>73</v>
      </c>
      <c r="AM1215" t="s">
        <v>87</v>
      </c>
      <c r="AN1215" t="s">
        <v>87</v>
      </c>
      <c r="AO1215" t="s">
        <v>87</v>
      </c>
      <c r="AP1215" t="s">
        <v>87</v>
      </c>
      <c r="AQ1215" t="s">
        <v>87</v>
      </c>
      <c r="AR1215" t="s">
        <v>75</v>
      </c>
      <c r="AS1215" t="s">
        <v>92</v>
      </c>
      <c r="AT1215" t="s">
        <v>73</v>
      </c>
      <c r="AU1215">
        <v>0</v>
      </c>
      <c r="AV1215">
        <v>0</v>
      </c>
      <c r="AW1215">
        <v>0</v>
      </c>
      <c r="AX1215">
        <v>1</v>
      </c>
      <c r="AY1215">
        <v>0</v>
      </c>
      <c r="AZ1215" t="s">
        <v>579</v>
      </c>
    </row>
    <row r="1216" spans="1:52" x14ac:dyDescent="0.2">
      <c r="A1216">
        <v>1</v>
      </c>
      <c r="B1216">
        <v>0</v>
      </c>
      <c r="C1216">
        <v>0</v>
      </c>
      <c r="D1216">
        <v>0</v>
      </c>
      <c r="E1216">
        <v>0</v>
      </c>
      <c r="F1216">
        <v>1</v>
      </c>
      <c r="G1216">
        <v>0</v>
      </c>
      <c r="H1216">
        <v>0</v>
      </c>
      <c r="I1216">
        <v>0</v>
      </c>
      <c r="J1216" t="s">
        <v>88</v>
      </c>
      <c r="K1216" t="s">
        <v>89</v>
      </c>
      <c r="L1216">
        <v>0</v>
      </c>
      <c r="M1216">
        <v>1</v>
      </c>
      <c r="N1216">
        <v>1</v>
      </c>
      <c r="O1216">
        <v>0</v>
      </c>
      <c r="P1216">
        <v>0</v>
      </c>
      <c r="Q1216" t="s">
        <v>584</v>
      </c>
      <c r="AA1216" t="s">
        <v>81</v>
      </c>
      <c r="AB1216" t="s">
        <v>81</v>
      </c>
      <c r="AC1216" t="s">
        <v>81</v>
      </c>
      <c r="AD1216" t="s">
        <v>81</v>
      </c>
      <c r="AE1216" t="s">
        <v>81</v>
      </c>
      <c r="AF1216" t="s">
        <v>81</v>
      </c>
      <c r="AG1216" t="s">
        <v>81</v>
      </c>
      <c r="AH1216" t="s">
        <v>81</v>
      </c>
      <c r="AI1216" t="s">
        <v>88</v>
      </c>
      <c r="AJ1216" t="s">
        <v>80</v>
      </c>
      <c r="AK1216" t="s">
        <v>85</v>
      </c>
      <c r="AL1216" t="s">
        <v>107</v>
      </c>
      <c r="AM1216" t="s">
        <v>87</v>
      </c>
      <c r="AN1216" t="s">
        <v>87</v>
      </c>
      <c r="AO1216" t="s">
        <v>87</v>
      </c>
      <c r="AP1216" t="s">
        <v>87</v>
      </c>
      <c r="AQ1216" t="s">
        <v>87</v>
      </c>
      <c r="AR1216" t="s">
        <v>75</v>
      </c>
      <c r="AS1216" t="s">
        <v>76</v>
      </c>
      <c r="AT1216" t="s">
        <v>107</v>
      </c>
      <c r="AU1216">
        <v>0</v>
      </c>
      <c r="AV1216">
        <v>0</v>
      </c>
      <c r="AW1216">
        <v>0</v>
      </c>
      <c r="AX1216">
        <v>1</v>
      </c>
      <c r="AY1216">
        <v>0</v>
      </c>
      <c r="AZ1216" t="s">
        <v>578</v>
      </c>
    </row>
    <row r="1217" spans="1:52" x14ac:dyDescent="0.2">
      <c r="A1217">
        <v>1</v>
      </c>
      <c r="B1217">
        <v>0</v>
      </c>
      <c r="C1217">
        <v>0</v>
      </c>
      <c r="D1217">
        <v>0</v>
      </c>
      <c r="E1217">
        <v>1</v>
      </c>
      <c r="F1217">
        <v>0</v>
      </c>
      <c r="G1217">
        <v>0</v>
      </c>
      <c r="H1217">
        <v>0</v>
      </c>
      <c r="I1217">
        <v>0</v>
      </c>
      <c r="L1217">
        <v>1</v>
      </c>
      <c r="M1217">
        <v>0</v>
      </c>
      <c r="N1217">
        <v>0</v>
      </c>
      <c r="O1217">
        <v>0</v>
      </c>
      <c r="P1217">
        <v>0</v>
      </c>
      <c r="Q1217" t="s">
        <v>584</v>
      </c>
      <c r="R1217">
        <v>0</v>
      </c>
      <c r="S1217">
        <v>0</v>
      </c>
      <c r="T1217">
        <v>1</v>
      </c>
      <c r="U1217">
        <v>0</v>
      </c>
      <c r="V1217">
        <v>0</v>
      </c>
      <c r="W1217">
        <v>0</v>
      </c>
      <c r="X1217">
        <v>0</v>
      </c>
      <c r="Y1217">
        <v>0</v>
      </c>
      <c r="Z1217">
        <v>1</v>
      </c>
      <c r="AL1217" t="s">
        <v>107</v>
      </c>
      <c r="AM1217" t="s">
        <v>87</v>
      </c>
      <c r="AN1217" t="s">
        <v>86</v>
      </c>
      <c r="AO1217" t="s">
        <v>86</v>
      </c>
      <c r="AP1217" t="s">
        <v>86</v>
      </c>
      <c r="AQ1217" t="s">
        <v>86</v>
      </c>
      <c r="AR1217" t="s">
        <v>97</v>
      </c>
      <c r="AS1217" t="s">
        <v>76</v>
      </c>
      <c r="AT1217" t="s">
        <v>107</v>
      </c>
      <c r="AU1217">
        <v>0</v>
      </c>
      <c r="AV1217">
        <v>0</v>
      </c>
      <c r="AW1217">
        <v>0</v>
      </c>
      <c r="AX1217">
        <v>1</v>
      </c>
      <c r="AY1217">
        <v>0</v>
      </c>
      <c r="AZ1217" t="s">
        <v>581</v>
      </c>
    </row>
    <row r="1218" spans="1:52" x14ac:dyDescent="0.2">
      <c r="A1218">
        <v>1</v>
      </c>
      <c r="B1218">
        <v>0</v>
      </c>
      <c r="C1218">
        <v>0</v>
      </c>
      <c r="D1218">
        <v>0</v>
      </c>
      <c r="E1218">
        <v>0</v>
      </c>
      <c r="F1218">
        <v>1</v>
      </c>
      <c r="G1218">
        <v>0</v>
      </c>
      <c r="H1218">
        <v>0</v>
      </c>
      <c r="I1218">
        <v>0</v>
      </c>
      <c r="J1218" t="s">
        <v>135</v>
      </c>
      <c r="K1218" t="s">
        <v>127</v>
      </c>
      <c r="L1218">
        <v>0</v>
      </c>
      <c r="M1218">
        <v>0</v>
      </c>
      <c r="N1218">
        <v>0</v>
      </c>
      <c r="O1218">
        <v>0</v>
      </c>
      <c r="P1218">
        <v>0</v>
      </c>
      <c r="Q1218" t="s">
        <v>585</v>
      </c>
      <c r="AA1218" t="s">
        <v>83</v>
      </c>
      <c r="AB1218" t="s">
        <v>82</v>
      </c>
      <c r="AC1218" t="s">
        <v>83</v>
      </c>
      <c r="AD1218" t="s">
        <v>81</v>
      </c>
      <c r="AE1218" t="s">
        <v>83</v>
      </c>
      <c r="AF1218" t="s">
        <v>83</v>
      </c>
      <c r="AG1218" t="s">
        <v>83</v>
      </c>
      <c r="AH1218" t="s">
        <v>83</v>
      </c>
      <c r="AI1218" t="s">
        <v>135</v>
      </c>
      <c r="AJ1218" t="s">
        <v>127</v>
      </c>
      <c r="AK1218" t="s">
        <v>85</v>
      </c>
      <c r="AL1218" t="s">
        <v>107</v>
      </c>
      <c r="AM1218" t="s">
        <v>86</v>
      </c>
      <c r="AN1218" t="s">
        <v>87</v>
      </c>
      <c r="AO1218" t="s">
        <v>87</v>
      </c>
      <c r="AP1218" t="s">
        <v>74</v>
      </c>
      <c r="AQ1218" t="s">
        <v>87</v>
      </c>
      <c r="AR1218" t="s">
        <v>108</v>
      </c>
      <c r="AS1218" t="s">
        <v>76</v>
      </c>
      <c r="AT1218" t="s">
        <v>107</v>
      </c>
      <c r="AU1218">
        <v>0</v>
      </c>
      <c r="AV1218">
        <v>1</v>
      </c>
      <c r="AW1218">
        <v>0</v>
      </c>
      <c r="AX1218">
        <v>0</v>
      </c>
      <c r="AY1218">
        <v>0</v>
      </c>
      <c r="AZ1218" t="s">
        <v>579</v>
      </c>
    </row>
    <row r="1219" spans="1:52" x14ac:dyDescent="0.2">
      <c r="A1219">
        <v>0</v>
      </c>
      <c r="B1219">
        <v>1</v>
      </c>
      <c r="C1219">
        <v>0</v>
      </c>
      <c r="D1219">
        <v>0</v>
      </c>
      <c r="E1219">
        <v>1</v>
      </c>
      <c r="F1219">
        <v>0</v>
      </c>
      <c r="G1219">
        <v>0</v>
      </c>
      <c r="H1219">
        <v>0</v>
      </c>
      <c r="I1219">
        <v>0</v>
      </c>
      <c r="L1219">
        <v>1</v>
      </c>
      <c r="M1219">
        <v>0</v>
      </c>
      <c r="N1219">
        <v>0</v>
      </c>
      <c r="O1219">
        <v>0</v>
      </c>
      <c r="P1219">
        <v>0</v>
      </c>
      <c r="Q1219" t="s">
        <v>584</v>
      </c>
      <c r="R1219">
        <v>0</v>
      </c>
      <c r="S1219">
        <v>0</v>
      </c>
      <c r="T1219">
        <v>0</v>
      </c>
      <c r="U1219">
        <v>0</v>
      </c>
      <c r="V1219">
        <v>0</v>
      </c>
      <c r="W1219">
        <v>0</v>
      </c>
      <c r="X1219">
        <v>0</v>
      </c>
      <c r="Y1219">
        <v>0</v>
      </c>
      <c r="Z1219">
        <v>1</v>
      </c>
      <c r="AL1219" t="s">
        <v>73</v>
      </c>
      <c r="AM1219" t="s">
        <v>87</v>
      </c>
      <c r="AN1219" t="s">
        <v>87</v>
      </c>
      <c r="AO1219" t="s">
        <v>87</v>
      </c>
      <c r="AP1219" t="s">
        <v>86</v>
      </c>
      <c r="AQ1219" t="s">
        <v>86</v>
      </c>
      <c r="AR1219" t="s">
        <v>75</v>
      </c>
      <c r="AS1219" t="s">
        <v>76</v>
      </c>
      <c r="AT1219" t="s">
        <v>73</v>
      </c>
      <c r="AU1219">
        <v>1</v>
      </c>
      <c r="AV1219">
        <v>0</v>
      </c>
      <c r="AW1219">
        <v>0</v>
      </c>
      <c r="AX1219">
        <v>0</v>
      </c>
      <c r="AY1219">
        <v>0</v>
      </c>
      <c r="AZ1219" t="s">
        <v>579</v>
      </c>
    </row>
    <row r="1220" spans="1:52" x14ac:dyDescent="0.2">
      <c r="A1220">
        <v>1</v>
      </c>
      <c r="B1220">
        <v>0</v>
      </c>
      <c r="C1220">
        <v>0</v>
      </c>
      <c r="D1220">
        <v>0</v>
      </c>
      <c r="E1220">
        <v>1</v>
      </c>
      <c r="F1220">
        <v>0</v>
      </c>
      <c r="G1220">
        <v>0</v>
      </c>
      <c r="H1220">
        <v>0</v>
      </c>
      <c r="I1220">
        <v>0</v>
      </c>
      <c r="L1220">
        <v>1</v>
      </c>
      <c r="M1220">
        <v>0</v>
      </c>
      <c r="N1220">
        <v>0</v>
      </c>
      <c r="O1220">
        <v>0</v>
      </c>
      <c r="P1220">
        <v>0</v>
      </c>
      <c r="Q1220" t="s">
        <v>584</v>
      </c>
      <c r="R1220">
        <v>1</v>
      </c>
      <c r="S1220">
        <v>0</v>
      </c>
      <c r="T1220">
        <v>0</v>
      </c>
      <c r="U1220">
        <v>0</v>
      </c>
      <c r="V1220">
        <v>0</v>
      </c>
      <c r="W1220">
        <v>0</v>
      </c>
      <c r="X1220">
        <v>0</v>
      </c>
      <c r="Y1220">
        <v>0</v>
      </c>
      <c r="Z1220">
        <v>0</v>
      </c>
      <c r="AL1220" t="s">
        <v>107</v>
      </c>
      <c r="AM1220" t="s">
        <v>87</v>
      </c>
      <c r="AN1220" t="s">
        <v>87</v>
      </c>
      <c r="AO1220" t="s">
        <v>87</v>
      </c>
      <c r="AP1220" t="s">
        <v>87</v>
      </c>
      <c r="AQ1220" t="s">
        <v>87</v>
      </c>
      <c r="AR1220" t="s">
        <v>108</v>
      </c>
      <c r="AS1220" t="s">
        <v>76</v>
      </c>
      <c r="AT1220" t="s">
        <v>107</v>
      </c>
      <c r="AU1220">
        <v>0</v>
      </c>
      <c r="AV1220">
        <v>0</v>
      </c>
      <c r="AW1220">
        <v>0</v>
      </c>
      <c r="AX1220">
        <v>1</v>
      </c>
      <c r="AY1220">
        <v>0</v>
      </c>
      <c r="AZ1220" t="s">
        <v>578</v>
      </c>
    </row>
    <row r="1221" spans="1:52" x14ac:dyDescent="0.2">
      <c r="A1221">
        <v>0</v>
      </c>
      <c r="B1221">
        <v>1</v>
      </c>
      <c r="C1221">
        <v>0</v>
      </c>
      <c r="D1221">
        <v>0</v>
      </c>
      <c r="E1221">
        <v>0</v>
      </c>
      <c r="F1221">
        <v>1</v>
      </c>
      <c r="G1221">
        <v>0</v>
      </c>
      <c r="H1221">
        <v>1</v>
      </c>
      <c r="I1221">
        <v>0</v>
      </c>
      <c r="J1221" t="s">
        <v>79</v>
      </c>
      <c r="K1221" t="s">
        <v>89</v>
      </c>
      <c r="L1221">
        <v>0</v>
      </c>
      <c r="M1221">
        <v>0</v>
      </c>
      <c r="N1221">
        <v>0</v>
      </c>
      <c r="O1221">
        <v>1</v>
      </c>
      <c r="P1221">
        <v>0</v>
      </c>
      <c r="Q1221" t="s">
        <v>584</v>
      </c>
      <c r="AA1221" t="s">
        <v>83</v>
      </c>
      <c r="AB1221" t="s">
        <v>82</v>
      </c>
      <c r="AC1221" t="s">
        <v>81</v>
      </c>
      <c r="AD1221" t="s">
        <v>81</v>
      </c>
      <c r="AE1221" t="s">
        <v>81</v>
      </c>
      <c r="AF1221" t="s">
        <v>83</v>
      </c>
      <c r="AG1221" t="s">
        <v>81</v>
      </c>
      <c r="AH1221" t="s">
        <v>83</v>
      </c>
      <c r="AI1221" t="s">
        <v>84</v>
      </c>
      <c r="AJ1221" t="s">
        <v>89</v>
      </c>
      <c r="AK1221" t="s">
        <v>100</v>
      </c>
      <c r="AL1221" t="s">
        <v>107</v>
      </c>
      <c r="AM1221" t="s">
        <v>86</v>
      </c>
      <c r="AN1221" t="s">
        <v>87</v>
      </c>
      <c r="AO1221" t="s">
        <v>87</v>
      </c>
      <c r="AP1221" t="s">
        <v>87</v>
      </c>
      <c r="AQ1221" t="s">
        <v>86</v>
      </c>
      <c r="AR1221" t="s">
        <v>97</v>
      </c>
      <c r="AS1221" t="s">
        <v>76</v>
      </c>
      <c r="AT1221" t="s">
        <v>107</v>
      </c>
      <c r="AU1221">
        <v>0</v>
      </c>
      <c r="AV1221">
        <v>0</v>
      </c>
      <c r="AW1221">
        <v>0</v>
      </c>
      <c r="AX1221">
        <v>0</v>
      </c>
      <c r="AY1221">
        <v>1</v>
      </c>
      <c r="AZ1221" t="s">
        <v>580</v>
      </c>
    </row>
    <row r="1222" spans="1:52" x14ac:dyDescent="0.2">
      <c r="A1222">
        <v>0</v>
      </c>
      <c r="B1222">
        <v>1</v>
      </c>
      <c r="C1222">
        <v>0</v>
      </c>
      <c r="D1222">
        <v>0</v>
      </c>
      <c r="E1222">
        <v>1</v>
      </c>
      <c r="F1222">
        <v>0</v>
      </c>
      <c r="G1222">
        <v>0</v>
      </c>
      <c r="H1222">
        <v>0</v>
      </c>
      <c r="I1222">
        <v>0</v>
      </c>
      <c r="L1222">
        <v>1</v>
      </c>
      <c r="M1222">
        <v>0</v>
      </c>
      <c r="N1222">
        <v>0</v>
      </c>
      <c r="O1222">
        <v>0</v>
      </c>
      <c r="P1222">
        <v>0</v>
      </c>
      <c r="Q1222" t="s">
        <v>584</v>
      </c>
      <c r="R1222">
        <v>0</v>
      </c>
      <c r="S1222">
        <v>1</v>
      </c>
      <c r="T1222">
        <v>0</v>
      </c>
      <c r="U1222">
        <v>0</v>
      </c>
      <c r="V1222">
        <v>0</v>
      </c>
      <c r="W1222">
        <v>0</v>
      </c>
      <c r="X1222">
        <v>0</v>
      </c>
      <c r="Y1222">
        <v>0</v>
      </c>
      <c r="Z1222">
        <v>0</v>
      </c>
      <c r="AL1222" t="s">
        <v>73</v>
      </c>
      <c r="AM1222" t="s">
        <v>74</v>
      </c>
      <c r="AR1222" t="s">
        <v>113</v>
      </c>
      <c r="AS1222" t="s">
        <v>76</v>
      </c>
      <c r="AT1222" t="s">
        <v>73</v>
      </c>
      <c r="AU1222">
        <v>0</v>
      </c>
      <c r="AV1222">
        <v>1</v>
      </c>
      <c r="AW1222">
        <v>0</v>
      </c>
      <c r="AX1222">
        <v>0</v>
      </c>
      <c r="AY1222">
        <v>0</v>
      </c>
      <c r="AZ1222" t="s">
        <v>577</v>
      </c>
    </row>
    <row r="1223" spans="1:52" x14ac:dyDescent="0.2">
      <c r="A1223">
        <v>0</v>
      </c>
      <c r="B1223">
        <v>1</v>
      </c>
      <c r="C1223">
        <v>0</v>
      </c>
      <c r="D1223">
        <v>0</v>
      </c>
      <c r="E1223">
        <v>0</v>
      </c>
      <c r="F1223">
        <v>0</v>
      </c>
      <c r="G1223">
        <v>0</v>
      </c>
      <c r="H1223">
        <v>1</v>
      </c>
      <c r="I1223">
        <v>0</v>
      </c>
      <c r="J1223" t="s">
        <v>79</v>
      </c>
      <c r="K1223" t="s">
        <v>127</v>
      </c>
      <c r="L1223">
        <v>1</v>
      </c>
      <c r="M1223">
        <v>0</v>
      </c>
      <c r="N1223">
        <v>0</v>
      </c>
      <c r="O1223">
        <v>0</v>
      </c>
      <c r="P1223">
        <v>0</v>
      </c>
      <c r="Q1223" t="s">
        <v>584</v>
      </c>
      <c r="R1223">
        <v>1</v>
      </c>
      <c r="S1223">
        <v>0</v>
      </c>
      <c r="T1223">
        <v>0</v>
      </c>
      <c r="U1223">
        <v>0</v>
      </c>
      <c r="V1223">
        <v>0</v>
      </c>
      <c r="W1223">
        <v>0</v>
      </c>
      <c r="X1223">
        <v>0</v>
      </c>
      <c r="Y1223">
        <v>0</v>
      </c>
      <c r="Z1223">
        <v>0</v>
      </c>
      <c r="AL1223" t="s">
        <v>96</v>
      </c>
      <c r="AM1223" t="s">
        <v>86</v>
      </c>
      <c r="AN1223" t="s">
        <v>87</v>
      </c>
      <c r="AO1223" t="s">
        <v>74</v>
      </c>
      <c r="AP1223" t="s">
        <v>87</v>
      </c>
      <c r="AQ1223" t="s">
        <v>74</v>
      </c>
      <c r="AR1223" t="s">
        <v>75</v>
      </c>
      <c r="AS1223" t="s">
        <v>76</v>
      </c>
      <c r="AT1223" t="s">
        <v>96</v>
      </c>
      <c r="AU1223">
        <v>0</v>
      </c>
      <c r="AV1223">
        <v>0</v>
      </c>
      <c r="AW1223">
        <v>0</v>
      </c>
      <c r="AX1223">
        <v>1</v>
      </c>
      <c r="AY1223">
        <v>0</v>
      </c>
      <c r="AZ1223" t="s">
        <v>578</v>
      </c>
    </row>
    <row r="1224" spans="1:52" x14ac:dyDescent="0.2">
      <c r="A1224">
        <v>0</v>
      </c>
      <c r="B1224">
        <v>1</v>
      </c>
      <c r="C1224">
        <v>0</v>
      </c>
      <c r="D1224">
        <v>0</v>
      </c>
      <c r="E1224">
        <v>0</v>
      </c>
      <c r="F1224">
        <v>1</v>
      </c>
      <c r="G1224">
        <v>0</v>
      </c>
      <c r="H1224">
        <v>1</v>
      </c>
      <c r="I1224">
        <v>0</v>
      </c>
      <c r="J1224" t="s">
        <v>88</v>
      </c>
      <c r="K1224" t="s">
        <v>142</v>
      </c>
      <c r="L1224">
        <v>0</v>
      </c>
      <c r="M1224">
        <v>0</v>
      </c>
      <c r="N1224">
        <v>0</v>
      </c>
      <c r="O1224">
        <v>0</v>
      </c>
      <c r="P1224">
        <v>1</v>
      </c>
      <c r="Q1224" t="s">
        <v>584</v>
      </c>
      <c r="AA1224" t="s">
        <v>81</v>
      </c>
      <c r="AB1224" t="s">
        <v>81</v>
      </c>
      <c r="AC1224" t="s">
        <v>81</v>
      </c>
      <c r="AD1224" t="s">
        <v>81</v>
      </c>
      <c r="AE1224" t="s">
        <v>82</v>
      </c>
      <c r="AF1224" t="s">
        <v>81</v>
      </c>
      <c r="AG1224" t="s">
        <v>83</v>
      </c>
      <c r="AH1224" t="s">
        <v>83</v>
      </c>
      <c r="AI1224" t="s">
        <v>88</v>
      </c>
      <c r="AJ1224" t="s">
        <v>142</v>
      </c>
      <c r="AK1224" t="s">
        <v>85</v>
      </c>
      <c r="AL1224" t="s">
        <v>107</v>
      </c>
      <c r="AM1224" t="s">
        <v>87</v>
      </c>
      <c r="AN1224" t="s">
        <v>87</v>
      </c>
      <c r="AO1224" t="s">
        <v>87</v>
      </c>
      <c r="AP1224" t="s">
        <v>86</v>
      </c>
      <c r="AQ1224" t="s">
        <v>74</v>
      </c>
      <c r="AR1224" t="s">
        <v>75</v>
      </c>
      <c r="AS1224" t="s">
        <v>76</v>
      </c>
      <c r="AT1224" t="s">
        <v>107</v>
      </c>
      <c r="AU1224">
        <v>0</v>
      </c>
      <c r="AV1224">
        <v>0</v>
      </c>
      <c r="AW1224">
        <v>0</v>
      </c>
      <c r="AX1224">
        <v>1</v>
      </c>
      <c r="AY1224">
        <v>0</v>
      </c>
      <c r="AZ1224" t="s">
        <v>578</v>
      </c>
    </row>
    <row r="1225" spans="1:52" x14ac:dyDescent="0.2">
      <c r="A1225">
        <v>1</v>
      </c>
      <c r="B1225">
        <v>0</v>
      </c>
      <c r="C1225">
        <v>0</v>
      </c>
      <c r="D1225">
        <v>0</v>
      </c>
      <c r="E1225">
        <v>1</v>
      </c>
      <c r="F1225">
        <v>0</v>
      </c>
      <c r="G1225">
        <v>0</v>
      </c>
      <c r="H1225">
        <v>0</v>
      </c>
      <c r="I1225">
        <v>0</v>
      </c>
      <c r="L1225">
        <v>1</v>
      </c>
      <c r="M1225">
        <v>0</v>
      </c>
      <c r="N1225">
        <v>0</v>
      </c>
      <c r="O1225">
        <v>0</v>
      </c>
      <c r="P1225">
        <v>0</v>
      </c>
      <c r="Q1225" t="s">
        <v>584</v>
      </c>
      <c r="R1225">
        <v>0</v>
      </c>
      <c r="S1225">
        <v>1</v>
      </c>
      <c r="T1225">
        <v>0</v>
      </c>
      <c r="U1225">
        <v>0</v>
      </c>
      <c r="V1225">
        <v>0</v>
      </c>
      <c r="W1225">
        <v>0</v>
      </c>
      <c r="X1225">
        <v>0</v>
      </c>
      <c r="Y1225">
        <v>0</v>
      </c>
      <c r="Z1225">
        <v>0</v>
      </c>
      <c r="AL1225" t="s">
        <v>107</v>
      </c>
      <c r="AM1225" t="s">
        <v>86</v>
      </c>
      <c r="AN1225" t="s">
        <v>86</v>
      </c>
      <c r="AO1225" t="s">
        <v>86</v>
      </c>
      <c r="AP1225" t="s">
        <v>86</v>
      </c>
      <c r="AQ1225" t="s">
        <v>86</v>
      </c>
      <c r="AR1225" t="s">
        <v>75</v>
      </c>
      <c r="AS1225" t="s">
        <v>92</v>
      </c>
      <c r="AT1225" t="s">
        <v>107</v>
      </c>
      <c r="AU1225">
        <v>0</v>
      </c>
      <c r="AV1225">
        <v>0</v>
      </c>
      <c r="AW1225">
        <v>0</v>
      </c>
      <c r="AX1225">
        <v>1</v>
      </c>
      <c r="AY1225">
        <v>0</v>
      </c>
      <c r="AZ1225" t="s">
        <v>578</v>
      </c>
    </row>
    <row r="1226" spans="1:52" x14ac:dyDescent="0.2">
      <c r="A1226">
        <v>1</v>
      </c>
      <c r="B1226">
        <v>0</v>
      </c>
      <c r="C1226">
        <v>0</v>
      </c>
      <c r="D1226">
        <v>0</v>
      </c>
      <c r="E1226">
        <v>0</v>
      </c>
      <c r="F1226">
        <v>1</v>
      </c>
      <c r="G1226">
        <v>1</v>
      </c>
      <c r="H1226">
        <v>0</v>
      </c>
      <c r="I1226">
        <v>0</v>
      </c>
      <c r="J1226" t="s">
        <v>88</v>
      </c>
      <c r="K1226" t="s">
        <v>80</v>
      </c>
      <c r="L1226">
        <v>0</v>
      </c>
      <c r="M1226">
        <v>0</v>
      </c>
      <c r="N1226">
        <v>1</v>
      </c>
      <c r="O1226">
        <v>0</v>
      </c>
      <c r="P1226">
        <v>0</v>
      </c>
      <c r="Q1226" t="s">
        <v>584</v>
      </c>
      <c r="AA1226" t="s">
        <v>83</v>
      </c>
      <c r="AB1226" t="s">
        <v>81</v>
      </c>
      <c r="AC1226" t="s">
        <v>83</v>
      </c>
      <c r="AD1226" t="s">
        <v>81</v>
      </c>
      <c r="AE1226" t="s">
        <v>82</v>
      </c>
      <c r="AF1226" t="s">
        <v>81</v>
      </c>
      <c r="AG1226" t="s">
        <v>81</v>
      </c>
      <c r="AH1226" t="s">
        <v>83</v>
      </c>
      <c r="AI1226" t="s">
        <v>88</v>
      </c>
      <c r="AJ1226" t="s">
        <v>80</v>
      </c>
      <c r="AK1226" t="s">
        <v>85</v>
      </c>
      <c r="AL1226" t="s">
        <v>107</v>
      </c>
      <c r="AM1226" t="s">
        <v>74</v>
      </c>
      <c r="AR1226" t="s">
        <v>75</v>
      </c>
      <c r="AS1226" t="s">
        <v>76</v>
      </c>
      <c r="AT1226" t="s">
        <v>107</v>
      </c>
      <c r="AU1226">
        <v>0</v>
      </c>
      <c r="AV1226">
        <v>0</v>
      </c>
      <c r="AW1226">
        <v>0</v>
      </c>
      <c r="AX1226">
        <v>1</v>
      </c>
      <c r="AY1226">
        <v>0</v>
      </c>
      <c r="AZ1226" t="s">
        <v>579</v>
      </c>
    </row>
    <row r="1227" spans="1:52" x14ac:dyDescent="0.2">
      <c r="A1227">
        <v>1</v>
      </c>
      <c r="B1227">
        <v>0</v>
      </c>
      <c r="C1227">
        <v>0</v>
      </c>
      <c r="D1227">
        <v>0</v>
      </c>
      <c r="E1227">
        <v>1</v>
      </c>
      <c r="F1227">
        <v>0</v>
      </c>
      <c r="G1227">
        <v>0</v>
      </c>
      <c r="H1227">
        <v>0</v>
      </c>
      <c r="I1227">
        <v>0</v>
      </c>
      <c r="L1227">
        <v>1</v>
      </c>
      <c r="M1227">
        <v>0</v>
      </c>
      <c r="N1227">
        <v>0</v>
      </c>
      <c r="O1227">
        <v>0</v>
      </c>
      <c r="P1227">
        <v>0</v>
      </c>
      <c r="Q1227" t="s">
        <v>584</v>
      </c>
      <c r="R1227">
        <v>0</v>
      </c>
      <c r="S1227">
        <v>0</v>
      </c>
      <c r="T1227">
        <v>0</v>
      </c>
      <c r="U1227">
        <v>0</v>
      </c>
      <c r="V1227">
        <v>0</v>
      </c>
      <c r="W1227">
        <v>0</v>
      </c>
      <c r="X1227">
        <v>1</v>
      </c>
      <c r="Y1227">
        <v>0</v>
      </c>
      <c r="Z1227">
        <v>0</v>
      </c>
      <c r="AL1227" t="s">
        <v>107</v>
      </c>
      <c r="AM1227" t="s">
        <v>74</v>
      </c>
      <c r="AR1227" t="s">
        <v>75</v>
      </c>
      <c r="AS1227" t="s">
        <v>76</v>
      </c>
      <c r="AT1227" t="s">
        <v>107</v>
      </c>
      <c r="AU1227">
        <v>0</v>
      </c>
      <c r="AV1227">
        <v>0</v>
      </c>
      <c r="AW1227">
        <v>0</v>
      </c>
      <c r="AX1227">
        <v>1</v>
      </c>
      <c r="AY1227">
        <v>0</v>
      </c>
      <c r="AZ1227" t="s">
        <v>579</v>
      </c>
    </row>
    <row r="1228" spans="1:52" x14ac:dyDescent="0.2">
      <c r="A1228">
        <v>0</v>
      </c>
      <c r="B1228">
        <v>1</v>
      </c>
      <c r="C1228">
        <v>0</v>
      </c>
      <c r="D1228">
        <v>0</v>
      </c>
      <c r="E1228">
        <v>0</v>
      </c>
      <c r="F1228">
        <v>0</v>
      </c>
      <c r="G1228">
        <v>0</v>
      </c>
      <c r="H1228">
        <v>0</v>
      </c>
      <c r="I1228">
        <v>1</v>
      </c>
      <c r="J1228" t="s">
        <v>79</v>
      </c>
      <c r="K1228" t="s">
        <v>127</v>
      </c>
      <c r="L1228">
        <v>1</v>
      </c>
      <c r="M1228">
        <v>0</v>
      </c>
      <c r="N1228">
        <v>0</v>
      </c>
      <c r="O1228">
        <v>0</v>
      </c>
      <c r="P1228">
        <v>0</v>
      </c>
      <c r="Q1228" t="s">
        <v>584</v>
      </c>
      <c r="R1228">
        <v>0</v>
      </c>
      <c r="S1228">
        <v>0</v>
      </c>
      <c r="T1228">
        <v>1</v>
      </c>
      <c r="U1228">
        <v>0</v>
      </c>
      <c r="V1228">
        <v>0</v>
      </c>
      <c r="W1228">
        <v>0</v>
      </c>
      <c r="X1228">
        <v>1</v>
      </c>
      <c r="Y1228">
        <v>1</v>
      </c>
      <c r="Z1228">
        <v>0</v>
      </c>
      <c r="AL1228" t="s">
        <v>107</v>
      </c>
      <c r="AM1228" t="s">
        <v>74</v>
      </c>
      <c r="AR1228" t="s">
        <v>75</v>
      </c>
      <c r="AS1228" t="s">
        <v>76</v>
      </c>
      <c r="AT1228" t="s">
        <v>107</v>
      </c>
      <c r="AU1228">
        <v>0</v>
      </c>
      <c r="AV1228">
        <v>0</v>
      </c>
      <c r="AW1228">
        <v>0</v>
      </c>
      <c r="AX1228">
        <v>1</v>
      </c>
      <c r="AY1228">
        <v>0</v>
      </c>
      <c r="AZ1228" t="s">
        <v>579</v>
      </c>
    </row>
    <row r="1229" spans="1:52" x14ac:dyDescent="0.2">
      <c r="A1229">
        <v>1</v>
      </c>
      <c r="B1229">
        <v>0</v>
      </c>
      <c r="C1229">
        <v>0</v>
      </c>
      <c r="D1229">
        <v>0</v>
      </c>
      <c r="E1229">
        <v>0</v>
      </c>
      <c r="F1229">
        <v>0</v>
      </c>
      <c r="G1229">
        <v>0</v>
      </c>
      <c r="H1229">
        <v>0</v>
      </c>
      <c r="I1229">
        <v>1</v>
      </c>
      <c r="J1229" t="s">
        <v>88</v>
      </c>
      <c r="K1229" t="s">
        <v>89</v>
      </c>
      <c r="L1229">
        <v>1</v>
      </c>
      <c r="M1229">
        <v>0</v>
      </c>
      <c r="N1229">
        <v>0</v>
      </c>
      <c r="O1229">
        <v>0</v>
      </c>
      <c r="P1229">
        <v>0</v>
      </c>
      <c r="Q1229" t="s">
        <v>584</v>
      </c>
      <c r="R1229">
        <v>0</v>
      </c>
      <c r="S1229">
        <v>0</v>
      </c>
      <c r="T1229">
        <v>1</v>
      </c>
      <c r="U1229">
        <v>0</v>
      </c>
      <c r="V1229">
        <v>0</v>
      </c>
      <c r="W1229">
        <v>0</v>
      </c>
      <c r="X1229">
        <v>0</v>
      </c>
      <c r="Y1229">
        <v>0</v>
      </c>
      <c r="Z1229">
        <v>0</v>
      </c>
      <c r="AL1229" t="s">
        <v>73</v>
      </c>
      <c r="AM1229" t="s">
        <v>86</v>
      </c>
      <c r="AN1229" t="s">
        <v>86</v>
      </c>
      <c r="AO1229" t="s">
        <v>87</v>
      </c>
      <c r="AP1229" t="s">
        <v>87</v>
      </c>
      <c r="AQ1229" t="s">
        <v>87</v>
      </c>
      <c r="AR1229" t="s">
        <v>75</v>
      </c>
      <c r="AS1229" t="s">
        <v>171</v>
      </c>
      <c r="AT1229" t="s">
        <v>73</v>
      </c>
      <c r="AU1229">
        <v>0</v>
      </c>
      <c r="AV1229">
        <v>1</v>
      </c>
      <c r="AW1229">
        <v>0</v>
      </c>
      <c r="AX1229">
        <v>1</v>
      </c>
      <c r="AY1229">
        <v>1</v>
      </c>
      <c r="AZ1229" t="s">
        <v>578</v>
      </c>
    </row>
    <row r="1230" spans="1:52" x14ac:dyDescent="0.2">
      <c r="A1230">
        <v>1</v>
      </c>
      <c r="B1230">
        <v>0</v>
      </c>
      <c r="C1230">
        <v>0</v>
      </c>
      <c r="D1230">
        <v>0</v>
      </c>
      <c r="E1230">
        <v>0</v>
      </c>
      <c r="F1230">
        <v>1</v>
      </c>
      <c r="G1230">
        <v>0</v>
      </c>
      <c r="H1230">
        <v>0</v>
      </c>
      <c r="I1230">
        <v>0</v>
      </c>
      <c r="J1230" t="s">
        <v>88</v>
      </c>
      <c r="K1230" t="s">
        <v>80</v>
      </c>
      <c r="L1230">
        <v>0</v>
      </c>
      <c r="M1230">
        <v>0</v>
      </c>
      <c r="N1230">
        <v>1</v>
      </c>
      <c r="O1230">
        <v>0</v>
      </c>
      <c r="P1230">
        <v>0</v>
      </c>
      <c r="Q1230" t="s">
        <v>584</v>
      </c>
      <c r="AA1230" t="s">
        <v>81</v>
      </c>
      <c r="AB1230" t="s">
        <v>81</v>
      </c>
      <c r="AC1230" t="s">
        <v>81</v>
      </c>
      <c r="AD1230" t="s">
        <v>83</v>
      </c>
      <c r="AE1230" t="s">
        <v>82</v>
      </c>
      <c r="AF1230" t="s">
        <v>83</v>
      </c>
      <c r="AG1230" t="s">
        <v>83</v>
      </c>
      <c r="AH1230" t="s">
        <v>83</v>
      </c>
      <c r="AI1230" t="s">
        <v>88</v>
      </c>
      <c r="AJ1230" t="s">
        <v>80</v>
      </c>
      <c r="AK1230" t="s">
        <v>100</v>
      </c>
      <c r="AL1230" t="s">
        <v>107</v>
      </c>
      <c r="AM1230" t="s">
        <v>87</v>
      </c>
      <c r="AN1230" t="s">
        <v>87</v>
      </c>
      <c r="AO1230" t="s">
        <v>87</v>
      </c>
      <c r="AP1230" t="s">
        <v>87</v>
      </c>
      <c r="AQ1230" t="s">
        <v>87</v>
      </c>
      <c r="AR1230" t="s">
        <v>75</v>
      </c>
      <c r="AS1230" t="s">
        <v>76</v>
      </c>
      <c r="AT1230" t="s">
        <v>107</v>
      </c>
      <c r="AU1230">
        <v>0</v>
      </c>
      <c r="AV1230">
        <v>0</v>
      </c>
      <c r="AW1230">
        <v>0</v>
      </c>
      <c r="AX1230">
        <v>1</v>
      </c>
      <c r="AY1230">
        <v>0</v>
      </c>
      <c r="AZ1230" t="s">
        <v>579</v>
      </c>
    </row>
    <row r="1231" spans="1:52" x14ac:dyDescent="0.2">
      <c r="A1231">
        <v>0</v>
      </c>
      <c r="B1231">
        <v>1</v>
      </c>
      <c r="C1231">
        <v>0</v>
      </c>
      <c r="D1231">
        <v>0</v>
      </c>
      <c r="E1231">
        <v>1</v>
      </c>
      <c r="F1231">
        <v>0</v>
      </c>
      <c r="G1231">
        <v>0</v>
      </c>
      <c r="H1231">
        <v>0</v>
      </c>
      <c r="I1231">
        <v>0</v>
      </c>
      <c r="L1231">
        <v>1</v>
      </c>
      <c r="M1231">
        <v>0</v>
      </c>
      <c r="N1231">
        <v>0</v>
      </c>
      <c r="O1231">
        <v>0</v>
      </c>
      <c r="P1231">
        <v>0</v>
      </c>
      <c r="Q1231" t="s">
        <v>584</v>
      </c>
      <c r="R1231">
        <v>0</v>
      </c>
      <c r="S1231">
        <v>0</v>
      </c>
      <c r="T1231">
        <v>0</v>
      </c>
      <c r="U1231">
        <v>0</v>
      </c>
      <c r="V1231">
        <v>0</v>
      </c>
      <c r="W1231">
        <v>1</v>
      </c>
      <c r="X1231">
        <v>0</v>
      </c>
      <c r="Y1231">
        <v>0</v>
      </c>
      <c r="Z1231">
        <v>0</v>
      </c>
      <c r="AL1231" t="s">
        <v>73</v>
      </c>
      <c r="AM1231" t="s">
        <v>87</v>
      </c>
      <c r="AN1231" t="s">
        <v>87</v>
      </c>
      <c r="AO1231" t="s">
        <v>87</v>
      </c>
      <c r="AP1231" t="s">
        <v>87</v>
      </c>
      <c r="AQ1231" t="s">
        <v>86</v>
      </c>
      <c r="AR1231" t="s">
        <v>159</v>
      </c>
      <c r="AS1231" t="s">
        <v>76</v>
      </c>
      <c r="AT1231" t="s">
        <v>73</v>
      </c>
      <c r="AU1231">
        <v>1</v>
      </c>
      <c r="AV1231">
        <v>0</v>
      </c>
      <c r="AW1231">
        <v>0</v>
      </c>
      <c r="AX1231">
        <v>1</v>
      </c>
      <c r="AY1231">
        <v>0</v>
      </c>
      <c r="AZ1231" t="s">
        <v>579</v>
      </c>
    </row>
    <row r="1232" spans="1:52" x14ac:dyDescent="0.2">
      <c r="A1232">
        <v>1</v>
      </c>
      <c r="B1232">
        <v>0</v>
      </c>
      <c r="C1232">
        <v>0</v>
      </c>
      <c r="D1232">
        <v>0</v>
      </c>
      <c r="E1232">
        <v>0</v>
      </c>
      <c r="F1232">
        <v>0</v>
      </c>
      <c r="G1232">
        <v>0</v>
      </c>
      <c r="H1232">
        <v>0</v>
      </c>
      <c r="I1232">
        <v>1</v>
      </c>
      <c r="J1232" t="s">
        <v>88</v>
      </c>
      <c r="K1232" t="s">
        <v>89</v>
      </c>
      <c r="L1232">
        <v>0</v>
      </c>
      <c r="M1232">
        <v>1</v>
      </c>
      <c r="N1232">
        <v>0</v>
      </c>
      <c r="O1232">
        <v>0</v>
      </c>
      <c r="P1232">
        <v>0</v>
      </c>
      <c r="Q1232" t="s">
        <v>584</v>
      </c>
      <c r="AA1232" t="s">
        <v>90</v>
      </c>
      <c r="AB1232" t="s">
        <v>81</v>
      </c>
      <c r="AC1232" t="s">
        <v>81</v>
      </c>
      <c r="AD1232" t="s">
        <v>82</v>
      </c>
      <c r="AE1232" t="s">
        <v>83</v>
      </c>
      <c r="AF1232" t="s">
        <v>83</v>
      </c>
      <c r="AG1232" t="s">
        <v>83</v>
      </c>
      <c r="AH1232" t="s">
        <v>83</v>
      </c>
      <c r="AI1232" t="s">
        <v>88</v>
      </c>
      <c r="AJ1232" t="s">
        <v>89</v>
      </c>
      <c r="AK1232" t="s">
        <v>100</v>
      </c>
      <c r="AL1232" t="s">
        <v>73</v>
      </c>
      <c r="AM1232" t="s">
        <v>86</v>
      </c>
      <c r="AN1232" t="s">
        <v>86</v>
      </c>
      <c r="AO1232" t="s">
        <v>86</v>
      </c>
      <c r="AP1232" t="s">
        <v>86</v>
      </c>
      <c r="AQ1232" t="s">
        <v>86</v>
      </c>
      <c r="AR1232" t="s">
        <v>159</v>
      </c>
      <c r="AS1232" t="s">
        <v>92</v>
      </c>
      <c r="AT1232" t="s">
        <v>73</v>
      </c>
      <c r="AU1232">
        <v>0</v>
      </c>
      <c r="AV1232">
        <v>0</v>
      </c>
      <c r="AW1232">
        <v>0</v>
      </c>
      <c r="AX1232">
        <v>1</v>
      </c>
      <c r="AY1232">
        <v>0</v>
      </c>
      <c r="AZ1232" t="s">
        <v>579</v>
      </c>
    </row>
    <row r="1233" spans="1:52" x14ac:dyDescent="0.2">
      <c r="A1233">
        <v>1</v>
      </c>
      <c r="B1233">
        <v>0</v>
      </c>
      <c r="C1233">
        <v>0</v>
      </c>
      <c r="D1233">
        <v>0</v>
      </c>
      <c r="E1233">
        <v>1</v>
      </c>
      <c r="F1233">
        <v>0</v>
      </c>
      <c r="G1233">
        <v>0</v>
      </c>
      <c r="H1233">
        <v>0</v>
      </c>
      <c r="I1233">
        <v>0</v>
      </c>
      <c r="L1233">
        <v>1</v>
      </c>
      <c r="M1233">
        <v>0</v>
      </c>
      <c r="N1233">
        <v>0</v>
      </c>
      <c r="O1233">
        <v>0</v>
      </c>
      <c r="P1233">
        <v>0</v>
      </c>
      <c r="Q1233" t="s">
        <v>584</v>
      </c>
      <c r="R1233">
        <v>0</v>
      </c>
      <c r="S1233">
        <v>0</v>
      </c>
      <c r="T1233">
        <v>0</v>
      </c>
      <c r="U1233">
        <v>0</v>
      </c>
      <c r="V1233">
        <v>0</v>
      </c>
      <c r="W1233">
        <v>0</v>
      </c>
      <c r="X1233">
        <v>0</v>
      </c>
      <c r="Y1233">
        <v>0</v>
      </c>
      <c r="Z1233">
        <v>1</v>
      </c>
      <c r="AL1233" t="s">
        <v>107</v>
      </c>
      <c r="AM1233" t="s">
        <v>87</v>
      </c>
      <c r="AN1233" t="s">
        <v>74</v>
      </c>
      <c r="AO1233" t="s">
        <v>87</v>
      </c>
      <c r="AP1233" t="s">
        <v>74</v>
      </c>
      <c r="AQ1233" t="s">
        <v>74</v>
      </c>
      <c r="AR1233" t="s">
        <v>97</v>
      </c>
      <c r="AS1233" t="s">
        <v>92</v>
      </c>
      <c r="AT1233" t="s">
        <v>107</v>
      </c>
      <c r="AU1233">
        <v>0</v>
      </c>
      <c r="AV1233">
        <v>0</v>
      </c>
      <c r="AW1233">
        <v>0</v>
      </c>
      <c r="AX1233">
        <v>0</v>
      </c>
      <c r="AY1233">
        <v>1</v>
      </c>
      <c r="AZ1233" t="s">
        <v>580</v>
      </c>
    </row>
    <row r="1234" spans="1:52" x14ac:dyDescent="0.2">
      <c r="A1234">
        <v>0</v>
      </c>
      <c r="B1234">
        <v>1</v>
      </c>
      <c r="C1234">
        <v>0</v>
      </c>
      <c r="D1234">
        <v>0</v>
      </c>
      <c r="E1234">
        <v>0</v>
      </c>
      <c r="F1234">
        <v>1</v>
      </c>
      <c r="G1234">
        <v>1</v>
      </c>
      <c r="H1234">
        <v>1</v>
      </c>
      <c r="I1234">
        <v>0</v>
      </c>
      <c r="J1234" t="s">
        <v>88</v>
      </c>
      <c r="K1234" t="s">
        <v>89</v>
      </c>
      <c r="L1234">
        <v>0</v>
      </c>
      <c r="M1234">
        <v>1</v>
      </c>
      <c r="N1234">
        <v>0</v>
      </c>
      <c r="O1234">
        <v>0</v>
      </c>
      <c r="P1234">
        <v>0</v>
      </c>
      <c r="Q1234" t="s">
        <v>584</v>
      </c>
      <c r="AA1234" t="s">
        <v>83</v>
      </c>
      <c r="AB1234" t="s">
        <v>82</v>
      </c>
      <c r="AC1234" t="s">
        <v>81</v>
      </c>
      <c r="AD1234" t="s">
        <v>82</v>
      </c>
      <c r="AE1234" t="s">
        <v>81</v>
      </c>
      <c r="AF1234" t="s">
        <v>83</v>
      </c>
      <c r="AG1234" t="s">
        <v>81</v>
      </c>
      <c r="AH1234" t="s">
        <v>83</v>
      </c>
      <c r="AI1234" t="s">
        <v>88</v>
      </c>
      <c r="AJ1234" t="s">
        <v>89</v>
      </c>
      <c r="AK1234" t="s">
        <v>100</v>
      </c>
      <c r="AL1234" t="s">
        <v>73</v>
      </c>
      <c r="AM1234" t="s">
        <v>86</v>
      </c>
      <c r="AN1234" t="s">
        <v>87</v>
      </c>
      <c r="AO1234" t="s">
        <v>87</v>
      </c>
      <c r="AP1234" t="s">
        <v>87</v>
      </c>
      <c r="AQ1234" t="s">
        <v>87</v>
      </c>
      <c r="AR1234" t="s">
        <v>75</v>
      </c>
      <c r="AS1234" t="s">
        <v>76</v>
      </c>
      <c r="AT1234" t="s">
        <v>73</v>
      </c>
      <c r="AU1234">
        <v>0</v>
      </c>
      <c r="AV1234">
        <v>0</v>
      </c>
      <c r="AW1234">
        <v>0</v>
      </c>
      <c r="AX1234">
        <v>1</v>
      </c>
      <c r="AY1234">
        <v>0</v>
      </c>
      <c r="AZ1234" t="s">
        <v>578</v>
      </c>
    </row>
    <row r="1235" spans="1:52" x14ac:dyDescent="0.2">
      <c r="A1235">
        <v>1</v>
      </c>
      <c r="B1235">
        <v>0</v>
      </c>
      <c r="C1235">
        <v>0</v>
      </c>
      <c r="D1235">
        <v>0</v>
      </c>
      <c r="E1235">
        <v>1</v>
      </c>
      <c r="F1235">
        <v>0</v>
      </c>
      <c r="G1235">
        <v>0</v>
      </c>
      <c r="H1235">
        <v>0</v>
      </c>
      <c r="I1235">
        <v>0</v>
      </c>
      <c r="L1235">
        <v>1</v>
      </c>
      <c r="M1235">
        <v>0</v>
      </c>
      <c r="N1235">
        <v>0</v>
      </c>
      <c r="O1235">
        <v>0</v>
      </c>
      <c r="P1235">
        <v>0</v>
      </c>
      <c r="Q1235" t="s">
        <v>584</v>
      </c>
      <c r="R1235">
        <v>0</v>
      </c>
      <c r="S1235">
        <v>0</v>
      </c>
      <c r="T1235">
        <v>1</v>
      </c>
      <c r="U1235">
        <v>0</v>
      </c>
      <c r="V1235">
        <v>0</v>
      </c>
      <c r="W1235">
        <v>0</v>
      </c>
      <c r="X1235">
        <v>0</v>
      </c>
      <c r="Y1235">
        <v>0</v>
      </c>
      <c r="Z1235">
        <v>0</v>
      </c>
      <c r="AL1235" t="s">
        <v>96</v>
      </c>
      <c r="AM1235" t="s">
        <v>87</v>
      </c>
      <c r="AN1235" t="s">
        <v>86</v>
      </c>
      <c r="AO1235" t="s">
        <v>86</v>
      </c>
      <c r="AP1235" t="s">
        <v>86</v>
      </c>
      <c r="AQ1235" t="s">
        <v>86</v>
      </c>
      <c r="AR1235" t="s">
        <v>97</v>
      </c>
      <c r="AS1235" t="s">
        <v>76</v>
      </c>
      <c r="AT1235" t="s">
        <v>96</v>
      </c>
      <c r="AU1235">
        <v>0</v>
      </c>
      <c r="AV1235">
        <v>0</v>
      </c>
      <c r="AW1235">
        <v>0</v>
      </c>
      <c r="AX1235">
        <v>1</v>
      </c>
      <c r="AY1235">
        <v>0</v>
      </c>
      <c r="AZ1235" t="s">
        <v>579</v>
      </c>
    </row>
    <row r="1236" spans="1:52" x14ac:dyDescent="0.2">
      <c r="A1236">
        <v>0</v>
      </c>
      <c r="B1236">
        <v>1</v>
      </c>
      <c r="C1236">
        <v>0</v>
      </c>
      <c r="D1236">
        <v>0</v>
      </c>
      <c r="E1236">
        <v>1</v>
      </c>
      <c r="F1236">
        <v>0</v>
      </c>
      <c r="G1236">
        <v>0</v>
      </c>
      <c r="H1236">
        <v>0</v>
      </c>
      <c r="I1236">
        <v>0</v>
      </c>
      <c r="L1236">
        <v>1</v>
      </c>
      <c r="M1236">
        <v>0</v>
      </c>
      <c r="N1236">
        <v>0</v>
      </c>
      <c r="O1236">
        <v>0</v>
      </c>
      <c r="P1236">
        <v>0</v>
      </c>
      <c r="Q1236" t="s">
        <v>584</v>
      </c>
      <c r="R1236">
        <v>0</v>
      </c>
      <c r="S1236">
        <v>1</v>
      </c>
      <c r="T1236">
        <v>0</v>
      </c>
      <c r="U1236">
        <v>0</v>
      </c>
      <c r="V1236">
        <v>0</v>
      </c>
      <c r="W1236">
        <v>0</v>
      </c>
      <c r="X1236">
        <v>0</v>
      </c>
      <c r="Y1236">
        <v>0</v>
      </c>
      <c r="Z1236">
        <v>0</v>
      </c>
      <c r="AL1236" t="s">
        <v>73</v>
      </c>
      <c r="AM1236" t="s">
        <v>87</v>
      </c>
      <c r="AN1236" t="s">
        <v>86</v>
      </c>
      <c r="AO1236" t="s">
        <v>87</v>
      </c>
      <c r="AP1236" t="s">
        <v>87</v>
      </c>
      <c r="AQ1236" t="s">
        <v>87</v>
      </c>
      <c r="AR1236" t="s">
        <v>101</v>
      </c>
      <c r="AS1236" t="s">
        <v>76</v>
      </c>
      <c r="AT1236" t="s">
        <v>73</v>
      </c>
      <c r="AU1236">
        <v>0</v>
      </c>
      <c r="AV1236">
        <v>0</v>
      </c>
      <c r="AW1236">
        <v>0</v>
      </c>
      <c r="AX1236">
        <v>1</v>
      </c>
      <c r="AY1236">
        <v>0</v>
      </c>
      <c r="AZ1236" t="s">
        <v>579</v>
      </c>
    </row>
    <row r="1237" spans="1:52" x14ac:dyDescent="0.2">
      <c r="A1237">
        <v>0</v>
      </c>
      <c r="B1237">
        <v>1</v>
      </c>
      <c r="C1237">
        <v>0</v>
      </c>
      <c r="D1237">
        <v>0</v>
      </c>
      <c r="E1237">
        <v>0</v>
      </c>
      <c r="F1237">
        <v>1</v>
      </c>
      <c r="G1237">
        <v>0</v>
      </c>
      <c r="H1237">
        <v>1</v>
      </c>
      <c r="I1237">
        <v>0</v>
      </c>
      <c r="J1237" t="s">
        <v>135</v>
      </c>
      <c r="K1237" t="s">
        <v>80</v>
      </c>
      <c r="L1237">
        <v>0</v>
      </c>
      <c r="M1237">
        <v>1</v>
      </c>
      <c r="N1237">
        <v>0</v>
      </c>
      <c r="O1237">
        <v>0</v>
      </c>
      <c r="P1237">
        <v>0</v>
      </c>
      <c r="Q1237" t="s">
        <v>584</v>
      </c>
      <c r="AA1237" t="s">
        <v>90</v>
      </c>
      <c r="AB1237" t="s">
        <v>82</v>
      </c>
      <c r="AC1237" t="s">
        <v>82</v>
      </c>
      <c r="AD1237" t="s">
        <v>82</v>
      </c>
      <c r="AE1237" t="s">
        <v>83</v>
      </c>
      <c r="AF1237" t="s">
        <v>90</v>
      </c>
      <c r="AG1237" t="s">
        <v>90</v>
      </c>
      <c r="AH1237" t="s">
        <v>83</v>
      </c>
      <c r="AI1237" t="s">
        <v>88</v>
      </c>
      <c r="AJ1237" t="s">
        <v>89</v>
      </c>
      <c r="AK1237" t="s">
        <v>100</v>
      </c>
      <c r="AL1237" t="s">
        <v>120</v>
      </c>
      <c r="AM1237" t="s">
        <v>86</v>
      </c>
      <c r="AN1237" t="s">
        <v>74</v>
      </c>
      <c r="AO1237" t="s">
        <v>86</v>
      </c>
      <c r="AP1237" t="s">
        <v>86</v>
      </c>
      <c r="AQ1237" t="s">
        <v>74</v>
      </c>
      <c r="AR1237" t="s">
        <v>101</v>
      </c>
      <c r="AS1237" t="s">
        <v>76</v>
      </c>
      <c r="AT1237" t="s">
        <v>120</v>
      </c>
      <c r="AU1237">
        <v>0</v>
      </c>
      <c r="AV1237">
        <v>0</v>
      </c>
      <c r="AW1237">
        <v>0</v>
      </c>
      <c r="AX1237">
        <v>1</v>
      </c>
      <c r="AY1237">
        <v>0</v>
      </c>
      <c r="AZ1237" t="s">
        <v>580</v>
      </c>
    </row>
    <row r="1238" spans="1:52" x14ac:dyDescent="0.2">
      <c r="A1238">
        <v>1</v>
      </c>
      <c r="B1238">
        <v>0</v>
      </c>
      <c r="C1238">
        <v>0</v>
      </c>
      <c r="D1238">
        <v>0</v>
      </c>
      <c r="E1238">
        <v>0</v>
      </c>
      <c r="F1238">
        <v>1</v>
      </c>
      <c r="G1238">
        <v>1</v>
      </c>
      <c r="H1238">
        <v>1</v>
      </c>
      <c r="I1238">
        <v>0</v>
      </c>
      <c r="J1238" t="s">
        <v>88</v>
      </c>
      <c r="K1238" t="s">
        <v>89</v>
      </c>
      <c r="L1238">
        <v>0</v>
      </c>
      <c r="M1238">
        <v>0</v>
      </c>
      <c r="N1238">
        <v>1</v>
      </c>
      <c r="O1238">
        <v>0</v>
      </c>
      <c r="P1238">
        <v>0</v>
      </c>
      <c r="Q1238" t="s">
        <v>584</v>
      </c>
      <c r="AA1238" t="s">
        <v>83</v>
      </c>
      <c r="AB1238" t="s">
        <v>82</v>
      </c>
      <c r="AC1238" t="s">
        <v>82</v>
      </c>
      <c r="AD1238" t="s">
        <v>82</v>
      </c>
      <c r="AE1238" t="s">
        <v>81</v>
      </c>
      <c r="AF1238" t="s">
        <v>81</v>
      </c>
      <c r="AG1238" t="s">
        <v>81</v>
      </c>
      <c r="AH1238" t="s">
        <v>81</v>
      </c>
      <c r="AI1238" t="s">
        <v>88</v>
      </c>
      <c r="AJ1238" t="s">
        <v>89</v>
      </c>
      <c r="AK1238" t="s">
        <v>100</v>
      </c>
      <c r="AL1238" t="s">
        <v>73</v>
      </c>
      <c r="AM1238" t="s">
        <v>86</v>
      </c>
      <c r="AN1238" t="s">
        <v>86</v>
      </c>
      <c r="AO1238" t="s">
        <v>86</v>
      </c>
      <c r="AP1238" t="s">
        <v>86</v>
      </c>
      <c r="AQ1238" t="s">
        <v>86</v>
      </c>
      <c r="AR1238" t="s">
        <v>75</v>
      </c>
      <c r="AS1238" t="s">
        <v>92</v>
      </c>
      <c r="AT1238" t="s">
        <v>73</v>
      </c>
      <c r="AU1238">
        <v>0</v>
      </c>
      <c r="AV1238">
        <v>0</v>
      </c>
      <c r="AW1238">
        <v>0</v>
      </c>
      <c r="AX1238">
        <v>1</v>
      </c>
      <c r="AY1238">
        <v>0</v>
      </c>
      <c r="AZ1238" t="s">
        <v>579</v>
      </c>
    </row>
    <row r="1239" spans="1:52" x14ac:dyDescent="0.2">
      <c r="A1239">
        <v>1</v>
      </c>
      <c r="B1239">
        <v>0</v>
      </c>
      <c r="C1239">
        <v>0</v>
      </c>
      <c r="D1239">
        <v>0</v>
      </c>
      <c r="E1239">
        <v>1</v>
      </c>
      <c r="F1239">
        <v>0</v>
      </c>
      <c r="G1239">
        <v>0</v>
      </c>
      <c r="H1239">
        <v>0</v>
      </c>
      <c r="I1239">
        <v>0</v>
      </c>
      <c r="L1239">
        <v>1</v>
      </c>
      <c r="M1239">
        <v>0</v>
      </c>
      <c r="N1239">
        <v>0</v>
      </c>
      <c r="O1239">
        <v>0</v>
      </c>
      <c r="P1239">
        <v>0</v>
      </c>
      <c r="Q1239" t="s">
        <v>584</v>
      </c>
      <c r="R1239">
        <v>0</v>
      </c>
      <c r="S1239">
        <v>0</v>
      </c>
      <c r="T1239">
        <v>0</v>
      </c>
      <c r="U1239">
        <v>0</v>
      </c>
      <c r="V1239">
        <v>0</v>
      </c>
      <c r="W1239">
        <v>0</v>
      </c>
      <c r="X1239">
        <v>1</v>
      </c>
      <c r="Y1239">
        <v>0</v>
      </c>
      <c r="Z1239">
        <v>0</v>
      </c>
      <c r="AL1239" t="s">
        <v>120</v>
      </c>
      <c r="AM1239" t="s">
        <v>74</v>
      </c>
      <c r="AR1239" t="s">
        <v>97</v>
      </c>
      <c r="AS1239" t="s">
        <v>76</v>
      </c>
      <c r="AT1239" t="s">
        <v>120</v>
      </c>
      <c r="AU1239">
        <v>0</v>
      </c>
      <c r="AV1239">
        <v>0</v>
      </c>
      <c r="AW1239">
        <v>0</v>
      </c>
      <c r="AX1239">
        <v>1</v>
      </c>
      <c r="AY1239">
        <v>0</v>
      </c>
      <c r="AZ1239" t="s">
        <v>581</v>
      </c>
    </row>
    <row r="1240" spans="1:52" x14ac:dyDescent="0.2">
      <c r="A1240">
        <v>0</v>
      </c>
      <c r="B1240">
        <v>1</v>
      </c>
      <c r="C1240">
        <v>0</v>
      </c>
      <c r="D1240">
        <v>0</v>
      </c>
      <c r="E1240">
        <v>0</v>
      </c>
      <c r="F1240">
        <v>0</v>
      </c>
      <c r="G1240">
        <v>0</v>
      </c>
      <c r="H1240">
        <v>0</v>
      </c>
      <c r="I1240">
        <v>1</v>
      </c>
      <c r="J1240" t="s">
        <v>88</v>
      </c>
      <c r="K1240" t="s">
        <v>89</v>
      </c>
      <c r="L1240">
        <v>0</v>
      </c>
      <c r="M1240">
        <v>0</v>
      </c>
      <c r="N1240">
        <v>0</v>
      </c>
      <c r="O1240">
        <v>0</v>
      </c>
      <c r="P1240">
        <v>0</v>
      </c>
      <c r="Q1240" t="s">
        <v>585</v>
      </c>
      <c r="AA1240" t="s">
        <v>90</v>
      </c>
      <c r="AB1240" t="s">
        <v>82</v>
      </c>
      <c r="AC1240" t="s">
        <v>90</v>
      </c>
      <c r="AD1240" t="s">
        <v>90</v>
      </c>
      <c r="AE1240" t="s">
        <v>90</v>
      </c>
      <c r="AF1240" t="s">
        <v>90</v>
      </c>
      <c r="AG1240" t="s">
        <v>90</v>
      </c>
      <c r="AH1240" t="s">
        <v>90</v>
      </c>
      <c r="AI1240" t="s">
        <v>88</v>
      </c>
      <c r="AJ1240" t="s">
        <v>89</v>
      </c>
      <c r="AK1240" t="s">
        <v>85</v>
      </c>
      <c r="AL1240" t="s">
        <v>96</v>
      </c>
      <c r="AM1240" t="s">
        <v>86</v>
      </c>
      <c r="AN1240" t="s">
        <v>86</v>
      </c>
      <c r="AO1240" t="s">
        <v>87</v>
      </c>
      <c r="AP1240" t="s">
        <v>86</v>
      </c>
      <c r="AQ1240" t="s">
        <v>86</v>
      </c>
      <c r="AR1240" t="s">
        <v>97</v>
      </c>
      <c r="AS1240" t="s">
        <v>92</v>
      </c>
      <c r="AT1240" t="s">
        <v>96</v>
      </c>
      <c r="AU1240">
        <v>0</v>
      </c>
      <c r="AV1240">
        <v>0</v>
      </c>
      <c r="AW1240">
        <v>0</v>
      </c>
      <c r="AX1240">
        <v>1</v>
      </c>
      <c r="AY1240">
        <v>0</v>
      </c>
      <c r="AZ1240" t="s">
        <v>579</v>
      </c>
    </row>
    <row r="1241" spans="1:52" x14ac:dyDescent="0.2">
      <c r="A1241">
        <v>1</v>
      </c>
      <c r="B1241">
        <v>0</v>
      </c>
      <c r="C1241">
        <v>0</v>
      </c>
      <c r="D1241">
        <v>0</v>
      </c>
      <c r="E1241">
        <v>1</v>
      </c>
      <c r="F1241">
        <v>0</v>
      </c>
      <c r="G1241">
        <v>0</v>
      </c>
      <c r="H1241">
        <v>0</v>
      </c>
      <c r="I1241">
        <v>0</v>
      </c>
      <c r="L1241">
        <v>0</v>
      </c>
      <c r="M1241">
        <v>0</v>
      </c>
      <c r="N1241">
        <v>1</v>
      </c>
      <c r="O1241">
        <v>0</v>
      </c>
      <c r="P1241">
        <v>0</v>
      </c>
      <c r="Q1241" t="s">
        <v>584</v>
      </c>
      <c r="AA1241" t="s">
        <v>81</v>
      </c>
      <c r="AB1241" t="s">
        <v>83</v>
      </c>
      <c r="AC1241" t="s">
        <v>83</v>
      </c>
      <c r="AD1241" t="s">
        <v>83</v>
      </c>
      <c r="AE1241" t="s">
        <v>82</v>
      </c>
      <c r="AF1241" t="s">
        <v>83</v>
      </c>
      <c r="AG1241" t="s">
        <v>83</v>
      </c>
      <c r="AH1241" t="s">
        <v>83</v>
      </c>
      <c r="AI1241" t="s">
        <v>84</v>
      </c>
      <c r="AJ1241" t="s">
        <v>80</v>
      </c>
      <c r="AK1241" t="s">
        <v>85</v>
      </c>
      <c r="AL1241" t="s">
        <v>73</v>
      </c>
      <c r="AM1241" t="s">
        <v>87</v>
      </c>
      <c r="AN1241" t="s">
        <v>87</v>
      </c>
      <c r="AO1241" t="s">
        <v>87</v>
      </c>
      <c r="AP1241" t="s">
        <v>87</v>
      </c>
      <c r="AQ1241" t="s">
        <v>87</v>
      </c>
      <c r="AR1241" t="s">
        <v>108</v>
      </c>
      <c r="AS1241" t="s">
        <v>76</v>
      </c>
      <c r="AT1241" t="s">
        <v>73</v>
      </c>
      <c r="AU1241">
        <v>0</v>
      </c>
      <c r="AV1241">
        <v>0</v>
      </c>
      <c r="AW1241">
        <v>0</v>
      </c>
      <c r="AX1241">
        <v>1</v>
      </c>
      <c r="AY1241">
        <v>0</v>
      </c>
      <c r="AZ1241" t="s">
        <v>579</v>
      </c>
    </row>
    <row r="1242" spans="1:52" x14ac:dyDescent="0.2">
      <c r="A1242">
        <v>1</v>
      </c>
      <c r="B1242">
        <v>0</v>
      </c>
      <c r="C1242">
        <v>0</v>
      </c>
      <c r="D1242">
        <v>0</v>
      </c>
      <c r="E1242">
        <v>1</v>
      </c>
      <c r="F1242">
        <v>0</v>
      </c>
      <c r="G1242">
        <v>0</v>
      </c>
      <c r="H1242">
        <v>0</v>
      </c>
      <c r="I1242">
        <v>0</v>
      </c>
      <c r="L1242">
        <v>0</v>
      </c>
      <c r="M1242">
        <v>1</v>
      </c>
      <c r="N1242">
        <v>0</v>
      </c>
      <c r="O1242">
        <v>0</v>
      </c>
      <c r="P1242">
        <v>0</v>
      </c>
      <c r="Q1242" t="s">
        <v>584</v>
      </c>
      <c r="AA1242" t="s">
        <v>90</v>
      </c>
      <c r="AB1242" t="s">
        <v>81</v>
      </c>
      <c r="AC1242" t="s">
        <v>90</v>
      </c>
      <c r="AD1242" t="s">
        <v>81</v>
      </c>
      <c r="AE1242" t="s">
        <v>90</v>
      </c>
      <c r="AF1242" t="s">
        <v>90</v>
      </c>
      <c r="AG1242" t="s">
        <v>90</v>
      </c>
      <c r="AH1242" t="s">
        <v>90</v>
      </c>
      <c r="AI1242" t="s">
        <v>127</v>
      </c>
      <c r="AJ1242" t="s">
        <v>127</v>
      </c>
      <c r="AL1242" t="s">
        <v>107</v>
      </c>
      <c r="AM1242" t="s">
        <v>87</v>
      </c>
      <c r="AN1242" t="s">
        <v>87</v>
      </c>
      <c r="AO1242" t="s">
        <v>87</v>
      </c>
      <c r="AP1242" t="s">
        <v>87</v>
      </c>
      <c r="AQ1242" t="s">
        <v>87</v>
      </c>
      <c r="AR1242" t="s">
        <v>75</v>
      </c>
      <c r="AS1242" t="s">
        <v>76</v>
      </c>
      <c r="AT1242" t="s">
        <v>107</v>
      </c>
      <c r="AU1242">
        <v>0</v>
      </c>
      <c r="AV1242">
        <v>0</v>
      </c>
      <c r="AW1242">
        <v>0</v>
      </c>
      <c r="AX1242">
        <v>1</v>
      </c>
      <c r="AY1242">
        <v>0</v>
      </c>
      <c r="AZ1242" t="s">
        <v>578</v>
      </c>
    </row>
    <row r="1243" spans="1:52" x14ac:dyDescent="0.2">
      <c r="A1243">
        <v>1</v>
      </c>
      <c r="B1243">
        <v>0</v>
      </c>
      <c r="C1243">
        <v>0</v>
      </c>
      <c r="D1243">
        <v>0</v>
      </c>
      <c r="E1243">
        <v>1</v>
      </c>
      <c r="F1243">
        <v>0</v>
      </c>
      <c r="G1243">
        <v>0</v>
      </c>
      <c r="H1243">
        <v>0</v>
      </c>
      <c r="I1243">
        <v>0</v>
      </c>
      <c r="L1243">
        <v>0</v>
      </c>
      <c r="M1243">
        <v>1</v>
      </c>
      <c r="N1243">
        <v>0</v>
      </c>
      <c r="O1243">
        <v>0</v>
      </c>
      <c r="P1243">
        <v>0</v>
      </c>
      <c r="Q1243" t="s">
        <v>584</v>
      </c>
      <c r="AA1243" t="s">
        <v>83</v>
      </c>
      <c r="AB1243" t="s">
        <v>90</v>
      </c>
      <c r="AC1243" t="s">
        <v>81</v>
      </c>
      <c r="AD1243" t="s">
        <v>82</v>
      </c>
      <c r="AE1243" t="s">
        <v>90</v>
      </c>
      <c r="AF1243" t="s">
        <v>90</v>
      </c>
      <c r="AG1243" t="s">
        <v>90</v>
      </c>
      <c r="AH1243" t="s">
        <v>83</v>
      </c>
      <c r="AI1243" t="s">
        <v>127</v>
      </c>
      <c r="AJ1243" t="s">
        <v>127</v>
      </c>
      <c r="AL1243" t="s">
        <v>107</v>
      </c>
      <c r="AM1243" t="s">
        <v>86</v>
      </c>
      <c r="AN1243" t="s">
        <v>87</v>
      </c>
      <c r="AO1243" t="s">
        <v>74</v>
      </c>
      <c r="AP1243" t="s">
        <v>87</v>
      </c>
      <c r="AQ1243" t="s">
        <v>74</v>
      </c>
      <c r="AR1243" t="s">
        <v>75</v>
      </c>
      <c r="AS1243" t="s">
        <v>76</v>
      </c>
      <c r="AT1243" t="s">
        <v>107</v>
      </c>
      <c r="AU1243">
        <v>0</v>
      </c>
      <c r="AV1243">
        <v>0</v>
      </c>
      <c r="AW1243">
        <v>0</v>
      </c>
      <c r="AX1243">
        <v>1</v>
      </c>
      <c r="AY1243">
        <v>0</v>
      </c>
      <c r="AZ1243" t="s">
        <v>579</v>
      </c>
    </row>
    <row r="1244" spans="1:52" x14ac:dyDescent="0.2">
      <c r="A1244">
        <v>0</v>
      </c>
      <c r="B1244">
        <v>1</v>
      </c>
      <c r="C1244">
        <v>0</v>
      </c>
      <c r="D1244">
        <v>0</v>
      </c>
      <c r="E1244">
        <v>1</v>
      </c>
      <c r="F1244">
        <v>0</v>
      </c>
      <c r="G1244">
        <v>0</v>
      </c>
      <c r="H1244">
        <v>0</v>
      </c>
      <c r="I1244">
        <v>0</v>
      </c>
      <c r="L1244">
        <v>0</v>
      </c>
      <c r="M1244">
        <v>1</v>
      </c>
      <c r="N1244">
        <v>0</v>
      </c>
      <c r="O1244">
        <v>0</v>
      </c>
      <c r="P1244">
        <v>0</v>
      </c>
      <c r="Q1244" t="s">
        <v>584</v>
      </c>
      <c r="AA1244" t="s">
        <v>90</v>
      </c>
      <c r="AB1244" t="s">
        <v>82</v>
      </c>
      <c r="AC1244" t="s">
        <v>81</v>
      </c>
      <c r="AD1244" t="s">
        <v>83</v>
      </c>
      <c r="AE1244" t="s">
        <v>83</v>
      </c>
      <c r="AF1244" t="s">
        <v>90</v>
      </c>
      <c r="AG1244" t="s">
        <v>90</v>
      </c>
      <c r="AH1244" t="s">
        <v>90</v>
      </c>
      <c r="AI1244" t="s">
        <v>88</v>
      </c>
      <c r="AJ1244" t="s">
        <v>89</v>
      </c>
      <c r="AK1244" t="s">
        <v>100</v>
      </c>
      <c r="AL1244" t="s">
        <v>73</v>
      </c>
      <c r="AM1244" t="s">
        <v>86</v>
      </c>
      <c r="AN1244" t="s">
        <v>74</v>
      </c>
      <c r="AO1244" t="s">
        <v>87</v>
      </c>
      <c r="AP1244" t="s">
        <v>87</v>
      </c>
      <c r="AQ1244" t="s">
        <v>87</v>
      </c>
      <c r="AR1244" t="s">
        <v>75</v>
      </c>
      <c r="AS1244" t="s">
        <v>76</v>
      </c>
      <c r="AT1244" t="s">
        <v>73</v>
      </c>
      <c r="AU1244">
        <v>0</v>
      </c>
      <c r="AV1244">
        <v>0</v>
      </c>
      <c r="AW1244">
        <v>0</v>
      </c>
      <c r="AX1244">
        <v>1</v>
      </c>
      <c r="AY1244">
        <v>0</v>
      </c>
      <c r="AZ1244" t="s">
        <v>579</v>
      </c>
    </row>
    <row r="1245" spans="1:52" x14ac:dyDescent="0.2">
      <c r="A1245">
        <v>1</v>
      </c>
      <c r="B1245">
        <v>0</v>
      </c>
      <c r="C1245">
        <v>0</v>
      </c>
      <c r="D1245">
        <v>0</v>
      </c>
      <c r="E1245">
        <v>0</v>
      </c>
      <c r="F1245">
        <v>1</v>
      </c>
      <c r="G1245">
        <v>0</v>
      </c>
      <c r="H1245">
        <v>0</v>
      </c>
      <c r="I1245">
        <v>0</v>
      </c>
      <c r="J1245" t="s">
        <v>88</v>
      </c>
      <c r="K1245" t="s">
        <v>80</v>
      </c>
      <c r="L1245">
        <v>0</v>
      </c>
      <c r="M1245">
        <v>1</v>
      </c>
      <c r="N1245">
        <v>1</v>
      </c>
      <c r="O1245">
        <v>0</v>
      </c>
      <c r="P1245">
        <v>0</v>
      </c>
      <c r="Q1245" t="s">
        <v>584</v>
      </c>
      <c r="AA1245" t="s">
        <v>81</v>
      </c>
      <c r="AB1245" t="s">
        <v>82</v>
      </c>
      <c r="AC1245" t="s">
        <v>81</v>
      </c>
      <c r="AD1245" t="s">
        <v>81</v>
      </c>
      <c r="AE1245" t="s">
        <v>81</v>
      </c>
      <c r="AF1245" t="s">
        <v>81</v>
      </c>
      <c r="AG1245" t="s">
        <v>83</v>
      </c>
      <c r="AH1245" t="s">
        <v>83</v>
      </c>
      <c r="AI1245" t="s">
        <v>88</v>
      </c>
      <c r="AJ1245" t="s">
        <v>80</v>
      </c>
      <c r="AK1245" t="s">
        <v>85</v>
      </c>
      <c r="AL1245" t="s">
        <v>73</v>
      </c>
      <c r="AM1245" t="s">
        <v>87</v>
      </c>
      <c r="AN1245" t="s">
        <v>86</v>
      </c>
      <c r="AO1245" t="s">
        <v>87</v>
      </c>
      <c r="AP1245" t="s">
        <v>74</v>
      </c>
      <c r="AQ1245" t="s">
        <v>87</v>
      </c>
      <c r="AR1245" t="s">
        <v>97</v>
      </c>
      <c r="AS1245" t="s">
        <v>76</v>
      </c>
      <c r="AT1245" t="s">
        <v>73</v>
      </c>
      <c r="AU1245">
        <v>0</v>
      </c>
      <c r="AV1245">
        <v>0</v>
      </c>
      <c r="AW1245">
        <v>0</v>
      </c>
      <c r="AX1245">
        <v>1</v>
      </c>
      <c r="AY1245">
        <v>0</v>
      </c>
      <c r="AZ1245" t="s">
        <v>580</v>
      </c>
    </row>
    <row r="1246" spans="1:52" x14ac:dyDescent="0.2">
      <c r="A1246">
        <v>1</v>
      </c>
      <c r="B1246">
        <v>0</v>
      </c>
      <c r="C1246">
        <v>0</v>
      </c>
      <c r="D1246">
        <v>0</v>
      </c>
      <c r="E1246">
        <v>1</v>
      </c>
      <c r="F1246">
        <v>0</v>
      </c>
      <c r="G1246">
        <v>0</v>
      </c>
      <c r="H1246">
        <v>0</v>
      </c>
      <c r="I1246">
        <v>0</v>
      </c>
      <c r="L1246">
        <v>1</v>
      </c>
      <c r="M1246">
        <v>0</v>
      </c>
      <c r="N1246">
        <v>0</v>
      </c>
      <c r="O1246">
        <v>0</v>
      </c>
      <c r="P1246">
        <v>0</v>
      </c>
      <c r="Q1246" t="s">
        <v>584</v>
      </c>
      <c r="R1246">
        <v>0</v>
      </c>
      <c r="S1246">
        <v>0</v>
      </c>
      <c r="T1246">
        <v>0</v>
      </c>
      <c r="U1246">
        <v>0</v>
      </c>
      <c r="V1246">
        <v>1</v>
      </c>
      <c r="W1246">
        <v>0</v>
      </c>
      <c r="X1246">
        <v>0</v>
      </c>
      <c r="Y1246">
        <v>0</v>
      </c>
      <c r="Z1246">
        <v>1</v>
      </c>
      <c r="AL1246" t="s">
        <v>73</v>
      </c>
      <c r="AM1246" t="s">
        <v>87</v>
      </c>
      <c r="AN1246" t="s">
        <v>87</v>
      </c>
      <c r="AO1246" t="s">
        <v>87</v>
      </c>
      <c r="AP1246" t="s">
        <v>87</v>
      </c>
      <c r="AQ1246" t="s">
        <v>87</v>
      </c>
      <c r="AR1246" t="s">
        <v>75</v>
      </c>
      <c r="AS1246" t="s">
        <v>76</v>
      </c>
      <c r="AT1246" t="s">
        <v>73</v>
      </c>
      <c r="AU1246">
        <v>0</v>
      </c>
      <c r="AV1246">
        <v>0</v>
      </c>
      <c r="AW1246">
        <v>0</v>
      </c>
      <c r="AX1246">
        <v>1</v>
      </c>
      <c r="AY1246">
        <v>0</v>
      </c>
      <c r="AZ1246" t="s">
        <v>578</v>
      </c>
    </row>
    <row r="1247" spans="1:52" x14ac:dyDescent="0.2">
      <c r="A1247">
        <v>1</v>
      </c>
      <c r="B1247">
        <v>0</v>
      </c>
      <c r="C1247">
        <v>0</v>
      </c>
      <c r="D1247">
        <v>0</v>
      </c>
      <c r="E1247">
        <v>0</v>
      </c>
      <c r="F1247">
        <v>1</v>
      </c>
      <c r="G1247">
        <v>1</v>
      </c>
      <c r="H1247">
        <v>0</v>
      </c>
      <c r="I1247">
        <v>0</v>
      </c>
      <c r="J1247" t="s">
        <v>135</v>
      </c>
      <c r="K1247" t="s">
        <v>80</v>
      </c>
      <c r="L1247">
        <v>0</v>
      </c>
      <c r="M1247">
        <v>0</v>
      </c>
      <c r="N1247">
        <v>1</v>
      </c>
      <c r="O1247">
        <v>0</v>
      </c>
      <c r="P1247">
        <v>0</v>
      </c>
      <c r="Q1247" t="s">
        <v>584</v>
      </c>
      <c r="AA1247" t="s">
        <v>81</v>
      </c>
      <c r="AB1247" t="s">
        <v>81</v>
      </c>
      <c r="AC1247" t="s">
        <v>81</v>
      </c>
      <c r="AD1247" t="s">
        <v>81</v>
      </c>
      <c r="AE1247" t="s">
        <v>82</v>
      </c>
      <c r="AF1247" t="s">
        <v>90</v>
      </c>
      <c r="AG1247" t="s">
        <v>81</v>
      </c>
      <c r="AH1247" t="s">
        <v>81</v>
      </c>
      <c r="AI1247" t="s">
        <v>88</v>
      </c>
      <c r="AJ1247" t="s">
        <v>89</v>
      </c>
      <c r="AK1247" t="s">
        <v>100</v>
      </c>
      <c r="AL1247" t="s">
        <v>107</v>
      </c>
      <c r="AM1247" t="s">
        <v>87</v>
      </c>
      <c r="AN1247" t="s">
        <v>87</v>
      </c>
      <c r="AO1247" t="s">
        <v>87</v>
      </c>
      <c r="AP1247" t="s">
        <v>87</v>
      </c>
      <c r="AQ1247" t="s">
        <v>87</v>
      </c>
      <c r="AR1247" t="s">
        <v>113</v>
      </c>
      <c r="AS1247" t="s">
        <v>92</v>
      </c>
      <c r="AT1247" t="s">
        <v>107</v>
      </c>
      <c r="AU1247">
        <v>0</v>
      </c>
      <c r="AV1247">
        <v>0</v>
      </c>
      <c r="AW1247">
        <v>0</v>
      </c>
      <c r="AX1247">
        <v>1</v>
      </c>
      <c r="AY1247">
        <v>0</v>
      </c>
      <c r="AZ1247" t="s">
        <v>579</v>
      </c>
    </row>
    <row r="1248" spans="1:52" x14ac:dyDescent="0.2">
      <c r="A1248">
        <v>0</v>
      </c>
      <c r="B1248">
        <v>0</v>
      </c>
      <c r="C1248">
        <v>1</v>
      </c>
      <c r="D1248">
        <v>0</v>
      </c>
      <c r="E1248">
        <v>0</v>
      </c>
      <c r="F1248">
        <v>1</v>
      </c>
      <c r="G1248">
        <v>0</v>
      </c>
      <c r="H1248">
        <v>1</v>
      </c>
      <c r="I1248">
        <v>1</v>
      </c>
      <c r="J1248" t="s">
        <v>88</v>
      </c>
      <c r="K1248" t="s">
        <v>89</v>
      </c>
      <c r="L1248">
        <v>0</v>
      </c>
      <c r="M1248">
        <v>1</v>
      </c>
      <c r="N1248">
        <v>0</v>
      </c>
      <c r="O1248">
        <v>0</v>
      </c>
      <c r="P1248">
        <v>0</v>
      </c>
      <c r="Q1248" t="s">
        <v>585</v>
      </c>
      <c r="AA1248" t="s">
        <v>90</v>
      </c>
      <c r="AB1248" t="s">
        <v>82</v>
      </c>
      <c r="AC1248" t="s">
        <v>81</v>
      </c>
      <c r="AD1248" t="s">
        <v>81</v>
      </c>
      <c r="AE1248" t="s">
        <v>83</v>
      </c>
      <c r="AF1248" t="s">
        <v>90</v>
      </c>
      <c r="AG1248" t="s">
        <v>90</v>
      </c>
      <c r="AH1248" t="s">
        <v>90</v>
      </c>
      <c r="AI1248" t="s">
        <v>88</v>
      </c>
      <c r="AJ1248" t="s">
        <v>89</v>
      </c>
      <c r="AK1248" t="s">
        <v>100</v>
      </c>
      <c r="AL1248" t="s">
        <v>73</v>
      </c>
      <c r="AM1248" t="s">
        <v>87</v>
      </c>
      <c r="AN1248" t="s">
        <v>87</v>
      </c>
      <c r="AO1248" t="s">
        <v>87</v>
      </c>
      <c r="AP1248" t="s">
        <v>87</v>
      </c>
      <c r="AQ1248" t="s">
        <v>87</v>
      </c>
      <c r="AR1248" t="s">
        <v>75</v>
      </c>
      <c r="AS1248" t="s">
        <v>76</v>
      </c>
      <c r="AT1248" t="s">
        <v>73</v>
      </c>
      <c r="AU1248">
        <v>1</v>
      </c>
      <c r="AV1248">
        <v>0</v>
      </c>
      <c r="AW1248">
        <v>0</v>
      </c>
      <c r="AX1248">
        <v>0</v>
      </c>
      <c r="AY1248">
        <v>0</v>
      </c>
      <c r="AZ1248" t="s">
        <v>579</v>
      </c>
    </row>
    <row r="1249" spans="1:52" x14ac:dyDescent="0.2">
      <c r="A1249">
        <v>1</v>
      </c>
      <c r="B1249">
        <v>0</v>
      </c>
      <c r="C1249">
        <v>0</v>
      </c>
      <c r="D1249">
        <v>0</v>
      </c>
      <c r="E1249">
        <v>0</v>
      </c>
      <c r="F1249">
        <v>0</v>
      </c>
      <c r="G1249">
        <v>0</v>
      </c>
      <c r="H1249">
        <v>0</v>
      </c>
      <c r="I1249">
        <v>1</v>
      </c>
      <c r="J1249" t="s">
        <v>127</v>
      </c>
      <c r="K1249" t="s">
        <v>127</v>
      </c>
      <c r="L1249">
        <v>1</v>
      </c>
      <c r="M1249">
        <v>0</v>
      </c>
      <c r="N1249">
        <v>0</v>
      </c>
      <c r="O1249">
        <v>0</v>
      </c>
      <c r="P1249">
        <v>0</v>
      </c>
      <c r="Q1249" t="s">
        <v>584</v>
      </c>
      <c r="R1249">
        <v>0</v>
      </c>
      <c r="S1249">
        <v>0</v>
      </c>
      <c r="T1249">
        <v>0</v>
      </c>
      <c r="U1249">
        <v>0</v>
      </c>
      <c r="V1249">
        <v>0</v>
      </c>
      <c r="W1249">
        <v>0</v>
      </c>
      <c r="X1249">
        <v>1</v>
      </c>
      <c r="Y1249">
        <v>0</v>
      </c>
      <c r="Z1249">
        <v>0</v>
      </c>
      <c r="AL1249" t="s">
        <v>73</v>
      </c>
      <c r="AM1249" t="s">
        <v>86</v>
      </c>
      <c r="AN1249" t="s">
        <v>86</v>
      </c>
      <c r="AO1249" t="s">
        <v>87</v>
      </c>
      <c r="AP1249" t="s">
        <v>87</v>
      </c>
      <c r="AQ1249" t="s">
        <v>86</v>
      </c>
      <c r="AR1249" t="s">
        <v>75</v>
      </c>
      <c r="AS1249" t="s">
        <v>92</v>
      </c>
      <c r="AT1249" t="s">
        <v>73</v>
      </c>
      <c r="AU1249">
        <v>0</v>
      </c>
      <c r="AV1249">
        <v>0</v>
      </c>
      <c r="AW1249">
        <v>0</v>
      </c>
      <c r="AX1249">
        <v>1</v>
      </c>
      <c r="AY1249">
        <v>0</v>
      </c>
      <c r="AZ1249" t="s">
        <v>578</v>
      </c>
    </row>
    <row r="1250" spans="1:52" x14ac:dyDescent="0.2">
      <c r="A1250">
        <v>0</v>
      </c>
      <c r="B1250">
        <v>1</v>
      </c>
      <c r="C1250">
        <v>0</v>
      </c>
      <c r="D1250">
        <v>0</v>
      </c>
      <c r="E1250">
        <v>0</v>
      </c>
      <c r="F1250">
        <v>1</v>
      </c>
      <c r="G1250">
        <v>0</v>
      </c>
      <c r="H1250">
        <v>1</v>
      </c>
      <c r="I1250">
        <v>0</v>
      </c>
      <c r="J1250" t="s">
        <v>88</v>
      </c>
      <c r="K1250" t="s">
        <v>89</v>
      </c>
      <c r="L1250">
        <v>0</v>
      </c>
      <c r="M1250">
        <v>1</v>
      </c>
      <c r="N1250">
        <v>0</v>
      </c>
      <c r="O1250">
        <v>0</v>
      </c>
      <c r="P1250">
        <v>0</v>
      </c>
      <c r="Q1250" t="s">
        <v>584</v>
      </c>
      <c r="AA1250" t="s">
        <v>83</v>
      </c>
      <c r="AB1250" t="s">
        <v>82</v>
      </c>
      <c r="AC1250" t="s">
        <v>81</v>
      </c>
      <c r="AD1250" t="s">
        <v>83</v>
      </c>
      <c r="AE1250" t="s">
        <v>83</v>
      </c>
      <c r="AF1250" t="s">
        <v>83</v>
      </c>
      <c r="AG1250" t="s">
        <v>83</v>
      </c>
      <c r="AH1250" t="s">
        <v>83</v>
      </c>
      <c r="AI1250" t="s">
        <v>88</v>
      </c>
      <c r="AJ1250" t="s">
        <v>89</v>
      </c>
      <c r="AK1250" t="s">
        <v>117</v>
      </c>
      <c r="AL1250" t="s">
        <v>96</v>
      </c>
      <c r="AM1250" t="s">
        <v>86</v>
      </c>
      <c r="AN1250" t="s">
        <v>86</v>
      </c>
      <c r="AO1250" t="s">
        <v>86</v>
      </c>
      <c r="AP1250" t="s">
        <v>87</v>
      </c>
      <c r="AQ1250" t="s">
        <v>74</v>
      </c>
      <c r="AR1250" t="s">
        <v>75</v>
      </c>
      <c r="AS1250" t="s">
        <v>76</v>
      </c>
      <c r="AT1250" t="s">
        <v>96</v>
      </c>
      <c r="AU1250">
        <v>1</v>
      </c>
      <c r="AV1250">
        <v>0</v>
      </c>
      <c r="AW1250">
        <v>0</v>
      </c>
      <c r="AX1250">
        <v>0</v>
      </c>
      <c r="AY1250">
        <v>0</v>
      </c>
      <c r="AZ1250" t="s">
        <v>578</v>
      </c>
    </row>
    <row r="1251" spans="1:52" x14ac:dyDescent="0.2">
      <c r="A1251">
        <v>0</v>
      </c>
      <c r="B1251">
        <v>1</v>
      </c>
      <c r="C1251">
        <v>0</v>
      </c>
      <c r="D1251">
        <v>0</v>
      </c>
      <c r="E1251">
        <v>1</v>
      </c>
      <c r="F1251">
        <v>0</v>
      </c>
      <c r="G1251">
        <v>0</v>
      </c>
      <c r="H1251">
        <v>0</v>
      </c>
      <c r="I1251">
        <v>0</v>
      </c>
      <c r="L1251">
        <v>1</v>
      </c>
      <c r="M1251">
        <v>0</v>
      </c>
      <c r="N1251">
        <v>0</v>
      </c>
      <c r="O1251">
        <v>0</v>
      </c>
      <c r="P1251">
        <v>0</v>
      </c>
      <c r="Q1251" t="s">
        <v>584</v>
      </c>
      <c r="R1251">
        <v>1</v>
      </c>
      <c r="S1251">
        <v>0</v>
      </c>
      <c r="T1251">
        <v>0</v>
      </c>
      <c r="U1251">
        <v>0</v>
      </c>
      <c r="V1251">
        <v>0</v>
      </c>
      <c r="W1251">
        <v>0</v>
      </c>
      <c r="X1251">
        <v>0</v>
      </c>
      <c r="Y1251">
        <v>0</v>
      </c>
      <c r="Z1251">
        <v>0</v>
      </c>
      <c r="AL1251" t="s">
        <v>107</v>
      </c>
      <c r="AM1251" t="s">
        <v>86</v>
      </c>
      <c r="AN1251" t="s">
        <v>86</v>
      </c>
      <c r="AO1251" t="s">
        <v>86</v>
      </c>
      <c r="AP1251" t="s">
        <v>86</v>
      </c>
      <c r="AQ1251" t="s">
        <v>86</v>
      </c>
      <c r="AR1251" t="s">
        <v>97</v>
      </c>
      <c r="AS1251" t="s">
        <v>76</v>
      </c>
      <c r="AT1251" t="s">
        <v>107</v>
      </c>
      <c r="AU1251">
        <v>0</v>
      </c>
      <c r="AV1251">
        <v>0</v>
      </c>
      <c r="AW1251">
        <v>0</v>
      </c>
      <c r="AX1251">
        <v>1</v>
      </c>
      <c r="AY1251">
        <v>0</v>
      </c>
      <c r="AZ1251" t="s">
        <v>581</v>
      </c>
    </row>
    <row r="1252" spans="1:52" x14ac:dyDescent="0.2">
      <c r="A1252">
        <v>1</v>
      </c>
      <c r="B1252">
        <v>0</v>
      </c>
      <c r="C1252">
        <v>0</v>
      </c>
      <c r="D1252">
        <v>0</v>
      </c>
      <c r="E1252">
        <v>0</v>
      </c>
      <c r="F1252">
        <v>0</v>
      </c>
      <c r="G1252">
        <v>0</v>
      </c>
      <c r="H1252">
        <v>1</v>
      </c>
      <c r="I1252">
        <v>0</v>
      </c>
      <c r="J1252" t="s">
        <v>135</v>
      </c>
      <c r="K1252" t="s">
        <v>80</v>
      </c>
      <c r="L1252">
        <v>0</v>
      </c>
      <c r="M1252">
        <v>0</v>
      </c>
      <c r="N1252">
        <v>0</v>
      </c>
      <c r="O1252">
        <v>1</v>
      </c>
      <c r="P1252">
        <v>0</v>
      </c>
      <c r="Q1252" t="s">
        <v>584</v>
      </c>
      <c r="AA1252" t="s">
        <v>82</v>
      </c>
      <c r="AB1252" t="s">
        <v>81</v>
      </c>
      <c r="AC1252" t="s">
        <v>81</v>
      </c>
      <c r="AD1252" t="s">
        <v>81</v>
      </c>
      <c r="AE1252" t="s">
        <v>82</v>
      </c>
      <c r="AF1252" t="s">
        <v>82</v>
      </c>
      <c r="AG1252" t="s">
        <v>82</v>
      </c>
      <c r="AH1252" t="s">
        <v>81</v>
      </c>
      <c r="AI1252" t="s">
        <v>84</v>
      </c>
      <c r="AJ1252" t="s">
        <v>80</v>
      </c>
      <c r="AK1252" t="s">
        <v>100</v>
      </c>
      <c r="AL1252" t="s">
        <v>73</v>
      </c>
      <c r="AM1252" t="s">
        <v>86</v>
      </c>
      <c r="AN1252" t="s">
        <v>86</v>
      </c>
      <c r="AO1252" t="s">
        <v>86</v>
      </c>
      <c r="AP1252" t="s">
        <v>74</v>
      </c>
      <c r="AQ1252" t="s">
        <v>86</v>
      </c>
      <c r="AR1252" t="s">
        <v>97</v>
      </c>
      <c r="AS1252" t="s">
        <v>76</v>
      </c>
      <c r="AT1252" t="s">
        <v>73</v>
      </c>
      <c r="AU1252">
        <v>1</v>
      </c>
      <c r="AV1252">
        <v>0</v>
      </c>
      <c r="AW1252">
        <v>1</v>
      </c>
      <c r="AX1252">
        <v>1</v>
      </c>
      <c r="AY1252">
        <v>0</v>
      </c>
      <c r="AZ1252" t="s">
        <v>580</v>
      </c>
    </row>
    <row r="1253" spans="1:52" x14ac:dyDescent="0.2">
      <c r="A1253">
        <v>1</v>
      </c>
      <c r="B1253">
        <v>0</v>
      </c>
      <c r="C1253">
        <v>0</v>
      </c>
      <c r="D1253">
        <v>0</v>
      </c>
      <c r="E1253">
        <v>0</v>
      </c>
      <c r="F1253">
        <v>1</v>
      </c>
      <c r="G1253">
        <v>1</v>
      </c>
      <c r="H1253">
        <v>0</v>
      </c>
      <c r="I1253">
        <v>0</v>
      </c>
      <c r="J1253" t="s">
        <v>88</v>
      </c>
      <c r="K1253" t="s">
        <v>89</v>
      </c>
      <c r="L1253">
        <v>0</v>
      </c>
      <c r="M1253">
        <v>0</v>
      </c>
      <c r="N1253">
        <v>1</v>
      </c>
      <c r="O1253">
        <v>0</v>
      </c>
      <c r="P1253">
        <v>0</v>
      </c>
      <c r="Q1253" t="s">
        <v>584</v>
      </c>
      <c r="AA1253" t="s">
        <v>83</v>
      </c>
      <c r="AB1253" t="s">
        <v>82</v>
      </c>
      <c r="AC1253" t="s">
        <v>83</v>
      </c>
      <c r="AD1253" t="s">
        <v>81</v>
      </c>
      <c r="AE1253" t="s">
        <v>81</v>
      </c>
      <c r="AF1253" t="s">
        <v>83</v>
      </c>
      <c r="AG1253" t="s">
        <v>83</v>
      </c>
      <c r="AH1253" t="s">
        <v>81</v>
      </c>
      <c r="AI1253" t="s">
        <v>88</v>
      </c>
      <c r="AJ1253" t="s">
        <v>89</v>
      </c>
      <c r="AK1253" t="s">
        <v>85</v>
      </c>
      <c r="AL1253" t="s">
        <v>73</v>
      </c>
      <c r="AM1253" t="s">
        <v>87</v>
      </c>
      <c r="AN1253" t="s">
        <v>87</v>
      </c>
      <c r="AO1253" t="s">
        <v>87</v>
      </c>
      <c r="AP1253" t="s">
        <v>87</v>
      </c>
      <c r="AQ1253" t="s">
        <v>87</v>
      </c>
      <c r="AR1253" t="s">
        <v>75</v>
      </c>
      <c r="AS1253" t="s">
        <v>76</v>
      </c>
      <c r="AT1253" t="s">
        <v>73</v>
      </c>
      <c r="AU1253">
        <v>0</v>
      </c>
      <c r="AV1253">
        <v>0</v>
      </c>
      <c r="AW1253">
        <v>0</v>
      </c>
      <c r="AX1253">
        <v>1</v>
      </c>
      <c r="AY1253">
        <v>0</v>
      </c>
      <c r="AZ1253" t="s">
        <v>578</v>
      </c>
    </row>
    <row r="1254" spans="1:52" x14ac:dyDescent="0.2">
      <c r="A1254">
        <v>0</v>
      </c>
      <c r="B1254">
        <v>1</v>
      </c>
      <c r="C1254">
        <v>0</v>
      </c>
      <c r="D1254">
        <v>0</v>
      </c>
      <c r="E1254">
        <v>1</v>
      </c>
      <c r="F1254">
        <v>0</v>
      </c>
      <c r="G1254">
        <v>0</v>
      </c>
      <c r="H1254">
        <v>0</v>
      </c>
      <c r="I1254">
        <v>0</v>
      </c>
      <c r="L1254">
        <v>1</v>
      </c>
      <c r="M1254">
        <v>0</v>
      </c>
      <c r="N1254">
        <v>0</v>
      </c>
      <c r="O1254">
        <v>0</v>
      </c>
      <c r="P1254">
        <v>0</v>
      </c>
      <c r="Q1254" t="s">
        <v>584</v>
      </c>
      <c r="R1254">
        <v>0</v>
      </c>
      <c r="S1254">
        <v>0</v>
      </c>
      <c r="T1254">
        <v>0</v>
      </c>
      <c r="U1254">
        <v>0</v>
      </c>
      <c r="V1254">
        <v>0</v>
      </c>
      <c r="W1254">
        <v>0</v>
      </c>
      <c r="X1254">
        <v>1</v>
      </c>
      <c r="Y1254">
        <v>0</v>
      </c>
      <c r="Z1254">
        <v>0</v>
      </c>
      <c r="AL1254" t="s">
        <v>96</v>
      </c>
      <c r="AM1254" t="s">
        <v>74</v>
      </c>
      <c r="AR1254" t="s">
        <v>97</v>
      </c>
      <c r="AS1254" t="s">
        <v>92</v>
      </c>
      <c r="AT1254" t="s">
        <v>96</v>
      </c>
      <c r="AU1254">
        <v>1</v>
      </c>
      <c r="AV1254">
        <v>0</v>
      </c>
      <c r="AW1254">
        <v>0</v>
      </c>
      <c r="AX1254">
        <v>0</v>
      </c>
      <c r="AY1254">
        <v>1</v>
      </c>
      <c r="AZ1254" t="s">
        <v>580</v>
      </c>
    </row>
    <row r="1255" spans="1:52" x14ac:dyDescent="0.2">
      <c r="A1255">
        <v>1</v>
      </c>
      <c r="B1255">
        <v>0</v>
      </c>
      <c r="C1255">
        <v>0</v>
      </c>
      <c r="D1255">
        <v>0</v>
      </c>
      <c r="E1255">
        <v>1</v>
      </c>
      <c r="F1255">
        <v>0</v>
      </c>
      <c r="G1255">
        <v>0</v>
      </c>
      <c r="H1255">
        <v>0</v>
      </c>
      <c r="I1255">
        <v>0</v>
      </c>
      <c r="L1255">
        <v>0</v>
      </c>
      <c r="M1255">
        <v>1</v>
      </c>
      <c r="N1255">
        <v>0</v>
      </c>
      <c r="O1255">
        <v>0</v>
      </c>
      <c r="P1255">
        <v>0</v>
      </c>
      <c r="Q1255" t="s">
        <v>584</v>
      </c>
      <c r="AA1255" t="s">
        <v>83</v>
      </c>
      <c r="AB1255" t="s">
        <v>83</v>
      </c>
      <c r="AC1255" t="s">
        <v>83</v>
      </c>
      <c r="AD1255" t="s">
        <v>83</v>
      </c>
      <c r="AE1255" t="s">
        <v>83</v>
      </c>
      <c r="AF1255" t="s">
        <v>83</v>
      </c>
      <c r="AG1255" t="s">
        <v>83</v>
      </c>
      <c r="AH1255" t="s">
        <v>83</v>
      </c>
      <c r="AI1255" t="s">
        <v>135</v>
      </c>
      <c r="AJ1255" t="s">
        <v>80</v>
      </c>
      <c r="AK1255" t="s">
        <v>117</v>
      </c>
      <c r="AL1255" t="s">
        <v>73</v>
      </c>
      <c r="AM1255" t="s">
        <v>87</v>
      </c>
      <c r="AN1255" t="s">
        <v>87</v>
      </c>
      <c r="AO1255" t="s">
        <v>87</v>
      </c>
      <c r="AP1255" t="s">
        <v>87</v>
      </c>
      <c r="AQ1255" t="s">
        <v>87</v>
      </c>
      <c r="AR1255" t="s">
        <v>97</v>
      </c>
      <c r="AS1255" t="s">
        <v>92</v>
      </c>
      <c r="AT1255" t="s">
        <v>73</v>
      </c>
      <c r="AU1255">
        <v>0</v>
      </c>
      <c r="AV1255">
        <v>0</v>
      </c>
      <c r="AW1255">
        <v>0</v>
      </c>
      <c r="AX1255">
        <v>1</v>
      </c>
      <c r="AY1255">
        <v>0</v>
      </c>
      <c r="AZ1255" t="s">
        <v>580</v>
      </c>
    </row>
    <row r="1256" spans="1:52" x14ac:dyDescent="0.2">
      <c r="A1256">
        <v>0</v>
      </c>
      <c r="B1256">
        <v>1</v>
      </c>
      <c r="C1256">
        <v>0</v>
      </c>
      <c r="D1256">
        <v>0</v>
      </c>
      <c r="E1256">
        <v>0</v>
      </c>
      <c r="F1256">
        <v>1</v>
      </c>
      <c r="G1256">
        <v>1</v>
      </c>
      <c r="H1256">
        <v>1</v>
      </c>
      <c r="I1256">
        <v>1</v>
      </c>
      <c r="J1256" t="s">
        <v>88</v>
      </c>
      <c r="K1256" t="s">
        <v>89</v>
      </c>
      <c r="L1256">
        <v>0</v>
      </c>
      <c r="M1256">
        <v>1</v>
      </c>
      <c r="N1256">
        <v>0</v>
      </c>
      <c r="O1256">
        <v>0</v>
      </c>
      <c r="P1256">
        <v>0</v>
      </c>
      <c r="Q1256" t="s">
        <v>584</v>
      </c>
      <c r="AA1256" t="s">
        <v>83</v>
      </c>
      <c r="AB1256" t="s">
        <v>82</v>
      </c>
      <c r="AC1256" t="s">
        <v>81</v>
      </c>
      <c r="AD1256" t="s">
        <v>81</v>
      </c>
      <c r="AE1256" t="s">
        <v>83</v>
      </c>
      <c r="AF1256" t="s">
        <v>83</v>
      </c>
      <c r="AG1256" t="s">
        <v>83</v>
      </c>
      <c r="AH1256" t="s">
        <v>83</v>
      </c>
      <c r="AI1256" t="s">
        <v>88</v>
      </c>
      <c r="AJ1256" t="s">
        <v>89</v>
      </c>
      <c r="AK1256" t="s">
        <v>100</v>
      </c>
      <c r="AL1256" t="s">
        <v>96</v>
      </c>
      <c r="AM1256" t="s">
        <v>86</v>
      </c>
      <c r="AN1256" t="s">
        <v>87</v>
      </c>
      <c r="AO1256" t="s">
        <v>87</v>
      </c>
      <c r="AP1256" t="s">
        <v>87</v>
      </c>
      <c r="AQ1256" t="s">
        <v>86</v>
      </c>
      <c r="AR1256" t="s">
        <v>75</v>
      </c>
      <c r="AS1256" t="s">
        <v>76</v>
      </c>
      <c r="AT1256" t="s">
        <v>96</v>
      </c>
      <c r="AU1256">
        <v>0</v>
      </c>
      <c r="AV1256">
        <v>0</v>
      </c>
      <c r="AW1256">
        <v>0</v>
      </c>
      <c r="AX1256">
        <v>1</v>
      </c>
      <c r="AY1256">
        <v>0</v>
      </c>
      <c r="AZ1256" t="s">
        <v>579</v>
      </c>
    </row>
    <row r="1257" spans="1:52" x14ac:dyDescent="0.2">
      <c r="A1257">
        <v>1</v>
      </c>
      <c r="B1257">
        <v>0</v>
      </c>
      <c r="C1257">
        <v>0</v>
      </c>
      <c r="D1257">
        <v>0</v>
      </c>
      <c r="E1257">
        <v>1</v>
      </c>
      <c r="F1257">
        <v>0</v>
      </c>
      <c r="G1257">
        <v>0</v>
      </c>
      <c r="H1257">
        <v>0</v>
      </c>
      <c r="I1257">
        <v>0</v>
      </c>
      <c r="L1257">
        <v>0</v>
      </c>
      <c r="M1257">
        <v>0</v>
      </c>
      <c r="N1257">
        <v>1</v>
      </c>
      <c r="O1257">
        <v>0</v>
      </c>
      <c r="P1257">
        <v>0</v>
      </c>
      <c r="Q1257" t="s">
        <v>584</v>
      </c>
      <c r="AA1257" t="s">
        <v>83</v>
      </c>
      <c r="AB1257" t="s">
        <v>82</v>
      </c>
      <c r="AC1257" t="s">
        <v>82</v>
      </c>
      <c r="AD1257" t="s">
        <v>83</v>
      </c>
      <c r="AE1257" t="s">
        <v>81</v>
      </c>
      <c r="AF1257" t="s">
        <v>83</v>
      </c>
      <c r="AG1257" t="s">
        <v>83</v>
      </c>
      <c r="AH1257" t="s">
        <v>83</v>
      </c>
      <c r="AI1257" t="s">
        <v>88</v>
      </c>
      <c r="AJ1257" t="s">
        <v>89</v>
      </c>
      <c r="AK1257" t="s">
        <v>100</v>
      </c>
      <c r="AL1257" t="s">
        <v>73</v>
      </c>
      <c r="AM1257" t="s">
        <v>87</v>
      </c>
      <c r="AN1257" t="s">
        <v>87</v>
      </c>
      <c r="AO1257" t="s">
        <v>87</v>
      </c>
      <c r="AP1257" t="s">
        <v>87</v>
      </c>
      <c r="AQ1257" t="s">
        <v>87</v>
      </c>
      <c r="AR1257" t="s">
        <v>75</v>
      </c>
      <c r="AS1257" t="s">
        <v>92</v>
      </c>
      <c r="AT1257" t="s">
        <v>73</v>
      </c>
      <c r="AU1257">
        <v>0</v>
      </c>
      <c r="AV1257">
        <v>1</v>
      </c>
      <c r="AW1257">
        <v>0</v>
      </c>
      <c r="AX1257">
        <v>0</v>
      </c>
      <c r="AY1257">
        <v>0</v>
      </c>
      <c r="AZ1257" t="s">
        <v>578</v>
      </c>
    </row>
    <row r="1258" spans="1:52" x14ac:dyDescent="0.2">
      <c r="A1258">
        <v>1</v>
      </c>
      <c r="B1258">
        <v>0</v>
      </c>
      <c r="C1258">
        <v>0</v>
      </c>
      <c r="D1258">
        <v>0</v>
      </c>
      <c r="E1258">
        <v>0</v>
      </c>
      <c r="F1258">
        <v>1</v>
      </c>
      <c r="G1258">
        <v>1</v>
      </c>
      <c r="H1258">
        <v>1</v>
      </c>
      <c r="I1258">
        <v>0</v>
      </c>
      <c r="J1258" t="s">
        <v>79</v>
      </c>
      <c r="K1258" t="s">
        <v>80</v>
      </c>
      <c r="L1258">
        <v>0</v>
      </c>
      <c r="M1258">
        <v>1</v>
      </c>
      <c r="N1258">
        <v>1</v>
      </c>
      <c r="O1258">
        <v>0</v>
      </c>
      <c r="P1258">
        <v>0</v>
      </c>
      <c r="Q1258" t="s">
        <v>584</v>
      </c>
      <c r="AA1258" t="s">
        <v>83</v>
      </c>
      <c r="AB1258" t="s">
        <v>82</v>
      </c>
      <c r="AC1258" t="s">
        <v>81</v>
      </c>
      <c r="AD1258" t="s">
        <v>82</v>
      </c>
      <c r="AE1258" t="s">
        <v>81</v>
      </c>
      <c r="AF1258" t="s">
        <v>81</v>
      </c>
      <c r="AG1258" t="s">
        <v>81</v>
      </c>
      <c r="AH1258" t="s">
        <v>83</v>
      </c>
      <c r="AI1258" t="s">
        <v>84</v>
      </c>
      <c r="AJ1258" t="s">
        <v>80</v>
      </c>
      <c r="AK1258" t="s">
        <v>117</v>
      </c>
      <c r="AL1258" t="s">
        <v>96</v>
      </c>
      <c r="AM1258" t="s">
        <v>86</v>
      </c>
      <c r="AN1258" t="s">
        <v>87</v>
      </c>
      <c r="AO1258" t="s">
        <v>87</v>
      </c>
      <c r="AP1258" t="s">
        <v>87</v>
      </c>
      <c r="AQ1258" t="s">
        <v>86</v>
      </c>
      <c r="AR1258" t="s">
        <v>97</v>
      </c>
      <c r="AS1258" t="s">
        <v>76</v>
      </c>
      <c r="AT1258" t="s">
        <v>96</v>
      </c>
      <c r="AU1258">
        <v>0</v>
      </c>
      <c r="AV1258">
        <v>0</v>
      </c>
      <c r="AW1258">
        <v>0</v>
      </c>
      <c r="AX1258">
        <v>0</v>
      </c>
      <c r="AY1258">
        <v>1</v>
      </c>
      <c r="AZ1258" t="s">
        <v>579</v>
      </c>
    </row>
    <row r="1259" spans="1:52" x14ac:dyDescent="0.2">
      <c r="A1259">
        <v>1</v>
      </c>
      <c r="B1259">
        <v>0</v>
      </c>
      <c r="C1259">
        <v>0</v>
      </c>
      <c r="D1259">
        <v>0</v>
      </c>
      <c r="E1259">
        <v>1</v>
      </c>
      <c r="F1259">
        <v>0</v>
      </c>
      <c r="G1259">
        <v>0</v>
      </c>
      <c r="H1259">
        <v>0</v>
      </c>
      <c r="I1259">
        <v>0</v>
      </c>
      <c r="L1259">
        <v>1</v>
      </c>
      <c r="M1259">
        <v>0</v>
      </c>
      <c r="N1259">
        <v>0</v>
      </c>
      <c r="O1259">
        <v>0</v>
      </c>
      <c r="P1259">
        <v>0</v>
      </c>
      <c r="Q1259" t="s">
        <v>584</v>
      </c>
      <c r="R1259">
        <v>0</v>
      </c>
      <c r="S1259">
        <v>0</v>
      </c>
      <c r="T1259">
        <v>0</v>
      </c>
      <c r="U1259">
        <v>0</v>
      </c>
      <c r="V1259">
        <v>0</v>
      </c>
      <c r="W1259">
        <v>0</v>
      </c>
      <c r="X1259">
        <v>1</v>
      </c>
      <c r="Y1259">
        <v>0</v>
      </c>
      <c r="Z1259">
        <v>0</v>
      </c>
      <c r="AL1259" t="s">
        <v>120</v>
      </c>
      <c r="AM1259" t="s">
        <v>74</v>
      </c>
      <c r="AR1259" t="s">
        <v>97</v>
      </c>
      <c r="AS1259" t="s">
        <v>76</v>
      </c>
      <c r="AT1259" t="s">
        <v>120</v>
      </c>
      <c r="AU1259">
        <v>0</v>
      </c>
      <c r="AV1259">
        <v>0</v>
      </c>
      <c r="AW1259">
        <v>0</v>
      </c>
      <c r="AX1259">
        <v>1</v>
      </c>
      <c r="AY1259">
        <v>0</v>
      </c>
      <c r="AZ1259" t="s">
        <v>580</v>
      </c>
    </row>
    <row r="1260" spans="1:52" x14ac:dyDescent="0.2">
      <c r="A1260">
        <v>1</v>
      </c>
      <c r="B1260">
        <v>0</v>
      </c>
      <c r="C1260">
        <v>0</v>
      </c>
      <c r="D1260">
        <v>0</v>
      </c>
      <c r="E1260">
        <v>0</v>
      </c>
      <c r="F1260">
        <v>1</v>
      </c>
      <c r="G1260">
        <v>1</v>
      </c>
      <c r="H1260">
        <v>0</v>
      </c>
      <c r="I1260">
        <v>0</v>
      </c>
      <c r="J1260" t="s">
        <v>88</v>
      </c>
      <c r="K1260" t="s">
        <v>89</v>
      </c>
      <c r="L1260">
        <v>0</v>
      </c>
      <c r="M1260">
        <v>0</v>
      </c>
      <c r="N1260">
        <v>1</v>
      </c>
      <c r="O1260">
        <v>0</v>
      </c>
      <c r="P1260">
        <v>0</v>
      </c>
      <c r="Q1260" t="s">
        <v>584</v>
      </c>
      <c r="AA1260" t="s">
        <v>81</v>
      </c>
      <c r="AB1260" t="s">
        <v>81</v>
      </c>
      <c r="AC1260" t="s">
        <v>83</v>
      </c>
      <c r="AD1260" t="s">
        <v>81</v>
      </c>
      <c r="AE1260" t="s">
        <v>82</v>
      </c>
      <c r="AF1260" t="s">
        <v>81</v>
      </c>
      <c r="AG1260" t="s">
        <v>83</v>
      </c>
      <c r="AH1260" t="s">
        <v>83</v>
      </c>
      <c r="AI1260" t="s">
        <v>88</v>
      </c>
      <c r="AJ1260" t="s">
        <v>89</v>
      </c>
      <c r="AK1260" t="s">
        <v>85</v>
      </c>
      <c r="AL1260" t="s">
        <v>73</v>
      </c>
      <c r="AM1260" t="s">
        <v>86</v>
      </c>
      <c r="AN1260" t="s">
        <v>87</v>
      </c>
      <c r="AO1260" t="s">
        <v>87</v>
      </c>
      <c r="AP1260" t="s">
        <v>74</v>
      </c>
      <c r="AQ1260" t="s">
        <v>74</v>
      </c>
      <c r="AR1260" t="s">
        <v>75</v>
      </c>
      <c r="AS1260" t="s">
        <v>92</v>
      </c>
      <c r="AT1260" t="s">
        <v>73</v>
      </c>
      <c r="AU1260">
        <v>0</v>
      </c>
      <c r="AV1260">
        <v>0</v>
      </c>
      <c r="AW1260">
        <v>0</v>
      </c>
      <c r="AX1260">
        <v>1</v>
      </c>
      <c r="AY1260">
        <v>0</v>
      </c>
      <c r="AZ1260" t="s">
        <v>580</v>
      </c>
    </row>
    <row r="1261" spans="1:52" x14ac:dyDescent="0.2">
      <c r="A1261">
        <v>1</v>
      </c>
      <c r="B1261">
        <v>0</v>
      </c>
      <c r="C1261">
        <v>0</v>
      </c>
      <c r="D1261">
        <v>0</v>
      </c>
      <c r="E1261">
        <v>0</v>
      </c>
      <c r="F1261">
        <v>0</v>
      </c>
      <c r="G1261">
        <v>1</v>
      </c>
      <c r="H1261">
        <v>0</v>
      </c>
      <c r="I1261">
        <v>0</v>
      </c>
      <c r="J1261" t="s">
        <v>79</v>
      </c>
      <c r="K1261" t="s">
        <v>80</v>
      </c>
      <c r="L1261">
        <v>0</v>
      </c>
      <c r="M1261">
        <v>0</v>
      </c>
      <c r="N1261">
        <v>1</v>
      </c>
      <c r="O1261">
        <v>0</v>
      </c>
      <c r="P1261">
        <v>0</v>
      </c>
      <c r="Q1261" t="s">
        <v>584</v>
      </c>
      <c r="AA1261" t="s">
        <v>83</v>
      </c>
      <c r="AB1261" t="s">
        <v>82</v>
      </c>
      <c r="AC1261" t="s">
        <v>83</v>
      </c>
      <c r="AD1261" t="s">
        <v>83</v>
      </c>
      <c r="AE1261" t="s">
        <v>81</v>
      </c>
      <c r="AF1261" t="s">
        <v>81</v>
      </c>
      <c r="AG1261" t="s">
        <v>81</v>
      </c>
      <c r="AH1261" t="s">
        <v>83</v>
      </c>
      <c r="AI1261" t="s">
        <v>84</v>
      </c>
      <c r="AJ1261" t="s">
        <v>80</v>
      </c>
      <c r="AK1261" t="s">
        <v>85</v>
      </c>
      <c r="AL1261" t="s">
        <v>73</v>
      </c>
      <c r="AM1261" t="s">
        <v>87</v>
      </c>
      <c r="AN1261" t="s">
        <v>87</v>
      </c>
      <c r="AO1261" t="s">
        <v>87</v>
      </c>
      <c r="AP1261" t="s">
        <v>87</v>
      </c>
      <c r="AQ1261" t="s">
        <v>86</v>
      </c>
      <c r="AR1261" t="s">
        <v>75</v>
      </c>
      <c r="AS1261" t="s">
        <v>76</v>
      </c>
      <c r="AT1261" t="s">
        <v>73</v>
      </c>
      <c r="AU1261">
        <v>0</v>
      </c>
      <c r="AV1261">
        <v>0</v>
      </c>
      <c r="AW1261">
        <v>0</v>
      </c>
      <c r="AX1261">
        <v>1</v>
      </c>
      <c r="AY1261">
        <v>0</v>
      </c>
      <c r="AZ1261" t="s">
        <v>579</v>
      </c>
    </row>
    <row r="1262" spans="1:52" x14ac:dyDescent="0.2">
      <c r="A1262">
        <v>1</v>
      </c>
      <c r="B1262">
        <v>1</v>
      </c>
      <c r="C1262">
        <v>0</v>
      </c>
      <c r="D1262">
        <v>0</v>
      </c>
      <c r="E1262">
        <v>1</v>
      </c>
      <c r="F1262">
        <v>0</v>
      </c>
      <c r="G1262">
        <v>0</v>
      </c>
      <c r="H1262">
        <v>0</v>
      </c>
      <c r="I1262">
        <v>0</v>
      </c>
      <c r="L1262">
        <v>1</v>
      </c>
      <c r="M1262">
        <v>0</v>
      </c>
      <c r="N1262">
        <v>0</v>
      </c>
      <c r="O1262">
        <v>0</v>
      </c>
      <c r="P1262">
        <v>0</v>
      </c>
      <c r="Q1262" t="s">
        <v>584</v>
      </c>
      <c r="R1262">
        <v>0</v>
      </c>
      <c r="S1262">
        <v>1</v>
      </c>
      <c r="T1262">
        <v>0</v>
      </c>
      <c r="U1262">
        <v>0</v>
      </c>
      <c r="V1262">
        <v>0</v>
      </c>
      <c r="W1262">
        <v>0</v>
      </c>
      <c r="X1262">
        <v>0</v>
      </c>
      <c r="Y1262">
        <v>0</v>
      </c>
      <c r="Z1262">
        <v>0</v>
      </c>
      <c r="AL1262" t="s">
        <v>107</v>
      </c>
      <c r="AM1262" t="s">
        <v>87</v>
      </c>
      <c r="AN1262" t="s">
        <v>87</v>
      </c>
      <c r="AO1262" t="s">
        <v>87</v>
      </c>
      <c r="AP1262" t="s">
        <v>87</v>
      </c>
      <c r="AQ1262" t="s">
        <v>87</v>
      </c>
      <c r="AR1262" t="s">
        <v>75</v>
      </c>
      <c r="AS1262" t="s">
        <v>76</v>
      </c>
      <c r="AT1262" t="s">
        <v>107</v>
      </c>
      <c r="AU1262">
        <v>0</v>
      </c>
      <c r="AV1262">
        <v>0</v>
      </c>
      <c r="AW1262">
        <v>0</v>
      </c>
      <c r="AX1262">
        <v>1</v>
      </c>
      <c r="AY1262">
        <v>0</v>
      </c>
      <c r="AZ1262" t="s">
        <v>579</v>
      </c>
    </row>
    <row r="1263" spans="1:52" x14ac:dyDescent="0.2">
      <c r="A1263">
        <v>1</v>
      </c>
      <c r="B1263">
        <v>0</v>
      </c>
      <c r="C1263">
        <v>0</v>
      </c>
      <c r="D1263">
        <v>0</v>
      </c>
      <c r="E1263">
        <v>0</v>
      </c>
      <c r="F1263">
        <v>1</v>
      </c>
      <c r="G1263">
        <v>0</v>
      </c>
      <c r="H1263">
        <v>0</v>
      </c>
      <c r="I1263">
        <v>0</v>
      </c>
      <c r="J1263" t="s">
        <v>135</v>
      </c>
      <c r="K1263" t="s">
        <v>89</v>
      </c>
      <c r="L1263">
        <v>1</v>
      </c>
      <c r="M1263">
        <v>0</v>
      </c>
      <c r="N1263">
        <v>0</v>
      </c>
      <c r="O1263">
        <v>0</v>
      </c>
      <c r="P1263">
        <v>0</v>
      </c>
      <c r="Q1263" t="s">
        <v>584</v>
      </c>
      <c r="R1263">
        <v>1</v>
      </c>
      <c r="S1263">
        <v>0</v>
      </c>
      <c r="T1263">
        <v>0</v>
      </c>
      <c r="U1263">
        <v>0</v>
      </c>
      <c r="V1263">
        <v>0</v>
      </c>
      <c r="W1263">
        <v>0</v>
      </c>
      <c r="X1263">
        <v>0</v>
      </c>
      <c r="Y1263">
        <v>0</v>
      </c>
      <c r="Z1263">
        <v>0</v>
      </c>
      <c r="AL1263" t="s">
        <v>120</v>
      </c>
      <c r="AM1263" t="s">
        <v>87</v>
      </c>
      <c r="AN1263" t="s">
        <v>87</v>
      </c>
      <c r="AO1263" t="s">
        <v>87</v>
      </c>
      <c r="AP1263" t="s">
        <v>87</v>
      </c>
      <c r="AQ1263" t="s">
        <v>74</v>
      </c>
      <c r="AR1263" t="s">
        <v>101</v>
      </c>
      <c r="AS1263" t="s">
        <v>76</v>
      </c>
      <c r="AT1263" t="s">
        <v>120</v>
      </c>
      <c r="AU1263">
        <v>1</v>
      </c>
      <c r="AV1263">
        <v>0</v>
      </c>
      <c r="AW1263">
        <v>1</v>
      </c>
      <c r="AX1263">
        <v>0</v>
      </c>
      <c r="AY1263">
        <v>0</v>
      </c>
      <c r="AZ1263" t="s">
        <v>581</v>
      </c>
    </row>
    <row r="1264" spans="1:52" x14ac:dyDescent="0.2">
      <c r="A1264">
        <v>0</v>
      </c>
      <c r="B1264">
        <v>0</v>
      </c>
      <c r="C1264">
        <v>0</v>
      </c>
      <c r="D1264">
        <v>1</v>
      </c>
      <c r="L1264">
        <v>1</v>
      </c>
      <c r="M1264">
        <v>0</v>
      </c>
      <c r="N1264">
        <v>0</v>
      </c>
      <c r="O1264">
        <v>0</v>
      </c>
      <c r="P1264">
        <v>0</v>
      </c>
      <c r="Q1264" t="s">
        <v>584</v>
      </c>
      <c r="R1264">
        <v>0</v>
      </c>
      <c r="S1264">
        <v>1</v>
      </c>
      <c r="T1264">
        <v>0</v>
      </c>
      <c r="U1264">
        <v>0</v>
      </c>
      <c r="V1264">
        <v>0</v>
      </c>
      <c r="W1264">
        <v>0</v>
      </c>
      <c r="X1264">
        <v>0</v>
      </c>
      <c r="Y1264">
        <v>0</v>
      </c>
      <c r="Z1264">
        <v>0</v>
      </c>
      <c r="AL1264" t="s">
        <v>73</v>
      </c>
      <c r="AR1264" t="s">
        <v>97</v>
      </c>
      <c r="AS1264" t="s">
        <v>76</v>
      </c>
      <c r="AT1264" t="s">
        <v>73</v>
      </c>
      <c r="AU1264">
        <v>0</v>
      </c>
      <c r="AV1264">
        <v>0</v>
      </c>
      <c r="AW1264">
        <v>0</v>
      </c>
      <c r="AX1264">
        <v>1</v>
      </c>
      <c r="AY1264">
        <v>0</v>
      </c>
      <c r="AZ1264" t="s">
        <v>581</v>
      </c>
    </row>
    <row r="1265" spans="1:52" x14ac:dyDescent="0.2">
      <c r="A1265">
        <v>0</v>
      </c>
      <c r="B1265">
        <v>1</v>
      </c>
      <c r="C1265">
        <v>0</v>
      </c>
      <c r="D1265">
        <v>0</v>
      </c>
      <c r="E1265">
        <v>1</v>
      </c>
      <c r="F1265">
        <v>0</v>
      </c>
      <c r="G1265">
        <v>0</v>
      </c>
      <c r="H1265">
        <v>0</v>
      </c>
      <c r="I1265">
        <v>0</v>
      </c>
      <c r="L1265">
        <v>1</v>
      </c>
      <c r="M1265">
        <v>0</v>
      </c>
      <c r="N1265">
        <v>0</v>
      </c>
      <c r="O1265">
        <v>0</v>
      </c>
      <c r="P1265">
        <v>0</v>
      </c>
      <c r="Q1265" t="s">
        <v>584</v>
      </c>
      <c r="R1265">
        <v>0</v>
      </c>
      <c r="S1265">
        <v>0</v>
      </c>
      <c r="T1265">
        <v>0</v>
      </c>
      <c r="U1265">
        <v>0</v>
      </c>
      <c r="V1265">
        <v>0</v>
      </c>
      <c r="W1265">
        <v>0</v>
      </c>
      <c r="X1265">
        <v>1</v>
      </c>
      <c r="Y1265">
        <v>1</v>
      </c>
      <c r="Z1265">
        <v>0</v>
      </c>
      <c r="AL1265" t="s">
        <v>107</v>
      </c>
      <c r="AM1265" t="s">
        <v>74</v>
      </c>
      <c r="AR1265" t="s">
        <v>75</v>
      </c>
      <c r="AS1265" t="s">
        <v>225</v>
      </c>
      <c r="AT1265" t="s">
        <v>107</v>
      </c>
      <c r="AU1265">
        <v>0</v>
      </c>
      <c r="AV1265">
        <v>0</v>
      </c>
      <c r="AW1265">
        <v>0</v>
      </c>
      <c r="AX1265">
        <v>0</v>
      </c>
      <c r="AY1265">
        <v>1</v>
      </c>
      <c r="AZ1265" t="s">
        <v>578</v>
      </c>
    </row>
    <row r="1266" spans="1:52" x14ac:dyDescent="0.2">
      <c r="A1266">
        <v>1</v>
      </c>
      <c r="B1266">
        <v>0</v>
      </c>
      <c r="C1266">
        <v>0</v>
      </c>
      <c r="D1266">
        <v>0</v>
      </c>
      <c r="E1266">
        <v>1</v>
      </c>
      <c r="F1266">
        <v>0</v>
      </c>
      <c r="G1266">
        <v>0</v>
      </c>
      <c r="H1266">
        <v>0</v>
      </c>
      <c r="I1266">
        <v>0</v>
      </c>
      <c r="L1266">
        <v>0</v>
      </c>
      <c r="M1266">
        <v>1</v>
      </c>
      <c r="N1266">
        <v>0</v>
      </c>
      <c r="O1266">
        <v>0</v>
      </c>
      <c r="P1266">
        <v>0</v>
      </c>
      <c r="Q1266" t="s">
        <v>584</v>
      </c>
      <c r="AA1266" t="s">
        <v>83</v>
      </c>
      <c r="AB1266" t="s">
        <v>82</v>
      </c>
      <c r="AC1266" t="s">
        <v>83</v>
      </c>
      <c r="AD1266" t="s">
        <v>81</v>
      </c>
      <c r="AE1266" t="s">
        <v>83</v>
      </c>
      <c r="AF1266" t="s">
        <v>83</v>
      </c>
      <c r="AG1266" t="s">
        <v>83</v>
      </c>
      <c r="AH1266" t="s">
        <v>83</v>
      </c>
      <c r="AI1266" t="s">
        <v>127</v>
      </c>
      <c r="AJ1266" t="s">
        <v>127</v>
      </c>
      <c r="AL1266" t="s">
        <v>107</v>
      </c>
      <c r="AM1266" t="s">
        <v>74</v>
      </c>
      <c r="AR1266" t="s">
        <v>159</v>
      </c>
      <c r="AS1266" t="s">
        <v>76</v>
      </c>
      <c r="AT1266" t="s">
        <v>107</v>
      </c>
      <c r="AU1266">
        <v>0</v>
      </c>
      <c r="AV1266">
        <v>0</v>
      </c>
      <c r="AW1266">
        <v>0</v>
      </c>
      <c r="AX1266">
        <v>1</v>
      </c>
      <c r="AY1266">
        <v>0</v>
      </c>
      <c r="AZ1266" t="s">
        <v>580</v>
      </c>
    </row>
    <row r="1267" spans="1:52" x14ac:dyDescent="0.2">
      <c r="A1267">
        <v>1</v>
      </c>
      <c r="B1267">
        <v>0</v>
      </c>
      <c r="C1267">
        <v>0</v>
      </c>
      <c r="D1267">
        <v>0</v>
      </c>
      <c r="E1267">
        <v>0</v>
      </c>
      <c r="F1267">
        <v>1</v>
      </c>
      <c r="G1267">
        <v>1</v>
      </c>
      <c r="H1267">
        <v>1</v>
      </c>
      <c r="I1267">
        <v>0</v>
      </c>
      <c r="J1267" t="s">
        <v>88</v>
      </c>
      <c r="K1267" t="s">
        <v>89</v>
      </c>
      <c r="L1267">
        <v>0</v>
      </c>
      <c r="M1267">
        <v>0</v>
      </c>
      <c r="N1267">
        <v>0</v>
      </c>
      <c r="O1267">
        <v>1</v>
      </c>
      <c r="P1267">
        <v>0</v>
      </c>
      <c r="Q1267" t="s">
        <v>584</v>
      </c>
      <c r="AA1267" t="s">
        <v>83</v>
      </c>
      <c r="AB1267" t="s">
        <v>82</v>
      </c>
      <c r="AC1267" t="s">
        <v>81</v>
      </c>
      <c r="AD1267" t="s">
        <v>81</v>
      </c>
      <c r="AE1267" t="s">
        <v>83</v>
      </c>
      <c r="AF1267" t="s">
        <v>81</v>
      </c>
      <c r="AG1267" t="s">
        <v>83</v>
      </c>
      <c r="AH1267" t="s">
        <v>83</v>
      </c>
      <c r="AI1267" t="s">
        <v>88</v>
      </c>
      <c r="AJ1267" t="s">
        <v>89</v>
      </c>
      <c r="AK1267" t="s">
        <v>100</v>
      </c>
      <c r="AL1267" t="s">
        <v>73</v>
      </c>
      <c r="AM1267" t="s">
        <v>87</v>
      </c>
      <c r="AN1267" t="s">
        <v>87</v>
      </c>
      <c r="AO1267" t="s">
        <v>87</v>
      </c>
      <c r="AP1267" t="s">
        <v>87</v>
      </c>
      <c r="AQ1267" t="s">
        <v>87</v>
      </c>
      <c r="AR1267" t="s">
        <v>75</v>
      </c>
      <c r="AS1267" t="s">
        <v>92</v>
      </c>
      <c r="AT1267" t="s">
        <v>73</v>
      </c>
      <c r="AU1267">
        <v>0</v>
      </c>
      <c r="AV1267">
        <v>0</v>
      </c>
      <c r="AW1267">
        <v>0</v>
      </c>
      <c r="AX1267">
        <v>1</v>
      </c>
      <c r="AY1267">
        <v>0</v>
      </c>
      <c r="AZ1267" t="s">
        <v>578</v>
      </c>
    </row>
    <row r="1268" spans="1:52" x14ac:dyDescent="0.2">
      <c r="A1268">
        <v>1</v>
      </c>
      <c r="B1268">
        <v>0</v>
      </c>
      <c r="C1268">
        <v>0</v>
      </c>
      <c r="D1268">
        <v>0</v>
      </c>
      <c r="E1268">
        <v>0</v>
      </c>
      <c r="F1268">
        <v>1</v>
      </c>
      <c r="G1268">
        <v>0</v>
      </c>
      <c r="H1268">
        <v>0</v>
      </c>
      <c r="I1268">
        <v>0</v>
      </c>
      <c r="J1268" t="s">
        <v>88</v>
      </c>
      <c r="K1268" t="s">
        <v>80</v>
      </c>
      <c r="L1268">
        <v>0</v>
      </c>
      <c r="M1268">
        <v>0</v>
      </c>
      <c r="N1268">
        <v>1</v>
      </c>
      <c r="O1268">
        <v>0</v>
      </c>
      <c r="P1268">
        <v>0</v>
      </c>
      <c r="Q1268" t="s">
        <v>584</v>
      </c>
      <c r="AA1268" t="s">
        <v>83</v>
      </c>
      <c r="AB1268" t="s">
        <v>82</v>
      </c>
      <c r="AC1268" t="s">
        <v>83</v>
      </c>
      <c r="AD1268" t="s">
        <v>83</v>
      </c>
      <c r="AE1268" t="s">
        <v>83</v>
      </c>
      <c r="AF1268" t="s">
        <v>81</v>
      </c>
      <c r="AG1268" t="s">
        <v>81</v>
      </c>
      <c r="AH1268" t="s">
        <v>81</v>
      </c>
      <c r="AI1268" t="s">
        <v>88</v>
      </c>
      <c r="AJ1268" t="s">
        <v>80</v>
      </c>
      <c r="AK1268" t="s">
        <v>85</v>
      </c>
      <c r="AL1268" t="s">
        <v>73</v>
      </c>
      <c r="AM1268" t="s">
        <v>87</v>
      </c>
      <c r="AN1268" t="s">
        <v>87</v>
      </c>
      <c r="AO1268" t="s">
        <v>87</v>
      </c>
      <c r="AP1268" t="s">
        <v>87</v>
      </c>
      <c r="AQ1268" t="s">
        <v>74</v>
      </c>
      <c r="AR1268" t="s">
        <v>75</v>
      </c>
      <c r="AS1268" t="s">
        <v>92</v>
      </c>
      <c r="AT1268" t="s">
        <v>73</v>
      </c>
      <c r="AU1268">
        <v>0</v>
      </c>
      <c r="AV1268">
        <v>0</v>
      </c>
      <c r="AW1268">
        <v>0</v>
      </c>
      <c r="AX1268">
        <v>1</v>
      </c>
      <c r="AY1268">
        <v>0</v>
      </c>
      <c r="AZ1268" t="s">
        <v>578</v>
      </c>
    </row>
    <row r="1269" spans="1:52" x14ac:dyDescent="0.2">
      <c r="A1269">
        <v>0</v>
      </c>
      <c r="B1269">
        <v>1</v>
      </c>
      <c r="C1269">
        <v>0</v>
      </c>
      <c r="D1269">
        <v>0</v>
      </c>
      <c r="E1269">
        <v>0</v>
      </c>
      <c r="F1269">
        <v>1</v>
      </c>
      <c r="G1269">
        <v>0</v>
      </c>
      <c r="H1269">
        <v>1</v>
      </c>
      <c r="I1269">
        <v>0</v>
      </c>
      <c r="J1269" t="s">
        <v>88</v>
      </c>
      <c r="K1269" t="s">
        <v>89</v>
      </c>
      <c r="L1269">
        <v>0</v>
      </c>
      <c r="M1269">
        <v>1</v>
      </c>
      <c r="N1269">
        <v>0</v>
      </c>
      <c r="O1269">
        <v>0</v>
      </c>
      <c r="P1269">
        <v>0</v>
      </c>
      <c r="Q1269" t="s">
        <v>584</v>
      </c>
      <c r="AA1269" t="s">
        <v>83</v>
      </c>
      <c r="AB1269" t="s">
        <v>82</v>
      </c>
      <c r="AC1269" t="s">
        <v>81</v>
      </c>
      <c r="AD1269" t="s">
        <v>83</v>
      </c>
      <c r="AE1269" t="s">
        <v>81</v>
      </c>
      <c r="AF1269" t="s">
        <v>81</v>
      </c>
      <c r="AG1269" t="s">
        <v>83</v>
      </c>
      <c r="AH1269" t="s">
        <v>83</v>
      </c>
      <c r="AI1269" t="s">
        <v>88</v>
      </c>
      <c r="AJ1269" t="s">
        <v>89</v>
      </c>
      <c r="AK1269" t="s">
        <v>100</v>
      </c>
      <c r="AL1269" t="s">
        <v>73</v>
      </c>
      <c r="AM1269" t="s">
        <v>86</v>
      </c>
      <c r="AN1269" t="s">
        <v>87</v>
      </c>
      <c r="AO1269" t="s">
        <v>87</v>
      </c>
      <c r="AP1269" t="s">
        <v>87</v>
      </c>
      <c r="AQ1269" t="s">
        <v>87</v>
      </c>
      <c r="AR1269" t="s">
        <v>101</v>
      </c>
      <c r="AS1269" t="s">
        <v>92</v>
      </c>
      <c r="AT1269" t="s">
        <v>73</v>
      </c>
      <c r="AU1269">
        <v>0</v>
      </c>
      <c r="AV1269">
        <v>0</v>
      </c>
      <c r="AW1269">
        <v>0</v>
      </c>
      <c r="AX1269">
        <v>1</v>
      </c>
      <c r="AY1269">
        <v>0</v>
      </c>
      <c r="AZ1269" t="s">
        <v>578</v>
      </c>
    </row>
    <row r="1270" spans="1:52" x14ac:dyDescent="0.2">
      <c r="A1270">
        <v>1</v>
      </c>
      <c r="B1270">
        <v>0</v>
      </c>
      <c r="C1270">
        <v>0</v>
      </c>
      <c r="D1270">
        <v>0</v>
      </c>
      <c r="E1270">
        <v>1</v>
      </c>
      <c r="F1270">
        <v>0</v>
      </c>
      <c r="G1270">
        <v>0</v>
      </c>
      <c r="H1270">
        <v>0</v>
      </c>
      <c r="I1270">
        <v>0</v>
      </c>
      <c r="L1270">
        <v>1</v>
      </c>
      <c r="M1270">
        <v>0</v>
      </c>
      <c r="N1270">
        <v>0</v>
      </c>
      <c r="O1270">
        <v>0</v>
      </c>
      <c r="P1270">
        <v>0</v>
      </c>
      <c r="Q1270" t="s">
        <v>584</v>
      </c>
      <c r="R1270">
        <v>0</v>
      </c>
      <c r="S1270">
        <v>0</v>
      </c>
      <c r="T1270">
        <v>0</v>
      </c>
      <c r="U1270">
        <v>0</v>
      </c>
      <c r="V1270">
        <v>0</v>
      </c>
      <c r="W1270">
        <v>0</v>
      </c>
      <c r="X1270">
        <v>0</v>
      </c>
      <c r="Y1270">
        <v>1</v>
      </c>
      <c r="Z1270">
        <v>0</v>
      </c>
      <c r="AL1270" t="s">
        <v>73</v>
      </c>
      <c r="AM1270" t="s">
        <v>74</v>
      </c>
      <c r="AR1270" t="s">
        <v>75</v>
      </c>
      <c r="AS1270" t="s">
        <v>92</v>
      </c>
      <c r="AT1270" t="s">
        <v>73</v>
      </c>
      <c r="AU1270">
        <v>0</v>
      </c>
      <c r="AV1270">
        <v>0</v>
      </c>
      <c r="AW1270">
        <v>0</v>
      </c>
      <c r="AX1270">
        <v>1</v>
      </c>
      <c r="AY1270">
        <v>0</v>
      </c>
      <c r="AZ1270" t="s">
        <v>578</v>
      </c>
    </row>
    <row r="1271" spans="1:52" x14ac:dyDescent="0.2">
      <c r="A1271">
        <v>1</v>
      </c>
      <c r="B1271">
        <v>0</v>
      </c>
      <c r="C1271">
        <v>0</v>
      </c>
      <c r="D1271">
        <v>0</v>
      </c>
      <c r="E1271">
        <v>0</v>
      </c>
      <c r="F1271">
        <v>1</v>
      </c>
      <c r="G1271">
        <v>0</v>
      </c>
      <c r="H1271">
        <v>0</v>
      </c>
      <c r="I1271">
        <v>0</v>
      </c>
      <c r="J1271" t="s">
        <v>135</v>
      </c>
      <c r="K1271" t="s">
        <v>80</v>
      </c>
      <c r="L1271">
        <v>0</v>
      </c>
      <c r="M1271">
        <v>0</v>
      </c>
      <c r="N1271">
        <v>1</v>
      </c>
      <c r="O1271">
        <v>0</v>
      </c>
      <c r="P1271">
        <v>0</v>
      </c>
      <c r="Q1271" t="s">
        <v>584</v>
      </c>
      <c r="AA1271" t="s">
        <v>81</v>
      </c>
      <c r="AB1271" t="s">
        <v>81</v>
      </c>
      <c r="AC1271" t="s">
        <v>83</v>
      </c>
      <c r="AD1271" t="s">
        <v>81</v>
      </c>
      <c r="AE1271" t="s">
        <v>81</v>
      </c>
      <c r="AF1271" t="s">
        <v>83</v>
      </c>
      <c r="AG1271" t="s">
        <v>81</v>
      </c>
      <c r="AH1271" t="s">
        <v>83</v>
      </c>
      <c r="AI1271" t="s">
        <v>88</v>
      </c>
      <c r="AJ1271" t="s">
        <v>89</v>
      </c>
      <c r="AK1271" t="s">
        <v>85</v>
      </c>
      <c r="AL1271" t="s">
        <v>73</v>
      </c>
      <c r="AM1271" t="s">
        <v>86</v>
      </c>
      <c r="AN1271" t="s">
        <v>86</v>
      </c>
      <c r="AO1271" t="s">
        <v>86</v>
      </c>
      <c r="AP1271" t="s">
        <v>86</v>
      </c>
      <c r="AQ1271" t="s">
        <v>87</v>
      </c>
      <c r="AR1271" t="s">
        <v>75</v>
      </c>
      <c r="AS1271" t="s">
        <v>92</v>
      </c>
      <c r="AT1271" t="s">
        <v>73</v>
      </c>
      <c r="AU1271">
        <v>0</v>
      </c>
      <c r="AV1271">
        <v>0</v>
      </c>
      <c r="AW1271">
        <v>0</v>
      </c>
      <c r="AX1271">
        <v>1</v>
      </c>
      <c r="AY1271">
        <v>0</v>
      </c>
      <c r="AZ1271" t="s">
        <v>578</v>
      </c>
    </row>
    <row r="1272" spans="1:52" x14ac:dyDescent="0.2">
      <c r="A1272">
        <v>0</v>
      </c>
      <c r="B1272">
        <v>1</v>
      </c>
      <c r="C1272">
        <v>0</v>
      </c>
      <c r="D1272">
        <v>0</v>
      </c>
      <c r="E1272">
        <v>0</v>
      </c>
      <c r="F1272">
        <v>1</v>
      </c>
      <c r="G1272">
        <v>0</v>
      </c>
      <c r="H1272">
        <v>1</v>
      </c>
      <c r="I1272">
        <v>0</v>
      </c>
      <c r="J1272" t="s">
        <v>88</v>
      </c>
      <c r="K1272" t="s">
        <v>89</v>
      </c>
      <c r="L1272">
        <v>0</v>
      </c>
      <c r="M1272">
        <v>1</v>
      </c>
      <c r="N1272">
        <v>0</v>
      </c>
      <c r="O1272">
        <v>0</v>
      </c>
      <c r="P1272">
        <v>1</v>
      </c>
      <c r="Q1272" t="s">
        <v>584</v>
      </c>
      <c r="AA1272" t="s">
        <v>81</v>
      </c>
      <c r="AB1272" t="s">
        <v>81</v>
      </c>
      <c r="AC1272" t="s">
        <v>81</v>
      </c>
      <c r="AD1272" t="s">
        <v>81</v>
      </c>
      <c r="AE1272" t="s">
        <v>82</v>
      </c>
      <c r="AF1272" t="s">
        <v>83</v>
      </c>
      <c r="AG1272" t="s">
        <v>83</v>
      </c>
      <c r="AH1272" t="s">
        <v>81</v>
      </c>
      <c r="AI1272" t="s">
        <v>88</v>
      </c>
      <c r="AJ1272" t="s">
        <v>89</v>
      </c>
      <c r="AK1272" t="s">
        <v>100</v>
      </c>
      <c r="AL1272" t="s">
        <v>107</v>
      </c>
      <c r="AM1272" t="s">
        <v>87</v>
      </c>
      <c r="AN1272" t="s">
        <v>87</v>
      </c>
      <c r="AO1272" t="s">
        <v>87</v>
      </c>
      <c r="AP1272" t="s">
        <v>87</v>
      </c>
      <c r="AQ1272" t="s">
        <v>74</v>
      </c>
      <c r="AR1272" t="s">
        <v>75</v>
      </c>
      <c r="AS1272" t="s">
        <v>92</v>
      </c>
      <c r="AT1272" t="s">
        <v>107</v>
      </c>
      <c r="AU1272">
        <v>0</v>
      </c>
      <c r="AV1272">
        <v>0</v>
      </c>
      <c r="AW1272">
        <v>0</v>
      </c>
      <c r="AX1272">
        <v>1</v>
      </c>
      <c r="AY1272">
        <v>0</v>
      </c>
      <c r="AZ1272" t="s">
        <v>578</v>
      </c>
    </row>
    <row r="1273" spans="1:52" x14ac:dyDescent="0.2">
      <c r="A1273">
        <v>1</v>
      </c>
      <c r="B1273">
        <v>0</v>
      </c>
      <c r="C1273">
        <v>0</v>
      </c>
      <c r="D1273">
        <v>0</v>
      </c>
      <c r="E1273">
        <v>0</v>
      </c>
      <c r="F1273">
        <v>1</v>
      </c>
      <c r="G1273">
        <v>1</v>
      </c>
      <c r="H1273">
        <v>0</v>
      </c>
      <c r="I1273">
        <v>0</v>
      </c>
      <c r="J1273" t="s">
        <v>135</v>
      </c>
      <c r="K1273" t="s">
        <v>80</v>
      </c>
      <c r="L1273">
        <v>0</v>
      </c>
      <c r="M1273">
        <v>0</v>
      </c>
      <c r="N1273">
        <v>1</v>
      </c>
      <c r="O1273">
        <v>0</v>
      </c>
      <c r="P1273">
        <v>0</v>
      </c>
      <c r="Q1273" t="s">
        <v>584</v>
      </c>
      <c r="AA1273" t="s">
        <v>83</v>
      </c>
      <c r="AB1273" t="s">
        <v>82</v>
      </c>
      <c r="AC1273" t="s">
        <v>83</v>
      </c>
      <c r="AD1273" t="s">
        <v>81</v>
      </c>
      <c r="AE1273" t="s">
        <v>81</v>
      </c>
      <c r="AF1273" t="s">
        <v>83</v>
      </c>
      <c r="AG1273" t="s">
        <v>81</v>
      </c>
      <c r="AH1273" t="s">
        <v>83</v>
      </c>
      <c r="AI1273" t="s">
        <v>88</v>
      </c>
      <c r="AJ1273" t="s">
        <v>89</v>
      </c>
      <c r="AK1273" t="s">
        <v>85</v>
      </c>
      <c r="AL1273" t="s">
        <v>73</v>
      </c>
      <c r="AM1273" t="s">
        <v>87</v>
      </c>
      <c r="AN1273" t="s">
        <v>87</v>
      </c>
      <c r="AO1273" t="s">
        <v>87</v>
      </c>
      <c r="AP1273" t="s">
        <v>87</v>
      </c>
      <c r="AQ1273" t="s">
        <v>87</v>
      </c>
      <c r="AR1273" t="s">
        <v>75</v>
      </c>
      <c r="AS1273" t="s">
        <v>76</v>
      </c>
      <c r="AT1273" t="s">
        <v>73</v>
      </c>
      <c r="AU1273">
        <v>0</v>
      </c>
      <c r="AV1273">
        <v>0</v>
      </c>
      <c r="AW1273">
        <v>0</v>
      </c>
      <c r="AX1273">
        <v>1</v>
      </c>
      <c r="AY1273">
        <v>0</v>
      </c>
      <c r="AZ1273" t="s">
        <v>578</v>
      </c>
    </row>
    <row r="1274" spans="1:52" x14ac:dyDescent="0.2">
      <c r="A1274">
        <v>1</v>
      </c>
      <c r="B1274">
        <v>0</v>
      </c>
      <c r="C1274">
        <v>0</v>
      </c>
      <c r="D1274">
        <v>0</v>
      </c>
      <c r="E1274">
        <v>1</v>
      </c>
      <c r="F1274">
        <v>0</v>
      </c>
      <c r="G1274">
        <v>0</v>
      </c>
      <c r="H1274">
        <v>0</v>
      </c>
      <c r="I1274">
        <v>0</v>
      </c>
      <c r="L1274">
        <v>1</v>
      </c>
      <c r="M1274">
        <v>0</v>
      </c>
      <c r="N1274">
        <v>0</v>
      </c>
      <c r="O1274">
        <v>0</v>
      </c>
      <c r="P1274">
        <v>0</v>
      </c>
      <c r="Q1274" t="s">
        <v>584</v>
      </c>
      <c r="R1274">
        <v>0</v>
      </c>
      <c r="S1274">
        <v>0</v>
      </c>
      <c r="T1274">
        <v>1</v>
      </c>
      <c r="U1274">
        <v>0</v>
      </c>
      <c r="V1274">
        <v>0</v>
      </c>
      <c r="W1274">
        <v>0</v>
      </c>
      <c r="X1274">
        <v>0</v>
      </c>
      <c r="Y1274">
        <v>0</v>
      </c>
      <c r="Z1274">
        <v>0</v>
      </c>
      <c r="AL1274" t="s">
        <v>107</v>
      </c>
      <c r="AM1274" t="s">
        <v>87</v>
      </c>
      <c r="AN1274" t="s">
        <v>87</v>
      </c>
      <c r="AO1274" t="s">
        <v>87</v>
      </c>
      <c r="AP1274" t="s">
        <v>87</v>
      </c>
      <c r="AQ1274" t="s">
        <v>87</v>
      </c>
      <c r="AR1274" t="s">
        <v>75</v>
      </c>
      <c r="AS1274" t="s">
        <v>92</v>
      </c>
      <c r="AT1274" t="s">
        <v>107</v>
      </c>
      <c r="AU1274">
        <v>0</v>
      </c>
      <c r="AV1274">
        <v>0</v>
      </c>
      <c r="AW1274">
        <v>0</v>
      </c>
      <c r="AX1274">
        <v>1</v>
      </c>
      <c r="AY1274">
        <v>0</v>
      </c>
      <c r="AZ1274" t="s">
        <v>578</v>
      </c>
    </row>
    <row r="1275" spans="1:52" x14ac:dyDescent="0.2">
      <c r="A1275">
        <v>1</v>
      </c>
      <c r="B1275">
        <v>0</v>
      </c>
      <c r="C1275">
        <v>0</v>
      </c>
      <c r="D1275">
        <v>0</v>
      </c>
      <c r="E1275">
        <v>0</v>
      </c>
      <c r="F1275">
        <v>1</v>
      </c>
      <c r="G1275">
        <v>0</v>
      </c>
      <c r="H1275">
        <v>0</v>
      </c>
      <c r="I1275">
        <v>0</v>
      </c>
      <c r="J1275" t="s">
        <v>135</v>
      </c>
      <c r="K1275" t="s">
        <v>89</v>
      </c>
      <c r="L1275">
        <v>1</v>
      </c>
      <c r="M1275">
        <v>0</v>
      </c>
      <c r="N1275">
        <v>0</v>
      </c>
      <c r="O1275">
        <v>0</v>
      </c>
      <c r="P1275">
        <v>0</v>
      </c>
      <c r="Q1275" t="s">
        <v>584</v>
      </c>
      <c r="R1275">
        <v>0</v>
      </c>
      <c r="S1275">
        <v>0</v>
      </c>
      <c r="T1275">
        <v>0</v>
      </c>
      <c r="U1275">
        <v>0</v>
      </c>
      <c r="V1275">
        <v>0</v>
      </c>
      <c r="W1275">
        <v>0</v>
      </c>
      <c r="X1275">
        <v>1</v>
      </c>
      <c r="Y1275">
        <v>1</v>
      </c>
      <c r="Z1275">
        <v>0</v>
      </c>
      <c r="AL1275" t="s">
        <v>73</v>
      </c>
      <c r="AM1275" t="s">
        <v>86</v>
      </c>
      <c r="AN1275" t="s">
        <v>74</v>
      </c>
      <c r="AO1275" t="s">
        <v>86</v>
      </c>
      <c r="AP1275" t="s">
        <v>74</v>
      </c>
      <c r="AQ1275" t="s">
        <v>86</v>
      </c>
      <c r="AR1275" t="s">
        <v>75</v>
      </c>
      <c r="AS1275" t="s">
        <v>92</v>
      </c>
      <c r="AT1275" t="s">
        <v>73</v>
      </c>
      <c r="AU1275">
        <v>0</v>
      </c>
      <c r="AV1275">
        <v>0</v>
      </c>
      <c r="AW1275">
        <v>0</v>
      </c>
      <c r="AX1275">
        <v>1</v>
      </c>
      <c r="AY1275">
        <v>0</v>
      </c>
      <c r="AZ1275" t="s">
        <v>578</v>
      </c>
    </row>
    <row r="1276" spans="1:52" x14ac:dyDescent="0.2">
      <c r="A1276">
        <v>1</v>
      </c>
      <c r="B1276">
        <v>0</v>
      </c>
      <c r="C1276">
        <v>0</v>
      </c>
      <c r="D1276">
        <v>0</v>
      </c>
      <c r="E1276">
        <v>0</v>
      </c>
      <c r="F1276">
        <v>1</v>
      </c>
      <c r="G1276">
        <v>0</v>
      </c>
      <c r="H1276">
        <v>0</v>
      </c>
      <c r="I1276">
        <v>0</v>
      </c>
      <c r="J1276" t="s">
        <v>135</v>
      </c>
      <c r="K1276" t="s">
        <v>89</v>
      </c>
      <c r="L1276">
        <v>0</v>
      </c>
      <c r="M1276">
        <v>1</v>
      </c>
      <c r="N1276">
        <v>1</v>
      </c>
      <c r="O1276">
        <v>0</v>
      </c>
      <c r="P1276">
        <v>0</v>
      </c>
      <c r="Q1276" t="s">
        <v>584</v>
      </c>
      <c r="AA1276" t="s">
        <v>83</v>
      </c>
      <c r="AB1276" t="s">
        <v>82</v>
      </c>
      <c r="AC1276" t="s">
        <v>83</v>
      </c>
      <c r="AD1276" t="s">
        <v>81</v>
      </c>
      <c r="AE1276" t="s">
        <v>81</v>
      </c>
      <c r="AF1276" t="s">
        <v>81</v>
      </c>
      <c r="AG1276" t="s">
        <v>83</v>
      </c>
      <c r="AH1276" t="s">
        <v>83</v>
      </c>
      <c r="AI1276" t="s">
        <v>88</v>
      </c>
      <c r="AJ1276" t="s">
        <v>89</v>
      </c>
      <c r="AK1276" t="s">
        <v>85</v>
      </c>
      <c r="AL1276" t="s">
        <v>73</v>
      </c>
      <c r="AM1276" t="s">
        <v>87</v>
      </c>
      <c r="AN1276" t="s">
        <v>87</v>
      </c>
      <c r="AO1276" t="s">
        <v>87</v>
      </c>
      <c r="AP1276" t="s">
        <v>74</v>
      </c>
      <c r="AQ1276" t="s">
        <v>74</v>
      </c>
      <c r="AR1276" t="s">
        <v>75</v>
      </c>
      <c r="AS1276" t="s">
        <v>92</v>
      </c>
      <c r="AT1276" t="s">
        <v>73</v>
      </c>
      <c r="AU1276">
        <v>0</v>
      </c>
      <c r="AV1276">
        <v>0</v>
      </c>
      <c r="AW1276">
        <v>0</v>
      </c>
      <c r="AX1276">
        <v>1</v>
      </c>
      <c r="AY1276">
        <v>0</v>
      </c>
      <c r="AZ1276" t="s">
        <v>578</v>
      </c>
    </row>
    <row r="1277" spans="1:52" x14ac:dyDescent="0.2">
      <c r="A1277">
        <v>1</v>
      </c>
      <c r="B1277">
        <v>0</v>
      </c>
      <c r="C1277">
        <v>0</v>
      </c>
      <c r="D1277">
        <v>0</v>
      </c>
      <c r="E1277">
        <v>0</v>
      </c>
      <c r="F1277">
        <v>1</v>
      </c>
      <c r="G1277">
        <v>0</v>
      </c>
      <c r="H1277">
        <v>0</v>
      </c>
      <c r="I1277">
        <v>1</v>
      </c>
      <c r="J1277" t="s">
        <v>88</v>
      </c>
      <c r="K1277" t="s">
        <v>89</v>
      </c>
      <c r="L1277">
        <v>0</v>
      </c>
      <c r="M1277">
        <v>0</v>
      </c>
      <c r="N1277">
        <v>1</v>
      </c>
      <c r="O1277">
        <v>0</v>
      </c>
      <c r="P1277">
        <v>0</v>
      </c>
      <c r="Q1277" t="s">
        <v>584</v>
      </c>
      <c r="AA1277" t="s">
        <v>83</v>
      </c>
      <c r="AB1277" t="s">
        <v>82</v>
      </c>
      <c r="AC1277" t="s">
        <v>83</v>
      </c>
      <c r="AD1277" t="s">
        <v>81</v>
      </c>
      <c r="AE1277" t="s">
        <v>83</v>
      </c>
      <c r="AF1277" t="s">
        <v>81</v>
      </c>
      <c r="AG1277" t="s">
        <v>83</v>
      </c>
      <c r="AH1277" t="s">
        <v>83</v>
      </c>
      <c r="AI1277" t="s">
        <v>88</v>
      </c>
      <c r="AJ1277" t="s">
        <v>89</v>
      </c>
      <c r="AK1277" t="s">
        <v>85</v>
      </c>
      <c r="AL1277" t="s">
        <v>73</v>
      </c>
      <c r="AM1277" t="s">
        <v>74</v>
      </c>
      <c r="AR1277" t="s">
        <v>75</v>
      </c>
      <c r="AS1277" t="s">
        <v>92</v>
      </c>
      <c r="AT1277" t="s">
        <v>73</v>
      </c>
      <c r="AU1277">
        <v>0</v>
      </c>
      <c r="AV1277">
        <v>0</v>
      </c>
      <c r="AW1277">
        <v>0</v>
      </c>
      <c r="AX1277">
        <v>1</v>
      </c>
      <c r="AY1277">
        <v>0</v>
      </c>
      <c r="AZ1277" t="s">
        <v>578</v>
      </c>
    </row>
    <row r="1278" spans="1:52" x14ac:dyDescent="0.2">
      <c r="A1278">
        <v>1</v>
      </c>
      <c r="B1278">
        <v>0</v>
      </c>
      <c r="C1278">
        <v>0</v>
      </c>
      <c r="D1278">
        <v>0</v>
      </c>
      <c r="E1278">
        <v>0</v>
      </c>
      <c r="F1278">
        <v>0</v>
      </c>
      <c r="G1278">
        <v>0</v>
      </c>
      <c r="H1278">
        <v>0</v>
      </c>
      <c r="I1278">
        <v>1</v>
      </c>
      <c r="J1278" t="s">
        <v>135</v>
      </c>
      <c r="K1278" t="s">
        <v>127</v>
      </c>
      <c r="L1278">
        <v>0</v>
      </c>
      <c r="M1278">
        <v>1</v>
      </c>
      <c r="N1278">
        <v>0</v>
      </c>
      <c r="O1278">
        <v>0</v>
      </c>
      <c r="P1278">
        <v>0</v>
      </c>
      <c r="Q1278" t="s">
        <v>584</v>
      </c>
      <c r="AA1278" t="s">
        <v>90</v>
      </c>
      <c r="AB1278" t="s">
        <v>81</v>
      </c>
      <c r="AC1278" t="s">
        <v>81</v>
      </c>
      <c r="AD1278" t="s">
        <v>82</v>
      </c>
      <c r="AE1278" t="s">
        <v>90</v>
      </c>
      <c r="AF1278" t="s">
        <v>90</v>
      </c>
      <c r="AG1278" t="s">
        <v>90</v>
      </c>
      <c r="AH1278" t="s">
        <v>90</v>
      </c>
      <c r="AI1278" t="s">
        <v>84</v>
      </c>
      <c r="AJ1278" t="s">
        <v>127</v>
      </c>
      <c r="AK1278" t="s">
        <v>85</v>
      </c>
      <c r="AL1278" t="s">
        <v>96</v>
      </c>
      <c r="AM1278" t="s">
        <v>87</v>
      </c>
      <c r="AN1278" t="s">
        <v>87</v>
      </c>
      <c r="AO1278" t="s">
        <v>87</v>
      </c>
      <c r="AP1278" t="s">
        <v>87</v>
      </c>
      <c r="AQ1278" t="s">
        <v>87</v>
      </c>
      <c r="AR1278" t="s">
        <v>75</v>
      </c>
      <c r="AS1278" t="s">
        <v>76</v>
      </c>
      <c r="AT1278" t="s">
        <v>96</v>
      </c>
      <c r="AU1278">
        <v>0</v>
      </c>
      <c r="AV1278">
        <v>0</v>
      </c>
      <c r="AW1278">
        <v>0</v>
      </c>
      <c r="AX1278">
        <v>1</v>
      </c>
      <c r="AY1278">
        <v>0</v>
      </c>
      <c r="AZ1278" t="s">
        <v>579</v>
      </c>
    </row>
    <row r="1279" spans="1:52" x14ac:dyDescent="0.2">
      <c r="A1279">
        <v>1</v>
      </c>
      <c r="B1279">
        <v>0</v>
      </c>
      <c r="C1279">
        <v>0</v>
      </c>
      <c r="D1279">
        <v>0</v>
      </c>
      <c r="E1279">
        <v>0</v>
      </c>
      <c r="F1279">
        <v>1</v>
      </c>
      <c r="G1279">
        <v>0</v>
      </c>
      <c r="H1279">
        <v>1</v>
      </c>
      <c r="I1279">
        <v>1</v>
      </c>
      <c r="J1279" t="s">
        <v>88</v>
      </c>
      <c r="K1279" t="s">
        <v>89</v>
      </c>
      <c r="L1279">
        <v>0</v>
      </c>
      <c r="M1279">
        <v>1</v>
      </c>
      <c r="N1279">
        <v>0</v>
      </c>
      <c r="O1279">
        <v>0</v>
      </c>
      <c r="P1279">
        <v>0</v>
      </c>
      <c r="Q1279" t="s">
        <v>584</v>
      </c>
      <c r="AA1279" t="s">
        <v>81</v>
      </c>
      <c r="AB1279" t="s">
        <v>82</v>
      </c>
      <c r="AC1279" t="s">
        <v>81</v>
      </c>
      <c r="AD1279" t="s">
        <v>82</v>
      </c>
      <c r="AE1279" t="s">
        <v>81</v>
      </c>
      <c r="AF1279" t="s">
        <v>83</v>
      </c>
      <c r="AG1279" t="s">
        <v>81</v>
      </c>
      <c r="AH1279" t="s">
        <v>83</v>
      </c>
      <c r="AI1279" t="s">
        <v>88</v>
      </c>
      <c r="AJ1279" t="s">
        <v>89</v>
      </c>
      <c r="AK1279" t="s">
        <v>100</v>
      </c>
      <c r="AL1279" t="s">
        <v>107</v>
      </c>
      <c r="AM1279" t="s">
        <v>87</v>
      </c>
      <c r="AN1279" t="s">
        <v>87</v>
      </c>
      <c r="AO1279" t="s">
        <v>87</v>
      </c>
      <c r="AP1279" t="s">
        <v>87</v>
      </c>
      <c r="AQ1279" t="s">
        <v>87</v>
      </c>
      <c r="AR1279" t="s">
        <v>75</v>
      </c>
      <c r="AS1279" t="s">
        <v>92</v>
      </c>
      <c r="AT1279" t="s">
        <v>107</v>
      </c>
      <c r="AU1279">
        <v>0</v>
      </c>
      <c r="AV1279">
        <v>0</v>
      </c>
      <c r="AW1279">
        <v>0</v>
      </c>
      <c r="AX1279">
        <v>1</v>
      </c>
      <c r="AY1279">
        <v>0</v>
      </c>
      <c r="AZ1279" t="s">
        <v>578</v>
      </c>
    </row>
    <row r="1280" spans="1:52" x14ac:dyDescent="0.2">
      <c r="A1280">
        <v>1</v>
      </c>
      <c r="B1280">
        <v>0</v>
      </c>
      <c r="C1280">
        <v>0</v>
      </c>
      <c r="D1280">
        <v>0</v>
      </c>
      <c r="E1280">
        <v>0</v>
      </c>
      <c r="F1280">
        <v>1</v>
      </c>
      <c r="G1280">
        <v>1</v>
      </c>
      <c r="H1280">
        <v>0</v>
      </c>
      <c r="I1280">
        <v>0</v>
      </c>
      <c r="J1280" t="s">
        <v>79</v>
      </c>
      <c r="K1280" t="s">
        <v>80</v>
      </c>
      <c r="L1280">
        <v>0</v>
      </c>
      <c r="M1280">
        <v>0</v>
      </c>
      <c r="N1280">
        <v>1</v>
      </c>
      <c r="O1280">
        <v>0</v>
      </c>
      <c r="P1280">
        <v>0</v>
      </c>
      <c r="Q1280" t="s">
        <v>584</v>
      </c>
      <c r="AA1280" t="s">
        <v>83</v>
      </c>
      <c r="AB1280" t="s">
        <v>82</v>
      </c>
      <c r="AC1280" t="s">
        <v>81</v>
      </c>
      <c r="AD1280" t="s">
        <v>81</v>
      </c>
      <c r="AE1280" t="s">
        <v>82</v>
      </c>
      <c r="AF1280" t="s">
        <v>83</v>
      </c>
      <c r="AG1280" t="s">
        <v>81</v>
      </c>
      <c r="AH1280" t="s">
        <v>83</v>
      </c>
      <c r="AI1280" t="s">
        <v>88</v>
      </c>
      <c r="AJ1280" t="s">
        <v>89</v>
      </c>
      <c r="AK1280" t="s">
        <v>85</v>
      </c>
      <c r="AL1280" t="s">
        <v>73</v>
      </c>
      <c r="AM1280" t="s">
        <v>86</v>
      </c>
      <c r="AN1280" t="s">
        <v>87</v>
      </c>
      <c r="AO1280" t="s">
        <v>87</v>
      </c>
      <c r="AP1280" t="s">
        <v>74</v>
      </c>
      <c r="AQ1280" t="s">
        <v>87</v>
      </c>
      <c r="AR1280" t="s">
        <v>75</v>
      </c>
      <c r="AS1280" t="s">
        <v>92</v>
      </c>
      <c r="AT1280" t="s">
        <v>73</v>
      </c>
      <c r="AU1280">
        <v>0</v>
      </c>
      <c r="AV1280">
        <v>0</v>
      </c>
      <c r="AW1280">
        <v>0</v>
      </c>
      <c r="AX1280">
        <v>1</v>
      </c>
      <c r="AY1280">
        <v>0</v>
      </c>
      <c r="AZ1280" t="s">
        <v>578</v>
      </c>
    </row>
    <row r="1281" spans="1:52" x14ac:dyDescent="0.2">
      <c r="A1281">
        <v>1</v>
      </c>
      <c r="B1281">
        <v>0</v>
      </c>
      <c r="C1281">
        <v>0</v>
      </c>
      <c r="D1281">
        <v>0</v>
      </c>
      <c r="E1281">
        <v>0</v>
      </c>
      <c r="F1281">
        <v>1</v>
      </c>
      <c r="G1281">
        <v>0</v>
      </c>
      <c r="H1281">
        <v>0</v>
      </c>
      <c r="I1281">
        <v>0</v>
      </c>
      <c r="J1281" t="s">
        <v>88</v>
      </c>
      <c r="K1281" t="s">
        <v>89</v>
      </c>
      <c r="L1281">
        <v>0</v>
      </c>
      <c r="M1281">
        <v>0</v>
      </c>
      <c r="N1281">
        <v>1</v>
      </c>
      <c r="O1281">
        <v>0</v>
      </c>
      <c r="P1281">
        <v>0</v>
      </c>
      <c r="Q1281" t="s">
        <v>585</v>
      </c>
      <c r="AA1281" t="s">
        <v>83</v>
      </c>
      <c r="AB1281" t="s">
        <v>82</v>
      </c>
      <c r="AC1281" t="s">
        <v>81</v>
      </c>
      <c r="AD1281" t="s">
        <v>82</v>
      </c>
      <c r="AE1281" t="s">
        <v>81</v>
      </c>
      <c r="AF1281" t="s">
        <v>82</v>
      </c>
      <c r="AG1281" t="s">
        <v>83</v>
      </c>
      <c r="AH1281" t="s">
        <v>83</v>
      </c>
      <c r="AI1281" t="s">
        <v>88</v>
      </c>
      <c r="AJ1281" t="s">
        <v>89</v>
      </c>
      <c r="AK1281" t="s">
        <v>85</v>
      </c>
      <c r="AL1281" t="s">
        <v>107</v>
      </c>
      <c r="AM1281" t="s">
        <v>87</v>
      </c>
      <c r="AN1281" t="s">
        <v>87</v>
      </c>
      <c r="AO1281" t="s">
        <v>87</v>
      </c>
      <c r="AP1281" t="s">
        <v>86</v>
      </c>
      <c r="AQ1281" t="s">
        <v>74</v>
      </c>
      <c r="AR1281" t="s">
        <v>75</v>
      </c>
      <c r="AS1281" t="s">
        <v>76</v>
      </c>
      <c r="AT1281" t="s">
        <v>107</v>
      </c>
      <c r="AU1281">
        <v>0</v>
      </c>
      <c r="AV1281">
        <v>0</v>
      </c>
      <c r="AW1281">
        <v>0</v>
      </c>
      <c r="AX1281">
        <v>1</v>
      </c>
      <c r="AY1281">
        <v>0</v>
      </c>
      <c r="AZ1281" t="s">
        <v>580</v>
      </c>
    </row>
    <row r="1282" spans="1:52" x14ac:dyDescent="0.2">
      <c r="A1282">
        <v>1</v>
      </c>
      <c r="B1282">
        <v>0</v>
      </c>
      <c r="C1282">
        <v>0</v>
      </c>
      <c r="D1282">
        <v>0</v>
      </c>
      <c r="E1282">
        <v>1</v>
      </c>
      <c r="F1282">
        <v>0</v>
      </c>
      <c r="G1282">
        <v>0</v>
      </c>
      <c r="H1282">
        <v>0</v>
      </c>
      <c r="I1282">
        <v>0</v>
      </c>
      <c r="L1282">
        <v>1</v>
      </c>
      <c r="M1282">
        <v>0</v>
      </c>
      <c r="N1282">
        <v>0</v>
      </c>
      <c r="O1282">
        <v>0</v>
      </c>
      <c r="P1282">
        <v>0</v>
      </c>
      <c r="Q1282" t="s">
        <v>584</v>
      </c>
      <c r="R1282">
        <v>0</v>
      </c>
      <c r="S1282">
        <v>0</v>
      </c>
      <c r="T1282">
        <v>1</v>
      </c>
      <c r="U1282">
        <v>0</v>
      </c>
      <c r="V1282">
        <v>0</v>
      </c>
      <c r="W1282">
        <v>0</v>
      </c>
      <c r="X1282">
        <v>0</v>
      </c>
      <c r="Y1282">
        <v>0</v>
      </c>
      <c r="Z1282">
        <v>0</v>
      </c>
      <c r="AL1282" t="s">
        <v>73</v>
      </c>
      <c r="AM1282" t="s">
        <v>87</v>
      </c>
      <c r="AN1282" t="s">
        <v>87</v>
      </c>
      <c r="AO1282" t="s">
        <v>87</v>
      </c>
      <c r="AP1282" t="s">
        <v>87</v>
      </c>
      <c r="AQ1282" t="s">
        <v>87</v>
      </c>
      <c r="AR1282" t="s">
        <v>75</v>
      </c>
      <c r="AS1282" t="s">
        <v>92</v>
      </c>
      <c r="AT1282" t="s">
        <v>73</v>
      </c>
      <c r="AU1282">
        <v>0</v>
      </c>
      <c r="AV1282">
        <v>0</v>
      </c>
      <c r="AW1282">
        <v>0</v>
      </c>
      <c r="AX1282">
        <v>1</v>
      </c>
      <c r="AY1282">
        <v>0</v>
      </c>
      <c r="AZ1282" t="s">
        <v>578</v>
      </c>
    </row>
    <row r="1283" spans="1:52" x14ac:dyDescent="0.2">
      <c r="A1283">
        <v>1</v>
      </c>
      <c r="B1283">
        <v>0</v>
      </c>
      <c r="C1283">
        <v>0</v>
      </c>
      <c r="D1283">
        <v>0</v>
      </c>
      <c r="E1283">
        <v>0</v>
      </c>
      <c r="F1283">
        <v>0</v>
      </c>
      <c r="G1283">
        <v>0</v>
      </c>
      <c r="H1283">
        <v>1</v>
      </c>
      <c r="I1283">
        <v>0</v>
      </c>
      <c r="J1283" t="s">
        <v>88</v>
      </c>
      <c r="K1283" t="s">
        <v>89</v>
      </c>
      <c r="L1283">
        <v>1</v>
      </c>
      <c r="M1283">
        <v>0</v>
      </c>
      <c r="N1283">
        <v>0</v>
      </c>
      <c r="O1283">
        <v>0</v>
      </c>
      <c r="P1283">
        <v>0</v>
      </c>
      <c r="Q1283" t="s">
        <v>584</v>
      </c>
      <c r="R1283">
        <v>0</v>
      </c>
      <c r="S1283">
        <v>0</v>
      </c>
      <c r="T1283">
        <v>1</v>
      </c>
      <c r="U1283">
        <v>0</v>
      </c>
      <c r="V1283">
        <v>0</v>
      </c>
      <c r="W1283">
        <v>0</v>
      </c>
      <c r="X1283">
        <v>1</v>
      </c>
      <c r="Y1283">
        <v>0</v>
      </c>
      <c r="Z1283">
        <v>0</v>
      </c>
      <c r="AL1283" t="s">
        <v>73</v>
      </c>
      <c r="AM1283" t="s">
        <v>86</v>
      </c>
      <c r="AN1283" t="s">
        <v>87</v>
      </c>
      <c r="AO1283" t="s">
        <v>87</v>
      </c>
      <c r="AP1283" t="s">
        <v>87</v>
      </c>
      <c r="AQ1283" t="s">
        <v>87</v>
      </c>
      <c r="AR1283" t="s">
        <v>75</v>
      </c>
      <c r="AS1283" t="s">
        <v>92</v>
      </c>
      <c r="AT1283" t="s">
        <v>73</v>
      </c>
      <c r="AU1283">
        <v>0</v>
      </c>
      <c r="AV1283">
        <v>0</v>
      </c>
      <c r="AW1283">
        <v>0</v>
      </c>
      <c r="AX1283">
        <v>1</v>
      </c>
      <c r="AY1283">
        <v>0</v>
      </c>
      <c r="AZ1283" t="s">
        <v>578</v>
      </c>
    </row>
    <row r="1284" spans="1:52" x14ac:dyDescent="0.2">
      <c r="A1284">
        <v>1</v>
      </c>
      <c r="B1284">
        <v>0</v>
      </c>
      <c r="C1284">
        <v>0</v>
      </c>
      <c r="D1284">
        <v>0</v>
      </c>
      <c r="E1284">
        <v>0</v>
      </c>
      <c r="F1284">
        <v>1</v>
      </c>
      <c r="G1284">
        <v>1</v>
      </c>
      <c r="H1284">
        <v>1</v>
      </c>
      <c r="I1284">
        <v>0</v>
      </c>
      <c r="J1284" t="s">
        <v>88</v>
      </c>
      <c r="K1284" t="s">
        <v>89</v>
      </c>
      <c r="L1284">
        <v>0</v>
      </c>
      <c r="M1284">
        <v>0</v>
      </c>
      <c r="N1284">
        <v>1</v>
      </c>
      <c r="O1284">
        <v>0</v>
      </c>
      <c r="P1284">
        <v>0</v>
      </c>
      <c r="Q1284" t="s">
        <v>584</v>
      </c>
      <c r="AA1284" t="s">
        <v>81</v>
      </c>
      <c r="AB1284" t="s">
        <v>81</v>
      </c>
      <c r="AC1284" t="s">
        <v>81</v>
      </c>
      <c r="AD1284" t="s">
        <v>81</v>
      </c>
      <c r="AE1284" t="s">
        <v>82</v>
      </c>
      <c r="AF1284" t="s">
        <v>81</v>
      </c>
      <c r="AG1284" t="s">
        <v>81</v>
      </c>
      <c r="AH1284" t="s">
        <v>81</v>
      </c>
      <c r="AI1284" t="s">
        <v>88</v>
      </c>
      <c r="AJ1284" t="s">
        <v>89</v>
      </c>
      <c r="AK1284" t="s">
        <v>85</v>
      </c>
      <c r="AL1284" t="s">
        <v>120</v>
      </c>
      <c r="AM1284" t="s">
        <v>86</v>
      </c>
      <c r="AN1284" t="s">
        <v>87</v>
      </c>
      <c r="AO1284" t="s">
        <v>87</v>
      </c>
      <c r="AP1284" t="s">
        <v>87</v>
      </c>
      <c r="AQ1284" t="s">
        <v>87</v>
      </c>
      <c r="AR1284" t="s">
        <v>97</v>
      </c>
      <c r="AS1284" t="s">
        <v>76</v>
      </c>
      <c r="AT1284" t="s">
        <v>120</v>
      </c>
      <c r="AU1284">
        <v>0</v>
      </c>
      <c r="AV1284">
        <v>0</v>
      </c>
      <c r="AW1284">
        <v>0</v>
      </c>
      <c r="AX1284">
        <v>1</v>
      </c>
      <c r="AY1284">
        <v>0</v>
      </c>
      <c r="AZ1284" t="s">
        <v>580</v>
      </c>
    </row>
    <row r="1285" spans="1:52" x14ac:dyDescent="0.2">
      <c r="A1285">
        <v>0</v>
      </c>
      <c r="B1285">
        <v>1</v>
      </c>
      <c r="C1285">
        <v>0</v>
      </c>
      <c r="D1285">
        <v>0</v>
      </c>
      <c r="E1285">
        <v>0</v>
      </c>
      <c r="F1285">
        <v>1</v>
      </c>
      <c r="G1285">
        <v>1</v>
      </c>
      <c r="H1285">
        <v>1</v>
      </c>
      <c r="I1285">
        <v>0</v>
      </c>
      <c r="J1285" t="s">
        <v>88</v>
      </c>
      <c r="K1285" t="s">
        <v>89</v>
      </c>
      <c r="L1285">
        <v>0</v>
      </c>
      <c r="M1285">
        <v>0</v>
      </c>
      <c r="N1285">
        <v>0</v>
      </c>
      <c r="O1285">
        <v>0</v>
      </c>
      <c r="P1285">
        <v>1</v>
      </c>
      <c r="Q1285" t="s">
        <v>584</v>
      </c>
      <c r="AA1285" t="s">
        <v>83</v>
      </c>
      <c r="AB1285" t="s">
        <v>82</v>
      </c>
      <c r="AC1285" t="s">
        <v>82</v>
      </c>
      <c r="AD1285" t="s">
        <v>82</v>
      </c>
      <c r="AE1285" t="s">
        <v>81</v>
      </c>
      <c r="AF1285" t="s">
        <v>83</v>
      </c>
      <c r="AG1285" t="s">
        <v>83</v>
      </c>
      <c r="AH1285" t="s">
        <v>81</v>
      </c>
      <c r="AI1285" t="s">
        <v>88</v>
      </c>
      <c r="AJ1285" t="s">
        <v>89</v>
      </c>
      <c r="AK1285" t="s">
        <v>100</v>
      </c>
      <c r="AL1285" t="s">
        <v>107</v>
      </c>
      <c r="AM1285" t="s">
        <v>86</v>
      </c>
      <c r="AN1285" t="s">
        <v>86</v>
      </c>
      <c r="AO1285" t="s">
        <v>86</v>
      </c>
      <c r="AP1285" t="s">
        <v>86</v>
      </c>
      <c r="AQ1285" t="s">
        <v>86</v>
      </c>
      <c r="AR1285" t="s">
        <v>75</v>
      </c>
      <c r="AS1285" t="s">
        <v>92</v>
      </c>
      <c r="AT1285" t="s">
        <v>107</v>
      </c>
      <c r="AU1285">
        <v>0</v>
      </c>
      <c r="AV1285">
        <v>0</v>
      </c>
      <c r="AW1285">
        <v>0</v>
      </c>
      <c r="AX1285">
        <v>1</v>
      </c>
      <c r="AY1285">
        <v>0</v>
      </c>
      <c r="AZ1285" t="s">
        <v>578</v>
      </c>
    </row>
    <row r="1286" spans="1:52" x14ac:dyDescent="0.2">
      <c r="A1286">
        <v>0</v>
      </c>
      <c r="B1286">
        <v>1</v>
      </c>
      <c r="C1286">
        <v>0</v>
      </c>
      <c r="D1286">
        <v>0</v>
      </c>
      <c r="E1286">
        <v>1</v>
      </c>
      <c r="F1286">
        <v>0</v>
      </c>
      <c r="G1286">
        <v>0</v>
      </c>
      <c r="H1286">
        <v>0</v>
      </c>
      <c r="I1286">
        <v>0</v>
      </c>
      <c r="L1286">
        <v>0</v>
      </c>
      <c r="M1286">
        <v>1</v>
      </c>
      <c r="N1286">
        <v>0</v>
      </c>
      <c r="O1286">
        <v>0</v>
      </c>
      <c r="P1286">
        <v>0</v>
      </c>
      <c r="Q1286" t="s">
        <v>584</v>
      </c>
      <c r="AA1286" t="s">
        <v>83</v>
      </c>
      <c r="AB1286" t="s">
        <v>81</v>
      </c>
      <c r="AC1286" t="s">
        <v>82</v>
      </c>
      <c r="AD1286" t="s">
        <v>82</v>
      </c>
      <c r="AE1286" t="s">
        <v>83</v>
      </c>
      <c r="AF1286" t="s">
        <v>83</v>
      </c>
      <c r="AG1286" t="s">
        <v>83</v>
      </c>
      <c r="AH1286" t="s">
        <v>83</v>
      </c>
      <c r="AI1286" t="s">
        <v>88</v>
      </c>
      <c r="AJ1286" t="s">
        <v>89</v>
      </c>
      <c r="AK1286" t="s">
        <v>100</v>
      </c>
      <c r="AL1286" t="s">
        <v>73</v>
      </c>
      <c r="AM1286" t="s">
        <v>87</v>
      </c>
      <c r="AN1286" t="s">
        <v>87</v>
      </c>
      <c r="AO1286" t="s">
        <v>87</v>
      </c>
      <c r="AP1286" t="s">
        <v>87</v>
      </c>
      <c r="AQ1286" t="s">
        <v>86</v>
      </c>
      <c r="AR1286" t="s">
        <v>75</v>
      </c>
      <c r="AS1286" t="s">
        <v>76</v>
      </c>
      <c r="AT1286" t="s">
        <v>73</v>
      </c>
      <c r="AU1286">
        <v>0</v>
      </c>
      <c r="AV1286">
        <v>0</v>
      </c>
      <c r="AW1286">
        <v>0</v>
      </c>
      <c r="AX1286">
        <v>1</v>
      </c>
      <c r="AY1286">
        <v>0</v>
      </c>
      <c r="AZ1286" t="s">
        <v>579</v>
      </c>
    </row>
    <row r="1287" spans="1:52" x14ac:dyDescent="0.2">
      <c r="A1287">
        <v>0</v>
      </c>
      <c r="B1287">
        <v>1</v>
      </c>
      <c r="C1287">
        <v>0</v>
      </c>
      <c r="D1287">
        <v>0</v>
      </c>
      <c r="E1287">
        <v>0</v>
      </c>
      <c r="F1287">
        <v>1</v>
      </c>
      <c r="G1287">
        <v>0</v>
      </c>
      <c r="H1287">
        <v>0</v>
      </c>
      <c r="I1287">
        <v>0</v>
      </c>
      <c r="J1287" t="s">
        <v>127</v>
      </c>
      <c r="K1287" t="s">
        <v>127</v>
      </c>
      <c r="L1287">
        <v>0</v>
      </c>
      <c r="M1287">
        <v>0</v>
      </c>
      <c r="N1287">
        <v>0</v>
      </c>
      <c r="O1287">
        <v>1</v>
      </c>
      <c r="P1287">
        <v>0</v>
      </c>
      <c r="Q1287" t="s">
        <v>584</v>
      </c>
      <c r="AA1287" t="s">
        <v>83</v>
      </c>
      <c r="AB1287" t="s">
        <v>82</v>
      </c>
      <c r="AC1287" t="s">
        <v>81</v>
      </c>
      <c r="AD1287" t="s">
        <v>81</v>
      </c>
      <c r="AE1287" t="s">
        <v>83</v>
      </c>
      <c r="AF1287" t="s">
        <v>83</v>
      </c>
      <c r="AG1287" t="s">
        <v>82</v>
      </c>
      <c r="AH1287" t="s">
        <v>83</v>
      </c>
      <c r="AI1287" t="s">
        <v>135</v>
      </c>
      <c r="AJ1287" t="s">
        <v>80</v>
      </c>
      <c r="AK1287" t="s">
        <v>153</v>
      </c>
      <c r="AL1287" t="s">
        <v>107</v>
      </c>
      <c r="AM1287" t="s">
        <v>74</v>
      </c>
      <c r="AR1287" t="s">
        <v>75</v>
      </c>
      <c r="AS1287" t="s">
        <v>92</v>
      </c>
      <c r="AT1287" t="s">
        <v>107</v>
      </c>
      <c r="AU1287">
        <v>0</v>
      </c>
      <c r="AV1287">
        <v>1</v>
      </c>
      <c r="AW1287">
        <v>1</v>
      </c>
      <c r="AX1287">
        <v>0</v>
      </c>
      <c r="AY1287">
        <v>0</v>
      </c>
      <c r="AZ1287" t="s">
        <v>578</v>
      </c>
    </row>
    <row r="1288" spans="1:52" x14ac:dyDescent="0.2">
      <c r="A1288">
        <v>0</v>
      </c>
      <c r="B1288">
        <v>1</v>
      </c>
      <c r="C1288">
        <v>0</v>
      </c>
      <c r="D1288">
        <v>0</v>
      </c>
      <c r="E1288">
        <v>1</v>
      </c>
      <c r="F1288">
        <v>0</v>
      </c>
      <c r="G1288">
        <v>0</v>
      </c>
      <c r="H1288">
        <v>0</v>
      </c>
      <c r="I1288">
        <v>0</v>
      </c>
      <c r="L1288">
        <v>0</v>
      </c>
      <c r="M1288">
        <v>1</v>
      </c>
      <c r="N1288">
        <v>0</v>
      </c>
      <c r="O1288">
        <v>0</v>
      </c>
      <c r="P1288">
        <v>0</v>
      </c>
      <c r="Q1288" t="s">
        <v>584</v>
      </c>
      <c r="AA1288" t="s">
        <v>90</v>
      </c>
      <c r="AB1288" t="s">
        <v>81</v>
      </c>
      <c r="AC1288" t="s">
        <v>83</v>
      </c>
      <c r="AD1288" t="s">
        <v>81</v>
      </c>
      <c r="AE1288" t="s">
        <v>82</v>
      </c>
      <c r="AF1288" t="s">
        <v>90</v>
      </c>
      <c r="AG1288" t="s">
        <v>90</v>
      </c>
      <c r="AH1288" t="s">
        <v>83</v>
      </c>
      <c r="AI1288" t="s">
        <v>88</v>
      </c>
      <c r="AJ1288" t="s">
        <v>127</v>
      </c>
      <c r="AK1288" t="s">
        <v>85</v>
      </c>
      <c r="AL1288" t="s">
        <v>107</v>
      </c>
      <c r="AM1288" t="s">
        <v>74</v>
      </c>
      <c r="AR1288" t="s">
        <v>75</v>
      </c>
      <c r="AS1288" t="s">
        <v>76</v>
      </c>
      <c r="AT1288" t="s">
        <v>107</v>
      </c>
      <c r="AU1288">
        <v>0</v>
      </c>
      <c r="AV1288">
        <v>0</v>
      </c>
      <c r="AW1288">
        <v>0</v>
      </c>
      <c r="AX1288">
        <v>1</v>
      </c>
      <c r="AY1288">
        <v>0</v>
      </c>
      <c r="AZ1288" t="s">
        <v>579</v>
      </c>
    </row>
    <row r="1289" spans="1:52" x14ac:dyDescent="0.2">
      <c r="A1289">
        <v>1</v>
      </c>
      <c r="B1289">
        <v>0</v>
      </c>
      <c r="C1289">
        <v>0</v>
      </c>
      <c r="D1289">
        <v>0</v>
      </c>
      <c r="E1289">
        <v>0</v>
      </c>
      <c r="F1289">
        <v>0</v>
      </c>
      <c r="G1289">
        <v>0</v>
      </c>
      <c r="H1289">
        <v>0</v>
      </c>
      <c r="I1289">
        <v>1</v>
      </c>
      <c r="J1289" t="s">
        <v>88</v>
      </c>
      <c r="K1289" t="s">
        <v>89</v>
      </c>
      <c r="L1289">
        <v>1</v>
      </c>
      <c r="M1289">
        <v>0</v>
      </c>
      <c r="N1289">
        <v>0</v>
      </c>
      <c r="O1289">
        <v>0</v>
      </c>
      <c r="P1289">
        <v>0</v>
      </c>
      <c r="Q1289" t="s">
        <v>584</v>
      </c>
      <c r="R1289">
        <v>1</v>
      </c>
      <c r="S1289">
        <v>0</v>
      </c>
      <c r="T1289">
        <v>0</v>
      </c>
      <c r="U1289">
        <v>0</v>
      </c>
      <c r="V1289">
        <v>0</v>
      </c>
      <c r="W1289">
        <v>0</v>
      </c>
      <c r="X1289">
        <v>0</v>
      </c>
      <c r="Y1289">
        <v>0</v>
      </c>
      <c r="Z1289">
        <v>0</v>
      </c>
      <c r="AL1289" t="s">
        <v>252</v>
      </c>
      <c r="AM1289" t="s">
        <v>86</v>
      </c>
      <c r="AN1289" t="s">
        <v>86</v>
      </c>
      <c r="AO1289" t="s">
        <v>86</v>
      </c>
      <c r="AP1289" t="s">
        <v>86</v>
      </c>
      <c r="AQ1289" t="s">
        <v>86</v>
      </c>
      <c r="AR1289" t="s">
        <v>113</v>
      </c>
      <c r="AS1289" t="s">
        <v>92</v>
      </c>
      <c r="AT1289" t="s">
        <v>252</v>
      </c>
      <c r="AU1289">
        <v>0</v>
      </c>
      <c r="AV1289">
        <v>0</v>
      </c>
      <c r="AW1289">
        <v>0</v>
      </c>
      <c r="AX1289">
        <v>0</v>
      </c>
      <c r="AY1289">
        <v>1</v>
      </c>
      <c r="AZ1289" t="s">
        <v>578</v>
      </c>
    </row>
    <row r="1290" spans="1:52" x14ac:dyDescent="0.2">
      <c r="A1290">
        <v>1</v>
      </c>
      <c r="B1290">
        <v>0</v>
      </c>
      <c r="C1290">
        <v>0</v>
      </c>
      <c r="D1290">
        <v>0</v>
      </c>
      <c r="E1290">
        <v>0</v>
      </c>
      <c r="F1290">
        <v>1</v>
      </c>
      <c r="G1290">
        <v>1</v>
      </c>
      <c r="H1290">
        <v>0</v>
      </c>
      <c r="I1290">
        <v>1</v>
      </c>
      <c r="J1290" t="s">
        <v>88</v>
      </c>
      <c r="K1290" t="s">
        <v>89</v>
      </c>
      <c r="L1290">
        <v>0</v>
      </c>
      <c r="M1290">
        <v>1</v>
      </c>
      <c r="N1290">
        <v>0</v>
      </c>
      <c r="O1290">
        <v>0</v>
      </c>
      <c r="P1290">
        <v>0</v>
      </c>
      <c r="Q1290" t="s">
        <v>584</v>
      </c>
      <c r="AA1290" t="s">
        <v>90</v>
      </c>
      <c r="AB1290" t="s">
        <v>82</v>
      </c>
      <c r="AC1290" t="s">
        <v>83</v>
      </c>
      <c r="AD1290" t="s">
        <v>81</v>
      </c>
      <c r="AE1290" t="s">
        <v>90</v>
      </c>
      <c r="AF1290" t="s">
        <v>90</v>
      </c>
      <c r="AG1290" t="s">
        <v>90</v>
      </c>
      <c r="AH1290" t="s">
        <v>83</v>
      </c>
      <c r="AI1290" t="s">
        <v>88</v>
      </c>
      <c r="AJ1290" t="s">
        <v>89</v>
      </c>
      <c r="AK1290" t="s">
        <v>85</v>
      </c>
      <c r="AL1290" t="s">
        <v>73</v>
      </c>
      <c r="AM1290" t="s">
        <v>87</v>
      </c>
      <c r="AN1290" t="s">
        <v>87</v>
      </c>
      <c r="AO1290" t="s">
        <v>87</v>
      </c>
      <c r="AP1290" t="s">
        <v>74</v>
      </c>
      <c r="AQ1290" t="s">
        <v>87</v>
      </c>
      <c r="AR1290" t="s">
        <v>75</v>
      </c>
      <c r="AS1290" t="s">
        <v>92</v>
      </c>
      <c r="AT1290" t="s">
        <v>73</v>
      </c>
      <c r="AU1290">
        <v>0</v>
      </c>
      <c r="AV1290">
        <v>0</v>
      </c>
      <c r="AW1290">
        <v>0</v>
      </c>
      <c r="AX1290">
        <v>1</v>
      </c>
      <c r="AY1290">
        <v>0</v>
      </c>
      <c r="AZ1290" t="s">
        <v>578</v>
      </c>
    </row>
    <row r="1291" spans="1:52" x14ac:dyDescent="0.2">
      <c r="A1291">
        <v>1</v>
      </c>
      <c r="B1291">
        <v>0</v>
      </c>
      <c r="C1291">
        <v>0</v>
      </c>
      <c r="D1291">
        <v>0</v>
      </c>
      <c r="E1291">
        <v>0</v>
      </c>
      <c r="F1291">
        <v>0</v>
      </c>
      <c r="G1291">
        <v>1</v>
      </c>
      <c r="H1291">
        <v>0</v>
      </c>
      <c r="I1291">
        <v>0</v>
      </c>
      <c r="J1291" t="s">
        <v>88</v>
      </c>
      <c r="K1291" t="s">
        <v>89</v>
      </c>
      <c r="L1291">
        <v>1</v>
      </c>
      <c r="M1291">
        <v>0</v>
      </c>
      <c r="N1291">
        <v>0</v>
      </c>
      <c r="O1291">
        <v>0</v>
      </c>
      <c r="P1291">
        <v>0</v>
      </c>
      <c r="Q1291" t="s">
        <v>584</v>
      </c>
      <c r="R1291">
        <v>0</v>
      </c>
      <c r="S1291">
        <v>0</v>
      </c>
      <c r="T1291">
        <v>1</v>
      </c>
      <c r="U1291">
        <v>0</v>
      </c>
      <c r="V1291">
        <v>1</v>
      </c>
      <c r="W1291">
        <v>0</v>
      </c>
      <c r="X1291">
        <v>0</v>
      </c>
      <c r="Y1291">
        <v>0</v>
      </c>
      <c r="Z1291">
        <v>0</v>
      </c>
      <c r="AL1291" t="s">
        <v>73</v>
      </c>
      <c r="AM1291" t="s">
        <v>87</v>
      </c>
      <c r="AN1291" t="s">
        <v>87</v>
      </c>
      <c r="AO1291" t="s">
        <v>87</v>
      </c>
      <c r="AP1291" t="s">
        <v>87</v>
      </c>
      <c r="AQ1291" t="s">
        <v>87</v>
      </c>
      <c r="AR1291" t="s">
        <v>75</v>
      </c>
      <c r="AS1291" t="s">
        <v>92</v>
      </c>
      <c r="AT1291" t="s">
        <v>73</v>
      </c>
      <c r="AU1291">
        <v>0</v>
      </c>
      <c r="AV1291">
        <v>0</v>
      </c>
      <c r="AW1291">
        <v>0</v>
      </c>
      <c r="AX1291">
        <v>1</v>
      </c>
      <c r="AY1291">
        <v>0</v>
      </c>
      <c r="AZ1291" t="s">
        <v>579</v>
      </c>
    </row>
    <row r="1292" spans="1:52" x14ac:dyDescent="0.2">
      <c r="A1292">
        <v>1</v>
      </c>
      <c r="B1292">
        <v>0</v>
      </c>
      <c r="C1292">
        <v>0</v>
      </c>
      <c r="D1292">
        <v>0</v>
      </c>
      <c r="E1292">
        <v>0</v>
      </c>
      <c r="F1292">
        <v>1</v>
      </c>
      <c r="G1292">
        <v>0</v>
      </c>
      <c r="H1292">
        <v>0</v>
      </c>
      <c r="I1292">
        <v>0</v>
      </c>
      <c r="J1292" t="s">
        <v>88</v>
      </c>
      <c r="K1292" t="s">
        <v>89</v>
      </c>
      <c r="L1292">
        <v>0</v>
      </c>
      <c r="M1292">
        <v>1</v>
      </c>
      <c r="N1292">
        <v>0</v>
      </c>
      <c r="O1292">
        <v>0</v>
      </c>
      <c r="P1292">
        <v>0</v>
      </c>
      <c r="Q1292" t="s">
        <v>584</v>
      </c>
      <c r="AA1292" t="s">
        <v>83</v>
      </c>
      <c r="AB1292" t="s">
        <v>82</v>
      </c>
      <c r="AC1292" t="s">
        <v>83</v>
      </c>
      <c r="AD1292" t="s">
        <v>81</v>
      </c>
      <c r="AE1292" t="s">
        <v>83</v>
      </c>
      <c r="AF1292" t="s">
        <v>83</v>
      </c>
      <c r="AG1292" t="s">
        <v>83</v>
      </c>
      <c r="AH1292" t="s">
        <v>81</v>
      </c>
      <c r="AI1292" t="s">
        <v>88</v>
      </c>
      <c r="AJ1292" t="s">
        <v>89</v>
      </c>
      <c r="AK1292" t="s">
        <v>85</v>
      </c>
      <c r="AL1292" t="s">
        <v>107</v>
      </c>
      <c r="AM1292" t="s">
        <v>87</v>
      </c>
      <c r="AN1292" t="s">
        <v>87</v>
      </c>
      <c r="AO1292" t="s">
        <v>87</v>
      </c>
      <c r="AP1292" t="s">
        <v>74</v>
      </c>
      <c r="AQ1292" t="s">
        <v>87</v>
      </c>
      <c r="AR1292" t="s">
        <v>75</v>
      </c>
      <c r="AS1292" t="s">
        <v>92</v>
      </c>
      <c r="AT1292" t="s">
        <v>107</v>
      </c>
      <c r="AU1292">
        <v>0</v>
      </c>
      <c r="AV1292">
        <v>0</v>
      </c>
      <c r="AW1292">
        <v>0</v>
      </c>
      <c r="AX1292">
        <v>1</v>
      </c>
      <c r="AY1292">
        <v>0</v>
      </c>
      <c r="AZ1292" t="s">
        <v>579</v>
      </c>
    </row>
    <row r="1293" spans="1:52" x14ac:dyDescent="0.2">
      <c r="A1293">
        <v>0</v>
      </c>
      <c r="B1293">
        <v>1</v>
      </c>
      <c r="C1293">
        <v>0</v>
      </c>
      <c r="D1293">
        <v>0</v>
      </c>
      <c r="E1293">
        <v>0</v>
      </c>
      <c r="F1293">
        <v>1</v>
      </c>
      <c r="G1293">
        <v>0</v>
      </c>
      <c r="H1293">
        <v>1</v>
      </c>
      <c r="I1293">
        <v>0</v>
      </c>
      <c r="J1293" t="s">
        <v>135</v>
      </c>
      <c r="K1293" t="s">
        <v>80</v>
      </c>
      <c r="L1293">
        <v>0</v>
      </c>
      <c r="M1293">
        <v>0</v>
      </c>
      <c r="N1293">
        <v>0</v>
      </c>
      <c r="O1293">
        <v>0</v>
      </c>
      <c r="P1293">
        <v>0</v>
      </c>
      <c r="Q1293" t="s">
        <v>585</v>
      </c>
      <c r="AA1293" t="s">
        <v>83</v>
      </c>
      <c r="AB1293" t="s">
        <v>81</v>
      </c>
      <c r="AC1293" t="s">
        <v>83</v>
      </c>
      <c r="AD1293" t="s">
        <v>81</v>
      </c>
      <c r="AE1293" t="s">
        <v>82</v>
      </c>
      <c r="AF1293" t="s">
        <v>83</v>
      </c>
      <c r="AG1293" t="s">
        <v>83</v>
      </c>
      <c r="AH1293" t="s">
        <v>83</v>
      </c>
      <c r="AI1293" t="s">
        <v>135</v>
      </c>
      <c r="AJ1293" t="s">
        <v>80</v>
      </c>
      <c r="AK1293" t="s">
        <v>85</v>
      </c>
      <c r="AL1293" t="s">
        <v>73</v>
      </c>
      <c r="AM1293" t="s">
        <v>87</v>
      </c>
      <c r="AN1293" t="s">
        <v>87</v>
      </c>
      <c r="AO1293" t="s">
        <v>87</v>
      </c>
      <c r="AP1293" t="s">
        <v>87</v>
      </c>
      <c r="AQ1293" t="s">
        <v>87</v>
      </c>
      <c r="AR1293" t="s">
        <v>75</v>
      </c>
      <c r="AS1293" t="s">
        <v>92</v>
      </c>
      <c r="AT1293" t="s">
        <v>73</v>
      </c>
      <c r="AU1293">
        <v>0</v>
      </c>
      <c r="AV1293">
        <v>0</v>
      </c>
      <c r="AW1293">
        <v>0</v>
      </c>
      <c r="AX1293">
        <v>1</v>
      </c>
      <c r="AY1293">
        <v>0</v>
      </c>
      <c r="AZ1293" t="s">
        <v>579</v>
      </c>
    </row>
    <row r="1294" spans="1:52" x14ac:dyDescent="0.2">
      <c r="A1294">
        <v>0</v>
      </c>
      <c r="B1294">
        <v>1</v>
      </c>
      <c r="C1294">
        <v>0</v>
      </c>
      <c r="D1294">
        <v>0</v>
      </c>
      <c r="E1294">
        <v>0</v>
      </c>
      <c r="F1294">
        <v>1</v>
      </c>
      <c r="G1294">
        <v>0</v>
      </c>
      <c r="H1294">
        <v>0</v>
      </c>
      <c r="I1294">
        <v>1</v>
      </c>
      <c r="J1294" t="s">
        <v>79</v>
      </c>
      <c r="K1294" t="s">
        <v>80</v>
      </c>
      <c r="L1294">
        <v>0</v>
      </c>
      <c r="M1294">
        <v>1</v>
      </c>
      <c r="N1294">
        <v>0</v>
      </c>
      <c r="O1294">
        <v>0</v>
      </c>
      <c r="P1294">
        <v>0</v>
      </c>
      <c r="Q1294" t="s">
        <v>585</v>
      </c>
      <c r="AA1294" t="s">
        <v>83</v>
      </c>
      <c r="AB1294" t="s">
        <v>81</v>
      </c>
      <c r="AC1294" t="s">
        <v>83</v>
      </c>
      <c r="AD1294" t="s">
        <v>81</v>
      </c>
      <c r="AE1294" t="s">
        <v>82</v>
      </c>
      <c r="AF1294" t="s">
        <v>81</v>
      </c>
      <c r="AG1294" t="s">
        <v>83</v>
      </c>
      <c r="AH1294" t="s">
        <v>90</v>
      </c>
      <c r="AI1294" t="s">
        <v>88</v>
      </c>
      <c r="AJ1294" t="s">
        <v>80</v>
      </c>
      <c r="AK1294" t="s">
        <v>85</v>
      </c>
      <c r="AL1294" t="s">
        <v>107</v>
      </c>
      <c r="AM1294" t="s">
        <v>87</v>
      </c>
      <c r="AN1294" t="s">
        <v>87</v>
      </c>
      <c r="AO1294" t="s">
        <v>74</v>
      </c>
      <c r="AP1294" t="s">
        <v>86</v>
      </c>
      <c r="AQ1294" t="s">
        <v>86</v>
      </c>
      <c r="AR1294" t="s">
        <v>75</v>
      </c>
      <c r="AS1294" t="s">
        <v>92</v>
      </c>
      <c r="AT1294" t="s">
        <v>107</v>
      </c>
      <c r="AU1294">
        <v>0</v>
      </c>
      <c r="AV1294">
        <v>0</v>
      </c>
      <c r="AW1294">
        <v>0</v>
      </c>
      <c r="AX1294">
        <v>0</v>
      </c>
      <c r="AY1294">
        <v>1</v>
      </c>
      <c r="AZ1294" t="s">
        <v>579</v>
      </c>
    </row>
    <row r="1295" spans="1:52" x14ac:dyDescent="0.2">
      <c r="A1295">
        <v>1</v>
      </c>
      <c r="B1295">
        <v>0</v>
      </c>
      <c r="C1295">
        <v>0</v>
      </c>
      <c r="D1295">
        <v>0</v>
      </c>
      <c r="E1295">
        <v>0</v>
      </c>
      <c r="F1295">
        <v>1</v>
      </c>
      <c r="G1295">
        <v>0</v>
      </c>
      <c r="H1295">
        <v>0</v>
      </c>
      <c r="I1295">
        <v>0</v>
      </c>
      <c r="J1295" t="s">
        <v>88</v>
      </c>
      <c r="K1295" t="s">
        <v>142</v>
      </c>
      <c r="L1295">
        <v>0</v>
      </c>
      <c r="M1295">
        <v>0</v>
      </c>
      <c r="N1295">
        <v>1</v>
      </c>
      <c r="O1295">
        <v>0</v>
      </c>
      <c r="P1295">
        <v>0</v>
      </c>
      <c r="Q1295" t="s">
        <v>584</v>
      </c>
      <c r="AA1295" t="s">
        <v>83</v>
      </c>
      <c r="AB1295" t="s">
        <v>81</v>
      </c>
      <c r="AC1295" t="s">
        <v>81</v>
      </c>
      <c r="AD1295" t="s">
        <v>81</v>
      </c>
      <c r="AE1295" t="s">
        <v>82</v>
      </c>
      <c r="AF1295" t="s">
        <v>83</v>
      </c>
      <c r="AG1295" t="s">
        <v>83</v>
      </c>
      <c r="AH1295" t="s">
        <v>83</v>
      </c>
      <c r="AI1295" t="s">
        <v>88</v>
      </c>
      <c r="AJ1295" t="s">
        <v>89</v>
      </c>
      <c r="AK1295" t="s">
        <v>85</v>
      </c>
      <c r="AL1295" t="s">
        <v>107</v>
      </c>
      <c r="AM1295" t="s">
        <v>87</v>
      </c>
      <c r="AN1295" t="s">
        <v>87</v>
      </c>
      <c r="AO1295" t="s">
        <v>87</v>
      </c>
      <c r="AP1295" t="s">
        <v>87</v>
      </c>
      <c r="AQ1295" t="s">
        <v>87</v>
      </c>
      <c r="AR1295" t="s">
        <v>75</v>
      </c>
      <c r="AS1295" t="s">
        <v>92</v>
      </c>
      <c r="AT1295" t="s">
        <v>107</v>
      </c>
      <c r="AU1295">
        <v>0</v>
      </c>
      <c r="AV1295">
        <v>0</v>
      </c>
      <c r="AW1295">
        <v>0</v>
      </c>
      <c r="AX1295">
        <v>1</v>
      </c>
      <c r="AY1295">
        <v>0</v>
      </c>
      <c r="AZ1295" t="s">
        <v>579</v>
      </c>
    </row>
    <row r="1296" spans="1:52" x14ac:dyDescent="0.2">
      <c r="A1296">
        <v>1</v>
      </c>
      <c r="B1296">
        <v>0</v>
      </c>
      <c r="C1296">
        <v>0</v>
      </c>
      <c r="D1296">
        <v>0</v>
      </c>
      <c r="E1296">
        <v>0</v>
      </c>
      <c r="F1296">
        <v>0</v>
      </c>
      <c r="G1296">
        <v>0</v>
      </c>
      <c r="H1296">
        <v>0</v>
      </c>
      <c r="I1296">
        <v>1</v>
      </c>
      <c r="J1296" t="s">
        <v>135</v>
      </c>
      <c r="K1296" t="s">
        <v>223</v>
      </c>
      <c r="L1296">
        <v>1</v>
      </c>
      <c r="M1296">
        <v>0</v>
      </c>
      <c r="N1296">
        <v>0</v>
      </c>
      <c r="O1296">
        <v>0</v>
      </c>
      <c r="P1296">
        <v>0</v>
      </c>
      <c r="Q1296" t="s">
        <v>584</v>
      </c>
      <c r="R1296">
        <v>0</v>
      </c>
      <c r="S1296">
        <v>0</v>
      </c>
      <c r="T1296">
        <v>0</v>
      </c>
      <c r="U1296">
        <v>0</v>
      </c>
      <c r="V1296">
        <v>0</v>
      </c>
      <c r="W1296">
        <v>0</v>
      </c>
      <c r="X1296">
        <v>0</v>
      </c>
      <c r="Y1296">
        <v>1</v>
      </c>
      <c r="Z1296">
        <v>0</v>
      </c>
      <c r="AL1296" t="s">
        <v>107</v>
      </c>
      <c r="AM1296" t="s">
        <v>74</v>
      </c>
      <c r="AR1296" t="s">
        <v>75</v>
      </c>
      <c r="AS1296" t="s">
        <v>92</v>
      </c>
      <c r="AT1296" t="s">
        <v>107</v>
      </c>
      <c r="AU1296">
        <v>0</v>
      </c>
      <c r="AV1296">
        <v>0</v>
      </c>
      <c r="AW1296">
        <v>0</v>
      </c>
      <c r="AX1296">
        <v>1</v>
      </c>
      <c r="AY1296">
        <v>0</v>
      </c>
      <c r="AZ1296" t="s">
        <v>579</v>
      </c>
    </row>
    <row r="1297" spans="1:52" x14ac:dyDescent="0.2">
      <c r="A1297">
        <v>0</v>
      </c>
      <c r="B1297">
        <v>1</v>
      </c>
      <c r="C1297">
        <v>0</v>
      </c>
      <c r="D1297">
        <v>0</v>
      </c>
      <c r="E1297">
        <v>0</v>
      </c>
      <c r="F1297">
        <v>0</v>
      </c>
      <c r="G1297">
        <v>1</v>
      </c>
      <c r="H1297">
        <v>0</v>
      </c>
      <c r="I1297">
        <v>0</v>
      </c>
      <c r="J1297" t="s">
        <v>79</v>
      </c>
      <c r="K1297" t="s">
        <v>80</v>
      </c>
      <c r="L1297">
        <v>0</v>
      </c>
      <c r="M1297">
        <v>0</v>
      </c>
      <c r="N1297">
        <v>0</v>
      </c>
      <c r="O1297">
        <v>0</v>
      </c>
      <c r="P1297">
        <v>1</v>
      </c>
      <c r="Q1297" t="s">
        <v>585</v>
      </c>
      <c r="AA1297" t="s">
        <v>83</v>
      </c>
      <c r="AB1297" t="s">
        <v>81</v>
      </c>
      <c r="AC1297" t="s">
        <v>82</v>
      </c>
      <c r="AD1297" t="s">
        <v>81</v>
      </c>
      <c r="AE1297" t="s">
        <v>81</v>
      </c>
      <c r="AF1297" t="s">
        <v>83</v>
      </c>
      <c r="AG1297" t="s">
        <v>83</v>
      </c>
      <c r="AH1297" t="s">
        <v>83</v>
      </c>
      <c r="AI1297" t="s">
        <v>88</v>
      </c>
      <c r="AJ1297" t="s">
        <v>89</v>
      </c>
      <c r="AK1297" t="s">
        <v>100</v>
      </c>
      <c r="AL1297" t="s">
        <v>120</v>
      </c>
      <c r="AM1297" t="s">
        <v>87</v>
      </c>
      <c r="AN1297" t="s">
        <v>87</v>
      </c>
      <c r="AO1297" t="s">
        <v>87</v>
      </c>
      <c r="AP1297" t="s">
        <v>87</v>
      </c>
      <c r="AQ1297" t="s">
        <v>87</v>
      </c>
      <c r="AR1297" t="s">
        <v>75</v>
      </c>
      <c r="AS1297" t="s">
        <v>92</v>
      </c>
      <c r="AT1297" t="s">
        <v>120</v>
      </c>
      <c r="AU1297">
        <v>0</v>
      </c>
      <c r="AV1297">
        <v>0</v>
      </c>
      <c r="AW1297">
        <v>0</v>
      </c>
      <c r="AX1297">
        <v>1</v>
      </c>
      <c r="AY1297">
        <v>0</v>
      </c>
      <c r="AZ1297" t="s">
        <v>579</v>
      </c>
    </row>
    <row r="1298" spans="1:52" x14ac:dyDescent="0.2">
      <c r="A1298">
        <v>1</v>
      </c>
      <c r="B1298">
        <v>0</v>
      </c>
      <c r="C1298">
        <v>0</v>
      </c>
      <c r="D1298">
        <v>0</v>
      </c>
      <c r="E1298">
        <v>0</v>
      </c>
      <c r="F1298">
        <v>1</v>
      </c>
      <c r="G1298">
        <v>0</v>
      </c>
      <c r="H1298">
        <v>1</v>
      </c>
      <c r="I1298">
        <v>1</v>
      </c>
      <c r="J1298" t="s">
        <v>88</v>
      </c>
      <c r="K1298" t="s">
        <v>89</v>
      </c>
      <c r="L1298">
        <v>0</v>
      </c>
      <c r="M1298">
        <v>0</v>
      </c>
      <c r="N1298">
        <v>1</v>
      </c>
      <c r="O1298">
        <v>0</v>
      </c>
      <c r="P1298">
        <v>0</v>
      </c>
      <c r="Q1298" t="s">
        <v>585</v>
      </c>
      <c r="AA1298" t="s">
        <v>83</v>
      </c>
      <c r="AB1298" t="s">
        <v>82</v>
      </c>
      <c r="AC1298" t="s">
        <v>81</v>
      </c>
      <c r="AD1298" t="s">
        <v>83</v>
      </c>
      <c r="AE1298" t="s">
        <v>81</v>
      </c>
      <c r="AF1298" t="s">
        <v>83</v>
      </c>
      <c r="AG1298" t="s">
        <v>81</v>
      </c>
      <c r="AH1298" t="s">
        <v>83</v>
      </c>
      <c r="AI1298" t="s">
        <v>88</v>
      </c>
      <c r="AJ1298" t="s">
        <v>89</v>
      </c>
      <c r="AK1298" t="s">
        <v>100</v>
      </c>
      <c r="AL1298" t="s">
        <v>73</v>
      </c>
      <c r="AM1298" t="s">
        <v>87</v>
      </c>
      <c r="AN1298" t="s">
        <v>87</v>
      </c>
      <c r="AO1298" t="s">
        <v>87</v>
      </c>
      <c r="AP1298" t="s">
        <v>87</v>
      </c>
      <c r="AQ1298" t="s">
        <v>87</v>
      </c>
      <c r="AR1298" t="s">
        <v>75</v>
      </c>
      <c r="AS1298" t="s">
        <v>92</v>
      </c>
      <c r="AT1298" t="s">
        <v>73</v>
      </c>
      <c r="AU1298">
        <v>0</v>
      </c>
      <c r="AV1298">
        <v>0</v>
      </c>
      <c r="AW1298">
        <v>0</v>
      </c>
      <c r="AX1298">
        <v>1</v>
      </c>
      <c r="AY1298">
        <v>0</v>
      </c>
      <c r="AZ1298" t="s">
        <v>579</v>
      </c>
    </row>
    <row r="1299" spans="1:52" x14ac:dyDescent="0.2">
      <c r="A1299">
        <v>1</v>
      </c>
      <c r="B1299">
        <v>0</v>
      </c>
      <c r="C1299">
        <v>0</v>
      </c>
      <c r="D1299">
        <v>0</v>
      </c>
      <c r="E1299">
        <v>0</v>
      </c>
      <c r="F1299">
        <v>1</v>
      </c>
      <c r="G1299">
        <v>0</v>
      </c>
      <c r="H1299">
        <v>1</v>
      </c>
      <c r="I1299">
        <v>0</v>
      </c>
      <c r="J1299" t="s">
        <v>79</v>
      </c>
      <c r="K1299" t="s">
        <v>80</v>
      </c>
      <c r="L1299">
        <v>0</v>
      </c>
      <c r="M1299">
        <v>0</v>
      </c>
      <c r="N1299">
        <v>1</v>
      </c>
      <c r="O1299">
        <v>0</v>
      </c>
      <c r="P1299">
        <v>0</v>
      </c>
      <c r="Q1299" t="s">
        <v>584</v>
      </c>
      <c r="AA1299" t="s">
        <v>81</v>
      </c>
      <c r="AB1299" t="s">
        <v>81</v>
      </c>
      <c r="AC1299" t="s">
        <v>81</v>
      </c>
      <c r="AD1299" t="s">
        <v>82</v>
      </c>
      <c r="AE1299" t="s">
        <v>82</v>
      </c>
      <c r="AF1299" t="s">
        <v>82</v>
      </c>
      <c r="AG1299" t="s">
        <v>82</v>
      </c>
      <c r="AH1299" t="s">
        <v>83</v>
      </c>
      <c r="AI1299" t="s">
        <v>88</v>
      </c>
      <c r="AJ1299" t="s">
        <v>89</v>
      </c>
      <c r="AK1299" t="s">
        <v>100</v>
      </c>
      <c r="AL1299" t="s">
        <v>73</v>
      </c>
      <c r="AM1299" t="s">
        <v>86</v>
      </c>
      <c r="AN1299" t="s">
        <v>86</v>
      </c>
      <c r="AO1299" t="s">
        <v>87</v>
      </c>
      <c r="AP1299" t="s">
        <v>87</v>
      </c>
      <c r="AQ1299" t="s">
        <v>74</v>
      </c>
      <c r="AR1299" t="s">
        <v>75</v>
      </c>
      <c r="AS1299" t="s">
        <v>92</v>
      </c>
      <c r="AT1299" t="s">
        <v>73</v>
      </c>
      <c r="AU1299">
        <v>0</v>
      </c>
      <c r="AV1299">
        <v>0</v>
      </c>
      <c r="AW1299">
        <v>0</v>
      </c>
      <c r="AX1299">
        <v>1</v>
      </c>
      <c r="AY1299">
        <v>0</v>
      </c>
      <c r="AZ1299" t="s">
        <v>579</v>
      </c>
    </row>
    <row r="1300" spans="1:52" x14ac:dyDescent="0.2">
      <c r="A1300">
        <v>1</v>
      </c>
      <c r="B1300">
        <v>0</v>
      </c>
      <c r="C1300">
        <v>0</v>
      </c>
      <c r="D1300">
        <v>0</v>
      </c>
      <c r="E1300">
        <v>0</v>
      </c>
      <c r="F1300">
        <v>1</v>
      </c>
      <c r="G1300">
        <v>0</v>
      </c>
      <c r="H1300">
        <v>0</v>
      </c>
      <c r="I1300">
        <v>0</v>
      </c>
      <c r="J1300" t="s">
        <v>88</v>
      </c>
      <c r="K1300" t="s">
        <v>142</v>
      </c>
      <c r="L1300">
        <v>0</v>
      </c>
      <c r="M1300">
        <v>1</v>
      </c>
      <c r="N1300">
        <v>0</v>
      </c>
      <c r="O1300">
        <v>0</v>
      </c>
      <c r="P1300">
        <v>0</v>
      </c>
      <c r="Q1300" t="s">
        <v>584</v>
      </c>
      <c r="AA1300" t="s">
        <v>83</v>
      </c>
      <c r="AB1300" t="s">
        <v>82</v>
      </c>
      <c r="AC1300" t="s">
        <v>81</v>
      </c>
      <c r="AD1300" t="s">
        <v>90</v>
      </c>
      <c r="AE1300" t="s">
        <v>83</v>
      </c>
      <c r="AF1300" t="s">
        <v>83</v>
      </c>
      <c r="AG1300" t="s">
        <v>90</v>
      </c>
      <c r="AH1300" t="s">
        <v>83</v>
      </c>
      <c r="AI1300" t="s">
        <v>88</v>
      </c>
      <c r="AJ1300" t="s">
        <v>89</v>
      </c>
      <c r="AK1300" t="s">
        <v>100</v>
      </c>
      <c r="AL1300" t="s">
        <v>107</v>
      </c>
      <c r="AM1300" t="s">
        <v>86</v>
      </c>
      <c r="AN1300" t="s">
        <v>86</v>
      </c>
      <c r="AO1300" t="s">
        <v>86</v>
      </c>
      <c r="AP1300" t="s">
        <v>86</v>
      </c>
      <c r="AQ1300" t="s">
        <v>86</v>
      </c>
      <c r="AR1300" t="s">
        <v>75</v>
      </c>
      <c r="AS1300" t="s">
        <v>92</v>
      </c>
      <c r="AT1300" t="s">
        <v>107</v>
      </c>
      <c r="AU1300">
        <v>0</v>
      </c>
      <c r="AV1300">
        <v>0</v>
      </c>
      <c r="AW1300">
        <v>0</v>
      </c>
      <c r="AX1300">
        <v>1</v>
      </c>
      <c r="AY1300">
        <v>0</v>
      </c>
      <c r="AZ1300" t="s">
        <v>579</v>
      </c>
    </row>
    <row r="1301" spans="1:52" x14ac:dyDescent="0.2">
      <c r="A1301">
        <v>1</v>
      </c>
      <c r="B1301">
        <v>0</v>
      </c>
      <c r="C1301">
        <v>0</v>
      </c>
      <c r="D1301">
        <v>0</v>
      </c>
      <c r="E1301">
        <v>0</v>
      </c>
      <c r="F1301">
        <v>1</v>
      </c>
      <c r="G1301">
        <v>1</v>
      </c>
      <c r="H1301">
        <v>0</v>
      </c>
      <c r="I1301">
        <v>0</v>
      </c>
      <c r="J1301" t="s">
        <v>88</v>
      </c>
      <c r="K1301" t="s">
        <v>89</v>
      </c>
      <c r="L1301">
        <v>0</v>
      </c>
      <c r="M1301">
        <v>0</v>
      </c>
      <c r="N1301">
        <v>1</v>
      </c>
      <c r="O1301">
        <v>0</v>
      </c>
      <c r="P1301">
        <v>0</v>
      </c>
      <c r="Q1301" t="s">
        <v>584</v>
      </c>
      <c r="AA1301" t="s">
        <v>83</v>
      </c>
      <c r="AB1301" t="s">
        <v>82</v>
      </c>
      <c r="AC1301" t="s">
        <v>83</v>
      </c>
      <c r="AD1301" t="s">
        <v>81</v>
      </c>
      <c r="AE1301" t="s">
        <v>81</v>
      </c>
      <c r="AF1301" t="s">
        <v>83</v>
      </c>
      <c r="AG1301" t="s">
        <v>83</v>
      </c>
      <c r="AH1301" t="s">
        <v>83</v>
      </c>
      <c r="AI1301" t="s">
        <v>88</v>
      </c>
      <c r="AJ1301" t="s">
        <v>89</v>
      </c>
      <c r="AK1301" t="s">
        <v>85</v>
      </c>
      <c r="AL1301" t="s">
        <v>73</v>
      </c>
      <c r="AM1301" t="s">
        <v>87</v>
      </c>
      <c r="AN1301" t="s">
        <v>87</v>
      </c>
      <c r="AO1301" t="s">
        <v>87</v>
      </c>
      <c r="AP1301" t="s">
        <v>87</v>
      </c>
      <c r="AQ1301" t="s">
        <v>86</v>
      </c>
      <c r="AR1301" t="s">
        <v>108</v>
      </c>
      <c r="AS1301" t="s">
        <v>76</v>
      </c>
      <c r="AT1301" t="s">
        <v>73</v>
      </c>
      <c r="AU1301">
        <v>0</v>
      </c>
      <c r="AV1301">
        <v>0</v>
      </c>
      <c r="AW1301">
        <v>0</v>
      </c>
      <c r="AX1301">
        <v>1</v>
      </c>
      <c r="AY1301">
        <v>0</v>
      </c>
      <c r="AZ1301" t="s">
        <v>578</v>
      </c>
    </row>
    <row r="1302" spans="1:52" x14ac:dyDescent="0.2">
      <c r="A1302">
        <v>0</v>
      </c>
      <c r="B1302">
        <v>1</v>
      </c>
      <c r="C1302">
        <v>0</v>
      </c>
      <c r="D1302">
        <v>0</v>
      </c>
      <c r="E1302">
        <v>1</v>
      </c>
      <c r="F1302">
        <v>0</v>
      </c>
      <c r="G1302">
        <v>0</v>
      </c>
      <c r="H1302">
        <v>0</v>
      </c>
      <c r="I1302">
        <v>0</v>
      </c>
      <c r="L1302">
        <v>1</v>
      </c>
      <c r="M1302">
        <v>0</v>
      </c>
      <c r="N1302">
        <v>0</v>
      </c>
      <c r="O1302">
        <v>0</v>
      </c>
      <c r="P1302">
        <v>0</v>
      </c>
      <c r="Q1302" t="s">
        <v>584</v>
      </c>
      <c r="R1302">
        <v>0</v>
      </c>
      <c r="S1302">
        <v>0</v>
      </c>
      <c r="T1302">
        <v>1</v>
      </c>
      <c r="U1302">
        <v>0</v>
      </c>
      <c r="V1302">
        <v>0</v>
      </c>
      <c r="W1302">
        <v>0</v>
      </c>
      <c r="X1302">
        <v>0</v>
      </c>
      <c r="Y1302">
        <v>0</v>
      </c>
      <c r="Z1302">
        <v>0</v>
      </c>
      <c r="AL1302" t="s">
        <v>107</v>
      </c>
      <c r="AM1302" t="s">
        <v>86</v>
      </c>
      <c r="AN1302" t="s">
        <v>86</v>
      </c>
      <c r="AO1302" t="s">
        <v>74</v>
      </c>
      <c r="AP1302" t="s">
        <v>86</v>
      </c>
      <c r="AQ1302" t="s">
        <v>74</v>
      </c>
      <c r="AR1302" t="s">
        <v>75</v>
      </c>
      <c r="AS1302" t="s">
        <v>92</v>
      </c>
      <c r="AT1302" t="s">
        <v>107</v>
      </c>
      <c r="AU1302">
        <v>0</v>
      </c>
      <c r="AV1302">
        <v>0</v>
      </c>
      <c r="AW1302">
        <v>0</v>
      </c>
      <c r="AX1302">
        <v>1</v>
      </c>
      <c r="AY1302">
        <v>0</v>
      </c>
      <c r="AZ1302" t="s">
        <v>579</v>
      </c>
    </row>
    <row r="1303" spans="1:52" x14ac:dyDescent="0.2">
      <c r="A1303">
        <v>0</v>
      </c>
      <c r="B1303">
        <v>1</v>
      </c>
      <c r="C1303">
        <v>0</v>
      </c>
      <c r="D1303">
        <v>0</v>
      </c>
      <c r="E1303">
        <v>0</v>
      </c>
      <c r="F1303">
        <v>1</v>
      </c>
      <c r="G1303">
        <v>1</v>
      </c>
      <c r="H1303">
        <v>1</v>
      </c>
      <c r="I1303">
        <v>0</v>
      </c>
      <c r="J1303" t="s">
        <v>127</v>
      </c>
      <c r="K1303" t="s">
        <v>127</v>
      </c>
      <c r="L1303">
        <v>0</v>
      </c>
      <c r="M1303">
        <v>0</v>
      </c>
      <c r="N1303">
        <v>0</v>
      </c>
      <c r="O1303">
        <v>1</v>
      </c>
      <c r="P1303">
        <v>0</v>
      </c>
      <c r="Q1303" t="s">
        <v>584</v>
      </c>
      <c r="AA1303" t="s">
        <v>83</v>
      </c>
      <c r="AB1303" t="s">
        <v>82</v>
      </c>
      <c r="AC1303" t="s">
        <v>82</v>
      </c>
      <c r="AD1303" t="s">
        <v>82</v>
      </c>
      <c r="AE1303" t="s">
        <v>83</v>
      </c>
      <c r="AF1303" t="s">
        <v>83</v>
      </c>
      <c r="AG1303" t="s">
        <v>81</v>
      </c>
      <c r="AH1303" t="s">
        <v>83</v>
      </c>
      <c r="AI1303" t="s">
        <v>88</v>
      </c>
      <c r="AJ1303" t="s">
        <v>89</v>
      </c>
      <c r="AK1303" t="s">
        <v>100</v>
      </c>
      <c r="AL1303" t="s">
        <v>96</v>
      </c>
      <c r="AM1303" t="s">
        <v>87</v>
      </c>
      <c r="AN1303" t="s">
        <v>87</v>
      </c>
      <c r="AO1303" t="s">
        <v>87</v>
      </c>
      <c r="AP1303" t="s">
        <v>87</v>
      </c>
      <c r="AQ1303" t="s">
        <v>87</v>
      </c>
      <c r="AR1303" t="s">
        <v>75</v>
      </c>
      <c r="AS1303" t="s">
        <v>92</v>
      </c>
      <c r="AT1303" t="s">
        <v>96</v>
      </c>
      <c r="AU1303">
        <v>0</v>
      </c>
      <c r="AV1303">
        <v>0</v>
      </c>
      <c r="AW1303">
        <v>0</v>
      </c>
      <c r="AX1303">
        <v>1</v>
      </c>
      <c r="AY1303">
        <v>0</v>
      </c>
      <c r="AZ1303" t="s">
        <v>579</v>
      </c>
    </row>
    <row r="1304" spans="1:52" x14ac:dyDescent="0.2">
      <c r="A1304">
        <v>1</v>
      </c>
      <c r="B1304">
        <v>1</v>
      </c>
      <c r="C1304">
        <v>1</v>
      </c>
      <c r="D1304">
        <v>0</v>
      </c>
      <c r="E1304">
        <v>0</v>
      </c>
      <c r="F1304">
        <v>0</v>
      </c>
      <c r="G1304">
        <v>0</v>
      </c>
      <c r="H1304">
        <v>1</v>
      </c>
      <c r="I1304">
        <v>1</v>
      </c>
      <c r="J1304" t="s">
        <v>88</v>
      </c>
      <c r="K1304" t="s">
        <v>89</v>
      </c>
      <c r="L1304">
        <v>0</v>
      </c>
      <c r="M1304">
        <v>0</v>
      </c>
      <c r="N1304">
        <v>0</v>
      </c>
      <c r="O1304">
        <v>0</v>
      </c>
      <c r="P1304">
        <v>0</v>
      </c>
      <c r="Q1304" t="s">
        <v>585</v>
      </c>
      <c r="AA1304" t="s">
        <v>81</v>
      </c>
      <c r="AB1304" t="s">
        <v>83</v>
      </c>
      <c r="AC1304" t="s">
        <v>81</v>
      </c>
      <c r="AD1304" t="s">
        <v>83</v>
      </c>
      <c r="AE1304" t="s">
        <v>81</v>
      </c>
      <c r="AF1304" t="s">
        <v>81</v>
      </c>
      <c r="AG1304" t="s">
        <v>82</v>
      </c>
      <c r="AH1304" t="s">
        <v>83</v>
      </c>
      <c r="AI1304" t="s">
        <v>88</v>
      </c>
      <c r="AJ1304" t="s">
        <v>89</v>
      </c>
      <c r="AK1304" t="s">
        <v>100</v>
      </c>
      <c r="AL1304" t="s">
        <v>96</v>
      </c>
      <c r="AM1304" t="s">
        <v>87</v>
      </c>
      <c r="AN1304" t="s">
        <v>86</v>
      </c>
      <c r="AO1304" t="s">
        <v>74</v>
      </c>
      <c r="AP1304" t="s">
        <v>87</v>
      </c>
      <c r="AQ1304" t="s">
        <v>74</v>
      </c>
      <c r="AR1304" t="s">
        <v>108</v>
      </c>
      <c r="AS1304" t="s">
        <v>76</v>
      </c>
      <c r="AT1304" t="s">
        <v>96</v>
      </c>
      <c r="AU1304">
        <v>0</v>
      </c>
      <c r="AV1304">
        <v>0</v>
      </c>
      <c r="AW1304">
        <v>0</v>
      </c>
      <c r="AX1304">
        <v>0</v>
      </c>
      <c r="AY1304">
        <v>1</v>
      </c>
      <c r="AZ1304" t="s">
        <v>579</v>
      </c>
    </row>
    <row r="1305" spans="1:52" x14ac:dyDescent="0.2">
      <c r="A1305">
        <v>0</v>
      </c>
      <c r="B1305">
        <v>1</v>
      </c>
      <c r="C1305">
        <v>0</v>
      </c>
      <c r="D1305">
        <v>0</v>
      </c>
      <c r="E1305">
        <v>0</v>
      </c>
      <c r="F1305">
        <v>1</v>
      </c>
      <c r="G1305">
        <v>1</v>
      </c>
      <c r="H1305">
        <v>1</v>
      </c>
      <c r="I1305">
        <v>0</v>
      </c>
      <c r="J1305" t="s">
        <v>88</v>
      </c>
      <c r="K1305" t="s">
        <v>89</v>
      </c>
      <c r="L1305">
        <v>0</v>
      </c>
      <c r="M1305">
        <v>0</v>
      </c>
      <c r="N1305">
        <v>0</v>
      </c>
      <c r="O1305">
        <v>0</v>
      </c>
      <c r="P1305">
        <v>1</v>
      </c>
      <c r="Q1305" t="s">
        <v>584</v>
      </c>
      <c r="AA1305" t="s">
        <v>83</v>
      </c>
      <c r="AB1305" t="s">
        <v>82</v>
      </c>
      <c r="AC1305" t="s">
        <v>82</v>
      </c>
      <c r="AD1305" t="s">
        <v>82</v>
      </c>
      <c r="AE1305" t="s">
        <v>83</v>
      </c>
      <c r="AF1305" t="s">
        <v>83</v>
      </c>
      <c r="AG1305" t="s">
        <v>90</v>
      </c>
      <c r="AH1305" t="s">
        <v>83</v>
      </c>
      <c r="AI1305" t="s">
        <v>88</v>
      </c>
      <c r="AJ1305" t="s">
        <v>89</v>
      </c>
      <c r="AK1305" t="s">
        <v>100</v>
      </c>
      <c r="AL1305" t="s">
        <v>107</v>
      </c>
      <c r="AM1305" t="s">
        <v>87</v>
      </c>
      <c r="AN1305" t="s">
        <v>86</v>
      </c>
      <c r="AO1305" t="s">
        <v>86</v>
      </c>
      <c r="AP1305" t="s">
        <v>86</v>
      </c>
      <c r="AQ1305" t="s">
        <v>86</v>
      </c>
      <c r="AR1305" t="s">
        <v>75</v>
      </c>
      <c r="AS1305" t="s">
        <v>76</v>
      </c>
      <c r="AT1305" t="s">
        <v>107</v>
      </c>
      <c r="AU1305">
        <v>0</v>
      </c>
      <c r="AV1305">
        <v>0</v>
      </c>
      <c r="AW1305">
        <v>0</v>
      </c>
      <c r="AX1305">
        <v>0</v>
      </c>
      <c r="AY1305">
        <v>1</v>
      </c>
      <c r="AZ1305" t="s">
        <v>579</v>
      </c>
    </row>
    <row r="1306" spans="1:52" x14ac:dyDescent="0.2">
      <c r="A1306">
        <v>1</v>
      </c>
      <c r="B1306">
        <v>0</v>
      </c>
      <c r="C1306">
        <v>0</v>
      </c>
      <c r="D1306">
        <v>0</v>
      </c>
      <c r="E1306">
        <v>0</v>
      </c>
      <c r="F1306">
        <v>1</v>
      </c>
      <c r="G1306">
        <v>0</v>
      </c>
      <c r="H1306">
        <v>0</v>
      </c>
      <c r="I1306">
        <v>0</v>
      </c>
      <c r="J1306" t="s">
        <v>88</v>
      </c>
      <c r="K1306" t="s">
        <v>89</v>
      </c>
      <c r="L1306">
        <v>1</v>
      </c>
      <c r="M1306">
        <v>0</v>
      </c>
      <c r="N1306">
        <v>0</v>
      </c>
      <c r="O1306">
        <v>0</v>
      </c>
      <c r="P1306">
        <v>0</v>
      </c>
      <c r="Q1306" t="s">
        <v>584</v>
      </c>
      <c r="R1306">
        <v>0</v>
      </c>
      <c r="S1306">
        <v>1</v>
      </c>
      <c r="T1306">
        <v>0</v>
      </c>
      <c r="U1306">
        <v>0</v>
      </c>
      <c r="V1306">
        <v>0</v>
      </c>
      <c r="W1306">
        <v>0</v>
      </c>
      <c r="X1306">
        <v>0</v>
      </c>
      <c r="Y1306">
        <v>0</v>
      </c>
      <c r="Z1306">
        <v>0</v>
      </c>
      <c r="AL1306" t="s">
        <v>73</v>
      </c>
      <c r="AM1306" t="s">
        <v>87</v>
      </c>
      <c r="AN1306" t="s">
        <v>87</v>
      </c>
      <c r="AO1306" t="s">
        <v>87</v>
      </c>
      <c r="AP1306" t="s">
        <v>87</v>
      </c>
      <c r="AQ1306" t="s">
        <v>74</v>
      </c>
      <c r="AR1306" t="s">
        <v>75</v>
      </c>
      <c r="AS1306" t="s">
        <v>92</v>
      </c>
      <c r="AT1306" t="s">
        <v>73</v>
      </c>
      <c r="AU1306">
        <v>0</v>
      </c>
      <c r="AV1306">
        <v>0</v>
      </c>
      <c r="AW1306">
        <v>0</v>
      </c>
      <c r="AX1306">
        <v>1</v>
      </c>
      <c r="AY1306">
        <v>0</v>
      </c>
      <c r="AZ1306" t="s">
        <v>579</v>
      </c>
    </row>
    <row r="1307" spans="1:52" x14ac:dyDescent="0.2">
      <c r="A1307">
        <v>0</v>
      </c>
      <c r="B1307">
        <v>1</v>
      </c>
      <c r="C1307">
        <v>0</v>
      </c>
      <c r="D1307">
        <v>0</v>
      </c>
      <c r="E1307">
        <v>1</v>
      </c>
      <c r="F1307">
        <v>0</v>
      </c>
      <c r="G1307">
        <v>0</v>
      </c>
      <c r="H1307">
        <v>0</v>
      </c>
      <c r="I1307">
        <v>0</v>
      </c>
      <c r="L1307">
        <v>0</v>
      </c>
      <c r="M1307">
        <v>1</v>
      </c>
      <c r="N1307">
        <v>0</v>
      </c>
      <c r="O1307">
        <v>0</v>
      </c>
      <c r="P1307">
        <v>0</v>
      </c>
      <c r="Q1307" t="s">
        <v>585</v>
      </c>
      <c r="AA1307" t="s">
        <v>83</v>
      </c>
      <c r="AB1307" t="s">
        <v>83</v>
      </c>
      <c r="AC1307" t="s">
        <v>83</v>
      </c>
      <c r="AD1307" t="s">
        <v>83</v>
      </c>
      <c r="AE1307" t="s">
        <v>83</v>
      </c>
      <c r="AF1307" t="s">
        <v>83</v>
      </c>
      <c r="AG1307" t="s">
        <v>83</v>
      </c>
      <c r="AH1307" t="s">
        <v>83</v>
      </c>
      <c r="AI1307" t="s">
        <v>127</v>
      </c>
      <c r="AJ1307" t="s">
        <v>127</v>
      </c>
      <c r="AL1307" t="s">
        <v>73</v>
      </c>
      <c r="AM1307" t="s">
        <v>74</v>
      </c>
      <c r="AR1307" t="s">
        <v>75</v>
      </c>
      <c r="AS1307" t="s">
        <v>92</v>
      </c>
      <c r="AT1307" t="s">
        <v>73</v>
      </c>
      <c r="AU1307">
        <v>0</v>
      </c>
      <c r="AV1307">
        <v>0</v>
      </c>
      <c r="AW1307">
        <v>0</v>
      </c>
      <c r="AX1307">
        <v>1</v>
      </c>
      <c r="AY1307">
        <v>0</v>
      </c>
      <c r="AZ1307" t="s">
        <v>579</v>
      </c>
    </row>
    <row r="1308" spans="1:52" x14ac:dyDescent="0.2">
      <c r="A1308">
        <v>1</v>
      </c>
      <c r="B1308">
        <v>0</v>
      </c>
      <c r="C1308">
        <v>0</v>
      </c>
      <c r="D1308">
        <v>0</v>
      </c>
      <c r="E1308">
        <v>0</v>
      </c>
      <c r="F1308">
        <v>1</v>
      </c>
      <c r="G1308">
        <v>0</v>
      </c>
      <c r="H1308">
        <v>0</v>
      </c>
      <c r="I1308">
        <v>0</v>
      </c>
      <c r="J1308" t="s">
        <v>88</v>
      </c>
      <c r="K1308" t="s">
        <v>89</v>
      </c>
      <c r="L1308">
        <v>0</v>
      </c>
      <c r="M1308">
        <v>0</v>
      </c>
      <c r="N1308">
        <v>1</v>
      </c>
      <c r="O1308">
        <v>0</v>
      </c>
      <c r="P1308">
        <v>0</v>
      </c>
      <c r="Q1308" t="s">
        <v>584</v>
      </c>
      <c r="AA1308" t="s">
        <v>83</v>
      </c>
      <c r="AB1308" t="s">
        <v>82</v>
      </c>
      <c r="AC1308" t="s">
        <v>83</v>
      </c>
      <c r="AD1308" t="s">
        <v>81</v>
      </c>
      <c r="AE1308" t="s">
        <v>82</v>
      </c>
      <c r="AF1308" t="s">
        <v>83</v>
      </c>
      <c r="AG1308" t="s">
        <v>81</v>
      </c>
      <c r="AH1308" t="s">
        <v>81</v>
      </c>
      <c r="AI1308" t="s">
        <v>88</v>
      </c>
      <c r="AJ1308" t="s">
        <v>89</v>
      </c>
      <c r="AK1308" t="s">
        <v>85</v>
      </c>
      <c r="AL1308" t="s">
        <v>73</v>
      </c>
      <c r="AM1308" t="s">
        <v>87</v>
      </c>
      <c r="AN1308" t="s">
        <v>87</v>
      </c>
      <c r="AO1308" t="s">
        <v>87</v>
      </c>
      <c r="AP1308" t="s">
        <v>74</v>
      </c>
      <c r="AQ1308" t="s">
        <v>86</v>
      </c>
      <c r="AR1308" t="s">
        <v>75</v>
      </c>
      <c r="AS1308" t="s">
        <v>92</v>
      </c>
      <c r="AT1308" t="s">
        <v>73</v>
      </c>
      <c r="AU1308">
        <v>0</v>
      </c>
      <c r="AV1308">
        <v>0</v>
      </c>
      <c r="AW1308">
        <v>0</v>
      </c>
      <c r="AX1308">
        <v>1</v>
      </c>
      <c r="AY1308">
        <v>0</v>
      </c>
      <c r="AZ1308" t="s">
        <v>579</v>
      </c>
    </row>
    <row r="1309" spans="1:52" x14ac:dyDescent="0.2">
      <c r="A1309">
        <v>1</v>
      </c>
      <c r="B1309">
        <v>0</v>
      </c>
      <c r="C1309">
        <v>0</v>
      </c>
      <c r="D1309">
        <v>0</v>
      </c>
      <c r="E1309">
        <v>0</v>
      </c>
      <c r="F1309">
        <v>1</v>
      </c>
      <c r="G1309">
        <v>0</v>
      </c>
      <c r="H1309">
        <v>0</v>
      </c>
      <c r="I1309">
        <v>0</v>
      </c>
      <c r="J1309" t="s">
        <v>79</v>
      </c>
      <c r="K1309" t="s">
        <v>80</v>
      </c>
      <c r="L1309">
        <v>1</v>
      </c>
      <c r="M1309">
        <v>0</v>
      </c>
      <c r="N1309">
        <v>0</v>
      </c>
      <c r="O1309">
        <v>0</v>
      </c>
      <c r="P1309">
        <v>0</v>
      </c>
      <c r="Q1309" t="s">
        <v>584</v>
      </c>
      <c r="R1309">
        <v>0</v>
      </c>
      <c r="S1309">
        <v>0</v>
      </c>
      <c r="T1309">
        <v>0</v>
      </c>
      <c r="U1309">
        <v>0</v>
      </c>
      <c r="V1309">
        <v>0</v>
      </c>
      <c r="W1309">
        <v>0</v>
      </c>
      <c r="X1309">
        <v>0</v>
      </c>
      <c r="Y1309">
        <v>1</v>
      </c>
      <c r="Z1309">
        <v>0</v>
      </c>
      <c r="AL1309" t="s">
        <v>73</v>
      </c>
      <c r="AM1309" t="s">
        <v>86</v>
      </c>
      <c r="AN1309" t="s">
        <v>74</v>
      </c>
      <c r="AO1309" t="s">
        <v>86</v>
      </c>
      <c r="AP1309" t="s">
        <v>74</v>
      </c>
      <c r="AQ1309" t="s">
        <v>86</v>
      </c>
      <c r="AR1309" t="s">
        <v>75</v>
      </c>
      <c r="AS1309" t="s">
        <v>76</v>
      </c>
      <c r="AT1309" t="s">
        <v>73</v>
      </c>
      <c r="AU1309">
        <v>0</v>
      </c>
      <c r="AV1309">
        <v>0</v>
      </c>
      <c r="AW1309">
        <v>0</v>
      </c>
      <c r="AX1309">
        <v>1</v>
      </c>
      <c r="AY1309">
        <v>0</v>
      </c>
      <c r="AZ1309" t="s">
        <v>580</v>
      </c>
    </row>
    <row r="1310" spans="1:52" x14ac:dyDescent="0.2">
      <c r="A1310">
        <v>0</v>
      </c>
      <c r="B1310">
        <v>1</v>
      </c>
      <c r="C1310">
        <v>0</v>
      </c>
      <c r="D1310">
        <v>0</v>
      </c>
      <c r="E1310">
        <v>0</v>
      </c>
      <c r="F1310">
        <v>1</v>
      </c>
      <c r="G1310">
        <v>1</v>
      </c>
      <c r="H1310">
        <v>1</v>
      </c>
      <c r="I1310">
        <v>0</v>
      </c>
      <c r="J1310" t="s">
        <v>88</v>
      </c>
      <c r="K1310" t="s">
        <v>89</v>
      </c>
      <c r="L1310">
        <v>0</v>
      </c>
      <c r="M1310">
        <v>0</v>
      </c>
      <c r="N1310">
        <v>0</v>
      </c>
      <c r="O1310">
        <v>1</v>
      </c>
      <c r="P1310">
        <v>0</v>
      </c>
      <c r="Q1310" t="s">
        <v>585</v>
      </c>
      <c r="AA1310" t="s">
        <v>83</v>
      </c>
      <c r="AB1310" t="s">
        <v>82</v>
      </c>
      <c r="AC1310" t="s">
        <v>82</v>
      </c>
      <c r="AD1310" t="s">
        <v>82</v>
      </c>
      <c r="AE1310" t="s">
        <v>83</v>
      </c>
      <c r="AF1310" t="s">
        <v>83</v>
      </c>
      <c r="AG1310" t="s">
        <v>83</v>
      </c>
      <c r="AH1310" t="s">
        <v>83</v>
      </c>
      <c r="AI1310" t="s">
        <v>88</v>
      </c>
      <c r="AJ1310" t="s">
        <v>89</v>
      </c>
      <c r="AK1310" t="s">
        <v>100</v>
      </c>
      <c r="AL1310" t="s">
        <v>73</v>
      </c>
      <c r="AM1310" t="s">
        <v>87</v>
      </c>
      <c r="AN1310" t="s">
        <v>87</v>
      </c>
      <c r="AO1310" t="s">
        <v>87</v>
      </c>
      <c r="AP1310" t="s">
        <v>87</v>
      </c>
      <c r="AQ1310" t="s">
        <v>87</v>
      </c>
      <c r="AR1310" t="s">
        <v>75</v>
      </c>
      <c r="AS1310" t="s">
        <v>92</v>
      </c>
      <c r="AT1310" t="s">
        <v>73</v>
      </c>
      <c r="AU1310">
        <v>0</v>
      </c>
      <c r="AV1310">
        <v>0</v>
      </c>
      <c r="AW1310">
        <v>0</v>
      </c>
      <c r="AX1310">
        <v>1</v>
      </c>
      <c r="AY1310">
        <v>0</v>
      </c>
      <c r="AZ1310" t="s">
        <v>579</v>
      </c>
    </row>
    <row r="1311" spans="1:52" x14ac:dyDescent="0.2">
      <c r="A1311">
        <v>1</v>
      </c>
      <c r="B1311">
        <v>0</v>
      </c>
      <c r="C1311">
        <v>0</v>
      </c>
      <c r="D1311">
        <v>0</v>
      </c>
      <c r="E1311">
        <v>0</v>
      </c>
      <c r="F1311">
        <v>1</v>
      </c>
      <c r="G1311">
        <v>1</v>
      </c>
      <c r="H1311">
        <v>1</v>
      </c>
      <c r="I1311">
        <v>0</v>
      </c>
      <c r="J1311" t="s">
        <v>79</v>
      </c>
      <c r="K1311" t="s">
        <v>80</v>
      </c>
      <c r="L1311">
        <v>0</v>
      </c>
      <c r="M1311">
        <v>1</v>
      </c>
      <c r="N1311">
        <v>1</v>
      </c>
      <c r="O1311">
        <v>0</v>
      </c>
      <c r="P1311">
        <v>0</v>
      </c>
      <c r="Q1311" t="s">
        <v>584</v>
      </c>
      <c r="AA1311" t="s">
        <v>83</v>
      </c>
      <c r="AB1311" t="s">
        <v>82</v>
      </c>
      <c r="AC1311" t="s">
        <v>82</v>
      </c>
      <c r="AD1311" t="s">
        <v>82</v>
      </c>
      <c r="AE1311" t="s">
        <v>81</v>
      </c>
      <c r="AF1311" t="s">
        <v>83</v>
      </c>
      <c r="AG1311" t="s">
        <v>83</v>
      </c>
      <c r="AH1311" t="s">
        <v>83</v>
      </c>
      <c r="AI1311" t="s">
        <v>88</v>
      </c>
      <c r="AJ1311" t="s">
        <v>89</v>
      </c>
      <c r="AK1311" t="s">
        <v>100</v>
      </c>
      <c r="AL1311" t="s">
        <v>107</v>
      </c>
      <c r="AM1311" t="s">
        <v>74</v>
      </c>
      <c r="AR1311" t="s">
        <v>75</v>
      </c>
      <c r="AS1311" t="s">
        <v>92</v>
      </c>
      <c r="AT1311" t="s">
        <v>107</v>
      </c>
      <c r="AU1311">
        <v>0</v>
      </c>
      <c r="AV1311">
        <v>0</v>
      </c>
      <c r="AW1311">
        <v>0</v>
      </c>
      <c r="AX1311">
        <v>1</v>
      </c>
      <c r="AY1311">
        <v>0</v>
      </c>
      <c r="AZ1311" t="s">
        <v>579</v>
      </c>
    </row>
    <row r="1312" spans="1:52" x14ac:dyDescent="0.2">
      <c r="A1312">
        <v>1</v>
      </c>
      <c r="B1312">
        <v>0</v>
      </c>
      <c r="C1312">
        <v>0</v>
      </c>
      <c r="D1312">
        <v>0</v>
      </c>
      <c r="E1312">
        <v>0</v>
      </c>
      <c r="F1312">
        <v>1</v>
      </c>
      <c r="G1312">
        <v>0</v>
      </c>
      <c r="H1312">
        <v>0</v>
      </c>
      <c r="I1312">
        <v>0</v>
      </c>
      <c r="J1312" t="s">
        <v>79</v>
      </c>
      <c r="K1312" t="s">
        <v>142</v>
      </c>
      <c r="L1312">
        <v>0</v>
      </c>
      <c r="M1312">
        <v>1</v>
      </c>
      <c r="N1312">
        <v>1</v>
      </c>
      <c r="O1312">
        <v>0</v>
      </c>
      <c r="P1312">
        <v>0</v>
      </c>
      <c r="Q1312" t="s">
        <v>584</v>
      </c>
      <c r="AA1312" t="s">
        <v>82</v>
      </c>
      <c r="AB1312" t="s">
        <v>82</v>
      </c>
      <c r="AC1312" t="s">
        <v>83</v>
      </c>
      <c r="AD1312" t="s">
        <v>81</v>
      </c>
      <c r="AE1312" t="s">
        <v>82</v>
      </c>
      <c r="AF1312" t="s">
        <v>81</v>
      </c>
      <c r="AG1312" t="s">
        <v>82</v>
      </c>
      <c r="AH1312" t="s">
        <v>81</v>
      </c>
      <c r="AI1312" t="s">
        <v>135</v>
      </c>
      <c r="AJ1312" t="s">
        <v>80</v>
      </c>
      <c r="AK1312" t="s">
        <v>85</v>
      </c>
      <c r="AL1312" t="s">
        <v>73</v>
      </c>
      <c r="AM1312" t="s">
        <v>87</v>
      </c>
      <c r="AN1312" t="s">
        <v>87</v>
      </c>
      <c r="AO1312" t="s">
        <v>87</v>
      </c>
      <c r="AP1312" t="s">
        <v>87</v>
      </c>
      <c r="AQ1312" t="s">
        <v>87</v>
      </c>
      <c r="AR1312" t="s">
        <v>75</v>
      </c>
      <c r="AS1312" t="s">
        <v>76</v>
      </c>
      <c r="AT1312" t="s">
        <v>73</v>
      </c>
      <c r="AU1312">
        <v>1</v>
      </c>
      <c r="AV1312">
        <v>0</v>
      </c>
      <c r="AW1312">
        <v>0</v>
      </c>
      <c r="AX1312">
        <v>0</v>
      </c>
      <c r="AY1312">
        <v>0</v>
      </c>
      <c r="AZ1312" t="s">
        <v>579</v>
      </c>
    </row>
    <row r="1313" spans="1:52" x14ac:dyDescent="0.2">
      <c r="A1313">
        <v>0</v>
      </c>
      <c r="B1313">
        <v>1</v>
      </c>
      <c r="C1313">
        <v>0</v>
      </c>
      <c r="D1313">
        <v>0</v>
      </c>
      <c r="E1313">
        <v>0</v>
      </c>
      <c r="F1313">
        <v>1</v>
      </c>
      <c r="G1313">
        <v>0</v>
      </c>
      <c r="H1313">
        <v>1</v>
      </c>
      <c r="I1313">
        <v>0</v>
      </c>
      <c r="J1313" t="s">
        <v>88</v>
      </c>
      <c r="K1313" t="s">
        <v>89</v>
      </c>
      <c r="L1313">
        <v>1</v>
      </c>
      <c r="M1313">
        <v>0</v>
      </c>
      <c r="N1313">
        <v>0</v>
      </c>
      <c r="O1313">
        <v>0</v>
      </c>
      <c r="P1313">
        <v>0</v>
      </c>
      <c r="Q1313" t="s">
        <v>584</v>
      </c>
      <c r="R1313">
        <v>0</v>
      </c>
      <c r="S1313">
        <v>0</v>
      </c>
      <c r="T1313">
        <v>0</v>
      </c>
      <c r="U1313">
        <v>0</v>
      </c>
      <c r="V1313">
        <v>0</v>
      </c>
      <c r="W1313">
        <v>0</v>
      </c>
      <c r="X1313">
        <v>0</v>
      </c>
      <c r="Y1313">
        <v>0</v>
      </c>
      <c r="Z1313">
        <v>1</v>
      </c>
      <c r="AL1313" t="s">
        <v>73</v>
      </c>
      <c r="AM1313" t="s">
        <v>86</v>
      </c>
      <c r="AN1313" t="s">
        <v>86</v>
      </c>
      <c r="AO1313" t="s">
        <v>86</v>
      </c>
      <c r="AP1313" t="s">
        <v>86</v>
      </c>
      <c r="AQ1313" t="s">
        <v>86</v>
      </c>
      <c r="AR1313" t="s">
        <v>75</v>
      </c>
      <c r="AS1313" t="s">
        <v>92</v>
      </c>
      <c r="AT1313" t="s">
        <v>73</v>
      </c>
      <c r="AU1313">
        <v>0</v>
      </c>
      <c r="AV1313">
        <v>0</v>
      </c>
      <c r="AW1313">
        <v>0</v>
      </c>
      <c r="AX1313">
        <v>1</v>
      </c>
      <c r="AY1313">
        <v>0</v>
      </c>
      <c r="AZ1313" t="s">
        <v>579</v>
      </c>
    </row>
    <row r="1314" spans="1:52" x14ac:dyDescent="0.2">
      <c r="A1314">
        <v>0</v>
      </c>
      <c r="B1314">
        <v>1</v>
      </c>
      <c r="C1314">
        <v>0</v>
      </c>
      <c r="D1314">
        <v>0</v>
      </c>
      <c r="E1314">
        <v>0</v>
      </c>
      <c r="F1314">
        <v>1</v>
      </c>
      <c r="G1314">
        <v>0</v>
      </c>
      <c r="H1314">
        <v>0</v>
      </c>
      <c r="I1314">
        <v>0</v>
      </c>
      <c r="J1314" t="s">
        <v>88</v>
      </c>
      <c r="K1314" t="s">
        <v>89</v>
      </c>
      <c r="L1314">
        <v>1</v>
      </c>
      <c r="M1314">
        <v>0</v>
      </c>
      <c r="N1314">
        <v>0</v>
      </c>
      <c r="O1314">
        <v>0</v>
      </c>
      <c r="P1314">
        <v>0</v>
      </c>
      <c r="Q1314" t="s">
        <v>584</v>
      </c>
      <c r="R1314">
        <v>0</v>
      </c>
      <c r="S1314">
        <v>0</v>
      </c>
      <c r="T1314">
        <v>1</v>
      </c>
      <c r="U1314">
        <v>0</v>
      </c>
      <c r="V1314">
        <v>0</v>
      </c>
      <c r="W1314">
        <v>0</v>
      </c>
      <c r="X1314">
        <v>0</v>
      </c>
      <c r="Y1314">
        <v>0</v>
      </c>
      <c r="Z1314">
        <v>1</v>
      </c>
      <c r="AL1314" t="s">
        <v>73</v>
      </c>
      <c r="AM1314" t="s">
        <v>87</v>
      </c>
      <c r="AN1314" t="s">
        <v>74</v>
      </c>
      <c r="AO1314" t="s">
        <v>87</v>
      </c>
      <c r="AP1314" t="s">
        <v>74</v>
      </c>
      <c r="AQ1314" t="s">
        <v>74</v>
      </c>
      <c r="AR1314" t="s">
        <v>75</v>
      </c>
      <c r="AS1314" t="s">
        <v>92</v>
      </c>
      <c r="AT1314" t="s">
        <v>73</v>
      </c>
      <c r="AU1314">
        <v>0</v>
      </c>
      <c r="AV1314">
        <v>0</v>
      </c>
      <c r="AW1314">
        <v>0</v>
      </c>
      <c r="AX1314">
        <v>1</v>
      </c>
      <c r="AY1314">
        <v>0</v>
      </c>
      <c r="AZ1314" t="s">
        <v>579</v>
      </c>
    </row>
    <row r="1315" spans="1:52" x14ac:dyDescent="0.2">
      <c r="A1315">
        <v>1</v>
      </c>
      <c r="B1315">
        <v>0</v>
      </c>
      <c r="C1315">
        <v>0</v>
      </c>
      <c r="D1315">
        <v>0</v>
      </c>
      <c r="E1315">
        <v>1</v>
      </c>
      <c r="F1315">
        <v>0</v>
      </c>
      <c r="G1315">
        <v>0</v>
      </c>
      <c r="H1315">
        <v>0</v>
      </c>
      <c r="I1315">
        <v>0</v>
      </c>
      <c r="L1315">
        <v>1</v>
      </c>
      <c r="M1315">
        <v>0</v>
      </c>
      <c r="N1315">
        <v>0</v>
      </c>
      <c r="O1315">
        <v>0</v>
      </c>
      <c r="P1315">
        <v>0</v>
      </c>
      <c r="Q1315" t="s">
        <v>584</v>
      </c>
      <c r="R1315">
        <v>0</v>
      </c>
      <c r="S1315">
        <v>0</v>
      </c>
      <c r="T1315">
        <v>0</v>
      </c>
      <c r="U1315">
        <v>0</v>
      </c>
      <c r="V1315">
        <v>0</v>
      </c>
      <c r="W1315">
        <v>0</v>
      </c>
      <c r="X1315">
        <v>1</v>
      </c>
      <c r="Y1315">
        <v>1</v>
      </c>
      <c r="Z1315">
        <v>0</v>
      </c>
      <c r="AL1315" t="s">
        <v>73</v>
      </c>
      <c r="AM1315" t="s">
        <v>86</v>
      </c>
      <c r="AN1315" t="s">
        <v>87</v>
      </c>
      <c r="AO1315" t="s">
        <v>87</v>
      </c>
      <c r="AP1315" t="s">
        <v>74</v>
      </c>
      <c r="AQ1315" t="s">
        <v>87</v>
      </c>
      <c r="AR1315" t="s">
        <v>75</v>
      </c>
      <c r="AS1315" t="s">
        <v>92</v>
      </c>
      <c r="AT1315" t="s">
        <v>73</v>
      </c>
      <c r="AU1315">
        <v>0</v>
      </c>
      <c r="AV1315">
        <v>0</v>
      </c>
      <c r="AW1315">
        <v>0</v>
      </c>
      <c r="AX1315">
        <v>0</v>
      </c>
      <c r="AY1315">
        <v>1</v>
      </c>
      <c r="AZ1315" t="s">
        <v>579</v>
      </c>
    </row>
    <row r="1316" spans="1:52" x14ac:dyDescent="0.2">
      <c r="A1316">
        <v>1</v>
      </c>
      <c r="B1316">
        <v>0</v>
      </c>
      <c r="C1316">
        <v>0</v>
      </c>
      <c r="D1316">
        <v>0</v>
      </c>
      <c r="E1316">
        <v>0</v>
      </c>
      <c r="F1316">
        <v>1</v>
      </c>
      <c r="G1316">
        <v>0</v>
      </c>
      <c r="H1316">
        <v>1</v>
      </c>
      <c r="I1316">
        <v>0</v>
      </c>
      <c r="J1316" t="s">
        <v>88</v>
      </c>
      <c r="K1316" t="s">
        <v>89</v>
      </c>
      <c r="L1316">
        <v>0</v>
      </c>
      <c r="M1316">
        <v>0</v>
      </c>
      <c r="N1316">
        <v>1</v>
      </c>
      <c r="O1316">
        <v>0</v>
      </c>
      <c r="P1316">
        <v>0</v>
      </c>
      <c r="Q1316" t="s">
        <v>584</v>
      </c>
      <c r="AA1316" t="s">
        <v>90</v>
      </c>
      <c r="AB1316" t="s">
        <v>82</v>
      </c>
      <c r="AC1316" t="s">
        <v>81</v>
      </c>
      <c r="AD1316" t="s">
        <v>81</v>
      </c>
      <c r="AE1316" t="s">
        <v>81</v>
      </c>
      <c r="AF1316" t="s">
        <v>90</v>
      </c>
      <c r="AG1316" t="s">
        <v>90</v>
      </c>
      <c r="AH1316" t="s">
        <v>90</v>
      </c>
      <c r="AI1316" t="s">
        <v>88</v>
      </c>
      <c r="AJ1316" t="s">
        <v>89</v>
      </c>
      <c r="AK1316" t="s">
        <v>85</v>
      </c>
      <c r="AL1316" t="s">
        <v>107</v>
      </c>
      <c r="AM1316" t="s">
        <v>74</v>
      </c>
      <c r="AR1316" t="s">
        <v>97</v>
      </c>
      <c r="AS1316" t="s">
        <v>92</v>
      </c>
      <c r="AT1316" t="s">
        <v>107</v>
      </c>
      <c r="AU1316">
        <v>0</v>
      </c>
      <c r="AV1316">
        <v>0</v>
      </c>
      <c r="AW1316">
        <v>0</v>
      </c>
      <c r="AX1316">
        <v>0</v>
      </c>
      <c r="AY1316">
        <v>1</v>
      </c>
      <c r="AZ1316" t="s">
        <v>580</v>
      </c>
    </row>
    <row r="1317" spans="1:52" x14ac:dyDescent="0.2">
      <c r="A1317">
        <v>1</v>
      </c>
      <c r="B1317">
        <v>0</v>
      </c>
      <c r="C1317">
        <v>0</v>
      </c>
      <c r="D1317">
        <v>0</v>
      </c>
      <c r="E1317">
        <v>1</v>
      </c>
      <c r="F1317">
        <v>0</v>
      </c>
      <c r="G1317">
        <v>0</v>
      </c>
      <c r="H1317">
        <v>0</v>
      </c>
      <c r="I1317">
        <v>0</v>
      </c>
      <c r="L1317">
        <v>1</v>
      </c>
      <c r="M1317">
        <v>0</v>
      </c>
      <c r="N1317">
        <v>0</v>
      </c>
      <c r="O1317">
        <v>0</v>
      </c>
      <c r="P1317">
        <v>0</v>
      </c>
      <c r="Q1317" t="s">
        <v>584</v>
      </c>
      <c r="R1317">
        <v>0</v>
      </c>
      <c r="S1317">
        <v>1</v>
      </c>
      <c r="T1317">
        <v>0</v>
      </c>
      <c r="U1317">
        <v>0</v>
      </c>
      <c r="V1317">
        <v>0</v>
      </c>
      <c r="W1317">
        <v>0</v>
      </c>
      <c r="X1317">
        <v>0</v>
      </c>
      <c r="Y1317">
        <v>0</v>
      </c>
      <c r="Z1317">
        <v>0</v>
      </c>
      <c r="AL1317" t="s">
        <v>73</v>
      </c>
      <c r="AM1317" t="s">
        <v>74</v>
      </c>
      <c r="AR1317" t="s">
        <v>75</v>
      </c>
      <c r="AS1317" t="s">
        <v>92</v>
      </c>
      <c r="AT1317" t="s">
        <v>73</v>
      </c>
      <c r="AU1317">
        <v>0</v>
      </c>
      <c r="AV1317">
        <v>0</v>
      </c>
      <c r="AW1317">
        <v>0</v>
      </c>
      <c r="AX1317">
        <v>1</v>
      </c>
      <c r="AY1317">
        <v>0</v>
      </c>
      <c r="AZ1317" t="s">
        <v>578</v>
      </c>
    </row>
    <row r="1318" spans="1:52" x14ac:dyDescent="0.2">
      <c r="A1318">
        <v>0</v>
      </c>
      <c r="B1318">
        <v>1</v>
      </c>
      <c r="C1318">
        <v>0</v>
      </c>
      <c r="D1318">
        <v>0</v>
      </c>
      <c r="E1318">
        <v>1</v>
      </c>
      <c r="F1318">
        <v>0</v>
      </c>
      <c r="G1318">
        <v>0</v>
      </c>
      <c r="H1318">
        <v>0</v>
      </c>
      <c r="I1318">
        <v>0</v>
      </c>
      <c r="L1318">
        <v>0</v>
      </c>
      <c r="M1318">
        <v>0</v>
      </c>
      <c r="N1318">
        <v>0</v>
      </c>
      <c r="O1318">
        <v>0</v>
      </c>
      <c r="P1318">
        <v>1</v>
      </c>
      <c r="Q1318" t="s">
        <v>584</v>
      </c>
      <c r="AA1318" t="s">
        <v>81</v>
      </c>
      <c r="AB1318" t="s">
        <v>90</v>
      </c>
      <c r="AC1318" t="s">
        <v>83</v>
      </c>
      <c r="AD1318" t="s">
        <v>83</v>
      </c>
      <c r="AE1318" t="s">
        <v>82</v>
      </c>
      <c r="AF1318" t="s">
        <v>81</v>
      </c>
      <c r="AG1318" t="s">
        <v>82</v>
      </c>
      <c r="AH1318" t="s">
        <v>83</v>
      </c>
      <c r="AI1318" t="s">
        <v>88</v>
      </c>
      <c r="AJ1318" t="s">
        <v>142</v>
      </c>
      <c r="AK1318" t="s">
        <v>85</v>
      </c>
      <c r="AL1318" t="s">
        <v>120</v>
      </c>
      <c r="AM1318" t="s">
        <v>74</v>
      </c>
      <c r="AR1318" t="s">
        <v>108</v>
      </c>
      <c r="AS1318" t="s">
        <v>92</v>
      </c>
      <c r="AT1318" t="s">
        <v>120</v>
      </c>
      <c r="AU1318">
        <v>0</v>
      </c>
      <c r="AV1318">
        <v>0</v>
      </c>
      <c r="AW1318">
        <v>0</v>
      </c>
      <c r="AX1318">
        <v>1</v>
      </c>
      <c r="AY1318">
        <v>0</v>
      </c>
      <c r="AZ1318" t="s">
        <v>579</v>
      </c>
    </row>
    <row r="1319" spans="1:52" x14ac:dyDescent="0.2">
      <c r="A1319">
        <v>0</v>
      </c>
      <c r="B1319">
        <v>1</v>
      </c>
      <c r="C1319">
        <v>0</v>
      </c>
      <c r="D1319">
        <v>0</v>
      </c>
      <c r="E1319">
        <v>0</v>
      </c>
      <c r="F1319">
        <v>0</v>
      </c>
      <c r="G1319">
        <v>0</v>
      </c>
      <c r="H1319">
        <v>1</v>
      </c>
      <c r="I1319">
        <v>0</v>
      </c>
      <c r="J1319" t="s">
        <v>79</v>
      </c>
      <c r="K1319" t="s">
        <v>127</v>
      </c>
      <c r="L1319">
        <v>1</v>
      </c>
      <c r="M1319">
        <v>0</v>
      </c>
      <c r="N1319">
        <v>0</v>
      </c>
      <c r="O1319">
        <v>0</v>
      </c>
      <c r="P1319">
        <v>0</v>
      </c>
      <c r="Q1319" t="s">
        <v>584</v>
      </c>
      <c r="R1319">
        <v>0</v>
      </c>
      <c r="S1319">
        <v>1</v>
      </c>
      <c r="T1319">
        <v>0</v>
      </c>
      <c r="U1319">
        <v>0</v>
      </c>
      <c r="V1319">
        <v>0</v>
      </c>
      <c r="W1319">
        <v>0</v>
      </c>
      <c r="X1319">
        <v>0</v>
      </c>
      <c r="Y1319">
        <v>0</v>
      </c>
      <c r="Z1319">
        <v>0</v>
      </c>
      <c r="AL1319" t="s">
        <v>107</v>
      </c>
      <c r="AM1319" t="s">
        <v>86</v>
      </c>
      <c r="AN1319" t="s">
        <v>86</v>
      </c>
      <c r="AO1319" t="s">
        <v>74</v>
      </c>
      <c r="AP1319" t="s">
        <v>87</v>
      </c>
      <c r="AQ1319" t="s">
        <v>74</v>
      </c>
      <c r="AR1319" t="s">
        <v>75</v>
      </c>
      <c r="AS1319" t="s">
        <v>76</v>
      </c>
      <c r="AT1319" t="s">
        <v>107</v>
      </c>
      <c r="AU1319">
        <v>0</v>
      </c>
      <c r="AV1319">
        <v>0</v>
      </c>
      <c r="AW1319">
        <v>0</v>
      </c>
      <c r="AX1319">
        <v>1</v>
      </c>
      <c r="AY1319">
        <v>0</v>
      </c>
      <c r="AZ1319" t="s">
        <v>579</v>
      </c>
    </row>
    <row r="1320" spans="1:52" x14ac:dyDescent="0.2">
      <c r="A1320">
        <v>1</v>
      </c>
      <c r="B1320">
        <v>0</v>
      </c>
      <c r="C1320">
        <v>0</v>
      </c>
      <c r="D1320">
        <v>0</v>
      </c>
      <c r="E1320">
        <v>1</v>
      </c>
      <c r="F1320">
        <v>0</v>
      </c>
      <c r="G1320">
        <v>0</v>
      </c>
      <c r="H1320">
        <v>0</v>
      </c>
      <c r="I1320">
        <v>0</v>
      </c>
      <c r="L1320">
        <v>0</v>
      </c>
      <c r="M1320">
        <v>0</v>
      </c>
      <c r="N1320">
        <v>0</v>
      </c>
      <c r="O1320">
        <v>1</v>
      </c>
      <c r="P1320">
        <v>0</v>
      </c>
      <c r="Q1320" t="s">
        <v>584</v>
      </c>
      <c r="AA1320" t="s">
        <v>90</v>
      </c>
      <c r="AB1320" t="s">
        <v>82</v>
      </c>
      <c r="AC1320" t="s">
        <v>90</v>
      </c>
      <c r="AD1320" t="s">
        <v>90</v>
      </c>
      <c r="AE1320" t="s">
        <v>90</v>
      </c>
      <c r="AF1320" t="s">
        <v>90</v>
      </c>
      <c r="AG1320" t="s">
        <v>90</v>
      </c>
      <c r="AH1320" t="s">
        <v>81</v>
      </c>
      <c r="AI1320" t="s">
        <v>135</v>
      </c>
      <c r="AJ1320" t="s">
        <v>80</v>
      </c>
      <c r="AK1320" t="s">
        <v>85</v>
      </c>
      <c r="AL1320" t="s">
        <v>73</v>
      </c>
      <c r="AM1320" t="s">
        <v>87</v>
      </c>
      <c r="AN1320" t="s">
        <v>74</v>
      </c>
      <c r="AO1320" t="s">
        <v>86</v>
      </c>
      <c r="AP1320" t="s">
        <v>86</v>
      </c>
      <c r="AQ1320" t="s">
        <v>86</v>
      </c>
      <c r="AR1320" t="s">
        <v>101</v>
      </c>
      <c r="AS1320" t="s">
        <v>225</v>
      </c>
      <c r="AT1320" t="s">
        <v>73</v>
      </c>
      <c r="AU1320">
        <v>0</v>
      </c>
      <c r="AV1320">
        <v>0</v>
      </c>
      <c r="AW1320">
        <v>0</v>
      </c>
      <c r="AX1320">
        <v>0</v>
      </c>
      <c r="AY1320">
        <v>1</v>
      </c>
      <c r="AZ1320" t="s">
        <v>579</v>
      </c>
    </row>
    <row r="1321" spans="1:52" x14ac:dyDescent="0.2">
      <c r="A1321">
        <v>1</v>
      </c>
      <c r="B1321">
        <v>0</v>
      </c>
      <c r="C1321">
        <v>0</v>
      </c>
      <c r="D1321">
        <v>0</v>
      </c>
      <c r="E1321">
        <v>0</v>
      </c>
      <c r="F1321">
        <v>1</v>
      </c>
      <c r="G1321">
        <v>0</v>
      </c>
      <c r="H1321">
        <v>0</v>
      </c>
      <c r="I1321">
        <v>0</v>
      </c>
      <c r="J1321" t="s">
        <v>88</v>
      </c>
      <c r="K1321" t="s">
        <v>89</v>
      </c>
      <c r="L1321">
        <v>1</v>
      </c>
      <c r="M1321">
        <v>0</v>
      </c>
      <c r="N1321">
        <v>0</v>
      </c>
      <c r="O1321">
        <v>0</v>
      </c>
      <c r="P1321">
        <v>0</v>
      </c>
      <c r="Q1321" t="s">
        <v>584</v>
      </c>
      <c r="R1321">
        <v>0</v>
      </c>
      <c r="S1321">
        <v>0</v>
      </c>
      <c r="T1321">
        <v>1</v>
      </c>
      <c r="U1321">
        <v>0</v>
      </c>
      <c r="V1321">
        <v>0</v>
      </c>
      <c r="W1321">
        <v>0</v>
      </c>
      <c r="X1321">
        <v>0</v>
      </c>
      <c r="Y1321">
        <v>1</v>
      </c>
      <c r="Z1321">
        <v>0</v>
      </c>
      <c r="AL1321" t="s">
        <v>73</v>
      </c>
      <c r="AM1321" t="s">
        <v>74</v>
      </c>
      <c r="AR1321" t="s">
        <v>159</v>
      </c>
      <c r="AS1321" t="s">
        <v>76</v>
      </c>
      <c r="AT1321" t="s">
        <v>73</v>
      </c>
      <c r="AU1321">
        <v>0</v>
      </c>
      <c r="AV1321">
        <v>0</v>
      </c>
      <c r="AW1321">
        <v>0</v>
      </c>
      <c r="AX1321">
        <v>1</v>
      </c>
      <c r="AY1321">
        <v>0</v>
      </c>
      <c r="AZ1321" t="s">
        <v>580</v>
      </c>
    </row>
    <row r="1322" spans="1:52" x14ac:dyDescent="0.2">
      <c r="A1322">
        <v>0</v>
      </c>
      <c r="B1322">
        <v>1</v>
      </c>
      <c r="C1322">
        <v>0</v>
      </c>
      <c r="D1322">
        <v>0</v>
      </c>
      <c r="E1322">
        <v>0</v>
      </c>
      <c r="F1322">
        <v>1</v>
      </c>
      <c r="G1322">
        <v>1</v>
      </c>
      <c r="H1322">
        <v>1</v>
      </c>
      <c r="I1322">
        <v>0</v>
      </c>
      <c r="J1322" t="s">
        <v>88</v>
      </c>
      <c r="K1322" t="s">
        <v>89</v>
      </c>
      <c r="L1322">
        <v>0</v>
      </c>
      <c r="M1322">
        <v>1</v>
      </c>
      <c r="N1322">
        <v>0</v>
      </c>
      <c r="O1322">
        <v>0</v>
      </c>
      <c r="P1322">
        <v>0</v>
      </c>
      <c r="Q1322" t="s">
        <v>584</v>
      </c>
      <c r="AA1322" t="s">
        <v>90</v>
      </c>
      <c r="AB1322" t="s">
        <v>82</v>
      </c>
      <c r="AC1322" t="s">
        <v>81</v>
      </c>
      <c r="AD1322" t="s">
        <v>81</v>
      </c>
      <c r="AE1322" t="s">
        <v>90</v>
      </c>
      <c r="AF1322" t="s">
        <v>90</v>
      </c>
      <c r="AG1322" t="s">
        <v>90</v>
      </c>
      <c r="AH1322" t="s">
        <v>83</v>
      </c>
      <c r="AI1322" t="s">
        <v>88</v>
      </c>
      <c r="AJ1322" t="s">
        <v>80</v>
      </c>
      <c r="AK1322" t="s">
        <v>117</v>
      </c>
      <c r="AL1322" t="s">
        <v>107</v>
      </c>
      <c r="AM1322" t="s">
        <v>74</v>
      </c>
      <c r="AR1322" t="s">
        <v>75</v>
      </c>
      <c r="AS1322" t="s">
        <v>76</v>
      </c>
      <c r="AT1322" t="s">
        <v>107</v>
      </c>
      <c r="AU1322">
        <v>0</v>
      </c>
      <c r="AV1322">
        <v>1</v>
      </c>
      <c r="AW1322">
        <v>0</v>
      </c>
      <c r="AX1322">
        <v>0</v>
      </c>
      <c r="AY1322">
        <v>0</v>
      </c>
      <c r="AZ1322" t="s">
        <v>579</v>
      </c>
    </row>
    <row r="1323" spans="1:52" x14ac:dyDescent="0.2">
      <c r="A1323">
        <v>0</v>
      </c>
      <c r="B1323">
        <v>1</v>
      </c>
      <c r="C1323">
        <v>0</v>
      </c>
      <c r="D1323">
        <v>0</v>
      </c>
      <c r="E1323">
        <v>1</v>
      </c>
      <c r="F1323">
        <v>0</v>
      </c>
      <c r="G1323">
        <v>0</v>
      </c>
      <c r="H1323">
        <v>0</v>
      </c>
      <c r="I1323">
        <v>0</v>
      </c>
      <c r="L1323">
        <v>1</v>
      </c>
      <c r="M1323">
        <v>0</v>
      </c>
      <c r="N1323">
        <v>0</v>
      </c>
      <c r="O1323">
        <v>0</v>
      </c>
      <c r="P1323">
        <v>0</v>
      </c>
      <c r="Q1323" t="s">
        <v>584</v>
      </c>
      <c r="R1323">
        <v>0</v>
      </c>
      <c r="S1323">
        <v>0</v>
      </c>
      <c r="T1323">
        <v>0</v>
      </c>
      <c r="U1323">
        <v>0</v>
      </c>
      <c r="V1323">
        <v>1</v>
      </c>
      <c r="W1323">
        <v>0</v>
      </c>
      <c r="X1323">
        <v>0</v>
      </c>
      <c r="Y1323">
        <v>0</v>
      </c>
      <c r="Z1323">
        <v>0</v>
      </c>
      <c r="AL1323" t="s">
        <v>73</v>
      </c>
      <c r="AM1323" t="s">
        <v>87</v>
      </c>
      <c r="AN1323" t="s">
        <v>87</v>
      </c>
      <c r="AO1323" t="s">
        <v>87</v>
      </c>
      <c r="AP1323" t="s">
        <v>87</v>
      </c>
      <c r="AQ1323" t="s">
        <v>87</v>
      </c>
      <c r="AR1323" t="s">
        <v>75</v>
      </c>
      <c r="AS1323" t="s">
        <v>76</v>
      </c>
      <c r="AT1323" t="s">
        <v>73</v>
      </c>
      <c r="AU1323">
        <v>0</v>
      </c>
      <c r="AV1323">
        <v>0</v>
      </c>
      <c r="AW1323">
        <v>0</v>
      </c>
      <c r="AX1323">
        <v>1</v>
      </c>
      <c r="AY1323">
        <v>0</v>
      </c>
      <c r="AZ1323" t="s">
        <v>578</v>
      </c>
    </row>
    <row r="1324" spans="1:52" x14ac:dyDescent="0.2">
      <c r="A1324">
        <v>1</v>
      </c>
      <c r="B1324">
        <v>0</v>
      </c>
      <c r="C1324">
        <v>0</v>
      </c>
      <c r="D1324">
        <v>0</v>
      </c>
      <c r="E1324">
        <v>0</v>
      </c>
      <c r="F1324">
        <v>0</v>
      </c>
      <c r="G1324">
        <v>0</v>
      </c>
      <c r="H1324">
        <v>0</v>
      </c>
      <c r="I1324">
        <v>1</v>
      </c>
      <c r="J1324" t="s">
        <v>88</v>
      </c>
      <c r="K1324" t="s">
        <v>89</v>
      </c>
      <c r="L1324">
        <v>0</v>
      </c>
      <c r="M1324">
        <v>1</v>
      </c>
      <c r="N1324">
        <v>0</v>
      </c>
      <c r="O1324">
        <v>0</v>
      </c>
      <c r="P1324">
        <v>0</v>
      </c>
      <c r="Q1324" t="s">
        <v>584</v>
      </c>
      <c r="AA1324" t="s">
        <v>83</v>
      </c>
      <c r="AB1324" t="s">
        <v>82</v>
      </c>
      <c r="AC1324" t="s">
        <v>81</v>
      </c>
      <c r="AD1324" t="s">
        <v>81</v>
      </c>
      <c r="AE1324" t="s">
        <v>83</v>
      </c>
      <c r="AF1324" t="s">
        <v>83</v>
      </c>
      <c r="AG1324" t="s">
        <v>81</v>
      </c>
      <c r="AH1324" t="s">
        <v>83</v>
      </c>
      <c r="AI1324" t="s">
        <v>127</v>
      </c>
      <c r="AJ1324" t="s">
        <v>127</v>
      </c>
      <c r="AL1324" t="s">
        <v>107</v>
      </c>
      <c r="AM1324" t="s">
        <v>86</v>
      </c>
      <c r="AN1324" t="s">
        <v>86</v>
      </c>
      <c r="AO1324" t="s">
        <v>86</v>
      </c>
      <c r="AP1324" t="s">
        <v>86</v>
      </c>
      <c r="AQ1324" t="s">
        <v>86</v>
      </c>
      <c r="AR1324" t="s">
        <v>97</v>
      </c>
      <c r="AS1324" t="s">
        <v>76</v>
      </c>
      <c r="AT1324" t="s">
        <v>107</v>
      </c>
      <c r="AU1324">
        <v>0</v>
      </c>
      <c r="AV1324">
        <v>0</v>
      </c>
      <c r="AW1324">
        <v>0</v>
      </c>
      <c r="AX1324">
        <v>1</v>
      </c>
      <c r="AY1324">
        <v>0</v>
      </c>
      <c r="AZ1324" t="s">
        <v>580</v>
      </c>
    </row>
    <row r="1325" spans="1:52" x14ac:dyDescent="0.2">
      <c r="A1325">
        <v>0</v>
      </c>
      <c r="B1325">
        <v>1</v>
      </c>
      <c r="C1325">
        <v>0</v>
      </c>
      <c r="D1325">
        <v>0</v>
      </c>
      <c r="E1325">
        <v>0</v>
      </c>
      <c r="F1325">
        <v>1</v>
      </c>
      <c r="G1325">
        <v>0</v>
      </c>
      <c r="H1325">
        <v>0</v>
      </c>
      <c r="I1325">
        <v>0</v>
      </c>
      <c r="J1325" t="s">
        <v>88</v>
      </c>
      <c r="K1325" t="s">
        <v>89</v>
      </c>
      <c r="L1325">
        <v>0</v>
      </c>
      <c r="M1325">
        <v>0</v>
      </c>
      <c r="N1325">
        <v>0</v>
      </c>
      <c r="O1325">
        <v>1</v>
      </c>
      <c r="P1325">
        <v>0</v>
      </c>
      <c r="Q1325" t="s">
        <v>584</v>
      </c>
      <c r="AA1325" t="s">
        <v>90</v>
      </c>
      <c r="AB1325" t="s">
        <v>82</v>
      </c>
      <c r="AC1325" t="s">
        <v>81</v>
      </c>
      <c r="AD1325" t="s">
        <v>90</v>
      </c>
      <c r="AE1325" t="s">
        <v>83</v>
      </c>
      <c r="AF1325" t="s">
        <v>90</v>
      </c>
      <c r="AG1325" t="s">
        <v>90</v>
      </c>
      <c r="AH1325" t="s">
        <v>83</v>
      </c>
      <c r="AI1325" t="s">
        <v>88</v>
      </c>
      <c r="AJ1325" t="s">
        <v>89</v>
      </c>
      <c r="AK1325" t="s">
        <v>100</v>
      </c>
      <c r="AL1325" t="s">
        <v>107</v>
      </c>
      <c r="AM1325" t="s">
        <v>86</v>
      </c>
      <c r="AN1325" t="s">
        <v>74</v>
      </c>
      <c r="AO1325" t="s">
        <v>87</v>
      </c>
      <c r="AP1325" t="s">
        <v>87</v>
      </c>
      <c r="AQ1325" t="s">
        <v>74</v>
      </c>
      <c r="AR1325" t="s">
        <v>97</v>
      </c>
      <c r="AS1325" t="s">
        <v>76</v>
      </c>
      <c r="AT1325" t="s">
        <v>107</v>
      </c>
      <c r="AU1325">
        <v>0</v>
      </c>
      <c r="AV1325">
        <v>0</v>
      </c>
      <c r="AW1325">
        <v>0</v>
      </c>
      <c r="AX1325">
        <v>1</v>
      </c>
      <c r="AY1325">
        <v>0</v>
      </c>
      <c r="AZ1325" t="s">
        <v>581</v>
      </c>
    </row>
    <row r="1326" spans="1:52" x14ac:dyDescent="0.2">
      <c r="A1326">
        <v>0</v>
      </c>
      <c r="B1326">
        <v>1</v>
      </c>
      <c r="C1326">
        <v>0</v>
      </c>
      <c r="D1326">
        <v>0</v>
      </c>
      <c r="E1326">
        <v>1</v>
      </c>
      <c r="F1326">
        <v>0</v>
      </c>
      <c r="G1326">
        <v>0</v>
      </c>
      <c r="H1326">
        <v>0</v>
      </c>
      <c r="I1326">
        <v>0</v>
      </c>
      <c r="L1326">
        <v>1</v>
      </c>
      <c r="M1326">
        <v>0</v>
      </c>
      <c r="N1326">
        <v>0</v>
      </c>
      <c r="O1326">
        <v>0</v>
      </c>
      <c r="P1326">
        <v>0</v>
      </c>
      <c r="Q1326" t="s">
        <v>584</v>
      </c>
      <c r="R1326">
        <v>0</v>
      </c>
      <c r="S1326">
        <v>1</v>
      </c>
      <c r="T1326">
        <v>0</v>
      </c>
      <c r="U1326">
        <v>0</v>
      </c>
      <c r="V1326">
        <v>0</v>
      </c>
      <c r="W1326">
        <v>0</v>
      </c>
      <c r="X1326">
        <v>0</v>
      </c>
      <c r="Y1326">
        <v>0</v>
      </c>
      <c r="Z1326">
        <v>0</v>
      </c>
      <c r="AL1326" t="s">
        <v>120</v>
      </c>
      <c r="AM1326" t="s">
        <v>86</v>
      </c>
      <c r="AN1326" t="s">
        <v>86</v>
      </c>
      <c r="AO1326" t="s">
        <v>86</v>
      </c>
      <c r="AP1326" t="s">
        <v>86</v>
      </c>
      <c r="AQ1326" t="s">
        <v>86</v>
      </c>
      <c r="AR1326" t="s">
        <v>97</v>
      </c>
      <c r="AS1326" t="s">
        <v>76</v>
      </c>
      <c r="AT1326" t="s">
        <v>120</v>
      </c>
      <c r="AU1326">
        <v>0</v>
      </c>
      <c r="AV1326">
        <v>0</v>
      </c>
      <c r="AW1326">
        <v>0</v>
      </c>
      <c r="AX1326">
        <v>1</v>
      </c>
      <c r="AY1326">
        <v>0</v>
      </c>
      <c r="AZ1326" t="s">
        <v>580</v>
      </c>
    </row>
    <row r="1327" spans="1:52" x14ac:dyDescent="0.2">
      <c r="A1327">
        <v>0</v>
      </c>
      <c r="B1327">
        <v>1</v>
      </c>
      <c r="C1327">
        <v>0</v>
      </c>
      <c r="D1327">
        <v>0</v>
      </c>
      <c r="E1327">
        <v>0</v>
      </c>
      <c r="F1327">
        <v>1</v>
      </c>
      <c r="G1327">
        <v>0</v>
      </c>
      <c r="H1327">
        <v>1</v>
      </c>
      <c r="I1327">
        <v>0</v>
      </c>
      <c r="J1327" t="s">
        <v>88</v>
      </c>
      <c r="K1327" t="s">
        <v>89</v>
      </c>
      <c r="L1327">
        <v>0</v>
      </c>
      <c r="M1327">
        <v>0</v>
      </c>
      <c r="N1327">
        <v>0</v>
      </c>
      <c r="O1327">
        <v>0</v>
      </c>
      <c r="P1327">
        <v>0</v>
      </c>
      <c r="Q1327" t="s">
        <v>585</v>
      </c>
      <c r="AA1327" t="s">
        <v>83</v>
      </c>
      <c r="AB1327" t="s">
        <v>82</v>
      </c>
      <c r="AC1327" t="s">
        <v>81</v>
      </c>
      <c r="AD1327" t="s">
        <v>82</v>
      </c>
      <c r="AE1327" t="s">
        <v>82</v>
      </c>
      <c r="AF1327" t="s">
        <v>83</v>
      </c>
      <c r="AG1327" t="s">
        <v>81</v>
      </c>
      <c r="AH1327" t="s">
        <v>83</v>
      </c>
      <c r="AI1327" t="s">
        <v>127</v>
      </c>
      <c r="AJ1327" t="s">
        <v>127</v>
      </c>
      <c r="AL1327" t="s">
        <v>96</v>
      </c>
      <c r="AM1327" t="s">
        <v>87</v>
      </c>
      <c r="AN1327" t="s">
        <v>87</v>
      </c>
      <c r="AO1327" t="s">
        <v>87</v>
      </c>
      <c r="AP1327" t="s">
        <v>87</v>
      </c>
      <c r="AQ1327" t="s">
        <v>87</v>
      </c>
      <c r="AR1327" t="s">
        <v>75</v>
      </c>
      <c r="AS1327" t="s">
        <v>92</v>
      </c>
      <c r="AT1327" t="s">
        <v>96</v>
      </c>
      <c r="AU1327">
        <v>0</v>
      </c>
      <c r="AV1327">
        <v>0</v>
      </c>
      <c r="AW1327">
        <v>0</v>
      </c>
      <c r="AX1327">
        <v>1</v>
      </c>
      <c r="AY1327">
        <v>0</v>
      </c>
      <c r="AZ1327" t="s">
        <v>579</v>
      </c>
    </row>
    <row r="1328" spans="1:52" x14ac:dyDescent="0.2">
      <c r="A1328">
        <v>1</v>
      </c>
      <c r="B1328">
        <v>0</v>
      </c>
      <c r="C1328">
        <v>0</v>
      </c>
      <c r="D1328">
        <v>0</v>
      </c>
      <c r="E1328">
        <v>0</v>
      </c>
      <c r="F1328">
        <v>0</v>
      </c>
      <c r="G1328">
        <v>1</v>
      </c>
      <c r="H1328">
        <v>1</v>
      </c>
      <c r="I1328">
        <v>1</v>
      </c>
      <c r="J1328" t="s">
        <v>88</v>
      </c>
      <c r="K1328" t="s">
        <v>89</v>
      </c>
      <c r="L1328">
        <v>0</v>
      </c>
      <c r="M1328">
        <v>0</v>
      </c>
      <c r="N1328">
        <v>1</v>
      </c>
      <c r="O1328">
        <v>0</v>
      </c>
      <c r="P1328">
        <v>0</v>
      </c>
      <c r="Q1328" t="s">
        <v>584</v>
      </c>
      <c r="AA1328" t="s">
        <v>90</v>
      </c>
      <c r="AB1328" t="s">
        <v>81</v>
      </c>
      <c r="AC1328" t="s">
        <v>81</v>
      </c>
      <c r="AD1328" t="s">
        <v>82</v>
      </c>
      <c r="AE1328" t="s">
        <v>83</v>
      </c>
      <c r="AF1328" t="s">
        <v>90</v>
      </c>
      <c r="AG1328" t="s">
        <v>83</v>
      </c>
      <c r="AH1328" t="s">
        <v>90</v>
      </c>
      <c r="AI1328" t="s">
        <v>88</v>
      </c>
      <c r="AJ1328" t="s">
        <v>89</v>
      </c>
      <c r="AK1328" t="s">
        <v>85</v>
      </c>
      <c r="AL1328" t="s">
        <v>107</v>
      </c>
      <c r="AM1328" t="s">
        <v>86</v>
      </c>
      <c r="AN1328" t="s">
        <v>86</v>
      </c>
      <c r="AO1328" t="s">
        <v>86</v>
      </c>
      <c r="AP1328" t="s">
        <v>87</v>
      </c>
      <c r="AQ1328" t="s">
        <v>86</v>
      </c>
      <c r="AR1328" t="s">
        <v>97</v>
      </c>
      <c r="AS1328" t="s">
        <v>92</v>
      </c>
      <c r="AT1328" t="s">
        <v>107</v>
      </c>
      <c r="AU1328">
        <v>0</v>
      </c>
      <c r="AV1328">
        <v>0</v>
      </c>
      <c r="AW1328">
        <v>0</v>
      </c>
      <c r="AX1328">
        <v>1</v>
      </c>
      <c r="AY1328">
        <v>0</v>
      </c>
      <c r="AZ1328" t="s">
        <v>580</v>
      </c>
    </row>
    <row r="1329" spans="1:52" x14ac:dyDescent="0.2">
      <c r="A1329">
        <v>1</v>
      </c>
      <c r="B1329">
        <v>0</v>
      </c>
      <c r="C1329">
        <v>0</v>
      </c>
      <c r="D1329">
        <v>0</v>
      </c>
      <c r="E1329">
        <v>0</v>
      </c>
      <c r="F1329">
        <v>1</v>
      </c>
      <c r="G1329">
        <v>0</v>
      </c>
      <c r="H1329">
        <v>1</v>
      </c>
      <c r="I1329">
        <v>0</v>
      </c>
      <c r="J1329" t="s">
        <v>88</v>
      </c>
      <c r="K1329" t="s">
        <v>80</v>
      </c>
      <c r="L1329">
        <v>1</v>
      </c>
      <c r="M1329">
        <v>0</v>
      </c>
      <c r="N1329">
        <v>0</v>
      </c>
      <c r="O1329">
        <v>0</v>
      </c>
      <c r="P1329">
        <v>0</v>
      </c>
      <c r="Q1329" t="s">
        <v>584</v>
      </c>
      <c r="R1329">
        <v>0</v>
      </c>
      <c r="S1329">
        <v>1</v>
      </c>
      <c r="T1329">
        <v>0</v>
      </c>
      <c r="U1329">
        <v>0</v>
      </c>
      <c r="V1329">
        <v>0</v>
      </c>
      <c r="W1329">
        <v>0</v>
      </c>
      <c r="X1329">
        <v>0</v>
      </c>
      <c r="Y1329">
        <v>0</v>
      </c>
      <c r="Z1329">
        <v>0</v>
      </c>
      <c r="AL1329" t="s">
        <v>96</v>
      </c>
      <c r="AM1329" t="s">
        <v>86</v>
      </c>
      <c r="AN1329" t="s">
        <v>86</v>
      </c>
      <c r="AO1329" t="s">
        <v>74</v>
      </c>
      <c r="AP1329" t="s">
        <v>87</v>
      </c>
      <c r="AQ1329" t="s">
        <v>74</v>
      </c>
      <c r="AR1329" t="s">
        <v>97</v>
      </c>
      <c r="AS1329" t="s">
        <v>76</v>
      </c>
      <c r="AT1329" t="s">
        <v>96</v>
      </c>
      <c r="AU1329">
        <v>0</v>
      </c>
      <c r="AV1329">
        <v>0</v>
      </c>
      <c r="AW1329">
        <v>0</v>
      </c>
      <c r="AX1329">
        <v>1</v>
      </c>
      <c r="AY1329">
        <v>0</v>
      </c>
      <c r="AZ1329" t="s">
        <v>580</v>
      </c>
    </row>
    <row r="1330" spans="1:52" x14ac:dyDescent="0.2">
      <c r="A1330">
        <v>1</v>
      </c>
      <c r="B1330">
        <v>0</v>
      </c>
      <c r="C1330">
        <v>0</v>
      </c>
      <c r="D1330">
        <v>0</v>
      </c>
      <c r="E1330">
        <v>0</v>
      </c>
      <c r="F1330">
        <v>1</v>
      </c>
      <c r="G1330">
        <v>1</v>
      </c>
      <c r="H1330">
        <v>1</v>
      </c>
      <c r="I1330">
        <v>1</v>
      </c>
      <c r="J1330" t="s">
        <v>88</v>
      </c>
      <c r="K1330" t="s">
        <v>89</v>
      </c>
      <c r="L1330">
        <v>0</v>
      </c>
      <c r="M1330">
        <v>0</v>
      </c>
      <c r="N1330">
        <v>1</v>
      </c>
      <c r="O1330">
        <v>0</v>
      </c>
      <c r="P1330">
        <v>0</v>
      </c>
      <c r="Q1330" t="s">
        <v>584</v>
      </c>
      <c r="AA1330" t="s">
        <v>82</v>
      </c>
      <c r="AB1330" t="s">
        <v>82</v>
      </c>
      <c r="AC1330" t="s">
        <v>82</v>
      </c>
      <c r="AD1330" t="s">
        <v>82</v>
      </c>
      <c r="AE1330" t="s">
        <v>81</v>
      </c>
      <c r="AF1330" t="s">
        <v>81</v>
      </c>
      <c r="AG1330" t="s">
        <v>81</v>
      </c>
      <c r="AH1330" t="s">
        <v>83</v>
      </c>
      <c r="AI1330" t="s">
        <v>88</v>
      </c>
      <c r="AJ1330" t="s">
        <v>89</v>
      </c>
      <c r="AK1330" t="s">
        <v>85</v>
      </c>
      <c r="AL1330" t="s">
        <v>73</v>
      </c>
      <c r="AM1330" t="s">
        <v>87</v>
      </c>
      <c r="AN1330" t="s">
        <v>87</v>
      </c>
      <c r="AO1330" t="s">
        <v>87</v>
      </c>
      <c r="AP1330" t="s">
        <v>87</v>
      </c>
      <c r="AQ1330" t="s">
        <v>87</v>
      </c>
      <c r="AR1330" t="s">
        <v>97</v>
      </c>
      <c r="AS1330" t="s">
        <v>76</v>
      </c>
      <c r="AT1330" t="s">
        <v>73</v>
      </c>
      <c r="AU1330">
        <v>0</v>
      </c>
      <c r="AV1330">
        <v>0</v>
      </c>
      <c r="AW1330">
        <v>0</v>
      </c>
      <c r="AX1330">
        <v>1</v>
      </c>
      <c r="AY1330">
        <v>0</v>
      </c>
      <c r="AZ1330" t="s">
        <v>581</v>
      </c>
    </row>
    <row r="1331" spans="1:52" x14ac:dyDescent="0.2">
      <c r="A1331">
        <v>0</v>
      </c>
      <c r="B1331">
        <v>1</v>
      </c>
      <c r="C1331">
        <v>0</v>
      </c>
      <c r="D1331">
        <v>0</v>
      </c>
      <c r="E1331">
        <v>1</v>
      </c>
      <c r="F1331">
        <v>0</v>
      </c>
      <c r="G1331">
        <v>0</v>
      </c>
      <c r="H1331">
        <v>0</v>
      </c>
      <c r="I1331">
        <v>0</v>
      </c>
      <c r="L1331">
        <v>1</v>
      </c>
      <c r="M1331">
        <v>0</v>
      </c>
      <c r="N1331">
        <v>0</v>
      </c>
      <c r="O1331">
        <v>0</v>
      </c>
      <c r="P1331">
        <v>0</v>
      </c>
      <c r="Q1331" t="s">
        <v>584</v>
      </c>
      <c r="R1331">
        <v>0</v>
      </c>
      <c r="S1331">
        <v>0</v>
      </c>
      <c r="T1331">
        <v>0</v>
      </c>
      <c r="U1331">
        <v>0</v>
      </c>
      <c r="V1331">
        <v>0</v>
      </c>
      <c r="W1331">
        <v>1</v>
      </c>
      <c r="X1331">
        <v>0</v>
      </c>
      <c r="Y1331">
        <v>0</v>
      </c>
      <c r="Z1331">
        <v>0</v>
      </c>
      <c r="AL1331" t="s">
        <v>107</v>
      </c>
      <c r="AM1331" t="s">
        <v>86</v>
      </c>
      <c r="AN1331" t="s">
        <v>86</v>
      </c>
      <c r="AO1331" t="s">
        <v>86</v>
      </c>
      <c r="AP1331" t="s">
        <v>86</v>
      </c>
      <c r="AQ1331" t="s">
        <v>86</v>
      </c>
      <c r="AR1331" t="s">
        <v>97</v>
      </c>
      <c r="AS1331" t="s">
        <v>76</v>
      </c>
      <c r="AT1331" t="s">
        <v>107</v>
      </c>
      <c r="AU1331">
        <v>0</v>
      </c>
      <c r="AV1331">
        <v>0</v>
      </c>
      <c r="AW1331">
        <v>0</v>
      </c>
      <c r="AX1331">
        <v>1</v>
      </c>
      <c r="AY1331">
        <v>0</v>
      </c>
      <c r="AZ1331" t="s">
        <v>580</v>
      </c>
    </row>
    <row r="1332" spans="1:52" x14ac:dyDescent="0.2">
      <c r="A1332">
        <v>1</v>
      </c>
      <c r="B1332">
        <v>0</v>
      </c>
      <c r="C1332">
        <v>0</v>
      </c>
      <c r="D1332">
        <v>0</v>
      </c>
      <c r="E1332">
        <v>0</v>
      </c>
      <c r="F1332">
        <v>1</v>
      </c>
      <c r="G1332">
        <v>0</v>
      </c>
      <c r="H1332">
        <v>0</v>
      </c>
      <c r="I1332">
        <v>0</v>
      </c>
      <c r="J1332" t="s">
        <v>135</v>
      </c>
      <c r="K1332" t="s">
        <v>80</v>
      </c>
      <c r="L1332">
        <v>1</v>
      </c>
      <c r="M1332">
        <v>0</v>
      </c>
      <c r="N1332">
        <v>0</v>
      </c>
      <c r="O1332">
        <v>0</v>
      </c>
      <c r="P1332">
        <v>0</v>
      </c>
      <c r="Q1332" t="s">
        <v>584</v>
      </c>
      <c r="R1332">
        <v>0</v>
      </c>
      <c r="S1332">
        <v>0</v>
      </c>
      <c r="T1332">
        <v>1</v>
      </c>
      <c r="U1332">
        <v>0</v>
      </c>
      <c r="V1332">
        <v>0</v>
      </c>
      <c r="W1332">
        <v>0</v>
      </c>
      <c r="X1332">
        <v>0</v>
      </c>
      <c r="Y1332">
        <v>0</v>
      </c>
      <c r="Z1332">
        <v>0</v>
      </c>
      <c r="AL1332" t="s">
        <v>120</v>
      </c>
      <c r="AM1332" t="s">
        <v>87</v>
      </c>
      <c r="AN1332" t="s">
        <v>86</v>
      </c>
      <c r="AO1332" t="s">
        <v>87</v>
      </c>
      <c r="AP1332" t="s">
        <v>74</v>
      </c>
      <c r="AQ1332" t="s">
        <v>74</v>
      </c>
      <c r="AR1332" t="s">
        <v>108</v>
      </c>
      <c r="AS1332" t="s">
        <v>92</v>
      </c>
      <c r="AT1332" t="s">
        <v>120</v>
      </c>
      <c r="AU1332">
        <v>0</v>
      </c>
      <c r="AV1332">
        <v>0</v>
      </c>
      <c r="AW1332">
        <v>0</v>
      </c>
      <c r="AX1332">
        <v>1</v>
      </c>
      <c r="AY1332">
        <v>0</v>
      </c>
      <c r="AZ1332" t="s">
        <v>580</v>
      </c>
    </row>
    <row r="1333" spans="1:52" x14ac:dyDescent="0.2">
      <c r="A1333">
        <v>0</v>
      </c>
      <c r="B1333">
        <v>1</v>
      </c>
      <c r="C1333">
        <v>0</v>
      </c>
      <c r="D1333">
        <v>0</v>
      </c>
      <c r="E1333">
        <v>0</v>
      </c>
      <c r="F1333">
        <v>1</v>
      </c>
      <c r="G1333">
        <v>0</v>
      </c>
      <c r="H1333">
        <v>0</v>
      </c>
      <c r="I1333">
        <v>0</v>
      </c>
      <c r="J1333" t="s">
        <v>88</v>
      </c>
      <c r="K1333" t="s">
        <v>89</v>
      </c>
      <c r="L1333">
        <v>0</v>
      </c>
      <c r="M1333">
        <v>1</v>
      </c>
      <c r="N1333">
        <v>0</v>
      </c>
      <c r="O1333">
        <v>0</v>
      </c>
      <c r="P1333">
        <v>0</v>
      </c>
      <c r="Q1333" t="s">
        <v>584</v>
      </c>
      <c r="AA1333" t="s">
        <v>83</v>
      </c>
      <c r="AB1333" t="s">
        <v>82</v>
      </c>
      <c r="AC1333" t="s">
        <v>82</v>
      </c>
      <c r="AD1333" t="s">
        <v>90</v>
      </c>
      <c r="AE1333" t="s">
        <v>81</v>
      </c>
      <c r="AF1333" t="s">
        <v>81</v>
      </c>
      <c r="AG1333" t="s">
        <v>83</v>
      </c>
      <c r="AH1333" t="s">
        <v>83</v>
      </c>
      <c r="AI1333" t="s">
        <v>88</v>
      </c>
      <c r="AJ1333" t="s">
        <v>89</v>
      </c>
      <c r="AK1333" t="s">
        <v>100</v>
      </c>
      <c r="AL1333" t="s">
        <v>96</v>
      </c>
      <c r="AM1333" t="s">
        <v>87</v>
      </c>
      <c r="AN1333" t="s">
        <v>74</v>
      </c>
      <c r="AO1333" t="s">
        <v>87</v>
      </c>
      <c r="AP1333" t="s">
        <v>87</v>
      </c>
      <c r="AQ1333" t="s">
        <v>74</v>
      </c>
      <c r="AR1333" t="s">
        <v>101</v>
      </c>
      <c r="AS1333" t="s">
        <v>92</v>
      </c>
      <c r="AT1333" t="s">
        <v>96</v>
      </c>
      <c r="AU1333">
        <v>0</v>
      </c>
      <c r="AV1333">
        <v>0</v>
      </c>
      <c r="AW1333">
        <v>0</v>
      </c>
      <c r="AX1333">
        <v>1</v>
      </c>
      <c r="AY1333">
        <v>0</v>
      </c>
      <c r="AZ1333" t="s">
        <v>580</v>
      </c>
    </row>
    <row r="1334" spans="1:52" x14ac:dyDescent="0.2">
      <c r="A1334">
        <v>1</v>
      </c>
      <c r="B1334">
        <v>0</v>
      </c>
      <c r="C1334">
        <v>0</v>
      </c>
      <c r="D1334">
        <v>0</v>
      </c>
      <c r="E1334">
        <v>0</v>
      </c>
      <c r="F1334">
        <v>0</v>
      </c>
      <c r="G1334">
        <v>0</v>
      </c>
      <c r="H1334">
        <v>0</v>
      </c>
      <c r="I1334">
        <v>1</v>
      </c>
      <c r="J1334" t="s">
        <v>88</v>
      </c>
      <c r="K1334" t="s">
        <v>89</v>
      </c>
      <c r="L1334">
        <v>1</v>
      </c>
      <c r="M1334">
        <v>0</v>
      </c>
      <c r="N1334">
        <v>0</v>
      </c>
      <c r="O1334">
        <v>0</v>
      </c>
      <c r="P1334">
        <v>0</v>
      </c>
      <c r="Q1334" t="s">
        <v>584</v>
      </c>
      <c r="R1334">
        <v>0</v>
      </c>
      <c r="S1334">
        <v>1</v>
      </c>
      <c r="T1334">
        <v>0</v>
      </c>
      <c r="U1334">
        <v>0</v>
      </c>
      <c r="V1334">
        <v>0</v>
      </c>
      <c r="W1334">
        <v>0</v>
      </c>
      <c r="X1334">
        <v>0</v>
      </c>
      <c r="Y1334">
        <v>0</v>
      </c>
      <c r="Z1334">
        <v>0</v>
      </c>
      <c r="AL1334" t="s">
        <v>96</v>
      </c>
      <c r="AM1334" t="s">
        <v>86</v>
      </c>
      <c r="AN1334" t="s">
        <v>74</v>
      </c>
      <c r="AO1334" t="s">
        <v>87</v>
      </c>
      <c r="AP1334" t="s">
        <v>86</v>
      </c>
      <c r="AQ1334" t="s">
        <v>86</v>
      </c>
      <c r="AR1334" t="s">
        <v>159</v>
      </c>
      <c r="AS1334" t="s">
        <v>76</v>
      </c>
      <c r="AT1334" t="s">
        <v>96</v>
      </c>
      <c r="AU1334">
        <v>0</v>
      </c>
      <c r="AV1334">
        <v>0</v>
      </c>
      <c r="AW1334">
        <v>0</v>
      </c>
      <c r="AX1334">
        <v>1</v>
      </c>
      <c r="AY1334">
        <v>0</v>
      </c>
      <c r="AZ1334" t="s">
        <v>580</v>
      </c>
    </row>
    <row r="1335" spans="1:52" x14ac:dyDescent="0.2">
      <c r="A1335">
        <v>1</v>
      </c>
      <c r="B1335">
        <v>0</v>
      </c>
      <c r="C1335">
        <v>0</v>
      </c>
      <c r="D1335">
        <v>0</v>
      </c>
      <c r="E1335">
        <v>0</v>
      </c>
      <c r="F1335">
        <v>0</v>
      </c>
      <c r="G1335">
        <v>0</v>
      </c>
      <c r="H1335">
        <v>0</v>
      </c>
      <c r="I1335">
        <v>1</v>
      </c>
      <c r="J1335" t="s">
        <v>79</v>
      </c>
      <c r="K1335" t="s">
        <v>80</v>
      </c>
      <c r="L1335">
        <v>1</v>
      </c>
      <c r="M1335">
        <v>0</v>
      </c>
      <c r="N1335">
        <v>0</v>
      </c>
      <c r="O1335">
        <v>0</v>
      </c>
      <c r="P1335">
        <v>0</v>
      </c>
      <c r="Q1335" t="s">
        <v>584</v>
      </c>
      <c r="R1335">
        <v>0</v>
      </c>
      <c r="S1335">
        <v>0</v>
      </c>
      <c r="T1335">
        <v>0</v>
      </c>
      <c r="U1335">
        <v>0</v>
      </c>
      <c r="V1335">
        <v>0</v>
      </c>
      <c r="W1335">
        <v>0</v>
      </c>
      <c r="X1335">
        <v>0</v>
      </c>
      <c r="Y1335">
        <v>0</v>
      </c>
      <c r="Z1335">
        <v>1</v>
      </c>
      <c r="AL1335" t="s">
        <v>73</v>
      </c>
      <c r="AM1335" t="s">
        <v>86</v>
      </c>
      <c r="AN1335" t="s">
        <v>86</v>
      </c>
      <c r="AO1335" t="s">
        <v>74</v>
      </c>
      <c r="AP1335" t="s">
        <v>74</v>
      </c>
      <c r="AQ1335" t="s">
        <v>87</v>
      </c>
      <c r="AR1335" t="s">
        <v>97</v>
      </c>
      <c r="AS1335" t="s">
        <v>225</v>
      </c>
      <c r="AT1335" t="s">
        <v>73</v>
      </c>
      <c r="AU1335">
        <v>0</v>
      </c>
      <c r="AV1335">
        <v>0</v>
      </c>
      <c r="AW1335">
        <v>0</v>
      </c>
      <c r="AX1335">
        <v>0</v>
      </c>
      <c r="AY1335">
        <v>1</v>
      </c>
      <c r="AZ1335" t="s">
        <v>581</v>
      </c>
    </row>
    <row r="1336" spans="1:52" x14ac:dyDescent="0.2">
      <c r="A1336">
        <v>0</v>
      </c>
      <c r="B1336">
        <v>0</v>
      </c>
      <c r="C1336">
        <v>1</v>
      </c>
      <c r="D1336">
        <v>0</v>
      </c>
      <c r="E1336">
        <v>1</v>
      </c>
      <c r="F1336">
        <v>0</v>
      </c>
      <c r="G1336">
        <v>0</v>
      </c>
      <c r="H1336">
        <v>0</v>
      </c>
      <c r="I1336">
        <v>0</v>
      </c>
      <c r="L1336">
        <v>1</v>
      </c>
      <c r="M1336">
        <v>0</v>
      </c>
      <c r="N1336">
        <v>0</v>
      </c>
      <c r="O1336">
        <v>0</v>
      </c>
      <c r="P1336">
        <v>0</v>
      </c>
      <c r="Q1336" t="s">
        <v>584</v>
      </c>
      <c r="R1336">
        <v>0</v>
      </c>
      <c r="S1336">
        <v>0</v>
      </c>
      <c r="T1336">
        <v>1</v>
      </c>
      <c r="U1336">
        <v>0</v>
      </c>
      <c r="V1336">
        <v>0</v>
      </c>
      <c r="W1336">
        <v>1</v>
      </c>
      <c r="X1336">
        <v>0</v>
      </c>
      <c r="Y1336">
        <v>0</v>
      </c>
      <c r="Z1336">
        <v>1</v>
      </c>
      <c r="AL1336" t="s">
        <v>73</v>
      </c>
      <c r="AM1336" t="s">
        <v>86</v>
      </c>
      <c r="AN1336" t="s">
        <v>87</v>
      </c>
      <c r="AO1336" t="s">
        <v>87</v>
      </c>
      <c r="AP1336" t="s">
        <v>87</v>
      </c>
      <c r="AQ1336" t="s">
        <v>87</v>
      </c>
      <c r="AR1336" t="s">
        <v>108</v>
      </c>
      <c r="AS1336" t="s">
        <v>76</v>
      </c>
      <c r="AT1336" t="s">
        <v>73</v>
      </c>
      <c r="AU1336">
        <v>0</v>
      </c>
      <c r="AV1336">
        <v>0</v>
      </c>
      <c r="AW1336">
        <v>0</v>
      </c>
      <c r="AX1336">
        <v>1</v>
      </c>
      <c r="AY1336">
        <v>0</v>
      </c>
      <c r="AZ1336" t="s">
        <v>581</v>
      </c>
    </row>
    <row r="1337" spans="1:52" x14ac:dyDescent="0.2">
      <c r="A1337">
        <v>0</v>
      </c>
      <c r="B1337">
        <v>1</v>
      </c>
      <c r="C1337">
        <v>0</v>
      </c>
      <c r="D1337">
        <v>0</v>
      </c>
      <c r="E1337">
        <v>0</v>
      </c>
      <c r="F1337">
        <v>1</v>
      </c>
      <c r="G1337">
        <v>0</v>
      </c>
      <c r="H1337">
        <v>0</v>
      </c>
      <c r="I1337">
        <v>0</v>
      </c>
      <c r="J1337" t="s">
        <v>88</v>
      </c>
      <c r="K1337" t="s">
        <v>80</v>
      </c>
      <c r="L1337">
        <v>0</v>
      </c>
      <c r="M1337">
        <v>1</v>
      </c>
      <c r="N1337">
        <v>0</v>
      </c>
      <c r="O1337">
        <v>0</v>
      </c>
      <c r="P1337">
        <v>0</v>
      </c>
      <c r="Q1337" t="s">
        <v>584</v>
      </c>
      <c r="AA1337" t="s">
        <v>83</v>
      </c>
      <c r="AB1337" t="s">
        <v>81</v>
      </c>
      <c r="AC1337" t="s">
        <v>82</v>
      </c>
      <c r="AD1337" t="s">
        <v>83</v>
      </c>
      <c r="AE1337" t="s">
        <v>83</v>
      </c>
      <c r="AF1337" t="s">
        <v>83</v>
      </c>
      <c r="AG1337" t="s">
        <v>83</v>
      </c>
      <c r="AH1337" t="s">
        <v>83</v>
      </c>
      <c r="AI1337" t="s">
        <v>88</v>
      </c>
      <c r="AJ1337" t="s">
        <v>89</v>
      </c>
      <c r="AK1337" t="s">
        <v>100</v>
      </c>
      <c r="AL1337" t="s">
        <v>107</v>
      </c>
      <c r="AM1337" t="s">
        <v>87</v>
      </c>
      <c r="AN1337" t="s">
        <v>87</v>
      </c>
      <c r="AO1337" t="s">
        <v>87</v>
      </c>
      <c r="AP1337" t="s">
        <v>87</v>
      </c>
      <c r="AQ1337" t="s">
        <v>87</v>
      </c>
      <c r="AR1337" t="s">
        <v>75</v>
      </c>
      <c r="AS1337" t="s">
        <v>76</v>
      </c>
      <c r="AT1337" t="s">
        <v>107</v>
      </c>
      <c r="AU1337">
        <v>0</v>
      </c>
      <c r="AV1337">
        <v>0</v>
      </c>
      <c r="AW1337">
        <v>0</v>
      </c>
      <c r="AX1337">
        <v>1</v>
      </c>
      <c r="AY1337">
        <v>0</v>
      </c>
      <c r="AZ1337" t="s">
        <v>579</v>
      </c>
    </row>
    <row r="1338" spans="1:52" x14ac:dyDescent="0.2">
      <c r="A1338">
        <v>0</v>
      </c>
      <c r="B1338">
        <v>1</v>
      </c>
      <c r="C1338">
        <v>0</v>
      </c>
      <c r="D1338">
        <v>0</v>
      </c>
      <c r="E1338">
        <v>1</v>
      </c>
      <c r="F1338">
        <v>0</v>
      </c>
      <c r="G1338">
        <v>0</v>
      </c>
      <c r="H1338">
        <v>0</v>
      </c>
      <c r="I1338">
        <v>0</v>
      </c>
      <c r="L1338">
        <v>1</v>
      </c>
      <c r="M1338">
        <v>0</v>
      </c>
      <c r="N1338">
        <v>0</v>
      </c>
      <c r="O1338">
        <v>0</v>
      </c>
      <c r="P1338">
        <v>0</v>
      </c>
      <c r="Q1338" t="s">
        <v>584</v>
      </c>
      <c r="R1338">
        <v>0</v>
      </c>
      <c r="S1338">
        <v>0</v>
      </c>
      <c r="T1338">
        <v>1</v>
      </c>
      <c r="U1338">
        <v>1</v>
      </c>
      <c r="V1338">
        <v>1</v>
      </c>
      <c r="W1338">
        <v>0</v>
      </c>
      <c r="X1338">
        <v>0</v>
      </c>
      <c r="Y1338">
        <v>0</v>
      </c>
      <c r="Z1338">
        <v>0</v>
      </c>
      <c r="AL1338" t="s">
        <v>107</v>
      </c>
      <c r="AM1338" t="s">
        <v>86</v>
      </c>
      <c r="AN1338" t="s">
        <v>86</v>
      </c>
      <c r="AO1338" t="s">
        <v>86</v>
      </c>
      <c r="AP1338" t="s">
        <v>87</v>
      </c>
      <c r="AQ1338" t="s">
        <v>86</v>
      </c>
      <c r="AR1338" t="s">
        <v>97</v>
      </c>
      <c r="AS1338" t="s">
        <v>76</v>
      </c>
      <c r="AT1338" t="s">
        <v>107</v>
      </c>
      <c r="AU1338">
        <v>0</v>
      </c>
      <c r="AV1338">
        <v>0</v>
      </c>
      <c r="AW1338">
        <v>0</v>
      </c>
      <c r="AX1338">
        <v>1</v>
      </c>
      <c r="AY1338">
        <v>0</v>
      </c>
      <c r="AZ1338" t="s">
        <v>580</v>
      </c>
    </row>
    <row r="1339" spans="1:52" x14ac:dyDescent="0.2">
      <c r="A1339">
        <v>0</v>
      </c>
      <c r="B1339">
        <v>1</v>
      </c>
      <c r="C1339">
        <v>0</v>
      </c>
      <c r="D1339">
        <v>0</v>
      </c>
      <c r="E1339">
        <v>0</v>
      </c>
      <c r="F1339">
        <v>1</v>
      </c>
      <c r="G1339">
        <v>0</v>
      </c>
      <c r="H1339">
        <v>0</v>
      </c>
      <c r="I1339">
        <v>0</v>
      </c>
      <c r="J1339" t="s">
        <v>88</v>
      </c>
      <c r="K1339" t="s">
        <v>80</v>
      </c>
      <c r="L1339">
        <v>0</v>
      </c>
      <c r="M1339">
        <v>1</v>
      </c>
      <c r="N1339">
        <v>0</v>
      </c>
      <c r="O1339">
        <v>0</v>
      </c>
      <c r="P1339">
        <v>0</v>
      </c>
      <c r="Q1339" t="s">
        <v>584</v>
      </c>
      <c r="AA1339" t="s">
        <v>83</v>
      </c>
      <c r="AB1339" t="s">
        <v>82</v>
      </c>
      <c r="AC1339" t="s">
        <v>82</v>
      </c>
      <c r="AD1339" t="s">
        <v>82</v>
      </c>
      <c r="AE1339" t="s">
        <v>83</v>
      </c>
      <c r="AF1339" t="s">
        <v>82</v>
      </c>
      <c r="AG1339" t="s">
        <v>90</v>
      </c>
      <c r="AH1339" t="s">
        <v>82</v>
      </c>
      <c r="AI1339" t="s">
        <v>88</v>
      </c>
      <c r="AJ1339" t="s">
        <v>80</v>
      </c>
      <c r="AK1339" t="s">
        <v>100</v>
      </c>
      <c r="AL1339" t="s">
        <v>120</v>
      </c>
      <c r="AM1339" t="s">
        <v>87</v>
      </c>
      <c r="AN1339" t="s">
        <v>87</v>
      </c>
      <c r="AO1339" t="s">
        <v>87</v>
      </c>
      <c r="AP1339" t="s">
        <v>87</v>
      </c>
      <c r="AQ1339" t="s">
        <v>87</v>
      </c>
      <c r="AR1339" t="s">
        <v>97</v>
      </c>
      <c r="AS1339" t="s">
        <v>92</v>
      </c>
      <c r="AT1339" t="s">
        <v>120</v>
      </c>
      <c r="AU1339">
        <v>0</v>
      </c>
      <c r="AV1339">
        <v>0</v>
      </c>
      <c r="AW1339">
        <v>1</v>
      </c>
      <c r="AX1339">
        <v>0</v>
      </c>
      <c r="AY1339">
        <v>0</v>
      </c>
      <c r="AZ1339" t="s">
        <v>580</v>
      </c>
    </row>
    <row r="1340" spans="1:52" x14ac:dyDescent="0.2">
      <c r="A1340">
        <v>1</v>
      </c>
      <c r="B1340">
        <v>0</v>
      </c>
      <c r="C1340">
        <v>0</v>
      </c>
      <c r="D1340">
        <v>0</v>
      </c>
      <c r="E1340">
        <v>1</v>
      </c>
      <c r="F1340">
        <v>0</v>
      </c>
      <c r="G1340">
        <v>0</v>
      </c>
      <c r="H1340">
        <v>0</v>
      </c>
      <c r="I1340">
        <v>0</v>
      </c>
      <c r="L1340">
        <v>1</v>
      </c>
      <c r="M1340">
        <v>0</v>
      </c>
      <c r="N1340">
        <v>0</v>
      </c>
      <c r="O1340">
        <v>0</v>
      </c>
      <c r="P1340">
        <v>0</v>
      </c>
      <c r="Q1340" t="s">
        <v>584</v>
      </c>
      <c r="R1340">
        <v>0</v>
      </c>
      <c r="S1340">
        <v>0</v>
      </c>
      <c r="T1340">
        <v>1</v>
      </c>
      <c r="U1340">
        <v>1</v>
      </c>
      <c r="V1340">
        <v>0</v>
      </c>
      <c r="W1340">
        <v>1</v>
      </c>
      <c r="X1340">
        <v>0</v>
      </c>
      <c r="Y1340">
        <v>0</v>
      </c>
      <c r="Z1340">
        <v>0</v>
      </c>
      <c r="AL1340" t="s">
        <v>73</v>
      </c>
      <c r="AM1340" t="s">
        <v>74</v>
      </c>
      <c r="AR1340" t="s">
        <v>97</v>
      </c>
      <c r="AS1340" t="s">
        <v>76</v>
      </c>
      <c r="AT1340" t="s">
        <v>73</v>
      </c>
      <c r="AU1340">
        <v>0</v>
      </c>
      <c r="AV1340">
        <v>0</v>
      </c>
      <c r="AW1340">
        <v>0</v>
      </c>
      <c r="AX1340">
        <v>1</v>
      </c>
      <c r="AY1340">
        <v>0</v>
      </c>
      <c r="AZ1340" t="s">
        <v>581</v>
      </c>
    </row>
    <row r="1341" spans="1:52" x14ac:dyDescent="0.2">
      <c r="A1341">
        <v>0</v>
      </c>
      <c r="B1341">
        <v>1</v>
      </c>
      <c r="C1341">
        <v>0</v>
      </c>
      <c r="D1341">
        <v>0</v>
      </c>
      <c r="E1341">
        <v>0</v>
      </c>
      <c r="F1341">
        <v>1</v>
      </c>
      <c r="G1341">
        <v>0</v>
      </c>
      <c r="H1341">
        <v>1</v>
      </c>
      <c r="I1341">
        <v>0</v>
      </c>
      <c r="J1341" t="s">
        <v>88</v>
      </c>
      <c r="K1341" t="s">
        <v>89</v>
      </c>
      <c r="L1341">
        <v>1</v>
      </c>
      <c r="M1341">
        <v>0</v>
      </c>
      <c r="N1341">
        <v>0</v>
      </c>
      <c r="O1341">
        <v>0</v>
      </c>
      <c r="P1341">
        <v>0</v>
      </c>
      <c r="Q1341" t="s">
        <v>584</v>
      </c>
      <c r="R1341">
        <v>0</v>
      </c>
      <c r="S1341">
        <v>0</v>
      </c>
      <c r="T1341">
        <v>0</v>
      </c>
      <c r="U1341">
        <v>0</v>
      </c>
      <c r="V1341">
        <v>0</v>
      </c>
      <c r="W1341">
        <v>0</v>
      </c>
      <c r="X1341">
        <v>0</v>
      </c>
      <c r="Y1341">
        <v>0</v>
      </c>
      <c r="Z1341">
        <v>1</v>
      </c>
      <c r="AL1341" t="s">
        <v>107</v>
      </c>
      <c r="AM1341" t="s">
        <v>74</v>
      </c>
      <c r="AR1341" t="s">
        <v>159</v>
      </c>
      <c r="AS1341" t="s">
        <v>76</v>
      </c>
      <c r="AT1341" t="s">
        <v>107</v>
      </c>
      <c r="AU1341">
        <v>0</v>
      </c>
      <c r="AV1341">
        <v>0</v>
      </c>
      <c r="AW1341">
        <v>0</v>
      </c>
      <c r="AX1341">
        <v>1</v>
      </c>
      <c r="AY1341">
        <v>0</v>
      </c>
      <c r="AZ1341" t="s">
        <v>581</v>
      </c>
    </row>
    <row r="1342" spans="1:52" x14ac:dyDescent="0.2">
      <c r="A1342">
        <v>0</v>
      </c>
      <c r="B1342">
        <v>1</v>
      </c>
      <c r="C1342">
        <v>0</v>
      </c>
      <c r="D1342">
        <v>0</v>
      </c>
      <c r="E1342">
        <v>1</v>
      </c>
      <c r="F1342">
        <v>0</v>
      </c>
      <c r="G1342">
        <v>0</v>
      </c>
      <c r="H1342">
        <v>0</v>
      </c>
      <c r="I1342">
        <v>0</v>
      </c>
      <c r="L1342">
        <v>1</v>
      </c>
      <c r="M1342">
        <v>0</v>
      </c>
      <c r="N1342">
        <v>0</v>
      </c>
      <c r="O1342">
        <v>0</v>
      </c>
      <c r="P1342">
        <v>0</v>
      </c>
      <c r="Q1342" t="s">
        <v>584</v>
      </c>
      <c r="R1342">
        <v>0</v>
      </c>
      <c r="S1342">
        <v>0</v>
      </c>
      <c r="T1342">
        <v>0</v>
      </c>
      <c r="U1342">
        <v>0</v>
      </c>
      <c r="V1342">
        <v>0</v>
      </c>
      <c r="W1342">
        <v>1</v>
      </c>
      <c r="X1342">
        <v>0</v>
      </c>
      <c r="Y1342">
        <v>0</v>
      </c>
      <c r="Z1342">
        <v>1</v>
      </c>
      <c r="AL1342" t="s">
        <v>96</v>
      </c>
      <c r="AM1342" t="s">
        <v>74</v>
      </c>
      <c r="AR1342" t="s">
        <v>113</v>
      </c>
      <c r="AS1342" t="s">
        <v>76</v>
      </c>
      <c r="AT1342" t="s">
        <v>96</v>
      </c>
      <c r="AU1342">
        <v>0</v>
      </c>
      <c r="AV1342">
        <v>0</v>
      </c>
      <c r="AW1342">
        <v>0</v>
      </c>
      <c r="AX1342">
        <v>1</v>
      </c>
      <c r="AY1342">
        <v>0</v>
      </c>
      <c r="AZ1342" t="s">
        <v>581</v>
      </c>
    </row>
    <row r="1343" spans="1:52" x14ac:dyDescent="0.2">
      <c r="A1343">
        <v>1</v>
      </c>
      <c r="B1343">
        <v>0</v>
      </c>
      <c r="C1343">
        <v>0</v>
      </c>
      <c r="D1343">
        <v>0</v>
      </c>
      <c r="E1343">
        <v>0</v>
      </c>
      <c r="F1343">
        <v>1</v>
      </c>
      <c r="G1343">
        <v>0</v>
      </c>
      <c r="H1343">
        <v>0</v>
      </c>
      <c r="I1343">
        <v>0</v>
      </c>
      <c r="J1343" t="s">
        <v>79</v>
      </c>
      <c r="K1343" t="s">
        <v>80</v>
      </c>
      <c r="L1343">
        <v>0</v>
      </c>
      <c r="M1343">
        <v>0</v>
      </c>
      <c r="N1343">
        <v>1</v>
      </c>
      <c r="O1343">
        <v>0</v>
      </c>
      <c r="P1343">
        <v>0</v>
      </c>
      <c r="Q1343" t="s">
        <v>585</v>
      </c>
      <c r="AA1343" t="s">
        <v>82</v>
      </c>
      <c r="AB1343" t="s">
        <v>82</v>
      </c>
      <c r="AC1343" t="s">
        <v>82</v>
      </c>
      <c r="AD1343" t="s">
        <v>81</v>
      </c>
      <c r="AE1343" t="s">
        <v>82</v>
      </c>
      <c r="AF1343" t="s">
        <v>83</v>
      </c>
      <c r="AG1343" t="s">
        <v>82</v>
      </c>
      <c r="AH1343" t="s">
        <v>90</v>
      </c>
      <c r="AI1343" t="s">
        <v>88</v>
      </c>
      <c r="AJ1343" t="s">
        <v>89</v>
      </c>
      <c r="AK1343" t="s">
        <v>100</v>
      </c>
      <c r="AL1343" t="s">
        <v>73</v>
      </c>
      <c r="AM1343" t="s">
        <v>87</v>
      </c>
      <c r="AN1343" t="s">
        <v>87</v>
      </c>
      <c r="AO1343" t="s">
        <v>87</v>
      </c>
      <c r="AP1343" t="s">
        <v>87</v>
      </c>
      <c r="AQ1343" t="s">
        <v>87</v>
      </c>
      <c r="AR1343" t="s">
        <v>97</v>
      </c>
      <c r="AS1343" t="s">
        <v>76</v>
      </c>
      <c r="AT1343" t="s">
        <v>73</v>
      </c>
      <c r="AU1343">
        <v>1</v>
      </c>
      <c r="AV1343">
        <v>0</v>
      </c>
      <c r="AW1343">
        <v>0</v>
      </c>
      <c r="AX1343">
        <v>0</v>
      </c>
      <c r="AY1343">
        <v>0</v>
      </c>
      <c r="AZ1343" t="s">
        <v>580</v>
      </c>
    </row>
    <row r="1344" spans="1:52" x14ac:dyDescent="0.2">
      <c r="A1344">
        <v>0</v>
      </c>
      <c r="B1344">
        <v>1</v>
      </c>
      <c r="C1344">
        <v>0</v>
      </c>
      <c r="D1344">
        <v>0</v>
      </c>
      <c r="E1344">
        <v>1</v>
      </c>
      <c r="F1344">
        <v>0</v>
      </c>
      <c r="G1344">
        <v>0</v>
      </c>
      <c r="H1344">
        <v>0</v>
      </c>
      <c r="I1344">
        <v>0</v>
      </c>
      <c r="L1344">
        <v>1</v>
      </c>
      <c r="M1344">
        <v>0</v>
      </c>
      <c r="N1344">
        <v>0</v>
      </c>
      <c r="O1344">
        <v>0</v>
      </c>
      <c r="P1344">
        <v>0</v>
      </c>
      <c r="Q1344" t="s">
        <v>584</v>
      </c>
      <c r="R1344">
        <v>0</v>
      </c>
      <c r="S1344">
        <v>0</v>
      </c>
      <c r="T1344">
        <v>0</v>
      </c>
      <c r="U1344">
        <v>0</v>
      </c>
      <c r="V1344">
        <v>0</v>
      </c>
      <c r="W1344">
        <v>0</v>
      </c>
      <c r="X1344">
        <v>1</v>
      </c>
      <c r="Y1344">
        <v>0</v>
      </c>
      <c r="Z1344">
        <v>0</v>
      </c>
      <c r="AL1344" t="s">
        <v>107</v>
      </c>
      <c r="AM1344" t="s">
        <v>74</v>
      </c>
      <c r="AR1344" t="s">
        <v>97</v>
      </c>
      <c r="AS1344" t="s">
        <v>76</v>
      </c>
      <c r="AT1344" t="s">
        <v>107</v>
      </c>
      <c r="AU1344">
        <v>0</v>
      </c>
      <c r="AV1344">
        <v>0</v>
      </c>
      <c r="AW1344">
        <v>0</v>
      </c>
      <c r="AX1344">
        <v>1</v>
      </c>
      <c r="AY1344">
        <v>0</v>
      </c>
      <c r="AZ1344" t="s">
        <v>580</v>
      </c>
    </row>
    <row r="1345" spans="1:52" x14ac:dyDescent="0.2">
      <c r="A1345">
        <v>0</v>
      </c>
      <c r="B1345">
        <v>0</v>
      </c>
      <c r="C1345">
        <v>0</v>
      </c>
      <c r="D1345">
        <v>1</v>
      </c>
      <c r="L1345">
        <v>1</v>
      </c>
      <c r="M1345">
        <v>0</v>
      </c>
      <c r="N1345">
        <v>0</v>
      </c>
      <c r="O1345">
        <v>0</v>
      </c>
      <c r="P1345">
        <v>0</v>
      </c>
      <c r="Q1345" t="s">
        <v>584</v>
      </c>
      <c r="R1345">
        <v>0</v>
      </c>
      <c r="S1345">
        <v>1</v>
      </c>
      <c r="T1345">
        <v>0</v>
      </c>
      <c r="U1345">
        <v>0</v>
      </c>
      <c r="V1345">
        <v>0</v>
      </c>
      <c r="W1345">
        <v>0</v>
      </c>
      <c r="X1345">
        <v>0</v>
      </c>
      <c r="Y1345">
        <v>0</v>
      </c>
      <c r="Z1345">
        <v>0</v>
      </c>
      <c r="AL1345" t="s">
        <v>96</v>
      </c>
      <c r="AR1345" t="s">
        <v>97</v>
      </c>
      <c r="AS1345" t="s">
        <v>76</v>
      </c>
      <c r="AT1345" t="s">
        <v>96</v>
      </c>
      <c r="AU1345">
        <v>0</v>
      </c>
      <c r="AV1345">
        <v>0</v>
      </c>
      <c r="AW1345">
        <v>0</v>
      </c>
      <c r="AX1345">
        <v>1</v>
      </c>
      <c r="AY1345">
        <v>0</v>
      </c>
      <c r="AZ1345" t="s">
        <v>581</v>
      </c>
    </row>
    <row r="1346" spans="1:52" x14ac:dyDescent="0.2">
      <c r="A1346">
        <v>1</v>
      </c>
      <c r="B1346">
        <v>0</v>
      </c>
      <c r="C1346">
        <v>0</v>
      </c>
      <c r="D1346">
        <v>0</v>
      </c>
      <c r="E1346">
        <v>1</v>
      </c>
      <c r="F1346">
        <v>0</v>
      </c>
      <c r="G1346">
        <v>0</v>
      </c>
      <c r="H1346">
        <v>0</v>
      </c>
      <c r="I1346">
        <v>0</v>
      </c>
      <c r="L1346">
        <v>0</v>
      </c>
      <c r="M1346">
        <v>0</v>
      </c>
      <c r="N1346">
        <v>1</v>
      </c>
      <c r="O1346">
        <v>0</v>
      </c>
      <c r="P1346">
        <v>0</v>
      </c>
      <c r="Q1346" t="s">
        <v>584</v>
      </c>
      <c r="AA1346" t="s">
        <v>81</v>
      </c>
      <c r="AB1346" t="s">
        <v>81</v>
      </c>
      <c r="AC1346" t="s">
        <v>81</v>
      </c>
      <c r="AD1346" t="s">
        <v>81</v>
      </c>
      <c r="AE1346" t="s">
        <v>82</v>
      </c>
      <c r="AF1346" t="s">
        <v>83</v>
      </c>
      <c r="AG1346" t="s">
        <v>81</v>
      </c>
      <c r="AH1346" t="s">
        <v>83</v>
      </c>
      <c r="AI1346" t="s">
        <v>88</v>
      </c>
      <c r="AJ1346" t="s">
        <v>89</v>
      </c>
      <c r="AK1346" t="s">
        <v>100</v>
      </c>
      <c r="AL1346" t="s">
        <v>96</v>
      </c>
      <c r="AM1346" t="s">
        <v>74</v>
      </c>
      <c r="AR1346" t="s">
        <v>97</v>
      </c>
      <c r="AS1346" t="s">
        <v>76</v>
      </c>
      <c r="AT1346" t="s">
        <v>96</v>
      </c>
      <c r="AU1346">
        <v>0</v>
      </c>
      <c r="AV1346">
        <v>0</v>
      </c>
      <c r="AW1346">
        <v>0</v>
      </c>
      <c r="AX1346">
        <v>1</v>
      </c>
      <c r="AY1346">
        <v>0</v>
      </c>
      <c r="AZ1346" t="s">
        <v>580</v>
      </c>
    </row>
    <row r="1347" spans="1:52" x14ac:dyDescent="0.2">
      <c r="A1347">
        <v>1</v>
      </c>
      <c r="B1347">
        <v>0</v>
      </c>
      <c r="C1347">
        <v>0</v>
      </c>
      <c r="D1347">
        <v>0</v>
      </c>
      <c r="E1347">
        <v>1</v>
      </c>
      <c r="F1347">
        <v>0</v>
      </c>
      <c r="G1347">
        <v>0</v>
      </c>
      <c r="H1347">
        <v>0</v>
      </c>
      <c r="I1347">
        <v>0</v>
      </c>
      <c r="L1347">
        <v>1</v>
      </c>
      <c r="M1347">
        <v>0</v>
      </c>
      <c r="N1347">
        <v>0</v>
      </c>
      <c r="O1347">
        <v>0</v>
      </c>
      <c r="P1347">
        <v>0</v>
      </c>
      <c r="Q1347" t="s">
        <v>584</v>
      </c>
      <c r="R1347">
        <v>0</v>
      </c>
      <c r="S1347">
        <v>0</v>
      </c>
      <c r="T1347">
        <v>0</v>
      </c>
      <c r="U1347">
        <v>0</v>
      </c>
      <c r="V1347">
        <v>1</v>
      </c>
      <c r="W1347">
        <v>0</v>
      </c>
      <c r="X1347">
        <v>1</v>
      </c>
      <c r="Y1347">
        <v>1</v>
      </c>
      <c r="Z1347">
        <v>0</v>
      </c>
      <c r="AL1347" t="s">
        <v>73</v>
      </c>
      <c r="AM1347" t="s">
        <v>86</v>
      </c>
      <c r="AN1347" t="s">
        <v>74</v>
      </c>
      <c r="AO1347" t="s">
        <v>74</v>
      </c>
      <c r="AP1347" t="s">
        <v>74</v>
      </c>
      <c r="AQ1347" t="s">
        <v>74</v>
      </c>
      <c r="AR1347" t="s">
        <v>97</v>
      </c>
      <c r="AS1347" t="s">
        <v>92</v>
      </c>
      <c r="AT1347" t="s">
        <v>73</v>
      </c>
      <c r="AU1347">
        <v>0</v>
      </c>
      <c r="AV1347">
        <v>0</v>
      </c>
      <c r="AW1347">
        <v>0</v>
      </c>
      <c r="AX1347">
        <v>1</v>
      </c>
      <c r="AY1347">
        <v>0</v>
      </c>
      <c r="AZ1347" t="s">
        <v>580</v>
      </c>
    </row>
    <row r="1348" spans="1:52" x14ac:dyDescent="0.2">
      <c r="A1348">
        <v>1</v>
      </c>
      <c r="B1348">
        <v>0</v>
      </c>
      <c r="C1348">
        <v>0</v>
      </c>
      <c r="D1348">
        <v>0</v>
      </c>
      <c r="E1348">
        <v>0</v>
      </c>
      <c r="F1348">
        <v>1</v>
      </c>
      <c r="G1348">
        <v>0</v>
      </c>
      <c r="H1348">
        <v>1</v>
      </c>
      <c r="I1348">
        <v>1</v>
      </c>
      <c r="J1348" t="s">
        <v>88</v>
      </c>
      <c r="K1348" t="s">
        <v>89</v>
      </c>
      <c r="L1348">
        <v>1</v>
      </c>
      <c r="M1348">
        <v>0</v>
      </c>
      <c r="N1348">
        <v>0</v>
      </c>
      <c r="O1348">
        <v>0</v>
      </c>
      <c r="P1348">
        <v>0</v>
      </c>
      <c r="Q1348" t="s">
        <v>584</v>
      </c>
      <c r="R1348">
        <v>0</v>
      </c>
      <c r="S1348">
        <v>0</v>
      </c>
      <c r="T1348">
        <v>1</v>
      </c>
      <c r="U1348">
        <v>0</v>
      </c>
      <c r="V1348">
        <v>0</v>
      </c>
      <c r="W1348">
        <v>0</v>
      </c>
      <c r="X1348">
        <v>0</v>
      </c>
      <c r="Y1348">
        <v>0</v>
      </c>
      <c r="Z1348">
        <v>0</v>
      </c>
      <c r="AL1348" t="s">
        <v>73</v>
      </c>
      <c r="AM1348" t="s">
        <v>86</v>
      </c>
      <c r="AN1348" t="s">
        <v>74</v>
      </c>
      <c r="AO1348" t="s">
        <v>86</v>
      </c>
      <c r="AP1348" t="s">
        <v>74</v>
      </c>
      <c r="AQ1348" t="s">
        <v>86</v>
      </c>
      <c r="AR1348" t="s">
        <v>75</v>
      </c>
      <c r="AS1348" t="s">
        <v>76</v>
      </c>
      <c r="AT1348" t="s">
        <v>73</v>
      </c>
      <c r="AU1348">
        <v>0</v>
      </c>
      <c r="AV1348">
        <v>0</v>
      </c>
      <c r="AW1348">
        <v>0</v>
      </c>
      <c r="AX1348">
        <v>1</v>
      </c>
      <c r="AY1348">
        <v>0</v>
      </c>
      <c r="AZ1348" t="s">
        <v>579</v>
      </c>
    </row>
    <row r="1349" spans="1:52" x14ac:dyDescent="0.2">
      <c r="A1349">
        <v>1</v>
      </c>
      <c r="B1349">
        <v>0</v>
      </c>
      <c r="C1349">
        <v>0</v>
      </c>
      <c r="D1349">
        <v>0</v>
      </c>
      <c r="E1349">
        <v>0</v>
      </c>
      <c r="F1349">
        <v>1</v>
      </c>
      <c r="G1349">
        <v>0</v>
      </c>
      <c r="H1349">
        <v>0</v>
      </c>
      <c r="I1349">
        <v>0</v>
      </c>
      <c r="J1349" t="s">
        <v>135</v>
      </c>
      <c r="K1349" t="s">
        <v>80</v>
      </c>
      <c r="L1349">
        <v>0</v>
      </c>
      <c r="M1349">
        <v>0</v>
      </c>
      <c r="N1349">
        <v>1</v>
      </c>
      <c r="O1349">
        <v>0</v>
      </c>
      <c r="P1349">
        <v>0</v>
      </c>
      <c r="Q1349" t="s">
        <v>585</v>
      </c>
      <c r="AA1349" t="s">
        <v>81</v>
      </c>
      <c r="AB1349" t="s">
        <v>82</v>
      </c>
      <c r="AC1349" t="s">
        <v>83</v>
      </c>
      <c r="AD1349" t="s">
        <v>81</v>
      </c>
      <c r="AE1349" t="s">
        <v>82</v>
      </c>
      <c r="AF1349" t="s">
        <v>83</v>
      </c>
      <c r="AG1349" t="s">
        <v>81</v>
      </c>
      <c r="AH1349" t="s">
        <v>83</v>
      </c>
      <c r="AI1349" t="s">
        <v>88</v>
      </c>
      <c r="AJ1349" t="s">
        <v>89</v>
      </c>
      <c r="AK1349" t="s">
        <v>85</v>
      </c>
      <c r="AL1349" t="s">
        <v>73</v>
      </c>
      <c r="AM1349" t="s">
        <v>86</v>
      </c>
      <c r="AN1349" t="s">
        <v>86</v>
      </c>
      <c r="AO1349" t="s">
        <v>86</v>
      </c>
      <c r="AP1349" t="s">
        <v>86</v>
      </c>
      <c r="AQ1349" t="s">
        <v>86</v>
      </c>
      <c r="AR1349" t="s">
        <v>97</v>
      </c>
      <c r="AS1349" t="s">
        <v>76</v>
      </c>
      <c r="AT1349" t="s">
        <v>73</v>
      </c>
      <c r="AU1349">
        <v>0</v>
      </c>
      <c r="AV1349">
        <v>0</v>
      </c>
      <c r="AW1349">
        <v>0</v>
      </c>
      <c r="AX1349">
        <v>1</v>
      </c>
      <c r="AY1349">
        <v>0</v>
      </c>
      <c r="AZ1349" t="s">
        <v>580</v>
      </c>
    </row>
    <row r="1350" spans="1:52" x14ac:dyDescent="0.2">
      <c r="A1350">
        <v>0</v>
      </c>
      <c r="B1350">
        <v>1</v>
      </c>
      <c r="C1350">
        <v>0</v>
      </c>
      <c r="D1350">
        <v>0</v>
      </c>
      <c r="E1350">
        <v>1</v>
      </c>
      <c r="F1350">
        <v>0</v>
      </c>
      <c r="G1350">
        <v>0</v>
      </c>
      <c r="H1350">
        <v>0</v>
      </c>
      <c r="I1350">
        <v>0</v>
      </c>
      <c r="L1350">
        <v>0</v>
      </c>
      <c r="M1350">
        <v>1</v>
      </c>
      <c r="N1350">
        <v>0</v>
      </c>
      <c r="O1350">
        <v>0</v>
      </c>
      <c r="P1350">
        <v>0</v>
      </c>
      <c r="Q1350" t="s">
        <v>584</v>
      </c>
      <c r="AA1350" t="s">
        <v>83</v>
      </c>
      <c r="AB1350" t="s">
        <v>82</v>
      </c>
      <c r="AC1350" t="s">
        <v>83</v>
      </c>
      <c r="AD1350" t="s">
        <v>82</v>
      </c>
      <c r="AE1350" t="s">
        <v>90</v>
      </c>
      <c r="AF1350" t="s">
        <v>83</v>
      </c>
      <c r="AG1350" t="s">
        <v>83</v>
      </c>
      <c r="AH1350" t="s">
        <v>83</v>
      </c>
      <c r="AI1350" t="s">
        <v>84</v>
      </c>
      <c r="AJ1350" t="s">
        <v>89</v>
      </c>
      <c r="AK1350" t="s">
        <v>117</v>
      </c>
      <c r="AL1350" t="s">
        <v>96</v>
      </c>
      <c r="AM1350" t="s">
        <v>87</v>
      </c>
      <c r="AN1350" t="s">
        <v>87</v>
      </c>
      <c r="AO1350" t="s">
        <v>87</v>
      </c>
      <c r="AP1350" t="s">
        <v>87</v>
      </c>
      <c r="AQ1350" t="s">
        <v>87</v>
      </c>
      <c r="AR1350" t="s">
        <v>101</v>
      </c>
      <c r="AS1350" t="s">
        <v>92</v>
      </c>
      <c r="AT1350" t="s">
        <v>96</v>
      </c>
      <c r="AU1350">
        <v>0</v>
      </c>
      <c r="AV1350">
        <v>0</v>
      </c>
      <c r="AW1350">
        <v>0</v>
      </c>
      <c r="AX1350">
        <v>1</v>
      </c>
      <c r="AY1350">
        <v>0</v>
      </c>
      <c r="AZ1350" t="s">
        <v>580</v>
      </c>
    </row>
    <row r="1351" spans="1:52" x14ac:dyDescent="0.2">
      <c r="A1351">
        <v>1</v>
      </c>
      <c r="B1351">
        <v>0</v>
      </c>
      <c r="C1351">
        <v>0</v>
      </c>
      <c r="D1351">
        <v>0</v>
      </c>
      <c r="E1351">
        <v>0</v>
      </c>
      <c r="F1351">
        <v>1</v>
      </c>
      <c r="G1351">
        <v>0</v>
      </c>
      <c r="H1351">
        <v>0</v>
      </c>
      <c r="I1351">
        <v>0</v>
      </c>
      <c r="J1351" t="s">
        <v>88</v>
      </c>
      <c r="K1351" t="s">
        <v>223</v>
      </c>
      <c r="L1351">
        <v>1</v>
      </c>
      <c r="M1351">
        <v>0</v>
      </c>
      <c r="N1351">
        <v>0</v>
      </c>
      <c r="O1351">
        <v>0</v>
      </c>
      <c r="P1351">
        <v>0</v>
      </c>
      <c r="Q1351" t="s">
        <v>584</v>
      </c>
      <c r="R1351">
        <v>0</v>
      </c>
      <c r="S1351">
        <v>1</v>
      </c>
      <c r="T1351">
        <v>0</v>
      </c>
      <c r="U1351">
        <v>0</v>
      </c>
      <c r="V1351">
        <v>0</v>
      </c>
      <c r="W1351">
        <v>0</v>
      </c>
      <c r="X1351">
        <v>0</v>
      </c>
      <c r="Y1351">
        <v>0</v>
      </c>
      <c r="Z1351">
        <v>0</v>
      </c>
      <c r="AL1351" t="s">
        <v>73</v>
      </c>
      <c r="AM1351" t="s">
        <v>87</v>
      </c>
      <c r="AN1351" t="s">
        <v>74</v>
      </c>
      <c r="AO1351" t="s">
        <v>87</v>
      </c>
      <c r="AP1351" t="s">
        <v>74</v>
      </c>
      <c r="AQ1351" t="s">
        <v>74</v>
      </c>
      <c r="AR1351" t="s">
        <v>97</v>
      </c>
      <c r="AS1351" t="s">
        <v>76</v>
      </c>
      <c r="AT1351" t="s">
        <v>73</v>
      </c>
      <c r="AU1351">
        <v>0</v>
      </c>
      <c r="AV1351">
        <v>0</v>
      </c>
      <c r="AW1351">
        <v>0</v>
      </c>
      <c r="AX1351">
        <v>1</v>
      </c>
      <c r="AY1351">
        <v>0</v>
      </c>
      <c r="AZ1351" t="s">
        <v>580</v>
      </c>
    </row>
    <row r="1352" spans="1:52" x14ac:dyDescent="0.2">
      <c r="A1352">
        <v>1</v>
      </c>
      <c r="B1352">
        <v>0</v>
      </c>
      <c r="C1352">
        <v>0</v>
      </c>
      <c r="D1352">
        <v>0</v>
      </c>
      <c r="E1352">
        <v>0</v>
      </c>
      <c r="F1352">
        <v>1</v>
      </c>
      <c r="G1352">
        <v>0</v>
      </c>
      <c r="H1352">
        <v>0</v>
      </c>
      <c r="I1352">
        <v>0</v>
      </c>
      <c r="J1352" t="s">
        <v>88</v>
      </c>
      <c r="K1352" t="s">
        <v>127</v>
      </c>
      <c r="L1352">
        <v>1</v>
      </c>
      <c r="M1352">
        <v>0</v>
      </c>
      <c r="N1352">
        <v>0</v>
      </c>
      <c r="O1352">
        <v>0</v>
      </c>
      <c r="P1352">
        <v>0</v>
      </c>
      <c r="Q1352" t="s">
        <v>584</v>
      </c>
      <c r="R1352">
        <v>1</v>
      </c>
      <c r="S1352">
        <v>0</v>
      </c>
      <c r="T1352">
        <v>0</v>
      </c>
      <c r="U1352">
        <v>0</v>
      </c>
      <c r="V1352">
        <v>0</v>
      </c>
      <c r="W1352">
        <v>0</v>
      </c>
      <c r="X1352">
        <v>0</v>
      </c>
      <c r="Y1352">
        <v>0</v>
      </c>
      <c r="Z1352">
        <v>0</v>
      </c>
      <c r="AL1352" t="s">
        <v>107</v>
      </c>
      <c r="AM1352" t="s">
        <v>86</v>
      </c>
      <c r="AN1352" t="s">
        <v>74</v>
      </c>
      <c r="AO1352" t="s">
        <v>87</v>
      </c>
      <c r="AP1352" t="s">
        <v>74</v>
      </c>
      <c r="AQ1352" t="s">
        <v>74</v>
      </c>
      <c r="AR1352" t="s">
        <v>75</v>
      </c>
      <c r="AS1352" t="s">
        <v>92</v>
      </c>
      <c r="AT1352" t="s">
        <v>107</v>
      </c>
      <c r="AU1352">
        <v>0</v>
      </c>
      <c r="AV1352">
        <v>0</v>
      </c>
      <c r="AW1352">
        <v>0</v>
      </c>
      <c r="AX1352">
        <v>1</v>
      </c>
      <c r="AY1352">
        <v>0</v>
      </c>
      <c r="AZ1352" t="s">
        <v>580</v>
      </c>
    </row>
    <row r="1353" spans="1:52" x14ac:dyDescent="0.2">
      <c r="A1353">
        <v>0</v>
      </c>
      <c r="B1353">
        <v>1</v>
      </c>
      <c r="C1353">
        <v>0</v>
      </c>
      <c r="D1353">
        <v>0</v>
      </c>
      <c r="E1353">
        <v>1</v>
      </c>
      <c r="F1353">
        <v>0</v>
      </c>
      <c r="G1353">
        <v>0</v>
      </c>
      <c r="H1353">
        <v>0</v>
      </c>
      <c r="I1353">
        <v>0</v>
      </c>
      <c r="L1353">
        <v>1</v>
      </c>
      <c r="M1353">
        <v>0</v>
      </c>
      <c r="N1353">
        <v>0</v>
      </c>
      <c r="O1353">
        <v>0</v>
      </c>
      <c r="P1353">
        <v>0</v>
      </c>
      <c r="Q1353" t="s">
        <v>584</v>
      </c>
      <c r="R1353">
        <v>0</v>
      </c>
      <c r="S1353">
        <v>0</v>
      </c>
      <c r="T1353">
        <v>0</v>
      </c>
      <c r="U1353">
        <v>0</v>
      </c>
      <c r="V1353">
        <v>0</v>
      </c>
      <c r="W1353">
        <v>0</v>
      </c>
      <c r="X1353">
        <v>1</v>
      </c>
      <c r="Y1353">
        <v>0</v>
      </c>
      <c r="Z1353">
        <v>0</v>
      </c>
      <c r="AL1353" t="s">
        <v>107</v>
      </c>
      <c r="AM1353" t="s">
        <v>74</v>
      </c>
      <c r="AR1353" t="s">
        <v>97</v>
      </c>
      <c r="AS1353" t="s">
        <v>92</v>
      </c>
      <c r="AT1353" t="s">
        <v>107</v>
      </c>
      <c r="AU1353">
        <v>0</v>
      </c>
      <c r="AV1353">
        <v>0</v>
      </c>
      <c r="AW1353">
        <v>0</v>
      </c>
      <c r="AX1353">
        <v>1</v>
      </c>
      <c r="AY1353">
        <v>0</v>
      </c>
      <c r="AZ1353" t="s">
        <v>580</v>
      </c>
    </row>
    <row r="1354" spans="1:52" x14ac:dyDescent="0.2">
      <c r="A1354">
        <v>1</v>
      </c>
      <c r="B1354">
        <v>0</v>
      </c>
      <c r="C1354">
        <v>0</v>
      </c>
      <c r="D1354">
        <v>0</v>
      </c>
      <c r="E1354">
        <v>0</v>
      </c>
      <c r="F1354">
        <v>1</v>
      </c>
      <c r="G1354">
        <v>0</v>
      </c>
      <c r="H1354">
        <v>0</v>
      </c>
      <c r="I1354">
        <v>0</v>
      </c>
      <c r="J1354" t="s">
        <v>79</v>
      </c>
      <c r="K1354" t="s">
        <v>80</v>
      </c>
      <c r="L1354">
        <v>0</v>
      </c>
      <c r="M1354">
        <v>0</v>
      </c>
      <c r="N1354">
        <v>1</v>
      </c>
      <c r="O1354">
        <v>0</v>
      </c>
      <c r="P1354">
        <v>0</v>
      </c>
      <c r="Q1354" t="s">
        <v>584</v>
      </c>
      <c r="AA1354" t="s">
        <v>83</v>
      </c>
      <c r="AB1354" t="s">
        <v>82</v>
      </c>
      <c r="AC1354" t="s">
        <v>81</v>
      </c>
      <c r="AD1354" t="s">
        <v>82</v>
      </c>
      <c r="AE1354" t="s">
        <v>82</v>
      </c>
      <c r="AF1354" t="s">
        <v>82</v>
      </c>
      <c r="AG1354" t="s">
        <v>82</v>
      </c>
      <c r="AH1354" t="s">
        <v>90</v>
      </c>
      <c r="AI1354" t="s">
        <v>84</v>
      </c>
      <c r="AJ1354" t="s">
        <v>80</v>
      </c>
      <c r="AK1354" t="s">
        <v>85</v>
      </c>
      <c r="AL1354" t="s">
        <v>107</v>
      </c>
      <c r="AM1354" t="s">
        <v>87</v>
      </c>
      <c r="AN1354" t="s">
        <v>87</v>
      </c>
      <c r="AO1354" t="s">
        <v>87</v>
      </c>
      <c r="AP1354" t="s">
        <v>87</v>
      </c>
      <c r="AQ1354" t="s">
        <v>87</v>
      </c>
      <c r="AR1354" t="s">
        <v>101</v>
      </c>
      <c r="AS1354" t="s">
        <v>92</v>
      </c>
      <c r="AT1354" t="s">
        <v>107</v>
      </c>
      <c r="AU1354">
        <v>0</v>
      </c>
      <c r="AV1354">
        <v>0</v>
      </c>
      <c r="AW1354">
        <v>0</v>
      </c>
      <c r="AX1354">
        <v>1</v>
      </c>
      <c r="AY1354">
        <v>0</v>
      </c>
      <c r="AZ1354" t="s">
        <v>579</v>
      </c>
    </row>
    <row r="1355" spans="1:52" x14ac:dyDescent="0.2">
      <c r="A1355">
        <v>1</v>
      </c>
      <c r="B1355">
        <v>0</v>
      </c>
      <c r="C1355">
        <v>0</v>
      </c>
      <c r="D1355">
        <v>0</v>
      </c>
      <c r="E1355">
        <v>1</v>
      </c>
      <c r="F1355">
        <v>0</v>
      </c>
      <c r="G1355">
        <v>0</v>
      </c>
      <c r="H1355">
        <v>0</v>
      </c>
      <c r="I1355">
        <v>0</v>
      </c>
      <c r="L1355">
        <v>0</v>
      </c>
      <c r="M1355">
        <v>0</v>
      </c>
      <c r="N1355">
        <v>1</v>
      </c>
      <c r="O1355">
        <v>0</v>
      </c>
      <c r="P1355">
        <v>0</v>
      </c>
      <c r="Q1355" t="s">
        <v>584</v>
      </c>
      <c r="AA1355" t="s">
        <v>90</v>
      </c>
      <c r="AB1355" t="s">
        <v>82</v>
      </c>
      <c r="AC1355" t="s">
        <v>90</v>
      </c>
      <c r="AD1355" t="s">
        <v>82</v>
      </c>
      <c r="AE1355" t="s">
        <v>82</v>
      </c>
      <c r="AF1355" t="s">
        <v>90</v>
      </c>
      <c r="AG1355" t="s">
        <v>82</v>
      </c>
      <c r="AH1355" t="s">
        <v>90</v>
      </c>
      <c r="AI1355" t="s">
        <v>88</v>
      </c>
      <c r="AJ1355" t="s">
        <v>89</v>
      </c>
      <c r="AK1355" t="s">
        <v>85</v>
      </c>
      <c r="AL1355" t="s">
        <v>107</v>
      </c>
      <c r="AM1355" t="s">
        <v>86</v>
      </c>
      <c r="AN1355" t="s">
        <v>87</v>
      </c>
      <c r="AO1355" t="s">
        <v>87</v>
      </c>
      <c r="AP1355" t="s">
        <v>86</v>
      </c>
      <c r="AQ1355" t="s">
        <v>87</v>
      </c>
      <c r="AR1355" t="s">
        <v>97</v>
      </c>
      <c r="AS1355" t="s">
        <v>76</v>
      </c>
      <c r="AT1355" t="s">
        <v>107</v>
      </c>
      <c r="AU1355">
        <v>1</v>
      </c>
      <c r="AV1355">
        <v>0</v>
      </c>
      <c r="AW1355">
        <v>0</v>
      </c>
      <c r="AX1355">
        <v>1</v>
      </c>
      <c r="AY1355">
        <v>1</v>
      </c>
      <c r="AZ1355" t="s">
        <v>580</v>
      </c>
    </row>
    <row r="1356" spans="1:52" x14ac:dyDescent="0.2">
      <c r="A1356">
        <v>1</v>
      </c>
      <c r="B1356">
        <v>0</v>
      </c>
      <c r="C1356">
        <v>0</v>
      </c>
      <c r="D1356">
        <v>0</v>
      </c>
      <c r="E1356">
        <v>1</v>
      </c>
      <c r="F1356">
        <v>0</v>
      </c>
      <c r="G1356">
        <v>0</v>
      </c>
      <c r="H1356">
        <v>0</v>
      </c>
      <c r="I1356">
        <v>0</v>
      </c>
      <c r="L1356">
        <v>1</v>
      </c>
      <c r="M1356">
        <v>0</v>
      </c>
      <c r="N1356">
        <v>0</v>
      </c>
      <c r="O1356">
        <v>0</v>
      </c>
      <c r="P1356">
        <v>0</v>
      </c>
      <c r="Q1356" t="s">
        <v>584</v>
      </c>
      <c r="R1356">
        <v>0</v>
      </c>
      <c r="S1356">
        <v>1</v>
      </c>
      <c r="T1356">
        <v>0</v>
      </c>
      <c r="U1356">
        <v>0</v>
      </c>
      <c r="V1356">
        <v>0</v>
      </c>
      <c r="W1356">
        <v>0</v>
      </c>
      <c r="X1356">
        <v>0</v>
      </c>
      <c r="Y1356">
        <v>0</v>
      </c>
      <c r="Z1356">
        <v>0</v>
      </c>
      <c r="AL1356" t="s">
        <v>73</v>
      </c>
      <c r="AM1356" t="s">
        <v>86</v>
      </c>
      <c r="AN1356" t="s">
        <v>86</v>
      </c>
      <c r="AO1356" t="s">
        <v>86</v>
      </c>
      <c r="AP1356" t="s">
        <v>86</v>
      </c>
      <c r="AQ1356" t="s">
        <v>86</v>
      </c>
      <c r="AR1356" t="s">
        <v>108</v>
      </c>
      <c r="AS1356" t="s">
        <v>92</v>
      </c>
      <c r="AT1356" t="s">
        <v>73</v>
      </c>
      <c r="AU1356">
        <v>0</v>
      </c>
      <c r="AV1356">
        <v>0</v>
      </c>
      <c r="AW1356">
        <v>0</v>
      </c>
      <c r="AX1356">
        <v>1</v>
      </c>
      <c r="AY1356">
        <v>0</v>
      </c>
      <c r="AZ1356" t="s">
        <v>580</v>
      </c>
    </row>
    <row r="1357" spans="1:52" x14ac:dyDescent="0.2">
      <c r="A1357">
        <v>1</v>
      </c>
      <c r="B1357">
        <v>0</v>
      </c>
      <c r="C1357">
        <v>0</v>
      </c>
      <c r="D1357">
        <v>0</v>
      </c>
      <c r="E1357">
        <v>0</v>
      </c>
      <c r="F1357">
        <v>1</v>
      </c>
      <c r="G1357">
        <v>0</v>
      </c>
      <c r="H1357">
        <v>0</v>
      </c>
      <c r="I1357">
        <v>0</v>
      </c>
      <c r="J1357" t="s">
        <v>135</v>
      </c>
      <c r="K1357" t="s">
        <v>80</v>
      </c>
      <c r="L1357">
        <v>0</v>
      </c>
      <c r="M1357">
        <v>0</v>
      </c>
      <c r="N1357">
        <v>1</v>
      </c>
      <c r="O1357">
        <v>0</v>
      </c>
      <c r="P1357">
        <v>0</v>
      </c>
      <c r="Q1357" t="s">
        <v>584</v>
      </c>
      <c r="AA1357" t="s">
        <v>83</v>
      </c>
      <c r="AB1357" t="s">
        <v>82</v>
      </c>
      <c r="AC1357" t="s">
        <v>83</v>
      </c>
      <c r="AD1357" t="s">
        <v>83</v>
      </c>
      <c r="AE1357" t="s">
        <v>81</v>
      </c>
      <c r="AF1357" t="s">
        <v>81</v>
      </c>
      <c r="AG1357" t="s">
        <v>81</v>
      </c>
      <c r="AH1357" t="s">
        <v>83</v>
      </c>
      <c r="AI1357" t="s">
        <v>88</v>
      </c>
      <c r="AJ1357" t="s">
        <v>89</v>
      </c>
      <c r="AK1357" t="s">
        <v>85</v>
      </c>
      <c r="AL1357" t="s">
        <v>73</v>
      </c>
      <c r="AM1357" t="s">
        <v>87</v>
      </c>
      <c r="AN1357" t="s">
        <v>87</v>
      </c>
      <c r="AO1357" t="s">
        <v>87</v>
      </c>
      <c r="AP1357" t="s">
        <v>86</v>
      </c>
      <c r="AQ1357" t="s">
        <v>87</v>
      </c>
      <c r="AR1357" t="s">
        <v>113</v>
      </c>
      <c r="AS1357" t="s">
        <v>76</v>
      </c>
      <c r="AT1357" t="s">
        <v>73</v>
      </c>
      <c r="AU1357">
        <v>0</v>
      </c>
      <c r="AV1357">
        <v>0</v>
      </c>
      <c r="AW1357">
        <v>0</v>
      </c>
      <c r="AX1357">
        <v>1</v>
      </c>
      <c r="AY1357">
        <v>0</v>
      </c>
      <c r="AZ1357" t="s">
        <v>579</v>
      </c>
    </row>
    <row r="1358" spans="1:52" x14ac:dyDescent="0.2">
      <c r="A1358">
        <v>1</v>
      </c>
      <c r="B1358">
        <v>0</v>
      </c>
      <c r="C1358">
        <v>0</v>
      </c>
      <c r="D1358">
        <v>0</v>
      </c>
      <c r="E1358">
        <v>1</v>
      </c>
      <c r="F1358">
        <v>0</v>
      </c>
      <c r="G1358">
        <v>0</v>
      </c>
      <c r="H1358">
        <v>0</v>
      </c>
      <c r="I1358">
        <v>0</v>
      </c>
      <c r="L1358">
        <v>1</v>
      </c>
      <c r="M1358">
        <v>0</v>
      </c>
      <c r="N1358">
        <v>0</v>
      </c>
      <c r="O1358">
        <v>0</v>
      </c>
      <c r="P1358">
        <v>0</v>
      </c>
      <c r="Q1358" t="s">
        <v>584</v>
      </c>
      <c r="R1358">
        <v>0</v>
      </c>
      <c r="S1358">
        <v>0</v>
      </c>
      <c r="T1358">
        <v>1</v>
      </c>
      <c r="U1358">
        <v>0</v>
      </c>
      <c r="V1358">
        <v>0</v>
      </c>
      <c r="W1358">
        <v>0</v>
      </c>
      <c r="X1358">
        <v>1</v>
      </c>
      <c r="Y1358">
        <v>0</v>
      </c>
      <c r="Z1358">
        <v>0</v>
      </c>
      <c r="AL1358" t="s">
        <v>107</v>
      </c>
      <c r="AM1358" t="s">
        <v>74</v>
      </c>
      <c r="AR1358" t="s">
        <v>97</v>
      </c>
      <c r="AS1358" t="s">
        <v>76</v>
      </c>
      <c r="AT1358" t="s">
        <v>107</v>
      </c>
      <c r="AU1358">
        <v>0</v>
      </c>
      <c r="AV1358">
        <v>0</v>
      </c>
      <c r="AW1358">
        <v>0</v>
      </c>
      <c r="AX1358">
        <v>1</v>
      </c>
      <c r="AY1358">
        <v>0</v>
      </c>
      <c r="AZ1358" t="s">
        <v>581</v>
      </c>
    </row>
    <row r="1359" spans="1:52" x14ac:dyDescent="0.2">
      <c r="A1359">
        <v>1</v>
      </c>
      <c r="B1359">
        <v>0</v>
      </c>
      <c r="C1359">
        <v>0</v>
      </c>
      <c r="D1359">
        <v>0</v>
      </c>
      <c r="E1359">
        <v>1</v>
      </c>
      <c r="F1359">
        <v>0</v>
      </c>
      <c r="G1359">
        <v>0</v>
      </c>
      <c r="H1359">
        <v>0</v>
      </c>
      <c r="I1359">
        <v>0</v>
      </c>
      <c r="L1359">
        <v>1</v>
      </c>
      <c r="M1359">
        <v>0</v>
      </c>
      <c r="N1359">
        <v>0</v>
      </c>
      <c r="O1359">
        <v>0</v>
      </c>
      <c r="P1359">
        <v>0</v>
      </c>
      <c r="Q1359" t="s">
        <v>584</v>
      </c>
      <c r="R1359">
        <v>0</v>
      </c>
      <c r="S1359">
        <v>0</v>
      </c>
      <c r="T1359">
        <v>1</v>
      </c>
      <c r="U1359">
        <v>0</v>
      </c>
      <c r="V1359">
        <v>0</v>
      </c>
      <c r="W1359">
        <v>0</v>
      </c>
      <c r="X1359">
        <v>0</v>
      </c>
      <c r="Y1359">
        <v>0</v>
      </c>
      <c r="Z1359">
        <v>0</v>
      </c>
      <c r="AL1359" t="s">
        <v>73</v>
      </c>
      <c r="AM1359" t="s">
        <v>86</v>
      </c>
      <c r="AN1359" t="s">
        <v>74</v>
      </c>
      <c r="AO1359" t="s">
        <v>74</v>
      </c>
      <c r="AP1359" t="s">
        <v>87</v>
      </c>
      <c r="AQ1359" t="s">
        <v>74</v>
      </c>
      <c r="AR1359" t="s">
        <v>97</v>
      </c>
      <c r="AS1359" t="s">
        <v>76</v>
      </c>
      <c r="AT1359" t="s">
        <v>73</v>
      </c>
      <c r="AU1359">
        <v>0</v>
      </c>
      <c r="AV1359">
        <v>0</v>
      </c>
      <c r="AW1359">
        <v>0</v>
      </c>
      <c r="AX1359">
        <v>1</v>
      </c>
      <c r="AY1359">
        <v>0</v>
      </c>
      <c r="AZ1359" t="s">
        <v>581</v>
      </c>
    </row>
    <row r="1360" spans="1:52" x14ac:dyDescent="0.2">
      <c r="A1360">
        <v>1</v>
      </c>
      <c r="B1360">
        <v>0</v>
      </c>
      <c r="C1360">
        <v>0</v>
      </c>
      <c r="D1360">
        <v>0</v>
      </c>
      <c r="E1360">
        <v>1</v>
      </c>
      <c r="F1360">
        <v>0</v>
      </c>
      <c r="G1360">
        <v>0</v>
      </c>
      <c r="H1360">
        <v>0</v>
      </c>
      <c r="I1360">
        <v>0</v>
      </c>
      <c r="L1360">
        <v>1</v>
      </c>
      <c r="M1360">
        <v>0</v>
      </c>
      <c r="N1360">
        <v>0</v>
      </c>
      <c r="O1360">
        <v>0</v>
      </c>
      <c r="P1360">
        <v>0</v>
      </c>
      <c r="Q1360" t="s">
        <v>584</v>
      </c>
      <c r="R1360">
        <v>0</v>
      </c>
      <c r="S1360">
        <v>0</v>
      </c>
      <c r="T1360">
        <v>0</v>
      </c>
      <c r="U1360">
        <v>0</v>
      </c>
      <c r="V1360">
        <v>0</v>
      </c>
      <c r="W1360">
        <v>0</v>
      </c>
      <c r="X1360">
        <v>1</v>
      </c>
      <c r="Y1360">
        <v>0</v>
      </c>
      <c r="Z1360">
        <v>0</v>
      </c>
      <c r="AL1360" t="s">
        <v>96</v>
      </c>
      <c r="AM1360" t="s">
        <v>86</v>
      </c>
      <c r="AN1360" t="s">
        <v>74</v>
      </c>
      <c r="AO1360" t="s">
        <v>74</v>
      </c>
      <c r="AP1360" t="s">
        <v>86</v>
      </c>
      <c r="AQ1360" t="s">
        <v>86</v>
      </c>
      <c r="AR1360" t="s">
        <v>97</v>
      </c>
      <c r="AS1360" t="s">
        <v>76</v>
      </c>
      <c r="AT1360" t="s">
        <v>96</v>
      </c>
      <c r="AU1360">
        <v>0</v>
      </c>
      <c r="AV1360">
        <v>0</v>
      </c>
      <c r="AW1360">
        <v>0</v>
      </c>
      <c r="AX1360">
        <v>1</v>
      </c>
      <c r="AY1360">
        <v>0</v>
      </c>
      <c r="AZ1360" t="s">
        <v>580</v>
      </c>
    </row>
    <row r="1361" spans="1:52" x14ac:dyDescent="0.2">
      <c r="A1361">
        <v>1</v>
      </c>
      <c r="B1361">
        <v>0</v>
      </c>
      <c r="C1361">
        <v>0</v>
      </c>
      <c r="D1361">
        <v>0</v>
      </c>
      <c r="E1361">
        <v>1</v>
      </c>
      <c r="F1361">
        <v>0</v>
      </c>
      <c r="G1361">
        <v>0</v>
      </c>
      <c r="H1361">
        <v>0</v>
      </c>
      <c r="I1361">
        <v>0</v>
      </c>
      <c r="L1361">
        <v>0</v>
      </c>
      <c r="M1361">
        <v>1</v>
      </c>
      <c r="N1361">
        <v>0</v>
      </c>
      <c r="O1361">
        <v>0</v>
      </c>
      <c r="P1361">
        <v>0</v>
      </c>
      <c r="Q1361" t="s">
        <v>584</v>
      </c>
      <c r="AA1361" t="s">
        <v>90</v>
      </c>
      <c r="AB1361" t="s">
        <v>82</v>
      </c>
      <c r="AC1361" t="s">
        <v>90</v>
      </c>
      <c r="AD1361" t="s">
        <v>90</v>
      </c>
      <c r="AE1361" t="s">
        <v>90</v>
      </c>
      <c r="AF1361" t="s">
        <v>90</v>
      </c>
      <c r="AG1361" t="s">
        <v>90</v>
      </c>
      <c r="AH1361" t="s">
        <v>90</v>
      </c>
      <c r="AI1361" t="s">
        <v>127</v>
      </c>
      <c r="AJ1361" t="s">
        <v>127</v>
      </c>
      <c r="AL1361" t="s">
        <v>73</v>
      </c>
      <c r="AM1361" t="s">
        <v>87</v>
      </c>
      <c r="AN1361" t="s">
        <v>87</v>
      </c>
      <c r="AO1361" t="s">
        <v>87</v>
      </c>
      <c r="AP1361" t="s">
        <v>86</v>
      </c>
      <c r="AQ1361" t="s">
        <v>87</v>
      </c>
      <c r="AR1361" t="s">
        <v>97</v>
      </c>
      <c r="AS1361" t="s">
        <v>76</v>
      </c>
      <c r="AT1361" t="s">
        <v>73</v>
      </c>
      <c r="AU1361">
        <v>0</v>
      </c>
      <c r="AV1361">
        <v>0</v>
      </c>
      <c r="AW1361">
        <v>0</v>
      </c>
      <c r="AX1361">
        <v>1</v>
      </c>
      <c r="AY1361">
        <v>0</v>
      </c>
      <c r="AZ1361" t="s">
        <v>580</v>
      </c>
    </row>
    <row r="1362" spans="1:52" x14ac:dyDescent="0.2">
      <c r="A1362">
        <v>1</v>
      </c>
      <c r="B1362">
        <v>0</v>
      </c>
      <c r="C1362">
        <v>0</v>
      </c>
      <c r="D1362">
        <v>0</v>
      </c>
      <c r="E1362">
        <v>0</v>
      </c>
      <c r="F1362">
        <v>1</v>
      </c>
      <c r="G1362">
        <v>1</v>
      </c>
      <c r="H1362">
        <v>1</v>
      </c>
      <c r="I1362">
        <v>0</v>
      </c>
      <c r="J1362" t="s">
        <v>88</v>
      </c>
      <c r="K1362" t="s">
        <v>89</v>
      </c>
      <c r="L1362">
        <v>0</v>
      </c>
      <c r="M1362">
        <v>1</v>
      </c>
      <c r="N1362">
        <v>1</v>
      </c>
      <c r="O1362">
        <v>0</v>
      </c>
      <c r="P1362">
        <v>0</v>
      </c>
      <c r="Q1362" t="s">
        <v>584</v>
      </c>
      <c r="AA1362" t="s">
        <v>81</v>
      </c>
      <c r="AB1362" t="s">
        <v>82</v>
      </c>
      <c r="AC1362" t="s">
        <v>82</v>
      </c>
      <c r="AD1362" t="s">
        <v>82</v>
      </c>
      <c r="AE1362" t="s">
        <v>82</v>
      </c>
      <c r="AF1362" t="s">
        <v>83</v>
      </c>
      <c r="AG1362" t="s">
        <v>83</v>
      </c>
      <c r="AH1362" t="s">
        <v>83</v>
      </c>
      <c r="AI1362" t="s">
        <v>88</v>
      </c>
      <c r="AJ1362" t="s">
        <v>89</v>
      </c>
      <c r="AK1362" t="s">
        <v>100</v>
      </c>
      <c r="AL1362" t="s">
        <v>73</v>
      </c>
      <c r="AM1362" t="s">
        <v>87</v>
      </c>
      <c r="AN1362" t="s">
        <v>87</v>
      </c>
      <c r="AO1362" t="s">
        <v>87</v>
      </c>
      <c r="AP1362" t="s">
        <v>87</v>
      </c>
      <c r="AQ1362" t="s">
        <v>87</v>
      </c>
      <c r="AR1362" t="s">
        <v>108</v>
      </c>
      <c r="AS1362" t="s">
        <v>92</v>
      </c>
      <c r="AT1362" t="s">
        <v>73</v>
      </c>
      <c r="AU1362">
        <v>0</v>
      </c>
      <c r="AV1362">
        <v>0</v>
      </c>
      <c r="AW1362">
        <v>0</v>
      </c>
      <c r="AX1362">
        <v>1</v>
      </c>
      <c r="AY1362">
        <v>0</v>
      </c>
      <c r="AZ1362" t="s">
        <v>580</v>
      </c>
    </row>
    <row r="1363" spans="1:52" x14ac:dyDescent="0.2">
      <c r="A1363">
        <v>1</v>
      </c>
      <c r="B1363">
        <v>0</v>
      </c>
      <c r="C1363">
        <v>0</v>
      </c>
      <c r="D1363">
        <v>0</v>
      </c>
      <c r="E1363">
        <v>1</v>
      </c>
      <c r="F1363">
        <v>0</v>
      </c>
      <c r="G1363">
        <v>0</v>
      </c>
      <c r="H1363">
        <v>0</v>
      </c>
      <c r="I1363">
        <v>0</v>
      </c>
      <c r="L1363">
        <v>1</v>
      </c>
      <c r="M1363">
        <v>0</v>
      </c>
      <c r="N1363">
        <v>0</v>
      </c>
      <c r="O1363">
        <v>0</v>
      </c>
      <c r="P1363">
        <v>0</v>
      </c>
      <c r="Q1363" t="s">
        <v>584</v>
      </c>
      <c r="R1363">
        <v>0</v>
      </c>
      <c r="S1363">
        <v>0</v>
      </c>
      <c r="T1363">
        <v>0</v>
      </c>
      <c r="U1363">
        <v>0</v>
      </c>
      <c r="V1363">
        <v>0</v>
      </c>
      <c r="W1363">
        <v>0</v>
      </c>
      <c r="X1363">
        <v>0</v>
      </c>
      <c r="Y1363">
        <v>0</v>
      </c>
      <c r="Z1363">
        <v>1</v>
      </c>
      <c r="AL1363" t="s">
        <v>73</v>
      </c>
      <c r="AM1363" t="s">
        <v>86</v>
      </c>
      <c r="AN1363" t="s">
        <v>74</v>
      </c>
      <c r="AO1363" t="s">
        <v>86</v>
      </c>
      <c r="AP1363" t="s">
        <v>74</v>
      </c>
      <c r="AQ1363" t="s">
        <v>86</v>
      </c>
      <c r="AR1363" t="s">
        <v>97</v>
      </c>
      <c r="AS1363" t="s">
        <v>76</v>
      </c>
      <c r="AT1363" t="s">
        <v>73</v>
      </c>
      <c r="AU1363">
        <v>0</v>
      </c>
      <c r="AV1363">
        <v>0</v>
      </c>
      <c r="AW1363">
        <v>0</v>
      </c>
      <c r="AX1363">
        <v>1</v>
      </c>
      <c r="AY1363">
        <v>0</v>
      </c>
      <c r="AZ1363" t="s">
        <v>580</v>
      </c>
    </row>
    <row r="1364" spans="1:52" x14ac:dyDescent="0.2">
      <c r="A1364">
        <v>1</v>
      </c>
      <c r="B1364">
        <v>0</v>
      </c>
      <c r="C1364">
        <v>0</v>
      </c>
      <c r="D1364">
        <v>0</v>
      </c>
      <c r="E1364">
        <v>1</v>
      </c>
      <c r="F1364">
        <v>0</v>
      </c>
      <c r="G1364">
        <v>0</v>
      </c>
      <c r="H1364">
        <v>0</v>
      </c>
      <c r="I1364">
        <v>0</v>
      </c>
      <c r="L1364">
        <v>0</v>
      </c>
      <c r="M1364">
        <v>0</v>
      </c>
      <c r="N1364">
        <v>1</v>
      </c>
      <c r="O1364">
        <v>0</v>
      </c>
      <c r="P1364">
        <v>0</v>
      </c>
      <c r="Q1364" t="s">
        <v>584</v>
      </c>
      <c r="AA1364" t="s">
        <v>83</v>
      </c>
      <c r="AB1364" t="s">
        <v>82</v>
      </c>
      <c r="AC1364" t="s">
        <v>83</v>
      </c>
      <c r="AD1364" t="s">
        <v>83</v>
      </c>
      <c r="AE1364" t="s">
        <v>82</v>
      </c>
      <c r="AF1364" t="s">
        <v>83</v>
      </c>
      <c r="AG1364" t="s">
        <v>82</v>
      </c>
      <c r="AH1364" t="s">
        <v>90</v>
      </c>
      <c r="AI1364" t="s">
        <v>84</v>
      </c>
      <c r="AJ1364" t="s">
        <v>89</v>
      </c>
      <c r="AK1364" t="s">
        <v>85</v>
      </c>
      <c r="AL1364" t="s">
        <v>96</v>
      </c>
      <c r="AM1364" t="s">
        <v>87</v>
      </c>
      <c r="AN1364" t="s">
        <v>74</v>
      </c>
      <c r="AO1364" t="s">
        <v>86</v>
      </c>
      <c r="AP1364" t="s">
        <v>87</v>
      </c>
      <c r="AQ1364" t="s">
        <v>86</v>
      </c>
      <c r="AR1364" t="s">
        <v>97</v>
      </c>
      <c r="AS1364" t="s">
        <v>76</v>
      </c>
      <c r="AT1364" t="s">
        <v>96</v>
      </c>
      <c r="AU1364">
        <v>0</v>
      </c>
      <c r="AV1364">
        <v>0</v>
      </c>
      <c r="AW1364">
        <v>0</v>
      </c>
      <c r="AX1364">
        <v>1</v>
      </c>
      <c r="AY1364">
        <v>0</v>
      </c>
      <c r="AZ1364" t="s">
        <v>580</v>
      </c>
    </row>
    <row r="1365" spans="1:52" x14ac:dyDescent="0.2">
      <c r="A1365">
        <v>1</v>
      </c>
      <c r="B1365">
        <v>0</v>
      </c>
      <c r="C1365">
        <v>0</v>
      </c>
      <c r="D1365">
        <v>0</v>
      </c>
      <c r="E1365">
        <v>0</v>
      </c>
      <c r="F1365">
        <v>0</v>
      </c>
      <c r="G1365">
        <v>1</v>
      </c>
      <c r="H1365">
        <v>0</v>
      </c>
      <c r="I1365">
        <v>0</v>
      </c>
      <c r="J1365" t="s">
        <v>135</v>
      </c>
      <c r="K1365" t="s">
        <v>127</v>
      </c>
      <c r="L1365">
        <v>1</v>
      </c>
      <c r="M1365">
        <v>0</v>
      </c>
      <c r="N1365">
        <v>0</v>
      </c>
      <c r="O1365">
        <v>0</v>
      </c>
      <c r="P1365">
        <v>0</v>
      </c>
      <c r="Q1365" t="s">
        <v>584</v>
      </c>
      <c r="R1365">
        <v>0</v>
      </c>
      <c r="S1365">
        <v>1</v>
      </c>
      <c r="T1365">
        <v>0</v>
      </c>
      <c r="U1365">
        <v>0</v>
      </c>
      <c r="V1365">
        <v>0</v>
      </c>
      <c r="W1365">
        <v>0</v>
      </c>
      <c r="X1365">
        <v>0</v>
      </c>
      <c r="Y1365">
        <v>0</v>
      </c>
      <c r="Z1365">
        <v>0</v>
      </c>
      <c r="AL1365" t="s">
        <v>96</v>
      </c>
      <c r="AM1365" t="s">
        <v>87</v>
      </c>
      <c r="AN1365" t="s">
        <v>87</v>
      </c>
      <c r="AO1365" t="s">
        <v>74</v>
      </c>
      <c r="AP1365" t="s">
        <v>74</v>
      </c>
      <c r="AQ1365" t="s">
        <v>87</v>
      </c>
      <c r="AR1365" t="s">
        <v>97</v>
      </c>
      <c r="AS1365" t="s">
        <v>92</v>
      </c>
      <c r="AT1365" t="s">
        <v>96</v>
      </c>
      <c r="AU1365">
        <v>0</v>
      </c>
      <c r="AV1365">
        <v>0</v>
      </c>
      <c r="AW1365">
        <v>0</v>
      </c>
      <c r="AX1365">
        <v>1</v>
      </c>
      <c r="AY1365">
        <v>0</v>
      </c>
      <c r="AZ1365" t="s">
        <v>580</v>
      </c>
    </row>
    <row r="1366" spans="1:52" x14ac:dyDescent="0.2">
      <c r="A1366">
        <v>1</v>
      </c>
      <c r="B1366">
        <v>0</v>
      </c>
      <c r="C1366">
        <v>0</v>
      </c>
      <c r="D1366">
        <v>0</v>
      </c>
      <c r="E1366">
        <v>1</v>
      </c>
      <c r="F1366">
        <v>0</v>
      </c>
      <c r="G1366">
        <v>0</v>
      </c>
      <c r="H1366">
        <v>0</v>
      </c>
      <c r="I1366">
        <v>0</v>
      </c>
      <c r="L1366">
        <v>1</v>
      </c>
      <c r="M1366">
        <v>0</v>
      </c>
      <c r="N1366">
        <v>0</v>
      </c>
      <c r="O1366">
        <v>0</v>
      </c>
      <c r="P1366">
        <v>0</v>
      </c>
      <c r="Q1366" t="s">
        <v>584</v>
      </c>
      <c r="R1366">
        <v>0</v>
      </c>
      <c r="S1366">
        <v>0</v>
      </c>
      <c r="T1366">
        <v>1</v>
      </c>
      <c r="U1366">
        <v>0</v>
      </c>
      <c r="V1366">
        <v>0</v>
      </c>
      <c r="W1366">
        <v>1</v>
      </c>
      <c r="X1366">
        <v>0</v>
      </c>
      <c r="Y1366">
        <v>1</v>
      </c>
      <c r="Z1366">
        <v>0</v>
      </c>
      <c r="AL1366" t="s">
        <v>73</v>
      </c>
      <c r="AM1366" t="s">
        <v>74</v>
      </c>
      <c r="AR1366" t="s">
        <v>75</v>
      </c>
      <c r="AS1366" t="s">
        <v>92</v>
      </c>
      <c r="AT1366" t="s">
        <v>73</v>
      </c>
      <c r="AU1366">
        <v>0</v>
      </c>
      <c r="AV1366">
        <v>0</v>
      </c>
      <c r="AW1366">
        <v>0</v>
      </c>
      <c r="AX1366">
        <v>1</v>
      </c>
      <c r="AY1366">
        <v>0</v>
      </c>
      <c r="AZ1366" t="s">
        <v>579</v>
      </c>
    </row>
    <row r="1367" spans="1:52" x14ac:dyDescent="0.2">
      <c r="A1367">
        <v>1</v>
      </c>
      <c r="B1367">
        <v>0</v>
      </c>
      <c r="C1367">
        <v>0</v>
      </c>
      <c r="D1367">
        <v>0</v>
      </c>
      <c r="E1367">
        <v>0</v>
      </c>
      <c r="F1367">
        <v>1</v>
      </c>
      <c r="G1367">
        <v>0</v>
      </c>
      <c r="H1367">
        <v>0</v>
      </c>
      <c r="I1367">
        <v>0</v>
      </c>
      <c r="J1367" t="s">
        <v>88</v>
      </c>
      <c r="K1367" t="s">
        <v>80</v>
      </c>
      <c r="L1367">
        <v>1</v>
      </c>
      <c r="M1367">
        <v>0</v>
      </c>
      <c r="N1367">
        <v>0</v>
      </c>
      <c r="O1367">
        <v>0</v>
      </c>
      <c r="P1367">
        <v>0</v>
      </c>
      <c r="Q1367" t="s">
        <v>584</v>
      </c>
      <c r="R1367">
        <v>1</v>
      </c>
      <c r="S1367">
        <v>0</v>
      </c>
      <c r="T1367">
        <v>0</v>
      </c>
      <c r="U1367">
        <v>0</v>
      </c>
      <c r="V1367">
        <v>0</v>
      </c>
      <c r="W1367">
        <v>0</v>
      </c>
      <c r="X1367">
        <v>0</v>
      </c>
      <c r="Y1367">
        <v>0</v>
      </c>
      <c r="Z1367">
        <v>0</v>
      </c>
      <c r="AL1367" t="s">
        <v>73</v>
      </c>
      <c r="AM1367" t="s">
        <v>87</v>
      </c>
      <c r="AN1367" t="s">
        <v>87</v>
      </c>
      <c r="AO1367" t="s">
        <v>87</v>
      </c>
      <c r="AP1367" t="s">
        <v>87</v>
      </c>
      <c r="AQ1367" t="s">
        <v>87</v>
      </c>
      <c r="AR1367" t="s">
        <v>75</v>
      </c>
      <c r="AS1367" t="s">
        <v>76</v>
      </c>
      <c r="AT1367" t="s">
        <v>73</v>
      </c>
      <c r="AU1367">
        <v>0</v>
      </c>
      <c r="AV1367">
        <v>0</v>
      </c>
      <c r="AW1367">
        <v>0</v>
      </c>
      <c r="AX1367">
        <v>1</v>
      </c>
      <c r="AY1367">
        <v>0</v>
      </c>
      <c r="AZ1367" t="s">
        <v>579</v>
      </c>
    </row>
    <row r="1368" spans="1:52" x14ac:dyDescent="0.2">
      <c r="A1368">
        <v>0</v>
      </c>
      <c r="B1368">
        <v>1</v>
      </c>
      <c r="C1368">
        <v>0</v>
      </c>
      <c r="D1368">
        <v>0</v>
      </c>
      <c r="E1368">
        <v>0</v>
      </c>
      <c r="F1368">
        <v>1</v>
      </c>
      <c r="G1368">
        <v>0</v>
      </c>
      <c r="H1368">
        <v>1</v>
      </c>
      <c r="I1368">
        <v>0</v>
      </c>
      <c r="J1368" t="s">
        <v>88</v>
      </c>
      <c r="K1368" t="s">
        <v>89</v>
      </c>
      <c r="L1368">
        <v>0</v>
      </c>
      <c r="M1368">
        <v>1</v>
      </c>
      <c r="N1368">
        <v>0</v>
      </c>
      <c r="O1368">
        <v>0</v>
      </c>
      <c r="P1368">
        <v>0</v>
      </c>
      <c r="Q1368" t="s">
        <v>584</v>
      </c>
      <c r="AA1368" t="s">
        <v>83</v>
      </c>
      <c r="AB1368" t="s">
        <v>82</v>
      </c>
      <c r="AC1368" t="s">
        <v>81</v>
      </c>
      <c r="AD1368" t="s">
        <v>81</v>
      </c>
      <c r="AE1368" t="s">
        <v>83</v>
      </c>
      <c r="AF1368" t="s">
        <v>83</v>
      </c>
      <c r="AG1368" t="s">
        <v>83</v>
      </c>
      <c r="AH1368" t="s">
        <v>83</v>
      </c>
      <c r="AI1368" t="s">
        <v>88</v>
      </c>
      <c r="AJ1368" t="s">
        <v>89</v>
      </c>
      <c r="AK1368" t="s">
        <v>100</v>
      </c>
      <c r="AL1368" t="s">
        <v>73</v>
      </c>
      <c r="AM1368" t="s">
        <v>87</v>
      </c>
      <c r="AN1368" t="s">
        <v>74</v>
      </c>
      <c r="AO1368" t="s">
        <v>87</v>
      </c>
      <c r="AP1368" t="s">
        <v>87</v>
      </c>
      <c r="AQ1368" t="s">
        <v>87</v>
      </c>
      <c r="AR1368" t="s">
        <v>97</v>
      </c>
      <c r="AS1368" t="s">
        <v>76</v>
      </c>
      <c r="AT1368" t="s">
        <v>73</v>
      </c>
      <c r="AU1368">
        <v>0</v>
      </c>
      <c r="AV1368">
        <v>0</v>
      </c>
      <c r="AW1368">
        <v>0</v>
      </c>
      <c r="AX1368">
        <v>1</v>
      </c>
      <c r="AY1368">
        <v>0</v>
      </c>
      <c r="AZ1368" t="s">
        <v>580</v>
      </c>
    </row>
    <row r="1369" spans="1:52" x14ac:dyDescent="0.2">
      <c r="A1369">
        <v>1</v>
      </c>
      <c r="B1369">
        <v>0</v>
      </c>
      <c r="C1369">
        <v>0</v>
      </c>
      <c r="D1369">
        <v>0</v>
      </c>
      <c r="E1369">
        <v>0</v>
      </c>
      <c r="F1369">
        <v>1</v>
      </c>
      <c r="G1369">
        <v>0</v>
      </c>
      <c r="H1369">
        <v>0</v>
      </c>
      <c r="I1369">
        <v>0</v>
      </c>
      <c r="J1369" t="s">
        <v>88</v>
      </c>
      <c r="K1369" t="s">
        <v>80</v>
      </c>
      <c r="L1369">
        <v>0</v>
      </c>
      <c r="M1369">
        <v>1</v>
      </c>
      <c r="N1369">
        <v>0</v>
      </c>
      <c r="O1369">
        <v>0</v>
      </c>
      <c r="P1369">
        <v>0</v>
      </c>
      <c r="Q1369" t="s">
        <v>584</v>
      </c>
      <c r="AA1369" t="s">
        <v>83</v>
      </c>
      <c r="AB1369" t="s">
        <v>83</v>
      </c>
      <c r="AC1369" t="s">
        <v>82</v>
      </c>
      <c r="AD1369" t="s">
        <v>82</v>
      </c>
      <c r="AE1369" t="s">
        <v>83</v>
      </c>
      <c r="AF1369" t="s">
        <v>83</v>
      </c>
      <c r="AG1369" t="s">
        <v>83</v>
      </c>
      <c r="AH1369" t="s">
        <v>83</v>
      </c>
      <c r="AI1369" t="s">
        <v>88</v>
      </c>
      <c r="AJ1369" t="s">
        <v>127</v>
      </c>
      <c r="AK1369" t="s">
        <v>100</v>
      </c>
      <c r="AL1369" t="s">
        <v>73</v>
      </c>
      <c r="AM1369" t="s">
        <v>87</v>
      </c>
      <c r="AN1369" t="s">
        <v>87</v>
      </c>
      <c r="AO1369" t="s">
        <v>74</v>
      </c>
      <c r="AP1369" t="s">
        <v>74</v>
      </c>
      <c r="AQ1369" t="s">
        <v>74</v>
      </c>
      <c r="AR1369" t="s">
        <v>97</v>
      </c>
      <c r="AS1369" t="s">
        <v>92</v>
      </c>
      <c r="AT1369" t="s">
        <v>73</v>
      </c>
      <c r="AU1369">
        <v>0</v>
      </c>
      <c r="AV1369">
        <v>0</v>
      </c>
      <c r="AW1369">
        <v>0</v>
      </c>
      <c r="AX1369">
        <v>1</v>
      </c>
      <c r="AY1369">
        <v>0</v>
      </c>
      <c r="AZ1369" t="s">
        <v>581</v>
      </c>
    </row>
  </sheetData>
  <conditionalFormatting sqref="Q1:Q1048576">
    <cfRule type="cellIs" dxfId="0" priority="1" operator="equal">
      <formul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07979-D942-0F45-94E8-E9E31A8F1D9A}">
  <dimension ref="A1:BT1402"/>
  <sheetViews>
    <sheetView topLeftCell="AR1" workbookViewId="0">
      <pane ySplit="1" topLeftCell="A1336" activePane="bottomLeft" state="frozen"/>
      <selection activeCell="T1" sqref="T1"/>
      <selection pane="bottomLeft" activeCell="BF1388" sqref="BF1388:BI1393"/>
    </sheetView>
  </sheetViews>
  <sheetFormatPr baseColWidth="10" defaultRowHeight="15" x14ac:dyDescent="0.2"/>
  <cols>
    <col min="1" max="1" width="13.5" customWidth="1"/>
    <col min="2" max="2" width="19.83203125" customWidth="1"/>
    <col min="38" max="38" width="45.5" customWidth="1"/>
  </cols>
  <sheetData>
    <row r="1" spans="1:72" s="3" customFormat="1" x14ac:dyDescent="0.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row>
    <row r="2" spans="1:72" x14ac:dyDescent="0.2">
      <c r="A2" s="1">
        <v>44580.51666666667</v>
      </c>
      <c r="B2" s="1">
        <v>44580.517361111109</v>
      </c>
      <c r="C2">
        <v>0</v>
      </c>
      <c r="D2">
        <v>1</v>
      </c>
      <c r="E2">
        <v>0</v>
      </c>
      <c r="F2">
        <v>0</v>
      </c>
      <c r="H2">
        <v>1</v>
      </c>
      <c r="I2">
        <v>0</v>
      </c>
      <c r="J2">
        <v>0</v>
      </c>
      <c r="K2">
        <v>0</v>
      </c>
      <c r="L2">
        <v>0</v>
      </c>
      <c r="P2">
        <v>1</v>
      </c>
      <c r="Q2">
        <v>0</v>
      </c>
      <c r="R2">
        <v>0</v>
      </c>
      <c r="S2">
        <v>0</v>
      </c>
      <c r="T2">
        <v>0</v>
      </c>
      <c r="U2">
        <v>0</v>
      </c>
      <c r="V2">
        <v>0</v>
      </c>
      <c r="W2">
        <v>0</v>
      </c>
      <c r="X2">
        <v>0</v>
      </c>
      <c r="Y2">
        <v>0</v>
      </c>
      <c r="Z2">
        <v>0</v>
      </c>
      <c r="AA2">
        <v>0</v>
      </c>
      <c r="AC2">
        <v>0</v>
      </c>
      <c r="AD2">
        <v>1</v>
      </c>
      <c r="AE2">
        <v>0</v>
      </c>
      <c r="AF2">
        <v>0</v>
      </c>
      <c r="AG2">
        <v>0</v>
      </c>
      <c r="AH2">
        <v>0</v>
      </c>
      <c r="AI2">
        <v>0</v>
      </c>
      <c r="AJ2">
        <v>0</v>
      </c>
      <c r="AK2">
        <v>0</v>
      </c>
      <c r="AX2" t="s">
        <v>72</v>
      </c>
      <c r="AZ2" t="s">
        <v>73</v>
      </c>
      <c r="BA2" t="s">
        <v>74</v>
      </c>
      <c r="BF2" t="s">
        <v>75</v>
      </c>
      <c r="BG2" t="s">
        <v>76</v>
      </c>
      <c r="BH2" t="s">
        <v>77</v>
      </c>
      <c r="BI2" t="s">
        <v>73</v>
      </c>
      <c r="BJ2" t="s">
        <v>78</v>
      </c>
      <c r="BK2">
        <v>0</v>
      </c>
      <c r="BL2">
        <v>0</v>
      </c>
      <c r="BM2">
        <v>0</v>
      </c>
      <c r="BN2">
        <v>0</v>
      </c>
      <c r="BO2">
        <v>0</v>
      </c>
      <c r="BP2">
        <v>1</v>
      </c>
      <c r="BQ2">
        <v>0</v>
      </c>
      <c r="BR2">
        <v>0</v>
      </c>
    </row>
    <row r="3" spans="1:72" x14ac:dyDescent="0.2">
      <c r="A3" s="1">
        <v>44585.571527777778</v>
      </c>
      <c r="B3" s="1">
        <v>44585.573611111111</v>
      </c>
      <c r="C3">
        <v>1</v>
      </c>
      <c r="D3">
        <v>0</v>
      </c>
      <c r="E3">
        <v>0</v>
      </c>
      <c r="F3">
        <v>0</v>
      </c>
      <c r="H3">
        <v>0</v>
      </c>
      <c r="I3">
        <v>1</v>
      </c>
      <c r="J3">
        <v>0</v>
      </c>
      <c r="K3">
        <v>0</v>
      </c>
      <c r="L3">
        <v>0</v>
      </c>
      <c r="N3" t="s">
        <v>79</v>
      </c>
      <c r="O3" t="s">
        <v>80</v>
      </c>
      <c r="P3">
        <v>0</v>
      </c>
      <c r="Q3">
        <v>0</v>
      </c>
      <c r="R3">
        <v>1</v>
      </c>
      <c r="S3">
        <v>0</v>
      </c>
      <c r="T3">
        <v>0</v>
      </c>
      <c r="U3">
        <v>0</v>
      </c>
      <c r="V3">
        <v>0</v>
      </c>
      <c r="W3">
        <v>0</v>
      </c>
      <c r="X3">
        <v>0</v>
      </c>
      <c r="Y3">
        <v>0</v>
      </c>
      <c r="Z3">
        <v>0</v>
      </c>
      <c r="AA3">
        <v>0</v>
      </c>
      <c r="AM3" t="s">
        <v>81</v>
      </c>
      <c r="AN3" t="s">
        <v>82</v>
      </c>
      <c r="AO3" t="s">
        <v>83</v>
      </c>
      <c r="AP3" t="s">
        <v>81</v>
      </c>
      <c r="AQ3" t="s">
        <v>82</v>
      </c>
      <c r="AR3" t="s">
        <v>83</v>
      </c>
      <c r="AS3" t="s">
        <v>83</v>
      </c>
      <c r="AT3" t="s">
        <v>83</v>
      </c>
      <c r="AU3" t="s">
        <v>84</v>
      </c>
      <c r="AV3" t="s">
        <v>80</v>
      </c>
      <c r="AW3" t="s">
        <v>85</v>
      </c>
      <c r="AX3" t="s">
        <v>72</v>
      </c>
      <c r="AZ3" t="s">
        <v>73</v>
      </c>
      <c r="BA3" t="s">
        <v>86</v>
      </c>
      <c r="BB3" t="s">
        <v>86</v>
      </c>
      <c r="BC3" t="s">
        <v>87</v>
      </c>
      <c r="BD3" t="s">
        <v>86</v>
      </c>
      <c r="BE3" t="s">
        <v>86</v>
      </c>
      <c r="BF3" t="s">
        <v>75</v>
      </c>
      <c r="BG3" t="s">
        <v>76</v>
      </c>
      <c r="BH3" t="s">
        <v>77</v>
      </c>
      <c r="BI3" t="s">
        <v>73</v>
      </c>
      <c r="BJ3" t="s">
        <v>78</v>
      </c>
      <c r="BK3">
        <v>0</v>
      </c>
      <c r="BL3">
        <v>0</v>
      </c>
      <c r="BM3">
        <v>0</v>
      </c>
      <c r="BN3">
        <v>0</v>
      </c>
      <c r="BO3">
        <v>0</v>
      </c>
      <c r="BP3">
        <v>1</v>
      </c>
      <c r="BQ3">
        <v>0</v>
      </c>
      <c r="BR3">
        <v>0</v>
      </c>
    </row>
    <row r="4" spans="1:72" x14ac:dyDescent="0.2">
      <c r="A4" s="1">
        <v>44579.938888888886</v>
      </c>
      <c r="B4" s="1">
        <v>44579.95</v>
      </c>
      <c r="C4">
        <v>1</v>
      </c>
      <c r="D4">
        <v>0</v>
      </c>
      <c r="E4">
        <v>0</v>
      </c>
      <c r="F4">
        <v>0</v>
      </c>
      <c r="H4">
        <v>0</v>
      </c>
      <c r="I4">
        <v>1</v>
      </c>
      <c r="J4">
        <v>1</v>
      </c>
      <c r="K4">
        <v>1</v>
      </c>
      <c r="L4">
        <v>0</v>
      </c>
      <c r="N4" t="s">
        <v>88</v>
      </c>
      <c r="O4" t="s">
        <v>89</v>
      </c>
      <c r="P4">
        <v>0</v>
      </c>
      <c r="Q4">
        <v>0</v>
      </c>
      <c r="R4">
        <v>1</v>
      </c>
      <c r="S4">
        <v>0</v>
      </c>
      <c r="T4">
        <v>0</v>
      </c>
      <c r="U4">
        <v>0</v>
      </c>
      <c r="V4">
        <v>0</v>
      </c>
      <c r="W4">
        <v>0</v>
      </c>
      <c r="X4">
        <v>0</v>
      </c>
      <c r="Y4">
        <v>0</v>
      </c>
      <c r="Z4">
        <v>0</v>
      </c>
      <c r="AA4">
        <v>0</v>
      </c>
      <c r="AM4" t="s">
        <v>83</v>
      </c>
      <c r="AN4" t="s">
        <v>82</v>
      </c>
      <c r="AO4" t="s">
        <v>81</v>
      </c>
      <c r="AP4" t="s">
        <v>81</v>
      </c>
      <c r="AQ4" t="s">
        <v>82</v>
      </c>
      <c r="AR4" t="s">
        <v>83</v>
      </c>
      <c r="AS4" t="s">
        <v>90</v>
      </c>
      <c r="AT4" t="s">
        <v>81</v>
      </c>
      <c r="AU4" t="s">
        <v>88</v>
      </c>
      <c r="AV4" t="s">
        <v>89</v>
      </c>
      <c r="AW4" t="s">
        <v>85</v>
      </c>
      <c r="AX4" t="s">
        <v>91</v>
      </c>
      <c r="AZ4" t="s">
        <v>73</v>
      </c>
      <c r="BA4" t="s">
        <v>87</v>
      </c>
      <c r="BB4" t="s">
        <v>87</v>
      </c>
      <c r="BC4" t="s">
        <v>87</v>
      </c>
      <c r="BD4" t="s">
        <v>86</v>
      </c>
      <c r="BE4" t="s">
        <v>87</v>
      </c>
      <c r="BF4" t="s">
        <v>75</v>
      </c>
      <c r="BG4" t="s">
        <v>92</v>
      </c>
      <c r="BH4" t="s">
        <v>93</v>
      </c>
      <c r="BI4" t="s">
        <v>73</v>
      </c>
      <c r="BJ4" t="s">
        <v>94</v>
      </c>
      <c r="BK4">
        <v>1</v>
      </c>
      <c r="BL4">
        <v>0</v>
      </c>
      <c r="BM4">
        <v>0</v>
      </c>
      <c r="BN4">
        <v>0</v>
      </c>
      <c r="BO4">
        <v>0</v>
      </c>
      <c r="BP4">
        <v>0</v>
      </c>
      <c r="BQ4">
        <v>0</v>
      </c>
      <c r="BR4">
        <v>0</v>
      </c>
    </row>
    <row r="5" spans="1:72" x14ac:dyDescent="0.2">
      <c r="A5" s="1">
        <v>44585.74722222222</v>
      </c>
      <c r="B5" s="1">
        <v>44585.748611111114</v>
      </c>
      <c r="C5">
        <v>1</v>
      </c>
      <c r="D5">
        <v>0</v>
      </c>
      <c r="E5">
        <v>0</v>
      </c>
      <c r="F5">
        <v>0</v>
      </c>
      <c r="H5">
        <v>0</v>
      </c>
      <c r="I5">
        <v>0</v>
      </c>
      <c r="J5">
        <v>0</v>
      </c>
      <c r="K5">
        <v>0</v>
      </c>
      <c r="L5">
        <v>1</v>
      </c>
      <c r="M5" t="s">
        <v>95</v>
      </c>
      <c r="N5" t="s">
        <v>79</v>
      </c>
      <c r="O5" t="s">
        <v>80</v>
      </c>
      <c r="P5">
        <v>1</v>
      </c>
      <c r="Q5">
        <v>0</v>
      </c>
      <c r="R5">
        <v>0</v>
      </c>
      <c r="S5">
        <v>0</v>
      </c>
      <c r="T5">
        <v>0</v>
      </c>
      <c r="U5">
        <v>0</v>
      </c>
      <c r="V5">
        <v>0</v>
      </c>
      <c r="W5">
        <v>0</v>
      </c>
      <c r="X5">
        <v>0</v>
      </c>
      <c r="Y5">
        <v>0</v>
      </c>
      <c r="Z5">
        <v>0</v>
      </c>
      <c r="AA5">
        <v>0</v>
      </c>
      <c r="AC5">
        <v>0</v>
      </c>
      <c r="AD5">
        <v>1</v>
      </c>
      <c r="AE5">
        <v>0</v>
      </c>
      <c r="AF5">
        <v>0</v>
      </c>
      <c r="AG5">
        <v>0</v>
      </c>
      <c r="AH5">
        <v>0</v>
      </c>
      <c r="AI5">
        <v>0</v>
      </c>
      <c r="AJ5">
        <v>0</v>
      </c>
      <c r="AK5">
        <v>0</v>
      </c>
      <c r="AZ5" t="s">
        <v>96</v>
      </c>
      <c r="BA5" t="s">
        <v>87</v>
      </c>
      <c r="BB5" t="s">
        <v>87</v>
      </c>
      <c r="BC5" t="s">
        <v>87</v>
      </c>
      <c r="BD5" t="s">
        <v>87</v>
      </c>
      <c r="BE5" t="s">
        <v>86</v>
      </c>
      <c r="BF5" t="s">
        <v>97</v>
      </c>
      <c r="BG5" t="s">
        <v>92</v>
      </c>
      <c r="BH5" t="s">
        <v>98</v>
      </c>
      <c r="BI5" t="s">
        <v>96</v>
      </c>
      <c r="BJ5" t="s">
        <v>99</v>
      </c>
      <c r="BK5">
        <v>1</v>
      </c>
      <c r="BL5">
        <v>0</v>
      </c>
      <c r="BM5">
        <v>0</v>
      </c>
      <c r="BN5">
        <v>0</v>
      </c>
      <c r="BO5">
        <v>0</v>
      </c>
      <c r="BP5">
        <v>0</v>
      </c>
      <c r="BQ5">
        <v>0</v>
      </c>
      <c r="BR5">
        <v>0</v>
      </c>
    </row>
    <row r="6" spans="1:72" x14ac:dyDescent="0.2">
      <c r="A6" s="1">
        <v>44585.694444444445</v>
      </c>
      <c r="B6" s="1">
        <v>44585.697222222225</v>
      </c>
      <c r="C6">
        <v>1</v>
      </c>
      <c r="D6">
        <v>0</v>
      </c>
      <c r="E6">
        <v>0</v>
      </c>
      <c r="F6">
        <v>0</v>
      </c>
      <c r="H6">
        <v>0</v>
      </c>
      <c r="I6">
        <v>1</v>
      </c>
      <c r="J6">
        <v>0</v>
      </c>
      <c r="K6">
        <v>1</v>
      </c>
      <c r="L6">
        <v>0</v>
      </c>
      <c r="N6" t="s">
        <v>88</v>
      </c>
      <c r="O6" t="s">
        <v>89</v>
      </c>
      <c r="P6">
        <v>0</v>
      </c>
      <c r="Q6">
        <v>0</v>
      </c>
      <c r="R6">
        <v>1</v>
      </c>
      <c r="S6">
        <v>0</v>
      </c>
      <c r="T6">
        <v>0</v>
      </c>
      <c r="U6">
        <v>0</v>
      </c>
      <c r="V6">
        <v>0</v>
      </c>
      <c r="W6">
        <v>0</v>
      </c>
      <c r="X6">
        <v>0</v>
      </c>
      <c r="Y6">
        <v>0</v>
      </c>
      <c r="Z6">
        <v>0</v>
      </c>
      <c r="AA6">
        <v>0</v>
      </c>
      <c r="AM6" t="s">
        <v>83</v>
      </c>
      <c r="AN6" t="s">
        <v>82</v>
      </c>
      <c r="AO6" t="s">
        <v>81</v>
      </c>
      <c r="AP6" t="s">
        <v>81</v>
      </c>
      <c r="AQ6" t="s">
        <v>81</v>
      </c>
      <c r="AR6" t="s">
        <v>81</v>
      </c>
      <c r="AS6" t="s">
        <v>81</v>
      </c>
      <c r="AT6" t="s">
        <v>81</v>
      </c>
      <c r="AU6" t="s">
        <v>88</v>
      </c>
      <c r="AV6" t="s">
        <v>89</v>
      </c>
      <c r="AW6" t="s">
        <v>100</v>
      </c>
      <c r="AZ6" t="s">
        <v>73</v>
      </c>
      <c r="BA6" t="s">
        <v>86</v>
      </c>
      <c r="BB6" t="s">
        <v>74</v>
      </c>
      <c r="BC6" t="s">
        <v>87</v>
      </c>
      <c r="BD6" t="s">
        <v>87</v>
      </c>
      <c r="BE6" t="s">
        <v>74</v>
      </c>
      <c r="BF6" t="s">
        <v>101</v>
      </c>
      <c r="BG6" t="s">
        <v>76</v>
      </c>
      <c r="BH6" t="s">
        <v>98</v>
      </c>
      <c r="BI6" t="s">
        <v>73</v>
      </c>
      <c r="BJ6" t="s">
        <v>102</v>
      </c>
      <c r="BK6">
        <v>0</v>
      </c>
      <c r="BL6">
        <v>0</v>
      </c>
      <c r="BM6">
        <v>0</v>
      </c>
      <c r="BN6">
        <v>0</v>
      </c>
      <c r="BO6">
        <v>0</v>
      </c>
      <c r="BP6">
        <v>1</v>
      </c>
      <c r="BQ6">
        <v>0</v>
      </c>
      <c r="BR6">
        <v>0</v>
      </c>
    </row>
    <row r="7" spans="1:72" x14ac:dyDescent="0.2">
      <c r="A7" s="1">
        <v>44579.879166666666</v>
      </c>
      <c r="B7" s="1">
        <v>44579.880555555559</v>
      </c>
      <c r="C7">
        <v>1</v>
      </c>
      <c r="D7">
        <v>0</v>
      </c>
      <c r="E7">
        <v>0</v>
      </c>
      <c r="F7">
        <v>0</v>
      </c>
      <c r="H7">
        <v>0</v>
      </c>
      <c r="I7">
        <v>1</v>
      </c>
      <c r="J7">
        <v>0</v>
      </c>
      <c r="K7">
        <v>0</v>
      </c>
      <c r="L7">
        <v>0</v>
      </c>
      <c r="N7" t="s">
        <v>88</v>
      </c>
      <c r="O7" t="s">
        <v>89</v>
      </c>
      <c r="P7">
        <v>0</v>
      </c>
      <c r="Q7">
        <v>1</v>
      </c>
      <c r="R7">
        <v>0</v>
      </c>
      <c r="S7">
        <v>0</v>
      </c>
      <c r="T7">
        <v>0</v>
      </c>
      <c r="U7">
        <v>0</v>
      </c>
      <c r="V7">
        <v>0</v>
      </c>
      <c r="W7">
        <v>0</v>
      </c>
      <c r="X7">
        <v>0</v>
      </c>
      <c r="Y7">
        <v>0</v>
      </c>
      <c r="Z7">
        <v>0</v>
      </c>
      <c r="AA7">
        <v>0</v>
      </c>
      <c r="AM7" t="s">
        <v>90</v>
      </c>
      <c r="AN7" t="s">
        <v>82</v>
      </c>
      <c r="AO7" t="s">
        <v>81</v>
      </c>
      <c r="AP7" t="s">
        <v>82</v>
      </c>
      <c r="AQ7" t="s">
        <v>83</v>
      </c>
      <c r="AR7" t="s">
        <v>90</v>
      </c>
      <c r="AS7" t="s">
        <v>90</v>
      </c>
      <c r="AT7" t="s">
        <v>83</v>
      </c>
      <c r="AU7" t="s">
        <v>88</v>
      </c>
      <c r="AV7" t="s">
        <v>89</v>
      </c>
      <c r="AW7" t="s">
        <v>100</v>
      </c>
      <c r="AZ7" t="s">
        <v>73</v>
      </c>
      <c r="BA7" t="s">
        <v>86</v>
      </c>
      <c r="BB7" t="s">
        <v>74</v>
      </c>
      <c r="BC7" t="s">
        <v>87</v>
      </c>
      <c r="BD7" t="s">
        <v>87</v>
      </c>
      <c r="BE7" t="s">
        <v>86</v>
      </c>
      <c r="BF7" t="s">
        <v>97</v>
      </c>
      <c r="BG7" t="s">
        <v>76</v>
      </c>
      <c r="BH7" t="s">
        <v>98</v>
      </c>
      <c r="BI7" t="s">
        <v>73</v>
      </c>
      <c r="BJ7" t="s">
        <v>78</v>
      </c>
      <c r="BK7">
        <v>0</v>
      </c>
      <c r="BL7">
        <v>0</v>
      </c>
      <c r="BM7">
        <v>0</v>
      </c>
      <c r="BN7">
        <v>0</v>
      </c>
      <c r="BO7">
        <v>0</v>
      </c>
      <c r="BP7">
        <v>1</v>
      </c>
      <c r="BQ7">
        <v>0</v>
      </c>
      <c r="BR7">
        <v>0</v>
      </c>
    </row>
    <row r="8" spans="1:72" x14ac:dyDescent="0.2">
      <c r="A8" s="1">
        <v>44589.13958333333</v>
      </c>
      <c r="B8" s="1">
        <v>44589.140972222223</v>
      </c>
      <c r="C8">
        <v>0</v>
      </c>
      <c r="D8">
        <v>1</v>
      </c>
      <c r="E8">
        <v>0</v>
      </c>
      <c r="F8">
        <v>0</v>
      </c>
      <c r="H8">
        <v>0</v>
      </c>
      <c r="I8">
        <v>0</v>
      </c>
      <c r="J8">
        <v>0</v>
      </c>
      <c r="K8">
        <v>0</v>
      </c>
      <c r="L8">
        <v>1</v>
      </c>
      <c r="M8" t="s">
        <v>103</v>
      </c>
      <c r="N8" t="s">
        <v>79</v>
      </c>
      <c r="O8" t="s">
        <v>80</v>
      </c>
      <c r="P8">
        <v>1</v>
      </c>
      <c r="Q8">
        <v>0</v>
      </c>
      <c r="R8">
        <v>0</v>
      </c>
      <c r="S8">
        <v>0</v>
      </c>
      <c r="T8">
        <v>0</v>
      </c>
      <c r="U8">
        <v>0</v>
      </c>
      <c r="V8">
        <v>0</v>
      </c>
      <c r="W8">
        <v>0</v>
      </c>
      <c r="X8">
        <v>0</v>
      </c>
      <c r="Y8">
        <v>0</v>
      </c>
      <c r="Z8">
        <v>0</v>
      </c>
      <c r="AA8">
        <v>0</v>
      </c>
      <c r="AC8">
        <v>0</v>
      </c>
      <c r="AD8">
        <v>0</v>
      </c>
      <c r="AE8">
        <v>0</v>
      </c>
      <c r="AF8">
        <v>0</v>
      </c>
      <c r="AG8">
        <v>0</v>
      </c>
      <c r="AH8">
        <v>0</v>
      </c>
      <c r="AI8">
        <v>0</v>
      </c>
      <c r="AJ8">
        <v>0</v>
      </c>
      <c r="AK8">
        <v>1</v>
      </c>
      <c r="AL8" t="s">
        <v>104</v>
      </c>
      <c r="AZ8" t="s">
        <v>96</v>
      </c>
      <c r="BA8" t="s">
        <v>74</v>
      </c>
      <c r="BF8" t="s">
        <v>101</v>
      </c>
      <c r="BG8" t="s">
        <v>76</v>
      </c>
      <c r="BH8" t="s">
        <v>98</v>
      </c>
      <c r="BI8" t="s">
        <v>96</v>
      </c>
      <c r="BJ8" t="s">
        <v>105</v>
      </c>
      <c r="BK8">
        <v>0</v>
      </c>
      <c r="BL8">
        <v>0</v>
      </c>
      <c r="BM8">
        <v>0</v>
      </c>
      <c r="BN8">
        <v>0</v>
      </c>
      <c r="BO8">
        <v>0</v>
      </c>
      <c r="BP8">
        <v>1</v>
      </c>
      <c r="BQ8">
        <v>0</v>
      </c>
      <c r="BR8">
        <v>0</v>
      </c>
    </row>
    <row r="9" spans="1:72" x14ac:dyDescent="0.2">
      <c r="A9" s="1">
        <v>44580.581250000003</v>
      </c>
      <c r="B9" s="1">
        <v>44580.582638888889</v>
      </c>
      <c r="C9">
        <v>1</v>
      </c>
      <c r="D9">
        <v>0</v>
      </c>
      <c r="E9">
        <v>0</v>
      </c>
      <c r="F9">
        <v>0</v>
      </c>
      <c r="H9">
        <v>0</v>
      </c>
      <c r="I9">
        <v>1</v>
      </c>
      <c r="J9">
        <v>0</v>
      </c>
      <c r="K9">
        <v>1</v>
      </c>
      <c r="L9">
        <v>0</v>
      </c>
      <c r="N9" t="s">
        <v>88</v>
      </c>
      <c r="O9" t="s">
        <v>89</v>
      </c>
      <c r="P9">
        <v>0</v>
      </c>
      <c r="Q9">
        <v>1</v>
      </c>
      <c r="R9">
        <v>0</v>
      </c>
      <c r="S9">
        <v>0</v>
      </c>
      <c r="T9">
        <v>0</v>
      </c>
      <c r="U9">
        <v>0</v>
      </c>
      <c r="V9">
        <v>0</v>
      </c>
      <c r="W9">
        <v>0</v>
      </c>
      <c r="X9">
        <v>0</v>
      </c>
      <c r="Y9">
        <v>0</v>
      </c>
      <c r="Z9">
        <v>0</v>
      </c>
      <c r="AA9">
        <v>0</v>
      </c>
      <c r="AM9" t="s">
        <v>83</v>
      </c>
      <c r="AN9" t="s">
        <v>82</v>
      </c>
      <c r="AO9" t="s">
        <v>81</v>
      </c>
      <c r="AP9" t="s">
        <v>83</v>
      </c>
      <c r="AQ9" t="s">
        <v>83</v>
      </c>
      <c r="AR9" t="s">
        <v>83</v>
      </c>
      <c r="AS9" t="s">
        <v>90</v>
      </c>
      <c r="AT9" t="s">
        <v>83</v>
      </c>
      <c r="AU9" t="s">
        <v>88</v>
      </c>
      <c r="AV9" t="s">
        <v>89</v>
      </c>
      <c r="AW9" t="s">
        <v>100</v>
      </c>
      <c r="AX9" t="s">
        <v>106</v>
      </c>
      <c r="AZ9" t="s">
        <v>107</v>
      </c>
      <c r="BA9" t="s">
        <v>86</v>
      </c>
      <c r="BB9" t="s">
        <v>86</v>
      </c>
      <c r="BC9" t="s">
        <v>87</v>
      </c>
      <c r="BD9" t="s">
        <v>87</v>
      </c>
      <c r="BE9" t="s">
        <v>74</v>
      </c>
      <c r="BF9" t="s">
        <v>108</v>
      </c>
      <c r="BG9" t="s">
        <v>76</v>
      </c>
      <c r="BH9" t="s">
        <v>98</v>
      </c>
      <c r="BI9" t="s">
        <v>107</v>
      </c>
      <c r="BK9">
        <v>0</v>
      </c>
      <c r="BL9">
        <v>0</v>
      </c>
      <c r="BM9">
        <v>0</v>
      </c>
      <c r="BN9">
        <v>0</v>
      </c>
      <c r="BO9">
        <v>0</v>
      </c>
      <c r="BP9">
        <v>1</v>
      </c>
      <c r="BQ9">
        <v>0</v>
      </c>
      <c r="BR9">
        <v>0</v>
      </c>
      <c r="BT9" t="s">
        <v>109</v>
      </c>
    </row>
    <row r="10" spans="1:72" x14ac:dyDescent="0.2">
      <c r="A10" s="1">
        <v>44579.923611111109</v>
      </c>
      <c r="B10" s="1">
        <v>44579.924305555556</v>
      </c>
      <c r="C10">
        <v>1</v>
      </c>
      <c r="D10">
        <v>0</v>
      </c>
      <c r="E10">
        <v>0</v>
      </c>
      <c r="F10">
        <v>0</v>
      </c>
      <c r="H10">
        <v>1</v>
      </c>
      <c r="I10">
        <v>0</v>
      </c>
      <c r="J10">
        <v>0</v>
      </c>
      <c r="K10">
        <v>0</v>
      </c>
      <c r="L10">
        <v>0</v>
      </c>
      <c r="P10">
        <v>1</v>
      </c>
      <c r="Q10">
        <v>0</v>
      </c>
      <c r="R10">
        <v>0</v>
      </c>
      <c r="S10">
        <v>0</v>
      </c>
      <c r="T10">
        <v>0</v>
      </c>
      <c r="U10">
        <v>0</v>
      </c>
      <c r="V10">
        <v>0</v>
      </c>
      <c r="W10">
        <v>0</v>
      </c>
      <c r="X10">
        <v>0</v>
      </c>
      <c r="Y10">
        <v>0</v>
      </c>
      <c r="Z10">
        <v>0</v>
      </c>
      <c r="AA10">
        <v>0</v>
      </c>
      <c r="AC10">
        <v>1</v>
      </c>
      <c r="AD10">
        <v>0</v>
      </c>
      <c r="AE10">
        <v>0</v>
      </c>
      <c r="AF10">
        <v>0</v>
      </c>
      <c r="AG10">
        <v>0</v>
      </c>
      <c r="AH10">
        <v>0</v>
      </c>
      <c r="AI10">
        <v>0</v>
      </c>
      <c r="AJ10">
        <v>0</v>
      </c>
      <c r="AK10">
        <v>0</v>
      </c>
      <c r="AX10" t="s">
        <v>110</v>
      </c>
      <c r="AY10" t="s">
        <v>111</v>
      </c>
      <c r="AZ10" t="s">
        <v>107</v>
      </c>
      <c r="BA10" t="s">
        <v>87</v>
      </c>
      <c r="BB10" t="s">
        <v>87</v>
      </c>
      <c r="BC10" t="s">
        <v>87</v>
      </c>
      <c r="BD10" t="s">
        <v>87</v>
      </c>
      <c r="BE10" t="s">
        <v>86</v>
      </c>
      <c r="BF10" t="s">
        <v>108</v>
      </c>
      <c r="BG10" t="s">
        <v>76</v>
      </c>
      <c r="BH10" t="s">
        <v>77</v>
      </c>
      <c r="BI10" t="s">
        <v>107</v>
      </c>
      <c r="BJ10" t="s">
        <v>78</v>
      </c>
      <c r="BK10">
        <v>0</v>
      </c>
      <c r="BL10">
        <v>0</v>
      </c>
      <c r="BM10">
        <v>0</v>
      </c>
      <c r="BN10">
        <v>0</v>
      </c>
      <c r="BO10">
        <v>0</v>
      </c>
      <c r="BP10">
        <v>1</v>
      </c>
      <c r="BQ10">
        <v>0</v>
      </c>
      <c r="BR10">
        <v>0</v>
      </c>
    </row>
    <row r="11" spans="1:72" x14ac:dyDescent="0.2">
      <c r="A11" s="1">
        <v>44585.597222222219</v>
      </c>
      <c r="B11" s="1">
        <v>44585.601388888892</v>
      </c>
      <c r="C11">
        <v>1</v>
      </c>
      <c r="D11">
        <v>0</v>
      </c>
      <c r="E11">
        <v>0</v>
      </c>
      <c r="F11">
        <v>0</v>
      </c>
      <c r="H11">
        <v>1</v>
      </c>
      <c r="I11">
        <v>0</v>
      </c>
      <c r="J11">
        <v>0</v>
      </c>
      <c r="K11">
        <v>0</v>
      </c>
      <c r="L11">
        <v>0</v>
      </c>
      <c r="P11">
        <v>1</v>
      </c>
      <c r="Q11">
        <v>0</v>
      </c>
      <c r="R11">
        <v>0</v>
      </c>
      <c r="S11">
        <v>0</v>
      </c>
      <c r="T11">
        <v>0</v>
      </c>
      <c r="U11">
        <v>0</v>
      </c>
      <c r="V11">
        <v>0</v>
      </c>
      <c r="W11">
        <v>0</v>
      </c>
      <c r="X11">
        <v>0</v>
      </c>
      <c r="Y11">
        <v>0</v>
      </c>
      <c r="Z11">
        <v>0</v>
      </c>
      <c r="AA11">
        <v>0</v>
      </c>
      <c r="AC11">
        <v>0</v>
      </c>
      <c r="AD11">
        <v>0</v>
      </c>
      <c r="AE11">
        <v>1</v>
      </c>
      <c r="AF11">
        <v>0</v>
      </c>
      <c r="AG11">
        <v>0</v>
      </c>
      <c r="AH11">
        <v>0</v>
      </c>
      <c r="AI11">
        <v>0</v>
      </c>
      <c r="AJ11">
        <v>0</v>
      </c>
      <c r="AK11">
        <v>0</v>
      </c>
      <c r="AX11" t="s">
        <v>110</v>
      </c>
      <c r="AY11" t="s">
        <v>112</v>
      </c>
      <c r="AZ11" t="s">
        <v>73</v>
      </c>
      <c r="BA11" t="s">
        <v>87</v>
      </c>
      <c r="BB11" t="s">
        <v>87</v>
      </c>
      <c r="BC11" t="s">
        <v>86</v>
      </c>
      <c r="BD11" t="s">
        <v>87</v>
      </c>
      <c r="BE11" t="s">
        <v>87</v>
      </c>
      <c r="BF11" t="s">
        <v>113</v>
      </c>
      <c r="BG11" t="s">
        <v>76</v>
      </c>
      <c r="BH11" t="s">
        <v>77</v>
      </c>
      <c r="BI11" t="s">
        <v>73</v>
      </c>
      <c r="BJ11" t="s">
        <v>114</v>
      </c>
      <c r="BK11">
        <v>0</v>
      </c>
      <c r="BL11">
        <v>0</v>
      </c>
      <c r="BM11">
        <v>0</v>
      </c>
      <c r="BN11">
        <v>1</v>
      </c>
      <c r="BO11">
        <v>0</v>
      </c>
      <c r="BP11">
        <v>0</v>
      </c>
      <c r="BQ11">
        <v>0</v>
      </c>
      <c r="BR11">
        <v>0</v>
      </c>
    </row>
    <row r="12" spans="1:72" x14ac:dyDescent="0.2">
      <c r="A12" s="1">
        <v>44585.511111111111</v>
      </c>
      <c r="B12" s="1">
        <v>44585.51458333333</v>
      </c>
      <c r="C12">
        <v>0</v>
      </c>
      <c r="D12">
        <v>1</v>
      </c>
      <c r="E12">
        <v>0</v>
      </c>
      <c r="F12">
        <v>0</v>
      </c>
      <c r="H12">
        <v>0</v>
      </c>
      <c r="I12">
        <v>0</v>
      </c>
      <c r="J12">
        <v>0</v>
      </c>
      <c r="K12">
        <v>0</v>
      </c>
      <c r="L12">
        <v>1</v>
      </c>
      <c r="M12" t="s">
        <v>115</v>
      </c>
      <c r="N12" t="s">
        <v>79</v>
      </c>
      <c r="O12" t="s">
        <v>80</v>
      </c>
      <c r="P12">
        <v>0</v>
      </c>
      <c r="Q12">
        <v>0</v>
      </c>
      <c r="R12">
        <v>0</v>
      </c>
      <c r="S12">
        <v>0</v>
      </c>
      <c r="T12">
        <v>1</v>
      </c>
      <c r="U12">
        <v>0</v>
      </c>
      <c r="V12">
        <v>0</v>
      </c>
      <c r="W12">
        <v>0</v>
      </c>
      <c r="X12">
        <v>0</v>
      </c>
      <c r="Y12">
        <v>0</v>
      </c>
      <c r="Z12">
        <v>0</v>
      </c>
      <c r="AA12">
        <v>1</v>
      </c>
      <c r="AB12" t="s">
        <v>116</v>
      </c>
      <c r="AM12" t="s">
        <v>81</v>
      </c>
      <c r="AN12" t="s">
        <v>81</v>
      </c>
      <c r="AO12" t="s">
        <v>90</v>
      </c>
      <c r="AP12" t="s">
        <v>83</v>
      </c>
      <c r="AQ12" t="s">
        <v>82</v>
      </c>
      <c r="AR12" t="s">
        <v>90</v>
      </c>
      <c r="AS12" t="s">
        <v>81</v>
      </c>
      <c r="AT12" t="s">
        <v>81</v>
      </c>
      <c r="AU12" t="s">
        <v>88</v>
      </c>
      <c r="AV12" t="s">
        <v>89</v>
      </c>
      <c r="AW12" t="s">
        <v>117</v>
      </c>
      <c r="AZ12" t="s">
        <v>96</v>
      </c>
      <c r="BA12" t="s">
        <v>87</v>
      </c>
      <c r="BB12" t="s">
        <v>87</v>
      </c>
      <c r="BC12" t="s">
        <v>87</v>
      </c>
      <c r="BD12" t="s">
        <v>87</v>
      </c>
      <c r="BE12" t="s">
        <v>87</v>
      </c>
      <c r="BF12" t="s">
        <v>101</v>
      </c>
      <c r="BG12" t="s">
        <v>76</v>
      </c>
      <c r="BH12" t="s">
        <v>77</v>
      </c>
      <c r="BI12" t="s">
        <v>96</v>
      </c>
      <c r="BJ12" t="s">
        <v>109</v>
      </c>
      <c r="BK12">
        <v>1</v>
      </c>
      <c r="BL12">
        <v>0</v>
      </c>
      <c r="BM12">
        <v>0</v>
      </c>
      <c r="BN12">
        <v>0</v>
      </c>
      <c r="BO12">
        <v>0</v>
      </c>
      <c r="BP12">
        <v>0</v>
      </c>
      <c r="BQ12">
        <v>0</v>
      </c>
      <c r="BR12">
        <v>0</v>
      </c>
    </row>
    <row r="13" spans="1:72" x14ac:dyDescent="0.2">
      <c r="A13" s="1">
        <v>44579.98333333333</v>
      </c>
      <c r="B13" s="1">
        <v>44579.98541666667</v>
      </c>
      <c r="C13">
        <v>0</v>
      </c>
      <c r="D13">
        <v>1</v>
      </c>
      <c r="E13">
        <v>0</v>
      </c>
      <c r="F13">
        <v>0</v>
      </c>
      <c r="H13">
        <v>0</v>
      </c>
      <c r="I13">
        <v>1</v>
      </c>
      <c r="J13">
        <v>0</v>
      </c>
      <c r="K13">
        <v>1</v>
      </c>
      <c r="L13">
        <v>0</v>
      </c>
      <c r="N13" t="s">
        <v>88</v>
      </c>
      <c r="O13" t="s">
        <v>89</v>
      </c>
      <c r="P13">
        <v>0</v>
      </c>
      <c r="Q13">
        <v>1</v>
      </c>
      <c r="R13">
        <v>0</v>
      </c>
      <c r="S13">
        <v>1</v>
      </c>
      <c r="T13">
        <v>0</v>
      </c>
      <c r="U13">
        <v>0</v>
      </c>
      <c r="V13">
        <v>0</v>
      </c>
      <c r="W13">
        <v>0</v>
      </c>
      <c r="X13">
        <v>0</v>
      </c>
      <c r="Y13">
        <v>0</v>
      </c>
      <c r="Z13">
        <v>0</v>
      </c>
      <c r="AA13">
        <v>0</v>
      </c>
      <c r="AM13" t="s">
        <v>83</v>
      </c>
      <c r="AN13" t="s">
        <v>82</v>
      </c>
      <c r="AO13" t="s">
        <v>81</v>
      </c>
      <c r="AP13" t="s">
        <v>81</v>
      </c>
      <c r="AQ13" t="s">
        <v>83</v>
      </c>
      <c r="AR13" t="s">
        <v>83</v>
      </c>
      <c r="AS13" t="s">
        <v>81</v>
      </c>
      <c r="AT13" t="s">
        <v>83</v>
      </c>
      <c r="AU13" t="s">
        <v>88</v>
      </c>
      <c r="AV13" t="s">
        <v>89</v>
      </c>
      <c r="AW13" t="s">
        <v>100</v>
      </c>
      <c r="AX13" t="s">
        <v>91</v>
      </c>
      <c r="AZ13" t="s">
        <v>73</v>
      </c>
      <c r="BA13" t="s">
        <v>87</v>
      </c>
      <c r="BB13" t="s">
        <v>87</v>
      </c>
      <c r="BC13" t="s">
        <v>87</v>
      </c>
      <c r="BD13" t="s">
        <v>87</v>
      </c>
      <c r="BE13" t="s">
        <v>74</v>
      </c>
      <c r="BF13" t="s">
        <v>75</v>
      </c>
      <c r="BG13" t="s">
        <v>76</v>
      </c>
      <c r="BH13" t="s">
        <v>77</v>
      </c>
      <c r="BI13" t="s">
        <v>73</v>
      </c>
      <c r="BJ13" t="s">
        <v>78</v>
      </c>
      <c r="BK13">
        <v>0</v>
      </c>
      <c r="BL13">
        <v>0</v>
      </c>
      <c r="BM13">
        <v>0</v>
      </c>
      <c r="BN13">
        <v>0</v>
      </c>
      <c r="BO13">
        <v>0</v>
      </c>
      <c r="BP13">
        <v>1</v>
      </c>
      <c r="BQ13">
        <v>0</v>
      </c>
      <c r="BR13">
        <v>0</v>
      </c>
    </row>
    <row r="14" spans="1:72" x14ac:dyDescent="0.2">
      <c r="A14" s="1">
        <v>44580.646527777775</v>
      </c>
      <c r="B14" s="1">
        <v>44580.649305555555</v>
      </c>
      <c r="C14">
        <v>1</v>
      </c>
      <c r="D14">
        <v>0</v>
      </c>
      <c r="E14">
        <v>0</v>
      </c>
      <c r="F14">
        <v>0</v>
      </c>
      <c r="H14">
        <v>0</v>
      </c>
      <c r="I14">
        <v>1</v>
      </c>
      <c r="J14">
        <v>0</v>
      </c>
      <c r="K14">
        <v>0</v>
      </c>
      <c r="L14">
        <v>0</v>
      </c>
      <c r="N14" t="s">
        <v>88</v>
      </c>
      <c r="O14" t="s">
        <v>89</v>
      </c>
      <c r="P14">
        <v>0</v>
      </c>
      <c r="Q14">
        <v>1</v>
      </c>
      <c r="R14">
        <v>0</v>
      </c>
      <c r="S14">
        <v>0</v>
      </c>
      <c r="T14">
        <v>0</v>
      </c>
      <c r="U14">
        <v>0</v>
      </c>
      <c r="V14">
        <v>0</v>
      </c>
      <c r="W14">
        <v>0</v>
      </c>
      <c r="X14">
        <v>0</v>
      </c>
      <c r="Y14">
        <v>0</v>
      </c>
      <c r="Z14">
        <v>0</v>
      </c>
      <c r="AA14">
        <v>0</v>
      </c>
      <c r="AM14" t="s">
        <v>90</v>
      </c>
      <c r="AN14" t="s">
        <v>82</v>
      </c>
      <c r="AO14" t="s">
        <v>81</v>
      </c>
      <c r="AP14" t="s">
        <v>81</v>
      </c>
      <c r="AQ14" t="s">
        <v>90</v>
      </c>
      <c r="AR14" t="s">
        <v>90</v>
      </c>
      <c r="AS14" t="s">
        <v>83</v>
      </c>
      <c r="AT14" t="s">
        <v>83</v>
      </c>
      <c r="AU14" t="s">
        <v>88</v>
      </c>
      <c r="AV14" t="s">
        <v>89</v>
      </c>
      <c r="AW14" t="s">
        <v>85</v>
      </c>
      <c r="AX14" t="s">
        <v>106</v>
      </c>
      <c r="AZ14" t="s">
        <v>107</v>
      </c>
      <c r="BA14" t="s">
        <v>87</v>
      </c>
      <c r="BB14" t="s">
        <v>87</v>
      </c>
      <c r="BC14" t="s">
        <v>87</v>
      </c>
      <c r="BD14" t="s">
        <v>86</v>
      </c>
      <c r="BE14" t="s">
        <v>87</v>
      </c>
      <c r="BF14" t="s">
        <v>75</v>
      </c>
      <c r="BG14" t="s">
        <v>76</v>
      </c>
      <c r="BH14" t="s">
        <v>98</v>
      </c>
      <c r="BI14" t="s">
        <v>107</v>
      </c>
      <c r="BJ14" t="s">
        <v>114</v>
      </c>
      <c r="BK14">
        <v>0</v>
      </c>
      <c r="BL14">
        <v>0</v>
      </c>
      <c r="BM14">
        <v>0</v>
      </c>
      <c r="BN14">
        <v>0</v>
      </c>
      <c r="BO14">
        <v>0</v>
      </c>
      <c r="BP14">
        <v>1</v>
      </c>
      <c r="BQ14">
        <v>0</v>
      </c>
      <c r="BR14">
        <v>0</v>
      </c>
    </row>
    <row r="15" spans="1:72" x14ac:dyDescent="0.2">
      <c r="A15" s="1">
        <v>44585.581250000003</v>
      </c>
      <c r="B15" s="1">
        <v>44585.584722222222</v>
      </c>
      <c r="C15">
        <v>1</v>
      </c>
      <c r="D15">
        <v>0</v>
      </c>
      <c r="E15">
        <v>0</v>
      </c>
      <c r="F15">
        <v>0</v>
      </c>
      <c r="H15">
        <v>0</v>
      </c>
      <c r="I15">
        <v>1</v>
      </c>
      <c r="J15">
        <v>1</v>
      </c>
      <c r="K15">
        <v>0</v>
      </c>
      <c r="L15">
        <v>0</v>
      </c>
      <c r="N15" t="s">
        <v>88</v>
      </c>
      <c r="O15" t="s">
        <v>80</v>
      </c>
      <c r="P15">
        <v>0</v>
      </c>
      <c r="Q15">
        <v>0</v>
      </c>
      <c r="R15">
        <v>1</v>
      </c>
      <c r="S15">
        <v>0</v>
      </c>
      <c r="T15">
        <v>0</v>
      </c>
      <c r="U15">
        <v>0</v>
      </c>
      <c r="V15">
        <v>0</v>
      </c>
      <c r="W15">
        <v>0</v>
      </c>
      <c r="X15">
        <v>0</v>
      </c>
      <c r="Y15">
        <v>0</v>
      </c>
      <c r="Z15">
        <v>0</v>
      </c>
      <c r="AA15">
        <v>0</v>
      </c>
      <c r="AM15" t="s">
        <v>81</v>
      </c>
      <c r="AN15" t="s">
        <v>81</v>
      </c>
      <c r="AO15" t="s">
        <v>83</v>
      </c>
      <c r="AP15" t="s">
        <v>81</v>
      </c>
      <c r="AQ15" t="s">
        <v>82</v>
      </c>
      <c r="AR15" t="s">
        <v>81</v>
      </c>
      <c r="AS15" t="s">
        <v>81</v>
      </c>
      <c r="AT15" t="s">
        <v>83</v>
      </c>
      <c r="AU15" t="s">
        <v>88</v>
      </c>
      <c r="AV15" t="s">
        <v>80</v>
      </c>
      <c r="AW15" t="s">
        <v>85</v>
      </c>
      <c r="AX15" t="s">
        <v>118</v>
      </c>
      <c r="AZ15" t="s">
        <v>73</v>
      </c>
      <c r="BA15" t="s">
        <v>87</v>
      </c>
      <c r="BB15" t="s">
        <v>87</v>
      </c>
      <c r="BC15" t="s">
        <v>87</v>
      </c>
      <c r="BD15" t="s">
        <v>86</v>
      </c>
      <c r="BE15" t="s">
        <v>87</v>
      </c>
      <c r="BF15" t="s">
        <v>75</v>
      </c>
      <c r="BG15" t="s">
        <v>76</v>
      </c>
      <c r="BH15" t="s">
        <v>77</v>
      </c>
      <c r="BI15" t="s">
        <v>73</v>
      </c>
      <c r="BJ15" t="s">
        <v>78</v>
      </c>
      <c r="BK15">
        <v>0</v>
      </c>
      <c r="BL15">
        <v>0</v>
      </c>
      <c r="BM15">
        <v>0</v>
      </c>
      <c r="BN15">
        <v>0</v>
      </c>
      <c r="BO15">
        <v>0</v>
      </c>
      <c r="BP15">
        <v>0</v>
      </c>
      <c r="BQ15">
        <v>0</v>
      </c>
      <c r="BR15">
        <v>1</v>
      </c>
    </row>
    <row r="16" spans="1:72" x14ac:dyDescent="0.2">
      <c r="A16" s="1">
        <v>44579.888888888891</v>
      </c>
      <c r="B16" s="1">
        <v>44579.890972222223</v>
      </c>
      <c r="C16">
        <v>1</v>
      </c>
      <c r="D16">
        <v>0</v>
      </c>
      <c r="E16">
        <v>0</v>
      </c>
      <c r="F16">
        <v>0</v>
      </c>
      <c r="H16">
        <v>0</v>
      </c>
      <c r="I16">
        <v>1</v>
      </c>
      <c r="J16">
        <v>1</v>
      </c>
      <c r="K16">
        <v>0</v>
      </c>
      <c r="L16">
        <v>0</v>
      </c>
      <c r="N16" t="s">
        <v>88</v>
      </c>
      <c r="O16" t="s">
        <v>89</v>
      </c>
      <c r="P16">
        <v>0</v>
      </c>
      <c r="Q16">
        <v>0</v>
      </c>
      <c r="R16">
        <v>1</v>
      </c>
      <c r="S16">
        <v>0</v>
      </c>
      <c r="T16">
        <v>0</v>
      </c>
      <c r="U16">
        <v>0</v>
      </c>
      <c r="V16">
        <v>0</v>
      </c>
      <c r="W16">
        <v>0</v>
      </c>
      <c r="X16">
        <v>0</v>
      </c>
      <c r="Y16">
        <v>0</v>
      </c>
      <c r="Z16">
        <v>0</v>
      </c>
      <c r="AA16">
        <v>0</v>
      </c>
      <c r="AM16" t="s">
        <v>81</v>
      </c>
      <c r="AN16" t="s">
        <v>82</v>
      </c>
      <c r="AO16" t="s">
        <v>83</v>
      </c>
      <c r="AP16" t="s">
        <v>82</v>
      </c>
      <c r="AQ16" t="s">
        <v>82</v>
      </c>
      <c r="AR16" t="s">
        <v>81</v>
      </c>
      <c r="AS16" t="s">
        <v>82</v>
      </c>
      <c r="AT16" t="s">
        <v>81</v>
      </c>
      <c r="AU16" t="s">
        <v>88</v>
      </c>
      <c r="AV16" t="s">
        <v>89</v>
      </c>
      <c r="AW16" t="s">
        <v>100</v>
      </c>
      <c r="AZ16" t="s">
        <v>96</v>
      </c>
      <c r="BA16" t="s">
        <v>87</v>
      </c>
      <c r="BB16" t="s">
        <v>87</v>
      </c>
      <c r="BC16" t="s">
        <v>87</v>
      </c>
      <c r="BD16" t="s">
        <v>86</v>
      </c>
      <c r="BE16" t="s">
        <v>87</v>
      </c>
      <c r="BF16" t="s">
        <v>97</v>
      </c>
      <c r="BG16" t="s">
        <v>76</v>
      </c>
      <c r="BH16" t="s">
        <v>77</v>
      </c>
      <c r="BI16" t="s">
        <v>96</v>
      </c>
      <c r="BJ16" t="s">
        <v>78</v>
      </c>
      <c r="BK16">
        <v>0</v>
      </c>
      <c r="BL16">
        <v>0</v>
      </c>
      <c r="BM16">
        <v>0</v>
      </c>
      <c r="BN16">
        <v>0</v>
      </c>
      <c r="BO16">
        <v>0</v>
      </c>
      <c r="BP16">
        <v>1</v>
      </c>
      <c r="BQ16">
        <v>0</v>
      </c>
      <c r="BR16">
        <v>0</v>
      </c>
    </row>
    <row r="17" spans="1:72" x14ac:dyDescent="0.2">
      <c r="A17" s="1">
        <v>44585.513888888891</v>
      </c>
      <c r="B17" s="1">
        <v>44585.51666666667</v>
      </c>
      <c r="C17">
        <v>1</v>
      </c>
      <c r="D17">
        <v>0</v>
      </c>
      <c r="E17">
        <v>0</v>
      </c>
      <c r="F17">
        <v>0</v>
      </c>
      <c r="H17">
        <v>0</v>
      </c>
      <c r="I17">
        <v>1</v>
      </c>
      <c r="J17">
        <v>0</v>
      </c>
      <c r="K17">
        <v>1</v>
      </c>
      <c r="L17">
        <v>0</v>
      </c>
      <c r="N17" t="s">
        <v>88</v>
      </c>
      <c r="O17" t="s">
        <v>89</v>
      </c>
      <c r="P17">
        <v>0</v>
      </c>
      <c r="Q17">
        <v>1</v>
      </c>
      <c r="R17">
        <v>0</v>
      </c>
      <c r="S17">
        <v>0</v>
      </c>
      <c r="T17">
        <v>0</v>
      </c>
      <c r="U17">
        <v>0</v>
      </c>
      <c r="V17">
        <v>0</v>
      </c>
      <c r="W17">
        <v>0</v>
      </c>
      <c r="X17">
        <v>0</v>
      </c>
      <c r="Y17">
        <v>0</v>
      </c>
      <c r="Z17">
        <v>0</v>
      </c>
      <c r="AA17">
        <v>0</v>
      </c>
      <c r="AM17" t="s">
        <v>90</v>
      </c>
      <c r="AN17" t="s">
        <v>82</v>
      </c>
      <c r="AO17" t="s">
        <v>82</v>
      </c>
      <c r="AP17" t="s">
        <v>83</v>
      </c>
      <c r="AQ17" t="s">
        <v>81</v>
      </c>
      <c r="AR17" t="s">
        <v>90</v>
      </c>
      <c r="AS17" t="s">
        <v>90</v>
      </c>
      <c r="AT17" t="s">
        <v>83</v>
      </c>
      <c r="AU17" t="s">
        <v>88</v>
      </c>
      <c r="AV17" t="s">
        <v>89</v>
      </c>
      <c r="AW17" t="s">
        <v>100</v>
      </c>
      <c r="AX17" t="s">
        <v>119</v>
      </c>
      <c r="AZ17" t="s">
        <v>107</v>
      </c>
      <c r="BA17" t="s">
        <v>86</v>
      </c>
      <c r="BB17" t="s">
        <v>86</v>
      </c>
      <c r="BC17" t="s">
        <v>86</v>
      </c>
      <c r="BD17" t="s">
        <v>87</v>
      </c>
      <c r="BE17" t="s">
        <v>86</v>
      </c>
      <c r="BF17" t="s">
        <v>75</v>
      </c>
      <c r="BG17" t="s">
        <v>76</v>
      </c>
      <c r="BH17" t="s">
        <v>77</v>
      </c>
      <c r="BI17" t="s">
        <v>107</v>
      </c>
      <c r="BJ17" t="s">
        <v>114</v>
      </c>
      <c r="BK17">
        <v>0</v>
      </c>
      <c r="BL17">
        <v>0</v>
      </c>
      <c r="BM17">
        <v>0</v>
      </c>
      <c r="BN17">
        <v>0</v>
      </c>
      <c r="BO17">
        <v>0</v>
      </c>
      <c r="BP17">
        <v>1</v>
      </c>
      <c r="BQ17">
        <v>0</v>
      </c>
      <c r="BR17">
        <v>0</v>
      </c>
    </row>
    <row r="18" spans="1:72" x14ac:dyDescent="0.2">
      <c r="A18" s="1">
        <v>44579.879166666666</v>
      </c>
      <c r="B18" s="1">
        <v>44579.880555555559</v>
      </c>
      <c r="C18">
        <v>0</v>
      </c>
      <c r="D18">
        <v>1</v>
      </c>
      <c r="E18">
        <v>0</v>
      </c>
      <c r="F18">
        <v>0</v>
      </c>
      <c r="H18">
        <v>1</v>
      </c>
      <c r="I18">
        <v>0</v>
      </c>
      <c r="J18">
        <v>0</v>
      </c>
      <c r="K18">
        <v>0</v>
      </c>
      <c r="L18">
        <v>0</v>
      </c>
      <c r="P18">
        <v>1</v>
      </c>
      <c r="Q18">
        <v>0</v>
      </c>
      <c r="R18">
        <v>0</v>
      </c>
      <c r="S18">
        <v>0</v>
      </c>
      <c r="T18">
        <v>0</v>
      </c>
      <c r="U18">
        <v>0</v>
      </c>
      <c r="V18">
        <v>0</v>
      </c>
      <c r="W18">
        <v>0</v>
      </c>
      <c r="X18">
        <v>0</v>
      </c>
      <c r="Y18">
        <v>0</v>
      </c>
      <c r="Z18">
        <v>0</v>
      </c>
      <c r="AA18">
        <v>0</v>
      </c>
      <c r="AC18">
        <v>0</v>
      </c>
      <c r="AD18">
        <v>0</v>
      </c>
      <c r="AE18">
        <v>1</v>
      </c>
      <c r="AF18">
        <v>0</v>
      </c>
      <c r="AG18">
        <v>0</v>
      </c>
      <c r="AH18">
        <v>0</v>
      </c>
      <c r="AI18">
        <v>0</v>
      </c>
      <c r="AJ18">
        <v>0</v>
      </c>
      <c r="AK18">
        <v>0</v>
      </c>
      <c r="AZ18" t="s">
        <v>120</v>
      </c>
      <c r="BA18" t="s">
        <v>87</v>
      </c>
      <c r="BB18" t="s">
        <v>74</v>
      </c>
      <c r="BC18" t="s">
        <v>74</v>
      </c>
      <c r="BD18" t="s">
        <v>74</v>
      </c>
      <c r="BE18" t="s">
        <v>74</v>
      </c>
      <c r="BF18" t="s">
        <v>97</v>
      </c>
      <c r="BG18" t="s">
        <v>76</v>
      </c>
      <c r="BH18" t="s">
        <v>98</v>
      </c>
      <c r="BI18" t="s">
        <v>120</v>
      </c>
      <c r="BJ18" t="s">
        <v>114</v>
      </c>
      <c r="BK18">
        <v>0</v>
      </c>
      <c r="BL18">
        <v>0</v>
      </c>
      <c r="BM18">
        <v>0</v>
      </c>
      <c r="BN18">
        <v>0</v>
      </c>
      <c r="BO18">
        <v>0</v>
      </c>
      <c r="BP18">
        <v>1</v>
      </c>
      <c r="BQ18">
        <v>0</v>
      </c>
      <c r="BR18">
        <v>0</v>
      </c>
    </row>
    <row r="19" spans="1:72" x14ac:dyDescent="0.2">
      <c r="A19" s="1">
        <v>44579.888194444444</v>
      </c>
      <c r="B19" s="1">
        <v>44579.893750000003</v>
      </c>
      <c r="C19">
        <v>0</v>
      </c>
      <c r="D19">
        <v>1</v>
      </c>
      <c r="E19">
        <v>0</v>
      </c>
      <c r="F19">
        <v>0</v>
      </c>
      <c r="H19">
        <v>1</v>
      </c>
      <c r="I19">
        <v>0</v>
      </c>
      <c r="J19">
        <v>0</v>
      </c>
      <c r="K19">
        <v>0</v>
      </c>
      <c r="L19">
        <v>0</v>
      </c>
      <c r="P19">
        <v>1</v>
      </c>
      <c r="Q19">
        <v>0</v>
      </c>
      <c r="R19">
        <v>0</v>
      </c>
      <c r="S19">
        <v>0</v>
      </c>
      <c r="T19">
        <v>0</v>
      </c>
      <c r="U19">
        <v>0</v>
      </c>
      <c r="V19">
        <v>0</v>
      </c>
      <c r="W19">
        <v>0</v>
      </c>
      <c r="X19">
        <v>0</v>
      </c>
      <c r="Y19">
        <v>0</v>
      </c>
      <c r="Z19">
        <v>0</v>
      </c>
      <c r="AA19">
        <v>0</v>
      </c>
      <c r="AC19">
        <v>0</v>
      </c>
      <c r="AD19">
        <v>0</v>
      </c>
      <c r="AE19">
        <v>1</v>
      </c>
      <c r="AF19">
        <v>0</v>
      </c>
      <c r="AG19">
        <v>0</v>
      </c>
      <c r="AH19">
        <v>0</v>
      </c>
      <c r="AI19">
        <v>1</v>
      </c>
      <c r="AJ19">
        <v>0</v>
      </c>
      <c r="AK19">
        <v>0</v>
      </c>
      <c r="AZ19" t="s">
        <v>107</v>
      </c>
      <c r="BA19" t="s">
        <v>87</v>
      </c>
      <c r="BB19" t="s">
        <v>86</v>
      </c>
      <c r="BC19" t="s">
        <v>74</v>
      </c>
      <c r="BD19" t="s">
        <v>86</v>
      </c>
      <c r="BE19" t="s">
        <v>86</v>
      </c>
      <c r="BF19" t="s">
        <v>97</v>
      </c>
      <c r="BG19" t="s">
        <v>76</v>
      </c>
      <c r="BH19" t="s">
        <v>98</v>
      </c>
      <c r="BI19" t="s">
        <v>107</v>
      </c>
      <c r="BJ19" t="s">
        <v>78</v>
      </c>
      <c r="BK19">
        <v>0</v>
      </c>
      <c r="BL19">
        <v>0</v>
      </c>
      <c r="BM19">
        <v>0</v>
      </c>
      <c r="BN19">
        <v>0</v>
      </c>
      <c r="BO19">
        <v>0</v>
      </c>
      <c r="BP19">
        <v>1</v>
      </c>
      <c r="BQ19">
        <v>0</v>
      </c>
      <c r="BR19">
        <v>0</v>
      </c>
    </row>
    <row r="20" spans="1:72" x14ac:dyDescent="0.2">
      <c r="A20" s="1">
        <v>44579.90902777778</v>
      </c>
      <c r="B20" s="1">
        <v>44579.913194444445</v>
      </c>
      <c r="C20">
        <v>0</v>
      </c>
      <c r="D20">
        <v>1</v>
      </c>
      <c r="E20">
        <v>0</v>
      </c>
      <c r="F20">
        <v>0</v>
      </c>
      <c r="H20">
        <v>1</v>
      </c>
      <c r="I20">
        <v>0</v>
      </c>
      <c r="J20">
        <v>0</v>
      </c>
      <c r="K20">
        <v>0</v>
      </c>
      <c r="L20">
        <v>0</v>
      </c>
      <c r="P20">
        <v>0</v>
      </c>
      <c r="Q20">
        <v>0</v>
      </c>
      <c r="R20">
        <v>0</v>
      </c>
      <c r="S20">
        <v>0</v>
      </c>
      <c r="T20">
        <v>0</v>
      </c>
      <c r="U20">
        <v>0</v>
      </c>
      <c r="V20">
        <v>0</v>
      </c>
      <c r="W20">
        <v>0</v>
      </c>
      <c r="X20">
        <v>0</v>
      </c>
      <c r="Y20">
        <v>0</v>
      </c>
      <c r="Z20">
        <v>0</v>
      </c>
      <c r="AA20">
        <v>1</v>
      </c>
      <c r="AB20" t="s">
        <v>121</v>
      </c>
      <c r="AM20" t="s">
        <v>83</v>
      </c>
      <c r="AN20" t="s">
        <v>81</v>
      </c>
      <c r="AO20" t="s">
        <v>82</v>
      </c>
      <c r="AP20" t="s">
        <v>81</v>
      </c>
      <c r="AQ20" t="s">
        <v>83</v>
      </c>
      <c r="AR20" t="s">
        <v>83</v>
      </c>
      <c r="AS20" t="s">
        <v>83</v>
      </c>
      <c r="AT20" t="s">
        <v>83</v>
      </c>
      <c r="AU20" t="s">
        <v>88</v>
      </c>
      <c r="AV20" t="s">
        <v>89</v>
      </c>
      <c r="AW20" t="s">
        <v>100</v>
      </c>
      <c r="AX20" t="s">
        <v>122</v>
      </c>
      <c r="AZ20" t="s">
        <v>96</v>
      </c>
      <c r="BA20" t="s">
        <v>86</v>
      </c>
      <c r="BB20" t="s">
        <v>86</v>
      </c>
      <c r="BC20" t="s">
        <v>86</v>
      </c>
      <c r="BD20" t="s">
        <v>86</v>
      </c>
      <c r="BE20" t="s">
        <v>74</v>
      </c>
      <c r="BF20" t="s">
        <v>75</v>
      </c>
      <c r="BG20" t="s">
        <v>76</v>
      </c>
      <c r="BH20" t="s">
        <v>77</v>
      </c>
      <c r="BI20" t="s">
        <v>96</v>
      </c>
      <c r="BJ20" t="s">
        <v>114</v>
      </c>
      <c r="BK20">
        <v>1</v>
      </c>
      <c r="BL20">
        <v>0</v>
      </c>
      <c r="BM20">
        <v>0</v>
      </c>
      <c r="BN20">
        <v>0</v>
      </c>
      <c r="BO20">
        <v>0</v>
      </c>
      <c r="BP20">
        <v>0</v>
      </c>
      <c r="BQ20">
        <v>0</v>
      </c>
      <c r="BR20">
        <v>0</v>
      </c>
    </row>
    <row r="21" spans="1:72" x14ac:dyDescent="0.2">
      <c r="A21" s="1">
        <v>44580.107638888891</v>
      </c>
      <c r="B21" s="1">
        <v>44580.11041666667</v>
      </c>
      <c r="C21">
        <v>1</v>
      </c>
      <c r="D21">
        <v>0</v>
      </c>
      <c r="E21">
        <v>0</v>
      </c>
      <c r="F21">
        <v>0</v>
      </c>
      <c r="H21">
        <v>0</v>
      </c>
      <c r="I21">
        <v>0</v>
      </c>
      <c r="J21">
        <v>0</v>
      </c>
      <c r="K21">
        <v>0</v>
      </c>
      <c r="L21">
        <v>1</v>
      </c>
      <c r="M21" t="s">
        <v>123</v>
      </c>
      <c r="N21" t="s">
        <v>88</v>
      </c>
      <c r="O21" t="s">
        <v>89</v>
      </c>
      <c r="P21">
        <v>1</v>
      </c>
      <c r="Q21">
        <v>0</v>
      </c>
      <c r="R21">
        <v>0</v>
      </c>
      <c r="S21">
        <v>0</v>
      </c>
      <c r="T21">
        <v>0</v>
      </c>
      <c r="U21">
        <v>0</v>
      </c>
      <c r="V21">
        <v>0</v>
      </c>
      <c r="W21">
        <v>0</v>
      </c>
      <c r="X21">
        <v>0</v>
      </c>
      <c r="Y21">
        <v>0</v>
      </c>
      <c r="Z21">
        <v>0</v>
      </c>
      <c r="AA21">
        <v>0</v>
      </c>
      <c r="AC21">
        <v>0</v>
      </c>
      <c r="AD21">
        <v>1</v>
      </c>
      <c r="AE21">
        <v>0</v>
      </c>
      <c r="AF21">
        <v>0</v>
      </c>
      <c r="AG21">
        <v>0</v>
      </c>
      <c r="AH21">
        <v>0</v>
      </c>
      <c r="AI21">
        <v>0</v>
      </c>
      <c r="AJ21">
        <v>0</v>
      </c>
      <c r="AK21">
        <v>0</v>
      </c>
      <c r="AZ21" t="s">
        <v>73</v>
      </c>
      <c r="BA21" t="s">
        <v>86</v>
      </c>
      <c r="BB21" t="s">
        <v>86</v>
      </c>
      <c r="BC21" t="s">
        <v>86</v>
      </c>
      <c r="BD21" t="s">
        <v>86</v>
      </c>
      <c r="BE21" t="s">
        <v>74</v>
      </c>
      <c r="BF21" t="s">
        <v>97</v>
      </c>
      <c r="BG21" t="s">
        <v>76</v>
      </c>
      <c r="BH21" t="s">
        <v>98</v>
      </c>
      <c r="BI21" t="s">
        <v>73</v>
      </c>
      <c r="BJ21" t="s">
        <v>109</v>
      </c>
      <c r="BK21">
        <v>0</v>
      </c>
      <c r="BL21">
        <v>0</v>
      </c>
      <c r="BM21">
        <v>0</v>
      </c>
      <c r="BN21">
        <v>0</v>
      </c>
      <c r="BO21">
        <v>0</v>
      </c>
      <c r="BP21">
        <v>1</v>
      </c>
      <c r="BQ21">
        <v>0</v>
      </c>
      <c r="BR21">
        <v>0</v>
      </c>
    </row>
    <row r="22" spans="1:72" x14ac:dyDescent="0.2">
      <c r="A22" s="1">
        <v>44581.190972222219</v>
      </c>
      <c r="B22" s="1">
        <v>44581.195138888892</v>
      </c>
      <c r="C22">
        <v>0</v>
      </c>
      <c r="D22">
        <v>1</v>
      </c>
      <c r="E22">
        <v>0</v>
      </c>
      <c r="F22">
        <v>0</v>
      </c>
      <c r="H22">
        <v>1</v>
      </c>
      <c r="I22">
        <v>0</v>
      </c>
      <c r="J22">
        <v>0</v>
      </c>
      <c r="K22">
        <v>0</v>
      </c>
      <c r="L22">
        <v>0</v>
      </c>
      <c r="P22">
        <v>0</v>
      </c>
      <c r="Q22">
        <v>1</v>
      </c>
      <c r="R22">
        <v>0</v>
      </c>
      <c r="S22">
        <v>0</v>
      </c>
      <c r="T22">
        <v>0</v>
      </c>
      <c r="U22">
        <v>0</v>
      </c>
      <c r="V22">
        <v>0</v>
      </c>
      <c r="W22">
        <v>0</v>
      </c>
      <c r="X22">
        <v>0</v>
      </c>
      <c r="Y22">
        <v>0</v>
      </c>
      <c r="Z22">
        <v>0</v>
      </c>
      <c r="AA22">
        <v>0</v>
      </c>
      <c r="AM22" t="s">
        <v>82</v>
      </c>
      <c r="AN22" t="s">
        <v>82</v>
      </c>
      <c r="AO22" t="s">
        <v>82</v>
      </c>
      <c r="AP22" t="s">
        <v>82</v>
      </c>
      <c r="AQ22" t="s">
        <v>82</v>
      </c>
      <c r="AR22" t="s">
        <v>82</v>
      </c>
      <c r="AS22" t="s">
        <v>82</v>
      </c>
      <c r="AT22" t="s">
        <v>82</v>
      </c>
      <c r="AU22" t="s">
        <v>88</v>
      </c>
      <c r="AV22" t="s">
        <v>89</v>
      </c>
      <c r="AW22" t="s">
        <v>100</v>
      </c>
      <c r="AX22" t="s">
        <v>124</v>
      </c>
      <c r="AZ22" t="s">
        <v>120</v>
      </c>
      <c r="BA22" t="s">
        <v>86</v>
      </c>
      <c r="BB22" t="s">
        <v>87</v>
      </c>
      <c r="BC22" t="s">
        <v>87</v>
      </c>
      <c r="BD22" t="s">
        <v>87</v>
      </c>
      <c r="BE22" t="s">
        <v>87</v>
      </c>
      <c r="BF22" t="s">
        <v>108</v>
      </c>
      <c r="BG22" t="s">
        <v>76</v>
      </c>
      <c r="BH22" t="s">
        <v>77</v>
      </c>
      <c r="BI22" t="s">
        <v>120</v>
      </c>
      <c r="BJ22" t="s">
        <v>78</v>
      </c>
      <c r="BK22">
        <v>1</v>
      </c>
      <c r="BL22">
        <v>0</v>
      </c>
      <c r="BM22">
        <v>0</v>
      </c>
      <c r="BN22">
        <v>0</v>
      </c>
      <c r="BO22">
        <v>0</v>
      </c>
      <c r="BP22">
        <v>0</v>
      </c>
      <c r="BQ22">
        <v>0</v>
      </c>
      <c r="BR22">
        <v>0</v>
      </c>
    </row>
    <row r="23" spans="1:72" x14ac:dyDescent="0.2">
      <c r="A23" s="1">
        <v>44589.646527777775</v>
      </c>
      <c r="B23" s="1">
        <v>44589.647916666669</v>
      </c>
      <c r="C23">
        <v>1</v>
      </c>
      <c r="D23">
        <v>0</v>
      </c>
      <c r="E23">
        <v>0</v>
      </c>
      <c r="F23">
        <v>0</v>
      </c>
      <c r="H23">
        <v>0</v>
      </c>
      <c r="I23">
        <v>0</v>
      </c>
      <c r="J23">
        <v>0</v>
      </c>
      <c r="K23">
        <v>0</v>
      </c>
      <c r="L23">
        <v>1</v>
      </c>
      <c r="M23" t="s">
        <v>125</v>
      </c>
      <c r="N23" t="s">
        <v>79</v>
      </c>
      <c r="O23" t="s">
        <v>80</v>
      </c>
      <c r="P23">
        <v>1</v>
      </c>
      <c r="Q23">
        <v>0</v>
      </c>
      <c r="R23">
        <v>0</v>
      </c>
      <c r="S23">
        <v>0</v>
      </c>
      <c r="T23">
        <v>0</v>
      </c>
      <c r="U23">
        <v>0</v>
      </c>
      <c r="V23">
        <v>0</v>
      </c>
      <c r="W23">
        <v>0</v>
      </c>
      <c r="X23">
        <v>0</v>
      </c>
      <c r="Y23">
        <v>0</v>
      </c>
      <c r="Z23">
        <v>0</v>
      </c>
      <c r="AA23">
        <v>0</v>
      </c>
      <c r="AC23">
        <v>0</v>
      </c>
      <c r="AD23">
        <v>0</v>
      </c>
      <c r="AE23">
        <v>0</v>
      </c>
      <c r="AF23">
        <v>0</v>
      </c>
      <c r="AG23">
        <v>0</v>
      </c>
      <c r="AH23">
        <v>0</v>
      </c>
      <c r="AI23">
        <v>1</v>
      </c>
      <c r="AJ23">
        <v>0</v>
      </c>
      <c r="AK23">
        <v>0</v>
      </c>
      <c r="AX23" t="s">
        <v>106</v>
      </c>
      <c r="AZ23" t="s">
        <v>107</v>
      </c>
      <c r="BA23" t="s">
        <v>74</v>
      </c>
      <c r="BF23" t="s">
        <v>108</v>
      </c>
      <c r="BG23" t="s">
        <v>76</v>
      </c>
      <c r="BH23" t="s">
        <v>98</v>
      </c>
      <c r="BI23" t="s">
        <v>107</v>
      </c>
      <c r="BJ23" t="s">
        <v>78</v>
      </c>
      <c r="BK23">
        <v>0</v>
      </c>
      <c r="BL23">
        <v>0</v>
      </c>
      <c r="BM23">
        <v>0</v>
      </c>
      <c r="BN23">
        <v>0</v>
      </c>
      <c r="BO23">
        <v>0</v>
      </c>
      <c r="BP23">
        <v>1</v>
      </c>
      <c r="BQ23">
        <v>0</v>
      </c>
      <c r="BR23">
        <v>0</v>
      </c>
    </row>
    <row r="24" spans="1:72" x14ac:dyDescent="0.2">
      <c r="A24" s="1">
        <v>44585.612500000003</v>
      </c>
      <c r="B24" s="1">
        <v>44585.613888888889</v>
      </c>
      <c r="C24">
        <v>1</v>
      </c>
      <c r="D24">
        <v>0</v>
      </c>
      <c r="E24">
        <v>0</v>
      </c>
      <c r="F24">
        <v>0</v>
      </c>
      <c r="H24">
        <v>1</v>
      </c>
      <c r="I24">
        <v>0</v>
      </c>
      <c r="J24">
        <v>0</v>
      </c>
      <c r="K24">
        <v>0</v>
      </c>
      <c r="L24">
        <v>0</v>
      </c>
      <c r="P24">
        <v>1</v>
      </c>
      <c r="Q24">
        <v>0</v>
      </c>
      <c r="R24">
        <v>0</v>
      </c>
      <c r="S24">
        <v>0</v>
      </c>
      <c r="T24">
        <v>0</v>
      </c>
      <c r="U24">
        <v>0</v>
      </c>
      <c r="V24">
        <v>0</v>
      </c>
      <c r="W24">
        <v>0</v>
      </c>
      <c r="X24">
        <v>0</v>
      </c>
      <c r="Y24">
        <v>0</v>
      </c>
      <c r="Z24">
        <v>0</v>
      </c>
      <c r="AA24">
        <v>0</v>
      </c>
      <c r="AC24">
        <v>1</v>
      </c>
      <c r="AD24">
        <v>0</v>
      </c>
      <c r="AE24">
        <v>0</v>
      </c>
      <c r="AF24">
        <v>0</v>
      </c>
      <c r="AG24">
        <v>0</v>
      </c>
      <c r="AH24">
        <v>0</v>
      </c>
      <c r="AI24">
        <v>0</v>
      </c>
      <c r="AJ24">
        <v>0</v>
      </c>
      <c r="AK24">
        <v>0</v>
      </c>
      <c r="AX24" t="s">
        <v>72</v>
      </c>
      <c r="AZ24" t="s">
        <v>107</v>
      </c>
      <c r="BA24" t="s">
        <v>87</v>
      </c>
      <c r="BB24" t="s">
        <v>87</v>
      </c>
      <c r="BC24" t="s">
        <v>87</v>
      </c>
      <c r="BD24" t="s">
        <v>87</v>
      </c>
      <c r="BE24" t="s">
        <v>87</v>
      </c>
      <c r="BF24" t="s">
        <v>75</v>
      </c>
      <c r="BG24" t="s">
        <v>76</v>
      </c>
      <c r="BH24" t="s">
        <v>77</v>
      </c>
      <c r="BI24" t="s">
        <v>107</v>
      </c>
      <c r="BJ24" t="s">
        <v>114</v>
      </c>
      <c r="BK24">
        <v>1</v>
      </c>
      <c r="BL24">
        <v>0</v>
      </c>
      <c r="BM24">
        <v>0</v>
      </c>
      <c r="BN24">
        <v>0</v>
      </c>
      <c r="BO24">
        <v>0</v>
      </c>
      <c r="BP24">
        <v>0</v>
      </c>
      <c r="BQ24">
        <v>0</v>
      </c>
      <c r="BR24">
        <v>0</v>
      </c>
    </row>
    <row r="25" spans="1:72" x14ac:dyDescent="0.2">
      <c r="A25" s="1">
        <v>44585.695833333331</v>
      </c>
      <c r="B25" s="1">
        <v>44585.70208333333</v>
      </c>
      <c r="C25">
        <v>0</v>
      </c>
      <c r="D25">
        <v>1</v>
      </c>
      <c r="E25">
        <v>0</v>
      </c>
      <c r="F25">
        <v>0</v>
      </c>
      <c r="H25">
        <v>1</v>
      </c>
      <c r="I25">
        <v>0</v>
      </c>
      <c r="J25">
        <v>0</v>
      </c>
      <c r="K25">
        <v>0</v>
      </c>
      <c r="L25">
        <v>0</v>
      </c>
      <c r="P25">
        <v>1</v>
      </c>
      <c r="Q25">
        <v>0</v>
      </c>
      <c r="R25">
        <v>0</v>
      </c>
      <c r="S25">
        <v>0</v>
      </c>
      <c r="T25">
        <v>0</v>
      </c>
      <c r="U25">
        <v>0</v>
      </c>
      <c r="V25">
        <v>0</v>
      </c>
      <c r="W25">
        <v>0</v>
      </c>
      <c r="X25">
        <v>0</v>
      </c>
      <c r="Y25">
        <v>0</v>
      </c>
      <c r="Z25">
        <v>0</v>
      </c>
      <c r="AA25">
        <v>0</v>
      </c>
      <c r="AC25">
        <v>0</v>
      </c>
      <c r="AD25">
        <v>1</v>
      </c>
      <c r="AE25">
        <v>0</v>
      </c>
      <c r="AF25">
        <v>0</v>
      </c>
      <c r="AG25">
        <v>0</v>
      </c>
      <c r="AH25">
        <v>0</v>
      </c>
      <c r="AI25">
        <v>0</v>
      </c>
      <c r="AJ25">
        <v>0</v>
      </c>
      <c r="AK25">
        <v>0</v>
      </c>
      <c r="AX25" t="s">
        <v>126</v>
      </c>
      <c r="AZ25" t="s">
        <v>120</v>
      </c>
      <c r="BA25" t="s">
        <v>74</v>
      </c>
      <c r="BF25" t="s">
        <v>75</v>
      </c>
      <c r="BG25" t="s">
        <v>76</v>
      </c>
      <c r="BH25" t="s">
        <v>98</v>
      </c>
      <c r="BI25" t="s">
        <v>120</v>
      </c>
      <c r="BJ25" t="s">
        <v>109</v>
      </c>
      <c r="BK25">
        <v>1</v>
      </c>
      <c r="BL25">
        <v>0</v>
      </c>
      <c r="BM25">
        <v>0</v>
      </c>
      <c r="BN25">
        <v>0</v>
      </c>
      <c r="BO25">
        <v>0</v>
      </c>
      <c r="BP25">
        <v>0</v>
      </c>
      <c r="BQ25">
        <v>0</v>
      </c>
      <c r="BR25">
        <v>0</v>
      </c>
    </row>
    <row r="26" spans="1:72" x14ac:dyDescent="0.2">
      <c r="A26" s="1">
        <v>44579.821527777778</v>
      </c>
      <c r="B26" s="1">
        <v>44579.822916666664</v>
      </c>
      <c r="C26">
        <v>0</v>
      </c>
      <c r="D26">
        <v>1</v>
      </c>
      <c r="E26">
        <v>0</v>
      </c>
      <c r="F26">
        <v>0</v>
      </c>
      <c r="H26">
        <v>1</v>
      </c>
      <c r="I26">
        <v>0</v>
      </c>
      <c r="J26">
        <v>0</v>
      </c>
      <c r="K26">
        <v>0</v>
      </c>
      <c r="L26">
        <v>0</v>
      </c>
      <c r="P26">
        <v>1</v>
      </c>
      <c r="Q26">
        <v>0</v>
      </c>
      <c r="R26">
        <v>0</v>
      </c>
      <c r="S26">
        <v>0</v>
      </c>
      <c r="T26">
        <v>0</v>
      </c>
      <c r="U26">
        <v>0</v>
      </c>
      <c r="V26">
        <v>0</v>
      </c>
      <c r="W26">
        <v>0</v>
      </c>
      <c r="X26">
        <v>0</v>
      </c>
      <c r="Y26">
        <v>0</v>
      </c>
      <c r="Z26">
        <v>0</v>
      </c>
      <c r="AA26">
        <v>0</v>
      </c>
      <c r="AC26">
        <v>0</v>
      </c>
      <c r="AD26">
        <v>0</v>
      </c>
      <c r="AE26">
        <v>1</v>
      </c>
      <c r="AF26">
        <v>0</v>
      </c>
      <c r="AG26">
        <v>0</v>
      </c>
      <c r="AH26">
        <v>0</v>
      </c>
      <c r="AI26">
        <v>0</v>
      </c>
      <c r="AJ26">
        <v>0</v>
      </c>
      <c r="AK26">
        <v>0</v>
      </c>
      <c r="AZ26" t="s">
        <v>107</v>
      </c>
      <c r="BA26" t="s">
        <v>87</v>
      </c>
      <c r="BB26" t="s">
        <v>74</v>
      </c>
      <c r="BC26" t="s">
        <v>87</v>
      </c>
      <c r="BD26" t="s">
        <v>87</v>
      </c>
      <c r="BE26" t="s">
        <v>86</v>
      </c>
      <c r="BF26" t="s">
        <v>101</v>
      </c>
      <c r="BG26" t="s">
        <v>76</v>
      </c>
      <c r="BH26" t="s">
        <v>98</v>
      </c>
      <c r="BI26" t="s">
        <v>107</v>
      </c>
      <c r="BJ26" t="s">
        <v>114</v>
      </c>
      <c r="BK26">
        <v>0</v>
      </c>
      <c r="BL26">
        <v>0</v>
      </c>
      <c r="BM26">
        <v>0</v>
      </c>
      <c r="BN26">
        <v>0</v>
      </c>
      <c r="BO26">
        <v>0</v>
      </c>
      <c r="BP26">
        <v>1</v>
      </c>
      <c r="BQ26">
        <v>0</v>
      </c>
      <c r="BR26">
        <v>0</v>
      </c>
    </row>
    <row r="27" spans="1:72" x14ac:dyDescent="0.2">
      <c r="A27" s="1">
        <v>44579.883333333331</v>
      </c>
      <c r="B27" s="1">
        <v>44579.885416666664</v>
      </c>
      <c r="C27">
        <v>1</v>
      </c>
      <c r="D27">
        <v>0</v>
      </c>
      <c r="E27">
        <v>0</v>
      </c>
      <c r="F27">
        <v>0</v>
      </c>
      <c r="H27">
        <v>0</v>
      </c>
      <c r="I27">
        <v>1</v>
      </c>
      <c r="J27">
        <v>0</v>
      </c>
      <c r="K27">
        <v>0</v>
      </c>
      <c r="L27">
        <v>0</v>
      </c>
      <c r="N27" t="s">
        <v>88</v>
      </c>
      <c r="O27" t="s">
        <v>89</v>
      </c>
      <c r="P27">
        <v>0</v>
      </c>
      <c r="Q27">
        <v>1</v>
      </c>
      <c r="R27">
        <v>0</v>
      </c>
      <c r="S27">
        <v>0</v>
      </c>
      <c r="T27">
        <v>0</v>
      </c>
      <c r="U27">
        <v>0</v>
      </c>
      <c r="V27">
        <v>0</v>
      </c>
      <c r="W27">
        <v>0</v>
      </c>
      <c r="X27">
        <v>0</v>
      </c>
      <c r="Y27">
        <v>0</v>
      </c>
      <c r="Z27">
        <v>0</v>
      </c>
      <c r="AA27">
        <v>0</v>
      </c>
      <c r="AM27" t="s">
        <v>81</v>
      </c>
      <c r="AN27" t="s">
        <v>82</v>
      </c>
      <c r="AO27" t="s">
        <v>82</v>
      </c>
      <c r="AP27" t="s">
        <v>81</v>
      </c>
      <c r="AQ27" t="s">
        <v>81</v>
      </c>
      <c r="AR27" t="s">
        <v>81</v>
      </c>
      <c r="AS27" t="s">
        <v>81</v>
      </c>
      <c r="AT27" t="s">
        <v>83</v>
      </c>
      <c r="AU27" t="s">
        <v>88</v>
      </c>
      <c r="AV27" t="s">
        <v>89</v>
      </c>
      <c r="AW27" t="s">
        <v>100</v>
      </c>
      <c r="AZ27" t="s">
        <v>73</v>
      </c>
      <c r="BA27" t="s">
        <v>87</v>
      </c>
      <c r="BB27" t="s">
        <v>87</v>
      </c>
      <c r="BC27" t="s">
        <v>87</v>
      </c>
      <c r="BD27" t="s">
        <v>87</v>
      </c>
      <c r="BE27" t="s">
        <v>87</v>
      </c>
      <c r="BF27" t="s">
        <v>97</v>
      </c>
      <c r="BG27" t="s">
        <v>76</v>
      </c>
      <c r="BH27" t="s">
        <v>98</v>
      </c>
      <c r="BI27" t="s">
        <v>73</v>
      </c>
      <c r="BK27">
        <v>0</v>
      </c>
      <c r="BL27">
        <v>0</v>
      </c>
      <c r="BM27">
        <v>0</v>
      </c>
      <c r="BN27">
        <v>0</v>
      </c>
      <c r="BO27">
        <v>0</v>
      </c>
      <c r="BP27">
        <v>1</v>
      </c>
      <c r="BQ27">
        <v>0</v>
      </c>
      <c r="BR27">
        <v>0</v>
      </c>
      <c r="BT27" t="s">
        <v>109</v>
      </c>
    </row>
    <row r="28" spans="1:72" x14ac:dyDescent="0.2">
      <c r="A28" s="1">
        <v>44580.347916666666</v>
      </c>
      <c r="B28" s="1">
        <v>44580.349305555559</v>
      </c>
      <c r="C28">
        <v>0</v>
      </c>
      <c r="D28">
        <v>1</v>
      </c>
      <c r="E28">
        <v>0</v>
      </c>
      <c r="F28">
        <v>0</v>
      </c>
      <c r="H28">
        <v>1</v>
      </c>
      <c r="I28">
        <v>0</v>
      </c>
      <c r="J28">
        <v>0</v>
      </c>
      <c r="K28">
        <v>0</v>
      </c>
      <c r="L28">
        <v>0</v>
      </c>
      <c r="P28">
        <v>0</v>
      </c>
      <c r="Q28">
        <v>1</v>
      </c>
      <c r="R28">
        <v>0</v>
      </c>
      <c r="S28">
        <v>0</v>
      </c>
      <c r="T28">
        <v>1</v>
      </c>
      <c r="U28">
        <v>0</v>
      </c>
      <c r="V28">
        <v>0</v>
      </c>
      <c r="W28">
        <v>0</v>
      </c>
      <c r="X28">
        <v>0</v>
      </c>
      <c r="Y28">
        <v>0</v>
      </c>
      <c r="Z28">
        <v>0</v>
      </c>
      <c r="AA28">
        <v>0</v>
      </c>
      <c r="AM28" t="s">
        <v>83</v>
      </c>
      <c r="AN28" t="s">
        <v>82</v>
      </c>
      <c r="AO28" t="s">
        <v>83</v>
      </c>
      <c r="AP28" t="s">
        <v>82</v>
      </c>
      <c r="AQ28" t="s">
        <v>83</v>
      </c>
      <c r="AR28" t="s">
        <v>83</v>
      </c>
      <c r="AS28" t="s">
        <v>83</v>
      </c>
      <c r="AT28" t="s">
        <v>83</v>
      </c>
      <c r="AU28" t="s">
        <v>127</v>
      </c>
      <c r="AV28" t="s">
        <v>127</v>
      </c>
      <c r="AX28" t="s">
        <v>119</v>
      </c>
      <c r="AZ28" t="s">
        <v>73</v>
      </c>
      <c r="BA28" t="s">
        <v>74</v>
      </c>
      <c r="BF28" t="s">
        <v>113</v>
      </c>
      <c r="BG28" t="s">
        <v>76</v>
      </c>
      <c r="BH28" t="s">
        <v>77</v>
      </c>
      <c r="BI28" t="s">
        <v>73</v>
      </c>
      <c r="BK28">
        <v>0</v>
      </c>
      <c r="BL28">
        <v>0</v>
      </c>
      <c r="BM28">
        <v>0</v>
      </c>
      <c r="BN28">
        <v>0</v>
      </c>
      <c r="BO28">
        <v>0</v>
      </c>
      <c r="BP28">
        <v>0</v>
      </c>
      <c r="BQ28">
        <v>0</v>
      </c>
      <c r="BR28">
        <v>1</v>
      </c>
    </row>
    <row r="29" spans="1:72" x14ac:dyDescent="0.2">
      <c r="A29" s="1">
        <v>44579.931250000001</v>
      </c>
      <c r="B29" s="1">
        <v>44579.93472222222</v>
      </c>
      <c r="C29">
        <v>1</v>
      </c>
      <c r="D29">
        <v>0</v>
      </c>
      <c r="E29">
        <v>0</v>
      </c>
      <c r="F29">
        <v>0</v>
      </c>
      <c r="H29">
        <v>1</v>
      </c>
      <c r="I29">
        <v>0</v>
      </c>
      <c r="J29">
        <v>0</v>
      </c>
      <c r="K29">
        <v>0</v>
      </c>
      <c r="L29">
        <v>0</v>
      </c>
      <c r="P29">
        <v>1</v>
      </c>
      <c r="Q29">
        <v>0</v>
      </c>
      <c r="R29">
        <v>0</v>
      </c>
      <c r="S29">
        <v>0</v>
      </c>
      <c r="T29">
        <v>0</v>
      </c>
      <c r="U29">
        <v>0</v>
      </c>
      <c r="V29">
        <v>0</v>
      </c>
      <c r="W29">
        <v>0</v>
      </c>
      <c r="X29">
        <v>0</v>
      </c>
      <c r="Y29">
        <v>0</v>
      </c>
      <c r="Z29">
        <v>0</v>
      </c>
      <c r="AA29">
        <v>0</v>
      </c>
      <c r="AC29">
        <v>0</v>
      </c>
      <c r="AD29">
        <v>0</v>
      </c>
      <c r="AE29">
        <v>0</v>
      </c>
      <c r="AF29">
        <v>0</v>
      </c>
      <c r="AG29">
        <v>0</v>
      </c>
      <c r="AH29">
        <v>1</v>
      </c>
      <c r="AI29">
        <v>0</v>
      </c>
      <c r="AJ29">
        <v>0</v>
      </c>
      <c r="AK29">
        <v>0</v>
      </c>
      <c r="AX29" t="s">
        <v>128</v>
      </c>
      <c r="AZ29" t="s">
        <v>73</v>
      </c>
      <c r="BA29" t="s">
        <v>86</v>
      </c>
      <c r="BB29" t="s">
        <v>86</v>
      </c>
      <c r="BC29" t="s">
        <v>87</v>
      </c>
      <c r="BD29" t="s">
        <v>87</v>
      </c>
      <c r="BE29" t="s">
        <v>87</v>
      </c>
      <c r="BF29" t="s">
        <v>75</v>
      </c>
      <c r="BG29" t="s">
        <v>76</v>
      </c>
      <c r="BH29" t="s">
        <v>77</v>
      </c>
      <c r="BI29" t="s">
        <v>73</v>
      </c>
      <c r="BJ29" t="s">
        <v>78</v>
      </c>
      <c r="BK29">
        <v>0</v>
      </c>
      <c r="BL29">
        <v>0</v>
      </c>
      <c r="BM29">
        <v>0</v>
      </c>
      <c r="BN29">
        <v>0</v>
      </c>
      <c r="BO29">
        <v>0</v>
      </c>
      <c r="BP29">
        <v>1</v>
      </c>
      <c r="BQ29">
        <v>0</v>
      </c>
      <c r="BR29">
        <v>0</v>
      </c>
    </row>
    <row r="30" spans="1:72" x14ac:dyDescent="0.2">
      <c r="A30" s="1">
        <v>44579.920138888891</v>
      </c>
      <c r="B30" s="1">
        <v>44579.923611111109</v>
      </c>
      <c r="C30">
        <v>1</v>
      </c>
      <c r="D30">
        <v>0</v>
      </c>
      <c r="E30">
        <v>0</v>
      </c>
      <c r="F30">
        <v>0</v>
      </c>
      <c r="H30">
        <v>0</v>
      </c>
      <c r="I30">
        <v>1</v>
      </c>
      <c r="J30">
        <v>1</v>
      </c>
      <c r="K30">
        <v>0</v>
      </c>
      <c r="L30">
        <v>0</v>
      </c>
      <c r="N30" t="s">
        <v>88</v>
      </c>
      <c r="O30" t="s">
        <v>80</v>
      </c>
      <c r="P30">
        <v>0</v>
      </c>
      <c r="Q30">
        <v>0</v>
      </c>
      <c r="R30">
        <v>1</v>
      </c>
      <c r="S30">
        <v>0</v>
      </c>
      <c r="T30">
        <v>0</v>
      </c>
      <c r="U30">
        <v>0</v>
      </c>
      <c r="V30">
        <v>0</v>
      </c>
      <c r="W30">
        <v>0</v>
      </c>
      <c r="X30">
        <v>0</v>
      </c>
      <c r="Y30">
        <v>0</v>
      </c>
      <c r="Z30">
        <v>0</v>
      </c>
      <c r="AA30">
        <v>0</v>
      </c>
      <c r="AM30" t="s">
        <v>83</v>
      </c>
      <c r="AN30" t="s">
        <v>82</v>
      </c>
      <c r="AO30" t="s">
        <v>83</v>
      </c>
      <c r="AP30" t="s">
        <v>82</v>
      </c>
      <c r="AQ30" t="s">
        <v>81</v>
      </c>
      <c r="AR30" t="s">
        <v>83</v>
      </c>
      <c r="AS30" t="s">
        <v>83</v>
      </c>
      <c r="AT30" t="s">
        <v>81</v>
      </c>
      <c r="AU30" t="s">
        <v>88</v>
      </c>
      <c r="AV30" t="s">
        <v>80</v>
      </c>
      <c r="AW30" t="s">
        <v>85</v>
      </c>
      <c r="AX30" t="s">
        <v>72</v>
      </c>
      <c r="AZ30" t="s">
        <v>96</v>
      </c>
      <c r="BA30" t="s">
        <v>87</v>
      </c>
      <c r="BB30" t="s">
        <v>87</v>
      </c>
      <c r="BC30" t="s">
        <v>87</v>
      </c>
      <c r="BD30" t="s">
        <v>87</v>
      </c>
      <c r="BE30" t="s">
        <v>87</v>
      </c>
      <c r="BF30" t="s">
        <v>75</v>
      </c>
      <c r="BG30" t="s">
        <v>76</v>
      </c>
      <c r="BH30" t="s">
        <v>77</v>
      </c>
      <c r="BI30" t="s">
        <v>96</v>
      </c>
      <c r="BJ30" t="s">
        <v>129</v>
      </c>
      <c r="BK30">
        <v>0</v>
      </c>
      <c r="BL30">
        <v>0</v>
      </c>
      <c r="BM30">
        <v>0</v>
      </c>
      <c r="BN30">
        <v>0</v>
      </c>
      <c r="BO30">
        <v>0</v>
      </c>
      <c r="BP30">
        <v>1</v>
      </c>
      <c r="BQ30">
        <v>0</v>
      </c>
      <c r="BR30">
        <v>0</v>
      </c>
    </row>
    <row r="31" spans="1:72" ht="64" x14ac:dyDescent="0.2">
      <c r="A31" s="1">
        <v>44579.890277777777</v>
      </c>
      <c r="B31" s="1">
        <v>44579.892361111109</v>
      </c>
      <c r="C31">
        <v>0</v>
      </c>
      <c r="D31">
        <v>1</v>
      </c>
      <c r="E31">
        <v>0</v>
      </c>
      <c r="F31">
        <v>0</v>
      </c>
      <c r="H31">
        <v>1</v>
      </c>
      <c r="I31">
        <v>0</v>
      </c>
      <c r="J31">
        <v>0</v>
      </c>
      <c r="K31">
        <v>0</v>
      </c>
      <c r="L31">
        <v>0</v>
      </c>
      <c r="P31">
        <v>1</v>
      </c>
      <c r="Q31">
        <v>0</v>
      </c>
      <c r="R31">
        <v>0</v>
      </c>
      <c r="S31">
        <v>0</v>
      </c>
      <c r="T31">
        <v>0</v>
      </c>
      <c r="U31">
        <v>0</v>
      </c>
      <c r="V31">
        <v>0</v>
      </c>
      <c r="W31">
        <v>0</v>
      </c>
      <c r="X31">
        <v>0</v>
      </c>
      <c r="Y31">
        <v>0</v>
      </c>
      <c r="Z31">
        <v>0</v>
      </c>
      <c r="AA31">
        <v>0</v>
      </c>
      <c r="AC31">
        <v>0</v>
      </c>
      <c r="AD31">
        <v>0</v>
      </c>
      <c r="AE31">
        <v>0</v>
      </c>
      <c r="AF31">
        <v>0</v>
      </c>
      <c r="AG31">
        <v>0</v>
      </c>
      <c r="AH31">
        <v>0</v>
      </c>
      <c r="AI31">
        <v>0</v>
      </c>
      <c r="AJ31">
        <v>0</v>
      </c>
      <c r="AK31">
        <v>1</v>
      </c>
      <c r="AL31" s="2" t="s">
        <v>130</v>
      </c>
      <c r="AZ31" t="s">
        <v>73</v>
      </c>
      <c r="BA31" t="s">
        <v>86</v>
      </c>
      <c r="BB31" t="s">
        <v>87</v>
      </c>
      <c r="BC31" t="s">
        <v>74</v>
      </c>
      <c r="BD31" t="s">
        <v>87</v>
      </c>
      <c r="BE31" t="s">
        <v>74</v>
      </c>
      <c r="BF31" t="s">
        <v>97</v>
      </c>
      <c r="BG31" t="s">
        <v>76</v>
      </c>
      <c r="BH31" t="s">
        <v>98</v>
      </c>
      <c r="BI31" t="s">
        <v>73</v>
      </c>
      <c r="BJ31" t="s">
        <v>99</v>
      </c>
      <c r="BK31">
        <v>0</v>
      </c>
      <c r="BL31">
        <v>0</v>
      </c>
      <c r="BM31">
        <v>0</v>
      </c>
      <c r="BN31">
        <v>0</v>
      </c>
      <c r="BO31">
        <v>0</v>
      </c>
      <c r="BP31">
        <v>1</v>
      </c>
      <c r="BQ31">
        <v>0</v>
      </c>
      <c r="BR31">
        <v>0</v>
      </c>
    </row>
    <row r="32" spans="1:72" x14ac:dyDescent="0.2">
      <c r="A32" s="1">
        <v>44579.87777777778</v>
      </c>
      <c r="B32" s="1">
        <v>44579.879861111112</v>
      </c>
      <c r="C32">
        <v>0</v>
      </c>
      <c r="D32">
        <v>1</v>
      </c>
      <c r="E32">
        <v>0</v>
      </c>
      <c r="F32">
        <v>0</v>
      </c>
      <c r="H32">
        <v>0</v>
      </c>
      <c r="I32">
        <v>0</v>
      </c>
      <c r="J32">
        <v>0</v>
      </c>
      <c r="K32">
        <v>0</v>
      </c>
      <c r="L32">
        <v>1</v>
      </c>
      <c r="M32" t="s">
        <v>131</v>
      </c>
      <c r="N32" t="s">
        <v>88</v>
      </c>
      <c r="O32" t="s">
        <v>89</v>
      </c>
      <c r="P32">
        <v>1</v>
      </c>
      <c r="Q32">
        <v>0</v>
      </c>
      <c r="R32">
        <v>0</v>
      </c>
      <c r="S32">
        <v>0</v>
      </c>
      <c r="T32">
        <v>0</v>
      </c>
      <c r="U32">
        <v>0</v>
      </c>
      <c r="V32">
        <v>0</v>
      </c>
      <c r="W32">
        <v>0</v>
      </c>
      <c r="X32">
        <v>0</v>
      </c>
      <c r="Y32">
        <v>0</v>
      </c>
      <c r="Z32">
        <v>0</v>
      </c>
      <c r="AA32">
        <v>0</v>
      </c>
      <c r="AC32">
        <v>0</v>
      </c>
      <c r="AD32">
        <v>0</v>
      </c>
      <c r="AE32">
        <v>0</v>
      </c>
      <c r="AF32">
        <v>0</v>
      </c>
      <c r="AG32">
        <v>0</v>
      </c>
      <c r="AH32">
        <v>1</v>
      </c>
      <c r="AI32">
        <v>0</v>
      </c>
      <c r="AJ32">
        <v>0</v>
      </c>
      <c r="AK32">
        <v>1</v>
      </c>
      <c r="AL32" t="s">
        <v>132</v>
      </c>
      <c r="AX32" t="s">
        <v>110</v>
      </c>
      <c r="AY32" t="s">
        <v>133</v>
      </c>
      <c r="AZ32" t="s">
        <v>96</v>
      </c>
      <c r="BA32" t="s">
        <v>87</v>
      </c>
      <c r="BB32" t="s">
        <v>86</v>
      </c>
      <c r="BC32" t="s">
        <v>74</v>
      </c>
      <c r="BD32" t="s">
        <v>86</v>
      </c>
      <c r="BE32" t="s">
        <v>87</v>
      </c>
      <c r="BF32" t="s">
        <v>75</v>
      </c>
      <c r="BG32" t="s">
        <v>76</v>
      </c>
      <c r="BH32" t="s">
        <v>98</v>
      </c>
      <c r="BI32" t="s">
        <v>96</v>
      </c>
      <c r="BJ32" t="s">
        <v>78</v>
      </c>
      <c r="BK32">
        <v>0</v>
      </c>
      <c r="BL32">
        <v>0</v>
      </c>
      <c r="BM32">
        <v>0</v>
      </c>
      <c r="BN32">
        <v>0</v>
      </c>
      <c r="BO32">
        <v>0</v>
      </c>
      <c r="BP32">
        <v>1</v>
      </c>
      <c r="BQ32">
        <v>0</v>
      </c>
      <c r="BR32">
        <v>0</v>
      </c>
    </row>
    <row r="33" spans="1:72" x14ac:dyDescent="0.2">
      <c r="A33" s="1">
        <v>44579.935416666667</v>
      </c>
      <c r="B33" s="1">
        <v>44579.9375</v>
      </c>
      <c r="C33">
        <v>1</v>
      </c>
      <c r="D33">
        <v>0</v>
      </c>
      <c r="E33">
        <v>0</v>
      </c>
      <c r="F33">
        <v>0</v>
      </c>
      <c r="H33">
        <v>0</v>
      </c>
      <c r="I33">
        <v>1</v>
      </c>
      <c r="J33">
        <v>0</v>
      </c>
      <c r="K33">
        <v>0</v>
      </c>
      <c r="L33">
        <v>0</v>
      </c>
      <c r="N33" t="s">
        <v>88</v>
      </c>
      <c r="O33" t="s">
        <v>89</v>
      </c>
      <c r="P33">
        <v>0</v>
      </c>
      <c r="Q33">
        <v>1</v>
      </c>
      <c r="R33">
        <v>0</v>
      </c>
      <c r="S33">
        <v>0</v>
      </c>
      <c r="T33">
        <v>0</v>
      </c>
      <c r="U33">
        <v>0</v>
      </c>
      <c r="V33">
        <v>0</v>
      </c>
      <c r="W33">
        <v>0</v>
      </c>
      <c r="X33">
        <v>0</v>
      </c>
      <c r="Y33">
        <v>0</v>
      </c>
      <c r="Z33">
        <v>0</v>
      </c>
      <c r="AA33">
        <v>0</v>
      </c>
      <c r="AM33" t="s">
        <v>90</v>
      </c>
      <c r="AN33" t="s">
        <v>82</v>
      </c>
      <c r="AO33" t="s">
        <v>81</v>
      </c>
      <c r="AP33" t="s">
        <v>83</v>
      </c>
      <c r="AQ33" t="s">
        <v>83</v>
      </c>
      <c r="AR33" t="s">
        <v>90</v>
      </c>
      <c r="AS33" t="s">
        <v>83</v>
      </c>
      <c r="AT33" t="s">
        <v>83</v>
      </c>
      <c r="AU33" t="s">
        <v>88</v>
      </c>
      <c r="AV33" t="s">
        <v>89</v>
      </c>
      <c r="AW33" t="s">
        <v>85</v>
      </c>
      <c r="AZ33" t="s">
        <v>73</v>
      </c>
      <c r="BA33" t="s">
        <v>86</v>
      </c>
      <c r="BB33" t="s">
        <v>86</v>
      </c>
      <c r="BC33" t="s">
        <v>87</v>
      </c>
      <c r="BD33" t="s">
        <v>87</v>
      </c>
      <c r="BE33" t="s">
        <v>87</v>
      </c>
      <c r="BF33" t="s">
        <v>97</v>
      </c>
      <c r="BG33" t="s">
        <v>76</v>
      </c>
      <c r="BH33" t="s">
        <v>98</v>
      </c>
      <c r="BI33" t="s">
        <v>73</v>
      </c>
      <c r="BK33">
        <v>0</v>
      </c>
      <c r="BL33">
        <v>0</v>
      </c>
      <c r="BM33">
        <v>0</v>
      </c>
      <c r="BN33">
        <v>0</v>
      </c>
      <c r="BO33">
        <v>0</v>
      </c>
      <c r="BP33">
        <v>1</v>
      </c>
      <c r="BQ33">
        <v>0</v>
      </c>
      <c r="BR33">
        <v>0</v>
      </c>
    </row>
    <row r="34" spans="1:72" x14ac:dyDescent="0.2">
      <c r="A34" s="1">
        <v>44588.961111111108</v>
      </c>
      <c r="B34" s="1">
        <v>44588.964583333334</v>
      </c>
      <c r="C34">
        <v>1</v>
      </c>
      <c r="D34">
        <v>0</v>
      </c>
      <c r="E34">
        <v>0</v>
      </c>
      <c r="F34">
        <v>0</v>
      </c>
      <c r="H34">
        <v>0</v>
      </c>
      <c r="I34">
        <v>0</v>
      </c>
      <c r="J34">
        <v>0</v>
      </c>
      <c r="K34">
        <v>0</v>
      </c>
      <c r="L34">
        <v>1</v>
      </c>
      <c r="M34" t="s">
        <v>134</v>
      </c>
      <c r="N34" t="s">
        <v>88</v>
      </c>
      <c r="O34" t="s">
        <v>89</v>
      </c>
      <c r="P34">
        <v>0</v>
      </c>
      <c r="Q34">
        <v>1</v>
      </c>
      <c r="R34">
        <v>0</v>
      </c>
      <c r="S34">
        <v>0</v>
      </c>
      <c r="T34">
        <v>0</v>
      </c>
      <c r="U34">
        <v>0</v>
      </c>
      <c r="V34">
        <v>0</v>
      </c>
      <c r="W34">
        <v>0</v>
      </c>
      <c r="X34">
        <v>0</v>
      </c>
      <c r="Y34">
        <v>0</v>
      </c>
      <c r="Z34">
        <v>0</v>
      </c>
      <c r="AA34">
        <v>0</v>
      </c>
      <c r="AM34" t="s">
        <v>90</v>
      </c>
      <c r="AN34" t="s">
        <v>82</v>
      </c>
      <c r="AO34" t="s">
        <v>83</v>
      </c>
      <c r="AP34" t="s">
        <v>90</v>
      </c>
      <c r="AQ34" t="s">
        <v>90</v>
      </c>
      <c r="AR34" t="s">
        <v>90</v>
      </c>
      <c r="AS34" t="s">
        <v>90</v>
      </c>
      <c r="AT34" t="s">
        <v>83</v>
      </c>
      <c r="AU34" t="s">
        <v>135</v>
      </c>
      <c r="AV34" t="s">
        <v>80</v>
      </c>
      <c r="AW34" t="s">
        <v>85</v>
      </c>
      <c r="AX34" t="s">
        <v>118</v>
      </c>
      <c r="AZ34" t="s">
        <v>73</v>
      </c>
      <c r="BA34" t="s">
        <v>87</v>
      </c>
      <c r="BB34" t="s">
        <v>86</v>
      </c>
      <c r="BC34" t="s">
        <v>86</v>
      </c>
      <c r="BD34" t="s">
        <v>86</v>
      </c>
      <c r="BE34" t="s">
        <v>86</v>
      </c>
      <c r="BF34" t="s">
        <v>75</v>
      </c>
      <c r="BG34" t="s">
        <v>76</v>
      </c>
      <c r="BH34" t="s">
        <v>98</v>
      </c>
      <c r="BI34" t="s">
        <v>73</v>
      </c>
      <c r="BJ34" t="s">
        <v>114</v>
      </c>
      <c r="BK34">
        <v>0</v>
      </c>
      <c r="BL34">
        <v>0</v>
      </c>
      <c r="BM34">
        <v>0</v>
      </c>
      <c r="BN34">
        <v>0</v>
      </c>
      <c r="BO34">
        <v>0</v>
      </c>
      <c r="BP34">
        <v>1</v>
      </c>
      <c r="BQ34">
        <v>0</v>
      </c>
      <c r="BR34">
        <v>0</v>
      </c>
    </row>
    <row r="35" spans="1:72" x14ac:dyDescent="0.2">
      <c r="A35" s="1">
        <v>44579.906944444447</v>
      </c>
      <c r="B35" s="1">
        <v>44579.90902777778</v>
      </c>
      <c r="C35">
        <v>0</v>
      </c>
      <c r="D35">
        <v>1</v>
      </c>
      <c r="E35">
        <v>0</v>
      </c>
      <c r="F35">
        <v>0</v>
      </c>
      <c r="H35">
        <v>0</v>
      </c>
      <c r="I35">
        <v>0</v>
      </c>
      <c r="J35">
        <v>0</v>
      </c>
      <c r="K35">
        <v>1</v>
      </c>
      <c r="L35">
        <v>0</v>
      </c>
      <c r="N35" t="s">
        <v>135</v>
      </c>
      <c r="O35" t="s">
        <v>80</v>
      </c>
      <c r="P35">
        <v>0</v>
      </c>
      <c r="Q35">
        <v>1</v>
      </c>
      <c r="R35">
        <v>0</v>
      </c>
      <c r="S35">
        <v>0</v>
      </c>
      <c r="T35">
        <v>0</v>
      </c>
      <c r="U35">
        <v>0</v>
      </c>
      <c r="V35">
        <v>0</v>
      </c>
      <c r="W35">
        <v>0</v>
      </c>
      <c r="X35">
        <v>0</v>
      </c>
      <c r="Y35">
        <v>0</v>
      </c>
      <c r="Z35">
        <v>0</v>
      </c>
      <c r="AA35">
        <v>0</v>
      </c>
      <c r="AM35" t="s">
        <v>83</v>
      </c>
      <c r="AN35" t="s">
        <v>81</v>
      </c>
      <c r="AO35" t="s">
        <v>81</v>
      </c>
      <c r="AP35" t="s">
        <v>82</v>
      </c>
      <c r="AQ35" t="s">
        <v>82</v>
      </c>
      <c r="AR35" t="s">
        <v>81</v>
      </c>
      <c r="AS35" t="s">
        <v>90</v>
      </c>
      <c r="AT35" t="s">
        <v>83</v>
      </c>
      <c r="AU35" t="s">
        <v>84</v>
      </c>
      <c r="AV35" t="s">
        <v>80</v>
      </c>
      <c r="AW35" t="s">
        <v>100</v>
      </c>
      <c r="AZ35" t="s">
        <v>107</v>
      </c>
      <c r="BA35" t="s">
        <v>87</v>
      </c>
      <c r="BB35" t="s">
        <v>86</v>
      </c>
      <c r="BC35" t="s">
        <v>86</v>
      </c>
      <c r="BD35" t="s">
        <v>86</v>
      </c>
      <c r="BE35" t="s">
        <v>86</v>
      </c>
      <c r="BF35" t="s">
        <v>101</v>
      </c>
      <c r="BG35" t="s">
        <v>76</v>
      </c>
      <c r="BH35" t="s">
        <v>77</v>
      </c>
      <c r="BI35" t="s">
        <v>107</v>
      </c>
      <c r="BJ35" t="s">
        <v>109</v>
      </c>
      <c r="BK35">
        <v>1</v>
      </c>
      <c r="BL35">
        <v>0</v>
      </c>
      <c r="BM35">
        <v>0</v>
      </c>
      <c r="BN35">
        <v>0</v>
      </c>
      <c r="BO35">
        <v>0</v>
      </c>
      <c r="BP35">
        <v>0</v>
      </c>
      <c r="BQ35">
        <v>0</v>
      </c>
      <c r="BR35">
        <v>0</v>
      </c>
    </row>
    <row r="36" spans="1:72" x14ac:dyDescent="0.2">
      <c r="A36" s="1">
        <v>44588.911111111112</v>
      </c>
      <c r="B36" s="1">
        <v>44588.913194444445</v>
      </c>
      <c r="C36">
        <v>1</v>
      </c>
      <c r="D36">
        <v>0</v>
      </c>
      <c r="E36">
        <v>0</v>
      </c>
      <c r="F36">
        <v>0</v>
      </c>
      <c r="H36">
        <v>1</v>
      </c>
      <c r="I36">
        <v>0</v>
      </c>
      <c r="J36">
        <v>0</v>
      </c>
      <c r="K36">
        <v>0</v>
      </c>
      <c r="L36">
        <v>0</v>
      </c>
      <c r="P36">
        <v>0</v>
      </c>
      <c r="Q36">
        <v>0</v>
      </c>
      <c r="R36">
        <v>0</v>
      </c>
      <c r="S36">
        <v>0</v>
      </c>
      <c r="T36">
        <v>0</v>
      </c>
      <c r="U36">
        <v>0</v>
      </c>
      <c r="V36">
        <v>0</v>
      </c>
      <c r="W36">
        <v>0</v>
      </c>
      <c r="X36">
        <v>0</v>
      </c>
      <c r="Y36">
        <v>0</v>
      </c>
      <c r="Z36">
        <v>0</v>
      </c>
      <c r="AA36">
        <v>1</v>
      </c>
      <c r="AB36" t="s">
        <v>127</v>
      </c>
      <c r="AM36" t="s">
        <v>81</v>
      </c>
      <c r="AN36" t="s">
        <v>83</v>
      </c>
      <c r="AO36" t="s">
        <v>83</v>
      </c>
      <c r="AP36" t="s">
        <v>90</v>
      </c>
      <c r="AQ36" t="s">
        <v>82</v>
      </c>
      <c r="AR36" t="s">
        <v>83</v>
      </c>
      <c r="AS36" t="s">
        <v>82</v>
      </c>
      <c r="AT36" t="s">
        <v>83</v>
      </c>
      <c r="AU36" t="s">
        <v>127</v>
      </c>
      <c r="AV36" t="s">
        <v>127</v>
      </c>
      <c r="AZ36" t="s">
        <v>107</v>
      </c>
      <c r="BA36" t="s">
        <v>74</v>
      </c>
      <c r="BF36" t="s">
        <v>101</v>
      </c>
      <c r="BG36" t="s">
        <v>76</v>
      </c>
      <c r="BH36" t="s">
        <v>98</v>
      </c>
      <c r="BI36" t="s">
        <v>107</v>
      </c>
      <c r="BJ36" t="s">
        <v>114</v>
      </c>
      <c r="BK36">
        <v>1</v>
      </c>
      <c r="BL36">
        <v>0</v>
      </c>
      <c r="BM36">
        <v>0</v>
      </c>
      <c r="BN36">
        <v>0</v>
      </c>
      <c r="BO36">
        <v>0</v>
      </c>
      <c r="BP36">
        <v>0</v>
      </c>
      <c r="BQ36">
        <v>0</v>
      </c>
      <c r="BR36">
        <v>0</v>
      </c>
    </row>
    <row r="37" spans="1:72" x14ac:dyDescent="0.2">
      <c r="A37" s="1">
        <v>44581.625</v>
      </c>
      <c r="B37" s="1">
        <v>44581.62777777778</v>
      </c>
      <c r="C37">
        <v>1</v>
      </c>
      <c r="D37">
        <v>0</v>
      </c>
      <c r="E37">
        <v>0</v>
      </c>
      <c r="F37">
        <v>0</v>
      </c>
      <c r="H37">
        <v>0</v>
      </c>
      <c r="I37">
        <v>1</v>
      </c>
      <c r="J37">
        <v>0</v>
      </c>
      <c r="K37">
        <v>0</v>
      </c>
      <c r="L37">
        <v>0</v>
      </c>
      <c r="N37" t="s">
        <v>79</v>
      </c>
      <c r="O37" t="s">
        <v>80</v>
      </c>
      <c r="P37">
        <v>0</v>
      </c>
      <c r="Q37">
        <v>0</v>
      </c>
      <c r="R37">
        <v>1</v>
      </c>
      <c r="S37">
        <v>0</v>
      </c>
      <c r="T37">
        <v>0</v>
      </c>
      <c r="U37">
        <v>0</v>
      </c>
      <c r="V37">
        <v>0</v>
      </c>
      <c r="W37">
        <v>0</v>
      </c>
      <c r="X37">
        <v>0</v>
      </c>
      <c r="Y37">
        <v>0</v>
      </c>
      <c r="Z37">
        <v>0</v>
      </c>
      <c r="AA37">
        <v>0</v>
      </c>
      <c r="AM37" t="s">
        <v>81</v>
      </c>
      <c r="AN37" t="s">
        <v>81</v>
      </c>
      <c r="AO37" t="s">
        <v>83</v>
      </c>
      <c r="AP37" t="s">
        <v>83</v>
      </c>
      <c r="AQ37" t="s">
        <v>82</v>
      </c>
      <c r="AR37" t="s">
        <v>83</v>
      </c>
      <c r="AS37" t="s">
        <v>81</v>
      </c>
      <c r="AT37" t="s">
        <v>82</v>
      </c>
      <c r="AU37" t="s">
        <v>88</v>
      </c>
      <c r="AV37" t="s">
        <v>89</v>
      </c>
      <c r="AW37" t="s">
        <v>100</v>
      </c>
      <c r="AZ37" t="s">
        <v>107</v>
      </c>
      <c r="BA37" t="s">
        <v>86</v>
      </c>
      <c r="BB37" t="s">
        <v>86</v>
      </c>
      <c r="BC37" t="s">
        <v>87</v>
      </c>
      <c r="BD37" t="s">
        <v>86</v>
      </c>
      <c r="BE37" t="s">
        <v>86</v>
      </c>
      <c r="BF37" t="s">
        <v>101</v>
      </c>
      <c r="BG37" t="s">
        <v>76</v>
      </c>
      <c r="BH37" t="s">
        <v>98</v>
      </c>
      <c r="BI37" t="s">
        <v>107</v>
      </c>
      <c r="BK37">
        <v>0</v>
      </c>
      <c r="BL37">
        <v>0</v>
      </c>
      <c r="BM37">
        <v>0</v>
      </c>
      <c r="BN37">
        <v>0</v>
      </c>
      <c r="BO37">
        <v>0</v>
      </c>
      <c r="BP37">
        <v>1</v>
      </c>
      <c r="BQ37">
        <v>0</v>
      </c>
      <c r="BR37">
        <v>0</v>
      </c>
    </row>
    <row r="38" spans="1:72" x14ac:dyDescent="0.2">
      <c r="A38" s="1">
        <v>44580.493055555555</v>
      </c>
      <c r="B38" s="1">
        <v>44580.495138888888</v>
      </c>
      <c r="C38">
        <v>1</v>
      </c>
      <c r="D38">
        <v>0</v>
      </c>
      <c r="E38">
        <v>0</v>
      </c>
      <c r="F38">
        <v>0</v>
      </c>
      <c r="H38">
        <v>0</v>
      </c>
      <c r="I38">
        <v>0</v>
      </c>
      <c r="J38">
        <v>0</v>
      </c>
      <c r="K38">
        <v>0</v>
      </c>
      <c r="L38">
        <v>1</v>
      </c>
      <c r="M38" t="s">
        <v>136</v>
      </c>
      <c r="N38" t="s">
        <v>79</v>
      </c>
      <c r="O38" t="s">
        <v>80</v>
      </c>
      <c r="P38">
        <v>0</v>
      </c>
      <c r="Q38">
        <v>1</v>
      </c>
      <c r="R38">
        <v>1</v>
      </c>
      <c r="S38">
        <v>0</v>
      </c>
      <c r="T38">
        <v>0</v>
      </c>
      <c r="U38">
        <v>0</v>
      </c>
      <c r="V38">
        <v>0</v>
      </c>
      <c r="W38">
        <v>0</v>
      </c>
      <c r="X38">
        <v>0</v>
      </c>
      <c r="Y38">
        <v>0</v>
      </c>
      <c r="Z38">
        <v>0</v>
      </c>
      <c r="AA38">
        <v>0</v>
      </c>
      <c r="AM38" t="s">
        <v>81</v>
      </c>
      <c r="AN38" t="s">
        <v>81</v>
      </c>
      <c r="AO38" t="s">
        <v>83</v>
      </c>
      <c r="AP38" t="s">
        <v>83</v>
      </c>
      <c r="AQ38" t="s">
        <v>82</v>
      </c>
      <c r="AR38" t="s">
        <v>83</v>
      </c>
      <c r="AS38" t="s">
        <v>83</v>
      </c>
      <c r="AT38" t="s">
        <v>83</v>
      </c>
      <c r="AU38" t="s">
        <v>84</v>
      </c>
      <c r="AV38" t="s">
        <v>80</v>
      </c>
      <c r="AW38" t="s">
        <v>85</v>
      </c>
      <c r="AX38" t="s">
        <v>118</v>
      </c>
      <c r="AZ38" t="s">
        <v>107</v>
      </c>
      <c r="BA38" t="s">
        <v>86</v>
      </c>
      <c r="BB38" t="s">
        <v>87</v>
      </c>
      <c r="BC38" t="s">
        <v>87</v>
      </c>
      <c r="BD38" t="s">
        <v>86</v>
      </c>
      <c r="BE38" t="s">
        <v>87</v>
      </c>
      <c r="BF38" t="s">
        <v>75</v>
      </c>
      <c r="BG38" t="s">
        <v>76</v>
      </c>
      <c r="BH38" t="s">
        <v>98</v>
      </c>
      <c r="BI38" t="s">
        <v>107</v>
      </c>
      <c r="BJ38" t="s">
        <v>78</v>
      </c>
      <c r="BK38">
        <v>0</v>
      </c>
      <c r="BL38">
        <v>0</v>
      </c>
      <c r="BM38">
        <v>0</v>
      </c>
      <c r="BN38">
        <v>0</v>
      </c>
      <c r="BO38">
        <v>0</v>
      </c>
      <c r="BP38">
        <v>1</v>
      </c>
      <c r="BQ38">
        <v>0</v>
      </c>
      <c r="BR38">
        <v>0</v>
      </c>
    </row>
    <row r="39" spans="1:72" x14ac:dyDescent="0.2">
      <c r="A39" s="1">
        <v>44579.921527777777</v>
      </c>
      <c r="B39" s="1">
        <v>44579.923611111109</v>
      </c>
      <c r="C39">
        <v>1</v>
      </c>
      <c r="D39">
        <v>0</v>
      </c>
      <c r="E39">
        <v>0</v>
      </c>
      <c r="F39">
        <v>0</v>
      </c>
      <c r="H39">
        <v>0</v>
      </c>
      <c r="I39">
        <v>1</v>
      </c>
      <c r="J39">
        <v>1</v>
      </c>
      <c r="K39">
        <v>1</v>
      </c>
      <c r="L39">
        <v>0</v>
      </c>
      <c r="N39" t="s">
        <v>88</v>
      </c>
      <c r="O39" t="s">
        <v>80</v>
      </c>
      <c r="P39">
        <v>0</v>
      </c>
      <c r="Q39">
        <v>0</v>
      </c>
      <c r="R39">
        <v>1</v>
      </c>
      <c r="S39">
        <v>0</v>
      </c>
      <c r="T39">
        <v>0</v>
      </c>
      <c r="U39">
        <v>0</v>
      </c>
      <c r="V39">
        <v>0</v>
      </c>
      <c r="W39">
        <v>0</v>
      </c>
      <c r="X39">
        <v>0</v>
      </c>
      <c r="Y39">
        <v>0</v>
      </c>
      <c r="Z39">
        <v>0</v>
      </c>
      <c r="AA39">
        <v>0</v>
      </c>
      <c r="AM39" t="s">
        <v>90</v>
      </c>
      <c r="AN39" t="s">
        <v>82</v>
      </c>
      <c r="AO39" t="s">
        <v>81</v>
      </c>
      <c r="AP39" t="s">
        <v>81</v>
      </c>
      <c r="AQ39" t="s">
        <v>82</v>
      </c>
      <c r="AR39" t="s">
        <v>90</v>
      </c>
      <c r="AS39" t="s">
        <v>81</v>
      </c>
      <c r="AT39" t="s">
        <v>90</v>
      </c>
      <c r="AU39" t="s">
        <v>88</v>
      </c>
      <c r="AV39" t="s">
        <v>89</v>
      </c>
      <c r="AW39" t="s">
        <v>100</v>
      </c>
      <c r="AZ39" t="s">
        <v>73</v>
      </c>
      <c r="BA39" t="s">
        <v>87</v>
      </c>
      <c r="BB39" t="s">
        <v>87</v>
      </c>
      <c r="BC39" t="s">
        <v>87</v>
      </c>
      <c r="BD39" t="s">
        <v>87</v>
      </c>
      <c r="BE39" t="s">
        <v>86</v>
      </c>
      <c r="BF39" t="s">
        <v>97</v>
      </c>
      <c r="BG39" t="s">
        <v>76</v>
      </c>
      <c r="BH39" t="s">
        <v>98</v>
      </c>
      <c r="BI39" t="s">
        <v>73</v>
      </c>
      <c r="BJ39" t="s">
        <v>109</v>
      </c>
      <c r="BK39">
        <v>0</v>
      </c>
      <c r="BL39">
        <v>0</v>
      </c>
      <c r="BM39">
        <v>0</v>
      </c>
      <c r="BN39">
        <v>0</v>
      </c>
      <c r="BO39">
        <v>0</v>
      </c>
      <c r="BP39">
        <v>1</v>
      </c>
      <c r="BQ39">
        <v>0</v>
      </c>
      <c r="BR39">
        <v>0</v>
      </c>
    </row>
    <row r="40" spans="1:72" x14ac:dyDescent="0.2">
      <c r="A40" s="1">
        <v>44585.715277777781</v>
      </c>
      <c r="B40" s="1">
        <v>44585.716666666667</v>
      </c>
      <c r="C40">
        <v>1</v>
      </c>
      <c r="D40">
        <v>0</v>
      </c>
      <c r="E40">
        <v>0</v>
      </c>
      <c r="F40">
        <v>0</v>
      </c>
      <c r="H40">
        <v>1</v>
      </c>
      <c r="I40">
        <v>0</v>
      </c>
      <c r="J40">
        <v>0</v>
      </c>
      <c r="K40">
        <v>0</v>
      </c>
      <c r="L40">
        <v>0</v>
      </c>
      <c r="P40">
        <v>1</v>
      </c>
      <c r="Q40">
        <v>0</v>
      </c>
      <c r="R40">
        <v>0</v>
      </c>
      <c r="S40">
        <v>0</v>
      </c>
      <c r="T40">
        <v>0</v>
      </c>
      <c r="U40">
        <v>0</v>
      </c>
      <c r="V40">
        <v>0</v>
      </c>
      <c r="W40">
        <v>0</v>
      </c>
      <c r="X40">
        <v>0</v>
      </c>
      <c r="Y40">
        <v>0</v>
      </c>
      <c r="Z40">
        <v>0</v>
      </c>
      <c r="AA40">
        <v>0</v>
      </c>
      <c r="AC40">
        <v>0</v>
      </c>
      <c r="AD40">
        <v>0</v>
      </c>
      <c r="AE40">
        <v>1</v>
      </c>
      <c r="AF40">
        <v>1</v>
      </c>
      <c r="AG40">
        <v>0</v>
      </c>
      <c r="AH40">
        <v>0</v>
      </c>
      <c r="AI40">
        <v>0</v>
      </c>
      <c r="AJ40">
        <v>0</v>
      </c>
      <c r="AK40">
        <v>0</v>
      </c>
      <c r="AZ40" t="s">
        <v>107</v>
      </c>
      <c r="BA40" t="s">
        <v>87</v>
      </c>
      <c r="BB40" t="s">
        <v>87</v>
      </c>
      <c r="BC40" t="s">
        <v>74</v>
      </c>
      <c r="BD40" t="s">
        <v>87</v>
      </c>
      <c r="BE40" t="s">
        <v>86</v>
      </c>
      <c r="BF40" t="s">
        <v>101</v>
      </c>
      <c r="BG40" t="s">
        <v>76</v>
      </c>
      <c r="BH40" t="s">
        <v>98</v>
      </c>
      <c r="BI40" t="s">
        <v>107</v>
      </c>
      <c r="BJ40" t="s">
        <v>78</v>
      </c>
      <c r="BK40">
        <v>0</v>
      </c>
      <c r="BL40">
        <v>0</v>
      </c>
      <c r="BM40">
        <v>0</v>
      </c>
      <c r="BN40">
        <v>0</v>
      </c>
      <c r="BO40">
        <v>0</v>
      </c>
      <c r="BP40">
        <v>1</v>
      </c>
      <c r="BQ40">
        <v>0</v>
      </c>
      <c r="BR40">
        <v>0</v>
      </c>
    </row>
    <row r="41" spans="1:72" x14ac:dyDescent="0.2">
      <c r="A41" s="1">
        <v>44585.659722222219</v>
      </c>
      <c r="B41" s="1">
        <v>44585.666666666664</v>
      </c>
      <c r="C41">
        <v>1</v>
      </c>
      <c r="D41">
        <v>0</v>
      </c>
      <c r="E41">
        <v>0</v>
      </c>
      <c r="F41">
        <v>0</v>
      </c>
      <c r="H41">
        <v>1</v>
      </c>
      <c r="I41">
        <v>0</v>
      </c>
      <c r="J41">
        <v>0</v>
      </c>
      <c r="K41">
        <v>0</v>
      </c>
      <c r="L41">
        <v>0</v>
      </c>
      <c r="P41">
        <v>0</v>
      </c>
      <c r="Q41">
        <v>1</v>
      </c>
      <c r="R41">
        <v>0</v>
      </c>
      <c r="S41">
        <v>0</v>
      </c>
      <c r="T41">
        <v>1</v>
      </c>
      <c r="U41">
        <v>0</v>
      </c>
      <c r="V41">
        <v>0</v>
      </c>
      <c r="W41">
        <v>0</v>
      </c>
      <c r="X41">
        <v>0</v>
      </c>
      <c r="Y41">
        <v>0</v>
      </c>
      <c r="Z41">
        <v>0</v>
      </c>
      <c r="AA41">
        <v>0</v>
      </c>
      <c r="AM41" t="s">
        <v>83</v>
      </c>
      <c r="AN41" t="s">
        <v>83</v>
      </c>
      <c r="AO41" t="s">
        <v>83</v>
      </c>
      <c r="AP41" t="s">
        <v>83</v>
      </c>
      <c r="AQ41" t="s">
        <v>82</v>
      </c>
      <c r="AR41" t="s">
        <v>83</v>
      </c>
      <c r="AS41" t="s">
        <v>83</v>
      </c>
      <c r="AT41" t="s">
        <v>83</v>
      </c>
      <c r="AU41" t="s">
        <v>127</v>
      </c>
      <c r="AV41" t="s">
        <v>127</v>
      </c>
      <c r="AZ41" t="s">
        <v>96</v>
      </c>
      <c r="BA41" t="s">
        <v>74</v>
      </c>
      <c r="BF41" t="s">
        <v>97</v>
      </c>
      <c r="BG41" t="s">
        <v>76</v>
      </c>
      <c r="BH41" t="s">
        <v>98</v>
      </c>
      <c r="BI41" t="s">
        <v>96</v>
      </c>
      <c r="BJ41" t="s">
        <v>137</v>
      </c>
      <c r="BK41">
        <v>0</v>
      </c>
      <c r="BL41">
        <v>0</v>
      </c>
      <c r="BM41">
        <v>0</v>
      </c>
      <c r="BN41">
        <v>0</v>
      </c>
      <c r="BO41">
        <v>0</v>
      </c>
      <c r="BP41">
        <v>1</v>
      </c>
      <c r="BQ41">
        <v>0</v>
      </c>
      <c r="BR41">
        <v>0</v>
      </c>
    </row>
    <row r="42" spans="1:72" x14ac:dyDescent="0.2">
      <c r="A42" s="1">
        <v>44591.958333333336</v>
      </c>
      <c r="B42" s="1">
        <v>44591.959722222222</v>
      </c>
      <c r="C42">
        <v>1</v>
      </c>
      <c r="D42">
        <v>0</v>
      </c>
      <c r="E42">
        <v>0</v>
      </c>
      <c r="F42">
        <v>0</v>
      </c>
      <c r="H42">
        <v>1</v>
      </c>
      <c r="I42">
        <v>0</v>
      </c>
      <c r="J42">
        <v>0</v>
      </c>
      <c r="K42">
        <v>0</v>
      </c>
      <c r="L42">
        <v>0</v>
      </c>
      <c r="P42">
        <v>1</v>
      </c>
      <c r="Q42">
        <v>0</v>
      </c>
      <c r="R42">
        <v>0</v>
      </c>
      <c r="S42">
        <v>0</v>
      </c>
      <c r="T42">
        <v>0</v>
      </c>
      <c r="U42">
        <v>0</v>
      </c>
      <c r="V42">
        <v>0</v>
      </c>
      <c r="W42">
        <v>0</v>
      </c>
      <c r="X42">
        <v>0</v>
      </c>
      <c r="Y42">
        <v>0</v>
      </c>
      <c r="Z42">
        <v>0</v>
      </c>
      <c r="AA42">
        <v>0</v>
      </c>
      <c r="AC42">
        <v>0</v>
      </c>
      <c r="AD42">
        <v>1</v>
      </c>
      <c r="AE42">
        <v>0</v>
      </c>
      <c r="AF42">
        <v>0</v>
      </c>
      <c r="AG42">
        <v>0</v>
      </c>
      <c r="AH42">
        <v>0</v>
      </c>
      <c r="AI42">
        <v>0</v>
      </c>
      <c r="AJ42">
        <v>0</v>
      </c>
      <c r="AK42">
        <v>0</v>
      </c>
      <c r="AX42" t="s">
        <v>106</v>
      </c>
      <c r="AZ42" t="s">
        <v>73</v>
      </c>
      <c r="BA42" t="s">
        <v>87</v>
      </c>
      <c r="BB42" t="s">
        <v>87</v>
      </c>
      <c r="BC42" t="s">
        <v>87</v>
      </c>
      <c r="BD42" t="s">
        <v>87</v>
      </c>
      <c r="BE42" t="s">
        <v>87</v>
      </c>
      <c r="BF42" t="s">
        <v>108</v>
      </c>
      <c r="BG42" t="s">
        <v>76</v>
      </c>
      <c r="BH42" t="s">
        <v>77</v>
      </c>
      <c r="BI42" t="s">
        <v>73</v>
      </c>
      <c r="BJ42" t="s">
        <v>109</v>
      </c>
      <c r="BK42">
        <v>0</v>
      </c>
      <c r="BL42">
        <v>0</v>
      </c>
      <c r="BM42">
        <v>0</v>
      </c>
      <c r="BN42">
        <v>0</v>
      </c>
      <c r="BO42">
        <v>0</v>
      </c>
      <c r="BP42">
        <v>1</v>
      </c>
      <c r="BQ42">
        <v>0</v>
      </c>
      <c r="BR42">
        <v>0</v>
      </c>
    </row>
    <row r="43" spans="1:72" x14ac:dyDescent="0.2">
      <c r="A43" s="1">
        <v>44579.940972222219</v>
      </c>
      <c r="B43" s="1">
        <v>44579.943749999999</v>
      </c>
      <c r="C43">
        <v>0</v>
      </c>
      <c r="D43">
        <v>1</v>
      </c>
      <c r="E43">
        <v>0</v>
      </c>
      <c r="F43">
        <v>0</v>
      </c>
      <c r="H43">
        <v>0</v>
      </c>
      <c r="I43">
        <v>1</v>
      </c>
      <c r="J43">
        <v>1</v>
      </c>
      <c r="K43">
        <v>1</v>
      </c>
      <c r="L43">
        <v>0</v>
      </c>
      <c r="N43" t="s">
        <v>88</v>
      </c>
      <c r="O43" t="s">
        <v>89</v>
      </c>
      <c r="P43">
        <v>0</v>
      </c>
      <c r="Q43">
        <v>1</v>
      </c>
      <c r="R43">
        <v>0</v>
      </c>
      <c r="S43">
        <v>1</v>
      </c>
      <c r="T43">
        <v>1</v>
      </c>
      <c r="U43">
        <v>0</v>
      </c>
      <c r="V43">
        <v>0</v>
      </c>
      <c r="W43">
        <v>0</v>
      </c>
      <c r="X43">
        <v>0</v>
      </c>
      <c r="Y43">
        <v>0</v>
      </c>
      <c r="Z43">
        <v>0</v>
      </c>
      <c r="AA43">
        <v>0</v>
      </c>
      <c r="AM43" t="s">
        <v>83</v>
      </c>
      <c r="AN43" t="s">
        <v>82</v>
      </c>
      <c r="AO43" t="s">
        <v>82</v>
      </c>
      <c r="AP43" t="s">
        <v>81</v>
      </c>
      <c r="AQ43" t="s">
        <v>81</v>
      </c>
      <c r="AR43" t="s">
        <v>90</v>
      </c>
      <c r="AS43" t="s">
        <v>83</v>
      </c>
      <c r="AT43" t="s">
        <v>83</v>
      </c>
      <c r="AU43" t="s">
        <v>88</v>
      </c>
      <c r="AV43" t="s">
        <v>89</v>
      </c>
      <c r="AW43" t="s">
        <v>100</v>
      </c>
      <c r="AX43" t="s">
        <v>126</v>
      </c>
      <c r="AZ43" t="s">
        <v>96</v>
      </c>
      <c r="BA43" t="s">
        <v>87</v>
      </c>
      <c r="BB43" t="s">
        <v>74</v>
      </c>
      <c r="BC43" t="s">
        <v>87</v>
      </c>
      <c r="BD43" t="s">
        <v>87</v>
      </c>
      <c r="BE43" t="s">
        <v>86</v>
      </c>
      <c r="BF43" t="s">
        <v>75</v>
      </c>
      <c r="BG43" t="s">
        <v>76</v>
      </c>
      <c r="BH43" t="s">
        <v>77</v>
      </c>
      <c r="BI43" t="s">
        <v>96</v>
      </c>
      <c r="BK43">
        <v>0</v>
      </c>
      <c r="BL43">
        <v>0</v>
      </c>
      <c r="BM43">
        <v>0</v>
      </c>
      <c r="BN43">
        <v>0</v>
      </c>
      <c r="BO43">
        <v>0</v>
      </c>
      <c r="BP43">
        <v>1</v>
      </c>
      <c r="BQ43">
        <v>0</v>
      </c>
      <c r="BR43">
        <v>0</v>
      </c>
      <c r="BT43" t="s">
        <v>138</v>
      </c>
    </row>
    <row r="44" spans="1:72" x14ac:dyDescent="0.2">
      <c r="A44" s="1">
        <v>44580.011111111111</v>
      </c>
      <c r="B44" s="1">
        <v>44580.013194444444</v>
      </c>
      <c r="C44">
        <v>0</v>
      </c>
      <c r="D44">
        <v>1</v>
      </c>
      <c r="E44">
        <v>0</v>
      </c>
      <c r="F44">
        <v>0</v>
      </c>
      <c r="H44">
        <v>0</v>
      </c>
      <c r="I44">
        <v>1</v>
      </c>
      <c r="J44">
        <v>0</v>
      </c>
      <c r="K44">
        <v>1</v>
      </c>
      <c r="L44">
        <v>0</v>
      </c>
      <c r="N44" t="s">
        <v>88</v>
      </c>
      <c r="O44" t="s">
        <v>89</v>
      </c>
      <c r="P44">
        <v>0</v>
      </c>
      <c r="Q44">
        <v>0</v>
      </c>
      <c r="R44">
        <v>0</v>
      </c>
      <c r="S44">
        <v>0</v>
      </c>
      <c r="T44">
        <v>1</v>
      </c>
      <c r="U44">
        <v>0</v>
      </c>
      <c r="V44">
        <v>0</v>
      </c>
      <c r="W44">
        <v>0</v>
      </c>
      <c r="X44">
        <v>0</v>
      </c>
      <c r="Y44">
        <v>0</v>
      </c>
      <c r="Z44">
        <v>0</v>
      </c>
      <c r="AA44">
        <v>0</v>
      </c>
      <c r="AM44" t="s">
        <v>81</v>
      </c>
      <c r="AN44" t="s">
        <v>82</v>
      </c>
      <c r="AO44" t="s">
        <v>81</v>
      </c>
      <c r="AP44" t="s">
        <v>83</v>
      </c>
      <c r="AQ44" t="s">
        <v>82</v>
      </c>
      <c r="AR44" t="s">
        <v>83</v>
      </c>
      <c r="AS44" t="s">
        <v>83</v>
      </c>
      <c r="AT44" t="s">
        <v>83</v>
      </c>
      <c r="AU44" t="s">
        <v>88</v>
      </c>
      <c r="AV44" t="s">
        <v>89</v>
      </c>
      <c r="AW44" t="s">
        <v>100</v>
      </c>
      <c r="AZ44" t="s">
        <v>96</v>
      </c>
      <c r="BA44" t="s">
        <v>87</v>
      </c>
      <c r="BB44" t="s">
        <v>74</v>
      </c>
      <c r="BC44" t="s">
        <v>87</v>
      </c>
      <c r="BD44" t="s">
        <v>87</v>
      </c>
      <c r="BE44" t="s">
        <v>86</v>
      </c>
      <c r="BF44" t="s">
        <v>97</v>
      </c>
      <c r="BG44" t="s">
        <v>76</v>
      </c>
      <c r="BH44" t="s">
        <v>98</v>
      </c>
      <c r="BI44" t="s">
        <v>96</v>
      </c>
      <c r="BJ44" t="s">
        <v>137</v>
      </c>
      <c r="BK44">
        <v>0</v>
      </c>
      <c r="BL44">
        <v>0</v>
      </c>
      <c r="BM44">
        <v>0</v>
      </c>
      <c r="BN44">
        <v>0</v>
      </c>
      <c r="BO44">
        <v>0</v>
      </c>
      <c r="BP44">
        <v>1</v>
      </c>
      <c r="BQ44">
        <v>0</v>
      </c>
      <c r="BR44">
        <v>0</v>
      </c>
    </row>
    <row r="45" spans="1:72" x14ac:dyDescent="0.2">
      <c r="A45" s="1">
        <v>44588.9</v>
      </c>
      <c r="B45" s="1">
        <v>44588.902083333334</v>
      </c>
      <c r="C45">
        <v>0</v>
      </c>
      <c r="D45">
        <v>1</v>
      </c>
      <c r="E45">
        <v>0</v>
      </c>
      <c r="F45">
        <v>0</v>
      </c>
      <c r="H45">
        <v>1</v>
      </c>
      <c r="I45">
        <v>0</v>
      </c>
      <c r="J45">
        <v>0</v>
      </c>
      <c r="K45">
        <v>0</v>
      </c>
      <c r="L45">
        <v>0</v>
      </c>
      <c r="P45">
        <v>0</v>
      </c>
      <c r="Q45">
        <v>1</v>
      </c>
      <c r="R45">
        <v>0</v>
      </c>
      <c r="S45">
        <v>0</v>
      </c>
      <c r="T45">
        <v>0</v>
      </c>
      <c r="U45">
        <v>0</v>
      </c>
      <c r="V45">
        <v>0</v>
      </c>
      <c r="W45">
        <v>0</v>
      </c>
      <c r="X45">
        <v>0</v>
      </c>
      <c r="Y45">
        <v>0</v>
      </c>
      <c r="Z45">
        <v>0</v>
      </c>
      <c r="AA45">
        <v>0</v>
      </c>
      <c r="AM45" t="s">
        <v>83</v>
      </c>
      <c r="AN45" t="s">
        <v>82</v>
      </c>
      <c r="AO45" t="s">
        <v>82</v>
      </c>
      <c r="AP45" t="s">
        <v>81</v>
      </c>
      <c r="AQ45" t="s">
        <v>81</v>
      </c>
      <c r="AR45" t="s">
        <v>83</v>
      </c>
      <c r="AS45" t="s">
        <v>83</v>
      </c>
      <c r="AT45" t="s">
        <v>83</v>
      </c>
      <c r="AU45" t="s">
        <v>88</v>
      </c>
      <c r="AV45" t="s">
        <v>89</v>
      </c>
      <c r="AW45" t="s">
        <v>100</v>
      </c>
      <c r="AX45" t="s">
        <v>110</v>
      </c>
      <c r="AY45" t="s">
        <v>139</v>
      </c>
      <c r="AZ45" t="s">
        <v>73</v>
      </c>
      <c r="BA45" t="s">
        <v>86</v>
      </c>
      <c r="BB45" t="s">
        <v>86</v>
      </c>
      <c r="BC45" t="s">
        <v>86</v>
      </c>
      <c r="BD45" t="s">
        <v>86</v>
      </c>
      <c r="BE45" t="s">
        <v>86</v>
      </c>
      <c r="BF45" t="s">
        <v>75</v>
      </c>
      <c r="BG45" t="s">
        <v>76</v>
      </c>
      <c r="BH45" t="s">
        <v>98</v>
      </c>
      <c r="BI45" t="s">
        <v>73</v>
      </c>
      <c r="BJ45" t="s">
        <v>94</v>
      </c>
      <c r="BK45">
        <v>0</v>
      </c>
      <c r="BL45">
        <v>0</v>
      </c>
      <c r="BM45">
        <v>0</v>
      </c>
      <c r="BN45">
        <v>0</v>
      </c>
      <c r="BO45">
        <v>0</v>
      </c>
      <c r="BP45">
        <v>1</v>
      </c>
      <c r="BQ45">
        <v>0</v>
      </c>
      <c r="BR45">
        <v>0</v>
      </c>
    </row>
    <row r="46" spans="1:72" x14ac:dyDescent="0.2">
      <c r="A46" s="1">
        <v>44579.87777777778</v>
      </c>
      <c r="B46" s="1">
        <v>44579.879861111112</v>
      </c>
      <c r="C46">
        <v>1</v>
      </c>
      <c r="D46">
        <v>0</v>
      </c>
      <c r="E46">
        <v>0</v>
      </c>
      <c r="F46">
        <v>0</v>
      </c>
      <c r="H46">
        <v>1</v>
      </c>
      <c r="I46">
        <v>0</v>
      </c>
      <c r="J46">
        <v>0</v>
      </c>
      <c r="K46">
        <v>0</v>
      </c>
      <c r="L46">
        <v>0</v>
      </c>
      <c r="P46">
        <v>0</v>
      </c>
      <c r="Q46">
        <v>0</v>
      </c>
      <c r="R46">
        <v>0</v>
      </c>
      <c r="S46">
        <v>0</v>
      </c>
      <c r="T46">
        <v>0</v>
      </c>
      <c r="U46">
        <v>0</v>
      </c>
      <c r="V46">
        <v>0</v>
      </c>
      <c r="W46">
        <v>0</v>
      </c>
      <c r="X46">
        <v>0</v>
      </c>
      <c r="Y46">
        <v>0</v>
      </c>
      <c r="Z46">
        <v>0</v>
      </c>
      <c r="AA46">
        <v>1</v>
      </c>
      <c r="AB46" t="s">
        <v>140</v>
      </c>
      <c r="AM46" t="s">
        <v>83</v>
      </c>
      <c r="AN46" t="s">
        <v>82</v>
      </c>
      <c r="AO46" t="s">
        <v>83</v>
      </c>
      <c r="AP46" t="s">
        <v>83</v>
      </c>
      <c r="AQ46" t="s">
        <v>83</v>
      </c>
      <c r="AR46" t="s">
        <v>83</v>
      </c>
      <c r="AS46" t="s">
        <v>83</v>
      </c>
      <c r="AT46" t="s">
        <v>83</v>
      </c>
      <c r="AU46" t="s">
        <v>135</v>
      </c>
      <c r="AV46" t="s">
        <v>80</v>
      </c>
      <c r="AW46" t="s">
        <v>117</v>
      </c>
      <c r="AX46" t="s">
        <v>110</v>
      </c>
      <c r="AY46" t="s">
        <v>139</v>
      </c>
      <c r="AZ46" t="s">
        <v>120</v>
      </c>
      <c r="BA46" t="s">
        <v>87</v>
      </c>
      <c r="BB46" t="s">
        <v>87</v>
      </c>
      <c r="BC46" t="s">
        <v>87</v>
      </c>
      <c r="BD46" t="s">
        <v>87</v>
      </c>
      <c r="BE46" t="s">
        <v>87</v>
      </c>
      <c r="BF46" t="s">
        <v>108</v>
      </c>
      <c r="BG46" t="s">
        <v>76</v>
      </c>
      <c r="BH46" t="s">
        <v>98</v>
      </c>
      <c r="BI46" t="s">
        <v>120</v>
      </c>
      <c r="BJ46" t="s">
        <v>102</v>
      </c>
      <c r="BK46">
        <v>0</v>
      </c>
      <c r="BL46">
        <v>0</v>
      </c>
      <c r="BM46">
        <v>0</v>
      </c>
      <c r="BN46">
        <v>0</v>
      </c>
      <c r="BO46">
        <v>0</v>
      </c>
      <c r="BP46">
        <v>1</v>
      </c>
      <c r="BQ46">
        <v>0</v>
      </c>
      <c r="BR46">
        <v>0</v>
      </c>
    </row>
    <row r="47" spans="1:72" x14ac:dyDescent="0.2">
      <c r="A47" s="1">
        <v>44579.963888888888</v>
      </c>
      <c r="B47" s="1">
        <v>44579.966666666667</v>
      </c>
      <c r="C47">
        <v>1</v>
      </c>
      <c r="D47">
        <v>0</v>
      </c>
      <c r="E47">
        <v>0</v>
      </c>
      <c r="F47">
        <v>0</v>
      </c>
      <c r="H47">
        <v>0</v>
      </c>
      <c r="I47">
        <v>1</v>
      </c>
      <c r="J47">
        <v>0</v>
      </c>
      <c r="K47">
        <v>0</v>
      </c>
      <c r="L47">
        <v>0</v>
      </c>
      <c r="N47" t="s">
        <v>88</v>
      </c>
      <c r="O47" t="s">
        <v>80</v>
      </c>
      <c r="P47">
        <v>0</v>
      </c>
      <c r="Q47">
        <v>0</v>
      </c>
      <c r="R47">
        <v>1</v>
      </c>
      <c r="S47">
        <v>0</v>
      </c>
      <c r="T47">
        <v>0</v>
      </c>
      <c r="U47">
        <v>0</v>
      </c>
      <c r="V47">
        <v>0</v>
      </c>
      <c r="W47">
        <v>0</v>
      </c>
      <c r="X47">
        <v>0</v>
      </c>
      <c r="Y47">
        <v>0</v>
      </c>
      <c r="Z47">
        <v>0</v>
      </c>
      <c r="AA47">
        <v>0</v>
      </c>
      <c r="AM47" t="s">
        <v>83</v>
      </c>
      <c r="AN47" t="s">
        <v>82</v>
      </c>
      <c r="AO47" t="s">
        <v>90</v>
      </c>
      <c r="AP47" t="s">
        <v>90</v>
      </c>
      <c r="AQ47" t="s">
        <v>82</v>
      </c>
      <c r="AR47" t="s">
        <v>83</v>
      </c>
      <c r="AS47" t="s">
        <v>81</v>
      </c>
      <c r="AT47" t="s">
        <v>83</v>
      </c>
      <c r="AU47" t="s">
        <v>88</v>
      </c>
      <c r="AV47" t="s">
        <v>89</v>
      </c>
      <c r="AW47" t="s">
        <v>100</v>
      </c>
      <c r="AZ47" t="s">
        <v>73</v>
      </c>
      <c r="BA47" t="s">
        <v>87</v>
      </c>
      <c r="BB47" t="s">
        <v>74</v>
      </c>
      <c r="BC47" t="s">
        <v>87</v>
      </c>
      <c r="BD47" t="s">
        <v>74</v>
      </c>
      <c r="BE47" t="s">
        <v>86</v>
      </c>
      <c r="BF47" t="s">
        <v>97</v>
      </c>
      <c r="BG47" t="s">
        <v>76</v>
      </c>
      <c r="BH47" t="s">
        <v>98</v>
      </c>
      <c r="BI47" t="s">
        <v>73</v>
      </c>
      <c r="BJ47" t="s">
        <v>114</v>
      </c>
      <c r="BK47">
        <v>1</v>
      </c>
      <c r="BL47">
        <v>0</v>
      </c>
      <c r="BM47">
        <v>0</v>
      </c>
      <c r="BN47">
        <v>0</v>
      </c>
      <c r="BO47">
        <v>0</v>
      </c>
      <c r="BP47">
        <v>0</v>
      </c>
      <c r="BQ47">
        <v>0</v>
      </c>
      <c r="BR47">
        <v>0</v>
      </c>
    </row>
    <row r="48" spans="1:72" x14ac:dyDescent="0.2">
      <c r="A48" s="1">
        <v>44589.065972222219</v>
      </c>
      <c r="B48" s="1">
        <v>44589.068055555559</v>
      </c>
      <c r="C48">
        <v>0</v>
      </c>
      <c r="D48">
        <v>1</v>
      </c>
      <c r="E48">
        <v>0</v>
      </c>
      <c r="F48">
        <v>0</v>
      </c>
      <c r="H48">
        <v>0</v>
      </c>
      <c r="I48">
        <v>0</v>
      </c>
      <c r="J48">
        <v>0</v>
      </c>
      <c r="K48">
        <v>0</v>
      </c>
      <c r="L48">
        <v>1</v>
      </c>
      <c r="M48" t="s">
        <v>141</v>
      </c>
      <c r="N48" t="s">
        <v>79</v>
      </c>
      <c r="O48" t="s">
        <v>89</v>
      </c>
      <c r="P48">
        <v>1</v>
      </c>
      <c r="Q48">
        <v>0</v>
      </c>
      <c r="R48">
        <v>0</v>
      </c>
      <c r="S48">
        <v>0</v>
      </c>
      <c r="T48">
        <v>0</v>
      </c>
      <c r="U48">
        <v>0</v>
      </c>
      <c r="V48">
        <v>0</v>
      </c>
      <c r="W48">
        <v>0</v>
      </c>
      <c r="X48">
        <v>0</v>
      </c>
      <c r="Y48">
        <v>0</v>
      </c>
      <c r="Z48">
        <v>0</v>
      </c>
      <c r="AA48">
        <v>0</v>
      </c>
      <c r="AC48">
        <v>0</v>
      </c>
      <c r="AD48">
        <v>1</v>
      </c>
      <c r="AE48">
        <v>0</v>
      </c>
      <c r="AF48">
        <v>0</v>
      </c>
      <c r="AG48">
        <v>0</v>
      </c>
      <c r="AH48">
        <v>0</v>
      </c>
      <c r="AI48">
        <v>0</v>
      </c>
      <c r="AJ48">
        <v>0</v>
      </c>
      <c r="AK48">
        <v>0</v>
      </c>
      <c r="AZ48" t="s">
        <v>73</v>
      </c>
      <c r="BA48" t="s">
        <v>87</v>
      </c>
      <c r="BB48" t="s">
        <v>87</v>
      </c>
      <c r="BC48" t="s">
        <v>87</v>
      </c>
      <c r="BD48" t="s">
        <v>87</v>
      </c>
      <c r="BE48" t="s">
        <v>86</v>
      </c>
      <c r="BF48" t="s">
        <v>101</v>
      </c>
      <c r="BG48" t="s">
        <v>76</v>
      </c>
      <c r="BH48" t="s">
        <v>77</v>
      </c>
      <c r="BI48" t="s">
        <v>73</v>
      </c>
      <c r="BJ48" t="s">
        <v>78</v>
      </c>
      <c r="BK48">
        <v>0</v>
      </c>
      <c r="BL48">
        <v>0</v>
      </c>
      <c r="BM48">
        <v>0</v>
      </c>
      <c r="BN48">
        <v>0</v>
      </c>
      <c r="BO48">
        <v>0</v>
      </c>
      <c r="BP48">
        <v>0</v>
      </c>
      <c r="BQ48">
        <v>0</v>
      </c>
      <c r="BR48">
        <v>1</v>
      </c>
    </row>
    <row r="49" spans="1:72" x14ac:dyDescent="0.2">
      <c r="A49" s="1">
        <v>44585.757638888892</v>
      </c>
      <c r="B49" s="1">
        <v>44585.759027777778</v>
      </c>
      <c r="C49">
        <v>1</v>
      </c>
      <c r="D49">
        <v>0</v>
      </c>
      <c r="E49">
        <v>0</v>
      </c>
      <c r="F49">
        <v>0</v>
      </c>
      <c r="H49">
        <v>0</v>
      </c>
      <c r="I49">
        <v>1</v>
      </c>
      <c r="J49">
        <v>0</v>
      </c>
      <c r="K49">
        <v>0</v>
      </c>
      <c r="L49">
        <v>0</v>
      </c>
      <c r="N49" t="s">
        <v>135</v>
      </c>
      <c r="O49" t="s">
        <v>142</v>
      </c>
      <c r="P49">
        <v>0</v>
      </c>
      <c r="Q49">
        <v>1</v>
      </c>
      <c r="R49">
        <v>0</v>
      </c>
      <c r="S49">
        <v>0</v>
      </c>
      <c r="T49">
        <v>0</v>
      </c>
      <c r="U49">
        <v>0</v>
      </c>
      <c r="V49">
        <v>0</v>
      </c>
      <c r="W49">
        <v>0</v>
      </c>
      <c r="X49">
        <v>0</v>
      </c>
      <c r="Y49">
        <v>0</v>
      </c>
      <c r="Z49">
        <v>0</v>
      </c>
      <c r="AA49">
        <v>0</v>
      </c>
      <c r="AM49" t="s">
        <v>83</v>
      </c>
      <c r="AN49" t="s">
        <v>82</v>
      </c>
      <c r="AO49" t="s">
        <v>83</v>
      </c>
      <c r="AP49" t="s">
        <v>83</v>
      </c>
      <c r="AQ49" t="s">
        <v>83</v>
      </c>
      <c r="AR49" t="s">
        <v>83</v>
      </c>
      <c r="AS49" t="s">
        <v>83</v>
      </c>
      <c r="AT49" t="s">
        <v>83</v>
      </c>
      <c r="AU49" t="s">
        <v>135</v>
      </c>
      <c r="AV49" t="s">
        <v>127</v>
      </c>
      <c r="AW49" t="s">
        <v>85</v>
      </c>
      <c r="AZ49" t="s">
        <v>73</v>
      </c>
      <c r="BA49" t="s">
        <v>87</v>
      </c>
      <c r="BB49" t="s">
        <v>87</v>
      </c>
      <c r="BC49" t="s">
        <v>87</v>
      </c>
      <c r="BD49" t="s">
        <v>87</v>
      </c>
      <c r="BE49" t="s">
        <v>87</v>
      </c>
      <c r="BF49" t="s">
        <v>97</v>
      </c>
      <c r="BG49" t="s">
        <v>76</v>
      </c>
      <c r="BH49" t="s">
        <v>98</v>
      </c>
      <c r="BI49" t="s">
        <v>73</v>
      </c>
      <c r="BJ49" t="s">
        <v>114</v>
      </c>
      <c r="BK49">
        <v>0</v>
      </c>
      <c r="BL49">
        <v>0</v>
      </c>
      <c r="BM49">
        <v>0</v>
      </c>
      <c r="BN49">
        <v>0</v>
      </c>
      <c r="BO49">
        <v>0</v>
      </c>
      <c r="BP49">
        <v>1</v>
      </c>
      <c r="BQ49">
        <v>0</v>
      </c>
      <c r="BR49">
        <v>0</v>
      </c>
    </row>
    <row r="50" spans="1:72" x14ac:dyDescent="0.2">
      <c r="A50" s="1">
        <v>44588.890277777777</v>
      </c>
      <c r="B50" s="1">
        <v>44588.894444444442</v>
      </c>
      <c r="C50">
        <v>0</v>
      </c>
      <c r="D50">
        <v>1</v>
      </c>
      <c r="E50">
        <v>0</v>
      </c>
      <c r="F50">
        <v>0</v>
      </c>
      <c r="H50">
        <v>0</v>
      </c>
      <c r="I50">
        <v>1</v>
      </c>
      <c r="J50">
        <v>0</v>
      </c>
      <c r="K50">
        <v>1</v>
      </c>
      <c r="L50">
        <v>0</v>
      </c>
      <c r="N50" t="s">
        <v>88</v>
      </c>
      <c r="O50" t="s">
        <v>89</v>
      </c>
      <c r="P50">
        <v>0</v>
      </c>
      <c r="Q50">
        <v>1</v>
      </c>
      <c r="R50">
        <v>0</v>
      </c>
      <c r="S50">
        <v>0</v>
      </c>
      <c r="T50">
        <v>0</v>
      </c>
      <c r="U50">
        <v>0</v>
      </c>
      <c r="V50">
        <v>0</v>
      </c>
      <c r="W50">
        <v>0</v>
      </c>
      <c r="X50">
        <v>0</v>
      </c>
      <c r="Y50">
        <v>0</v>
      </c>
      <c r="Z50">
        <v>0</v>
      </c>
      <c r="AA50">
        <v>0</v>
      </c>
      <c r="AM50" t="s">
        <v>90</v>
      </c>
      <c r="AN50" t="s">
        <v>82</v>
      </c>
      <c r="AO50" t="s">
        <v>81</v>
      </c>
      <c r="AP50" t="s">
        <v>83</v>
      </c>
      <c r="AQ50" t="s">
        <v>83</v>
      </c>
      <c r="AR50" t="s">
        <v>90</v>
      </c>
      <c r="AS50" t="s">
        <v>83</v>
      </c>
      <c r="AT50" t="s">
        <v>90</v>
      </c>
      <c r="AU50" t="s">
        <v>88</v>
      </c>
      <c r="AV50" t="s">
        <v>89</v>
      </c>
      <c r="AW50" t="s">
        <v>100</v>
      </c>
      <c r="AZ50" t="s">
        <v>107</v>
      </c>
      <c r="BA50" t="s">
        <v>86</v>
      </c>
      <c r="BB50" t="s">
        <v>87</v>
      </c>
      <c r="BC50" t="s">
        <v>87</v>
      </c>
      <c r="BD50" t="s">
        <v>87</v>
      </c>
      <c r="BE50" t="s">
        <v>86</v>
      </c>
      <c r="BF50" t="s">
        <v>97</v>
      </c>
      <c r="BG50" t="s">
        <v>76</v>
      </c>
      <c r="BH50" t="s">
        <v>98</v>
      </c>
      <c r="BI50" t="s">
        <v>107</v>
      </c>
      <c r="BJ50" t="s">
        <v>78</v>
      </c>
      <c r="BK50">
        <v>0</v>
      </c>
      <c r="BL50">
        <v>0</v>
      </c>
      <c r="BM50">
        <v>0</v>
      </c>
      <c r="BN50">
        <v>0</v>
      </c>
      <c r="BO50">
        <v>0</v>
      </c>
      <c r="BP50">
        <v>1</v>
      </c>
      <c r="BQ50">
        <v>0</v>
      </c>
      <c r="BR50">
        <v>0</v>
      </c>
    </row>
    <row r="51" spans="1:72" x14ac:dyDescent="0.2">
      <c r="A51" s="1">
        <v>44580.200694444444</v>
      </c>
      <c r="B51" s="1">
        <v>44580.206944444442</v>
      </c>
      <c r="C51">
        <v>0</v>
      </c>
      <c r="D51">
        <v>1</v>
      </c>
      <c r="E51">
        <v>0</v>
      </c>
      <c r="F51">
        <v>0</v>
      </c>
      <c r="H51">
        <v>0</v>
      </c>
      <c r="I51">
        <v>1</v>
      </c>
      <c r="J51">
        <v>0</v>
      </c>
      <c r="K51">
        <v>1</v>
      </c>
      <c r="L51">
        <v>0</v>
      </c>
      <c r="N51" t="s">
        <v>135</v>
      </c>
      <c r="O51" t="s">
        <v>89</v>
      </c>
      <c r="P51">
        <v>0</v>
      </c>
      <c r="Q51">
        <v>0</v>
      </c>
      <c r="R51">
        <v>0</v>
      </c>
      <c r="S51">
        <v>0</v>
      </c>
      <c r="T51">
        <v>0</v>
      </c>
      <c r="U51">
        <v>0</v>
      </c>
      <c r="V51">
        <v>0</v>
      </c>
      <c r="W51">
        <v>0</v>
      </c>
      <c r="X51">
        <v>0</v>
      </c>
      <c r="Y51">
        <v>0</v>
      </c>
      <c r="Z51">
        <v>0</v>
      </c>
      <c r="AA51">
        <v>1</v>
      </c>
      <c r="AB51" t="s">
        <v>143</v>
      </c>
      <c r="AM51" t="s">
        <v>83</v>
      </c>
      <c r="AN51" t="s">
        <v>82</v>
      </c>
      <c r="AO51" t="s">
        <v>81</v>
      </c>
      <c r="AP51" t="s">
        <v>81</v>
      </c>
      <c r="AQ51" t="s">
        <v>90</v>
      </c>
      <c r="AR51" t="s">
        <v>90</v>
      </c>
      <c r="AS51" t="s">
        <v>81</v>
      </c>
      <c r="AT51" t="s">
        <v>90</v>
      </c>
      <c r="AU51" t="s">
        <v>88</v>
      </c>
      <c r="AV51" t="s">
        <v>89</v>
      </c>
      <c r="AW51" t="s">
        <v>100</v>
      </c>
      <c r="AZ51" t="s">
        <v>120</v>
      </c>
      <c r="BA51" t="s">
        <v>87</v>
      </c>
      <c r="BB51" t="s">
        <v>87</v>
      </c>
      <c r="BC51" t="s">
        <v>86</v>
      </c>
      <c r="BD51" t="s">
        <v>87</v>
      </c>
      <c r="BE51" t="s">
        <v>87</v>
      </c>
      <c r="BF51" t="s">
        <v>101</v>
      </c>
      <c r="BG51" t="s">
        <v>76</v>
      </c>
      <c r="BH51" t="s">
        <v>98</v>
      </c>
      <c r="BI51" t="s">
        <v>120</v>
      </c>
      <c r="BJ51" t="s">
        <v>78</v>
      </c>
      <c r="BK51">
        <v>0</v>
      </c>
      <c r="BL51">
        <v>0</v>
      </c>
      <c r="BM51">
        <v>0</v>
      </c>
      <c r="BN51">
        <v>0</v>
      </c>
      <c r="BO51">
        <v>0</v>
      </c>
      <c r="BP51">
        <v>1</v>
      </c>
      <c r="BQ51">
        <v>0</v>
      </c>
      <c r="BR51">
        <v>0</v>
      </c>
    </row>
    <row r="52" spans="1:72" x14ac:dyDescent="0.2">
      <c r="A52" s="1">
        <v>44586.948611111111</v>
      </c>
      <c r="B52" s="1">
        <v>44586.951388888891</v>
      </c>
      <c r="C52">
        <v>0</v>
      </c>
      <c r="D52">
        <v>1</v>
      </c>
      <c r="E52">
        <v>0</v>
      </c>
      <c r="F52">
        <v>0</v>
      </c>
      <c r="H52">
        <v>0</v>
      </c>
      <c r="I52">
        <v>0</v>
      </c>
      <c r="J52">
        <v>0</v>
      </c>
      <c r="K52">
        <v>0</v>
      </c>
      <c r="L52">
        <v>1</v>
      </c>
      <c r="M52" t="s">
        <v>144</v>
      </c>
      <c r="N52" t="s">
        <v>79</v>
      </c>
      <c r="O52" t="s">
        <v>80</v>
      </c>
      <c r="P52">
        <v>1</v>
      </c>
      <c r="Q52">
        <v>0</v>
      </c>
      <c r="R52">
        <v>0</v>
      </c>
      <c r="S52">
        <v>0</v>
      </c>
      <c r="T52">
        <v>0</v>
      </c>
      <c r="U52">
        <v>0</v>
      </c>
      <c r="V52">
        <v>0</v>
      </c>
      <c r="W52">
        <v>0</v>
      </c>
      <c r="X52">
        <v>0</v>
      </c>
      <c r="Y52">
        <v>0</v>
      </c>
      <c r="Z52">
        <v>0</v>
      </c>
      <c r="AA52">
        <v>0</v>
      </c>
      <c r="AC52">
        <v>0</v>
      </c>
      <c r="AD52">
        <v>0</v>
      </c>
      <c r="AE52">
        <v>1</v>
      </c>
      <c r="AF52">
        <v>0</v>
      </c>
      <c r="AG52">
        <v>0</v>
      </c>
      <c r="AH52">
        <v>0</v>
      </c>
      <c r="AI52">
        <v>0</v>
      </c>
      <c r="AJ52">
        <v>0</v>
      </c>
      <c r="AK52">
        <v>0</v>
      </c>
      <c r="AX52" t="s">
        <v>122</v>
      </c>
      <c r="AZ52" t="s">
        <v>107</v>
      </c>
      <c r="BA52" t="s">
        <v>86</v>
      </c>
      <c r="BB52" t="s">
        <v>86</v>
      </c>
      <c r="BC52" t="s">
        <v>86</v>
      </c>
      <c r="BD52" t="s">
        <v>86</v>
      </c>
      <c r="BE52" t="s">
        <v>86</v>
      </c>
      <c r="BF52" t="s">
        <v>75</v>
      </c>
      <c r="BG52" t="s">
        <v>76</v>
      </c>
      <c r="BH52" t="s">
        <v>98</v>
      </c>
      <c r="BI52" t="s">
        <v>107</v>
      </c>
      <c r="BJ52" t="s">
        <v>137</v>
      </c>
      <c r="BK52">
        <v>1</v>
      </c>
      <c r="BL52">
        <v>0</v>
      </c>
      <c r="BM52">
        <v>0</v>
      </c>
      <c r="BN52">
        <v>0</v>
      </c>
      <c r="BO52">
        <v>0</v>
      </c>
      <c r="BP52">
        <v>0</v>
      </c>
      <c r="BQ52">
        <v>0</v>
      </c>
      <c r="BR52">
        <v>0</v>
      </c>
    </row>
    <row r="53" spans="1:72" x14ac:dyDescent="0.2">
      <c r="A53" s="1">
        <v>44580.71875</v>
      </c>
      <c r="B53" s="1">
        <v>44580.720138888886</v>
      </c>
      <c r="C53">
        <v>1</v>
      </c>
      <c r="D53">
        <v>0</v>
      </c>
      <c r="E53">
        <v>0</v>
      </c>
      <c r="F53">
        <v>0</v>
      </c>
      <c r="H53">
        <v>1</v>
      </c>
      <c r="I53">
        <v>0</v>
      </c>
      <c r="J53">
        <v>0</v>
      </c>
      <c r="K53">
        <v>0</v>
      </c>
      <c r="L53">
        <v>0</v>
      </c>
      <c r="P53">
        <v>1</v>
      </c>
      <c r="Q53">
        <v>0</v>
      </c>
      <c r="R53">
        <v>0</v>
      </c>
      <c r="S53">
        <v>0</v>
      </c>
      <c r="T53">
        <v>0</v>
      </c>
      <c r="U53">
        <v>0</v>
      </c>
      <c r="V53">
        <v>0</v>
      </c>
      <c r="W53">
        <v>0</v>
      </c>
      <c r="X53">
        <v>0</v>
      </c>
      <c r="Y53">
        <v>0</v>
      </c>
      <c r="Z53">
        <v>0</v>
      </c>
      <c r="AA53">
        <v>0</v>
      </c>
      <c r="AC53">
        <v>0</v>
      </c>
      <c r="AD53">
        <v>1</v>
      </c>
      <c r="AE53">
        <v>0</v>
      </c>
      <c r="AF53">
        <v>0</v>
      </c>
      <c r="AG53">
        <v>0</v>
      </c>
      <c r="AH53">
        <v>0</v>
      </c>
      <c r="AI53">
        <v>0</v>
      </c>
      <c r="AJ53">
        <v>0</v>
      </c>
      <c r="AK53">
        <v>0</v>
      </c>
      <c r="AX53" t="s">
        <v>122</v>
      </c>
      <c r="AZ53" t="s">
        <v>73</v>
      </c>
      <c r="BA53" t="s">
        <v>86</v>
      </c>
      <c r="BB53" t="s">
        <v>74</v>
      </c>
      <c r="BC53" t="s">
        <v>86</v>
      </c>
      <c r="BD53" t="s">
        <v>86</v>
      </c>
      <c r="BE53" t="s">
        <v>86</v>
      </c>
      <c r="BF53" t="s">
        <v>75</v>
      </c>
      <c r="BG53" t="s">
        <v>76</v>
      </c>
      <c r="BH53" t="s">
        <v>77</v>
      </c>
      <c r="BI53" t="s">
        <v>73</v>
      </c>
      <c r="BK53">
        <v>0</v>
      </c>
      <c r="BL53">
        <v>0</v>
      </c>
      <c r="BM53">
        <v>0</v>
      </c>
      <c r="BN53">
        <v>0</v>
      </c>
      <c r="BO53">
        <v>0</v>
      </c>
      <c r="BP53">
        <v>1</v>
      </c>
      <c r="BQ53">
        <v>0</v>
      </c>
      <c r="BR53">
        <v>0</v>
      </c>
      <c r="BT53" t="s">
        <v>109</v>
      </c>
    </row>
    <row r="54" spans="1:72" x14ac:dyDescent="0.2">
      <c r="A54" s="1">
        <v>44588.238194444442</v>
      </c>
      <c r="B54" s="1">
        <v>44588.240972222222</v>
      </c>
      <c r="C54">
        <v>1</v>
      </c>
      <c r="D54">
        <v>0</v>
      </c>
      <c r="E54">
        <v>0</v>
      </c>
      <c r="F54">
        <v>0</v>
      </c>
      <c r="H54">
        <v>0</v>
      </c>
      <c r="I54">
        <v>1</v>
      </c>
      <c r="J54">
        <v>0</v>
      </c>
      <c r="K54">
        <v>0</v>
      </c>
      <c r="L54">
        <v>0</v>
      </c>
      <c r="N54" t="s">
        <v>88</v>
      </c>
      <c r="O54" t="s">
        <v>89</v>
      </c>
      <c r="P54">
        <v>0</v>
      </c>
      <c r="Q54">
        <v>0</v>
      </c>
      <c r="R54">
        <v>1</v>
      </c>
      <c r="S54">
        <v>0</v>
      </c>
      <c r="T54">
        <v>0</v>
      </c>
      <c r="U54">
        <v>0</v>
      </c>
      <c r="V54">
        <v>0</v>
      </c>
      <c r="W54">
        <v>0</v>
      </c>
      <c r="X54">
        <v>0</v>
      </c>
      <c r="Y54">
        <v>0</v>
      </c>
      <c r="Z54">
        <v>0</v>
      </c>
      <c r="AA54">
        <v>0</v>
      </c>
      <c r="AM54" t="s">
        <v>81</v>
      </c>
      <c r="AN54" t="s">
        <v>81</v>
      </c>
      <c r="AO54" t="s">
        <v>83</v>
      </c>
      <c r="AP54" t="s">
        <v>82</v>
      </c>
      <c r="AQ54" t="s">
        <v>82</v>
      </c>
      <c r="AR54" t="s">
        <v>83</v>
      </c>
      <c r="AS54" t="s">
        <v>83</v>
      </c>
      <c r="AT54" t="s">
        <v>83</v>
      </c>
      <c r="AU54" t="s">
        <v>88</v>
      </c>
      <c r="AV54" t="s">
        <v>89</v>
      </c>
      <c r="AW54" t="s">
        <v>85</v>
      </c>
      <c r="AZ54" t="s">
        <v>107</v>
      </c>
      <c r="BA54" t="s">
        <v>86</v>
      </c>
      <c r="BB54" t="s">
        <v>87</v>
      </c>
      <c r="BC54" t="s">
        <v>87</v>
      </c>
      <c r="BD54" t="s">
        <v>74</v>
      </c>
      <c r="BE54" t="s">
        <v>86</v>
      </c>
      <c r="BF54" t="s">
        <v>101</v>
      </c>
      <c r="BG54" t="s">
        <v>76</v>
      </c>
      <c r="BH54" t="s">
        <v>98</v>
      </c>
      <c r="BI54" t="s">
        <v>107</v>
      </c>
      <c r="BK54">
        <v>0</v>
      </c>
      <c r="BL54">
        <v>0</v>
      </c>
      <c r="BM54">
        <v>0</v>
      </c>
      <c r="BN54">
        <v>0</v>
      </c>
      <c r="BO54">
        <v>0</v>
      </c>
      <c r="BP54">
        <v>1</v>
      </c>
      <c r="BQ54">
        <v>0</v>
      </c>
      <c r="BR54">
        <v>0</v>
      </c>
    </row>
    <row r="55" spans="1:72" x14ac:dyDescent="0.2">
      <c r="A55" s="1">
        <v>44580.742361111108</v>
      </c>
      <c r="B55" s="1">
        <v>44580.745833333334</v>
      </c>
      <c r="C55">
        <v>1</v>
      </c>
      <c r="D55">
        <v>0</v>
      </c>
      <c r="E55">
        <v>0</v>
      </c>
      <c r="F55">
        <v>0</v>
      </c>
      <c r="H55">
        <v>1</v>
      </c>
      <c r="I55">
        <v>0</v>
      </c>
      <c r="J55">
        <v>0</v>
      </c>
      <c r="K55">
        <v>0</v>
      </c>
      <c r="L55">
        <v>0</v>
      </c>
      <c r="P55">
        <v>0</v>
      </c>
      <c r="Q55">
        <v>0</v>
      </c>
      <c r="R55">
        <v>1</v>
      </c>
      <c r="S55">
        <v>0</v>
      </c>
      <c r="T55">
        <v>0</v>
      </c>
      <c r="U55">
        <v>0</v>
      </c>
      <c r="V55">
        <v>0</v>
      </c>
      <c r="W55">
        <v>0</v>
      </c>
      <c r="X55">
        <v>0</v>
      </c>
      <c r="Y55">
        <v>0</v>
      </c>
      <c r="Z55">
        <v>0</v>
      </c>
      <c r="AA55">
        <v>0</v>
      </c>
      <c r="AM55" t="s">
        <v>83</v>
      </c>
      <c r="AN55" t="s">
        <v>81</v>
      </c>
      <c r="AO55" t="s">
        <v>83</v>
      </c>
      <c r="AP55" t="s">
        <v>81</v>
      </c>
      <c r="AQ55" t="s">
        <v>81</v>
      </c>
      <c r="AR55" t="s">
        <v>83</v>
      </c>
      <c r="AS55" t="s">
        <v>83</v>
      </c>
      <c r="AT55" t="s">
        <v>83</v>
      </c>
      <c r="AU55" t="s">
        <v>88</v>
      </c>
      <c r="AV55" t="s">
        <v>89</v>
      </c>
      <c r="AW55" t="s">
        <v>85</v>
      </c>
      <c r="AX55" t="s">
        <v>128</v>
      </c>
      <c r="AZ55" t="s">
        <v>73</v>
      </c>
      <c r="BA55" t="s">
        <v>86</v>
      </c>
      <c r="BB55" t="s">
        <v>87</v>
      </c>
      <c r="BC55" t="s">
        <v>87</v>
      </c>
      <c r="BD55" t="s">
        <v>86</v>
      </c>
      <c r="BE55" t="s">
        <v>74</v>
      </c>
      <c r="BF55" t="s">
        <v>75</v>
      </c>
      <c r="BG55" t="s">
        <v>76</v>
      </c>
      <c r="BH55" t="s">
        <v>98</v>
      </c>
      <c r="BI55" t="s">
        <v>73</v>
      </c>
      <c r="BJ55" t="s">
        <v>94</v>
      </c>
      <c r="BK55">
        <v>0</v>
      </c>
      <c r="BL55">
        <v>0</v>
      </c>
      <c r="BM55">
        <v>0</v>
      </c>
      <c r="BN55">
        <v>0</v>
      </c>
      <c r="BO55">
        <v>0</v>
      </c>
      <c r="BP55">
        <v>1</v>
      </c>
      <c r="BQ55">
        <v>0</v>
      </c>
      <c r="BR55">
        <v>0</v>
      </c>
    </row>
    <row r="56" spans="1:72" x14ac:dyDescent="0.2">
      <c r="A56" s="1">
        <v>44580.137499999997</v>
      </c>
      <c r="B56" s="1">
        <v>44580.13958333333</v>
      </c>
      <c r="C56">
        <v>1</v>
      </c>
      <c r="D56">
        <v>0</v>
      </c>
      <c r="E56">
        <v>0</v>
      </c>
      <c r="F56">
        <v>0</v>
      </c>
      <c r="H56">
        <v>0</v>
      </c>
      <c r="I56">
        <v>1</v>
      </c>
      <c r="J56">
        <v>0</v>
      </c>
      <c r="K56">
        <v>1</v>
      </c>
      <c r="L56">
        <v>1</v>
      </c>
      <c r="M56" t="s">
        <v>145</v>
      </c>
      <c r="N56" t="s">
        <v>79</v>
      </c>
      <c r="O56" t="s">
        <v>80</v>
      </c>
      <c r="P56">
        <v>0</v>
      </c>
      <c r="Q56">
        <v>1</v>
      </c>
      <c r="R56">
        <v>0</v>
      </c>
      <c r="S56">
        <v>0</v>
      </c>
      <c r="T56">
        <v>0</v>
      </c>
      <c r="U56">
        <v>0</v>
      </c>
      <c r="V56">
        <v>0</v>
      </c>
      <c r="W56">
        <v>0</v>
      </c>
      <c r="X56">
        <v>0</v>
      </c>
      <c r="Y56">
        <v>0</v>
      </c>
      <c r="Z56">
        <v>0</v>
      </c>
      <c r="AA56">
        <v>0</v>
      </c>
      <c r="AM56" t="s">
        <v>90</v>
      </c>
      <c r="AN56" t="s">
        <v>81</v>
      </c>
      <c r="AO56" t="s">
        <v>82</v>
      </c>
      <c r="AP56" t="s">
        <v>83</v>
      </c>
      <c r="AQ56" t="s">
        <v>81</v>
      </c>
      <c r="AR56" t="s">
        <v>90</v>
      </c>
      <c r="AS56" t="s">
        <v>90</v>
      </c>
      <c r="AT56" t="s">
        <v>83</v>
      </c>
      <c r="AU56" t="s">
        <v>84</v>
      </c>
      <c r="AV56" t="s">
        <v>80</v>
      </c>
      <c r="AW56" t="s">
        <v>100</v>
      </c>
      <c r="AX56" t="s">
        <v>146</v>
      </c>
      <c r="AZ56" t="s">
        <v>73</v>
      </c>
      <c r="BA56" t="s">
        <v>87</v>
      </c>
      <c r="BB56" t="s">
        <v>87</v>
      </c>
      <c r="BC56" t="s">
        <v>87</v>
      </c>
      <c r="BD56" t="s">
        <v>86</v>
      </c>
      <c r="BE56" t="s">
        <v>87</v>
      </c>
      <c r="BF56" t="s">
        <v>75</v>
      </c>
      <c r="BG56" t="s">
        <v>76</v>
      </c>
      <c r="BH56" t="s">
        <v>77</v>
      </c>
      <c r="BI56" t="s">
        <v>73</v>
      </c>
      <c r="BJ56" t="s">
        <v>147</v>
      </c>
      <c r="BK56">
        <v>0</v>
      </c>
      <c r="BL56">
        <v>0</v>
      </c>
      <c r="BM56">
        <v>0</v>
      </c>
      <c r="BN56">
        <v>0</v>
      </c>
      <c r="BO56">
        <v>0</v>
      </c>
      <c r="BP56">
        <v>1</v>
      </c>
      <c r="BQ56">
        <v>0</v>
      </c>
      <c r="BR56">
        <v>0</v>
      </c>
    </row>
    <row r="57" spans="1:72" x14ac:dyDescent="0.2">
      <c r="A57" s="1">
        <v>44586.74722222222</v>
      </c>
      <c r="B57" s="1">
        <v>44586.749305555553</v>
      </c>
      <c r="C57">
        <v>1</v>
      </c>
      <c r="D57">
        <v>0</v>
      </c>
      <c r="E57">
        <v>0</v>
      </c>
      <c r="F57">
        <v>0</v>
      </c>
      <c r="H57">
        <v>1</v>
      </c>
      <c r="I57">
        <v>0</v>
      </c>
      <c r="J57">
        <v>0</v>
      </c>
      <c r="K57">
        <v>0</v>
      </c>
      <c r="L57">
        <v>0</v>
      </c>
      <c r="P57">
        <v>0</v>
      </c>
      <c r="Q57">
        <v>0</v>
      </c>
      <c r="R57">
        <v>1</v>
      </c>
      <c r="S57">
        <v>0</v>
      </c>
      <c r="T57">
        <v>0</v>
      </c>
      <c r="U57">
        <v>0</v>
      </c>
      <c r="V57">
        <v>0</v>
      </c>
      <c r="W57">
        <v>0</v>
      </c>
      <c r="X57">
        <v>0</v>
      </c>
      <c r="Y57">
        <v>0</v>
      </c>
      <c r="Z57">
        <v>0</v>
      </c>
      <c r="AA57">
        <v>0</v>
      </c>
      <c r="AM57" t="s">
        <v>83</v>
      </c>
      <c r="AN57" t="s">
        <v>83</v>
      </c>
      <c r="AO57" t="s">
        <v>83</v>
      </c>
      <c r="AP57" t="s">
        <v>83</v>
      </c>
      <c r="AQ57" t="s">
        <v>82</v>
      </c>
      <c r="AR57" t="s">
        <v>82</v>
      </c>
      <c r="AS57" t="s">
        <v>82</v>
      </c>
      <c r="AT57" t="s">
        <v>83</v>
      </c>
      <c r="AU57" t="s">
        <v>127</v>
      </c>
      <c r="AV57" t="s">
        <v>127</v>
      </c>
      <c r="AX57" t="s">
        <v>118</v>
      </c>
      <c r="AZ57" t="s">
        <v>73</v>
      </c>
      <c r="BA57" t="s">
        <v>74</v>
      </c>
      <c r="BF57" t="s">
        <v>75</v>
      </c>
      <c r="BG57" t="s">
        <v>76</v>
      </c>
      <c r="BH57" t="s">
        <v>98</v>
      </c>
      <c r="BI57" t="s">
        <v>73</v>
      </c>
      <c r="BJ57" t="s">
        <v>102</v>
      </c>
      <c r="BK57">
        <v>0</v>
      </c>
      <c r="BL57">
        <v>0</v>
      </c>
      <c r="BM57">
        <v>0</v>
      </c>
      <c r="BN57">
        <v>0</v>
      </c>
      <c r="BO57">
        <v>0</v>
      </c>
      <c r="BP57">
        <v>1</v>
      </c>
      <c r="BQ57">
        <v>0</v>
      </c>
      <c r="BR57">
        <v>0</v>
      </c>
    </row>
    <row r="58" spans="1:72" x14ac:dyDescent="0.2">
      <c r="A58" s="1">
        <v>44579.875694444447</v>
      </c>
      <c r="B58" s="1">
        <v>44579.87777777778</v>
      </c>
      <c r="C58">
        <v>1</v>
      </c>
      <c r="D58">
        <v>0</v>
      </c>
      <c r="E58">
        <v>0</v>
      </c>
      <c r="F58">
        <v>0</v>
      </c>
      <c r="H58">
        <v>0</v>
      </c>
      <c r="I58">
        <v>0</v>
      </c>
      <c r="J58">
        <v>0</v>
      </c>
      <c r="K58">
        <v>0</v>
      </c>
      <c r="L58">
        <v>1</v>
      </c>
      <c r="M58" t="s">
        <v>148</v>
      </c>
      <c r="N58" t="s">
        <v>88</v>
      </c>
      <c r="O58" t="s">
        <v>89</v>
      </c>
      <c r="P58">
        <v>0</v>
      </c>
      <c r="Q58">
        <v>1</v>
      </c>
      <c r="R58">
        <v>0</v>
      </c>
      <c r="S58">
        <v>0</v>
      </c>
      <c r="T58">
        <v>0</v>
      </c>
      <c r="U58">
        <v>0</v>
      </c>
      <c r="V58">
        <v>0</v>
      </c>
      <c r="W58">
        <v>0</v>
      </c>
      <c r="X58">
        <v>0</v>
      </c>
      <c r="Y58">
        <v>0</v>
      </c>
      <c r="Z58">
        <v>0</v>
      </c>
      <c r="AA58">
        <v>0</v>
      </c>
      <c r="AM58" t="s">
        <v>90</v>
      </c>
      <c r="AN58" t="s">
        <v>82</v>
      </c>
      <c r="AO58" t="s">
        <v>81</v>
      </c>
      <c r="AP58" t="s">
        <v>90</v>
      </c>
      <c r="AQ58" t="s">
        <v>90</v>
      </c>
      <c r="AR58" t="s">
        <v>90</v>
      </c>
      <c r="AS58" t="s">
        <v>90</v>
      </c>
      <c r="AT58" t="s">
        <v>83</v>
      </c>
      <c r="AU58" t="s">
        <v>88</v>
      </c>
      <c r="AV58" t="s">
        <v>89</v>
      </c>
      <c r="AW58" t="s">
        <v>100</v>
      </c>
      <c r="AX58" t="s">
        <v>122</v>
      </c>
      <c r="AZ58" t="s">
        <v>73</v>
      </c>
      <c r="BA58" t="s">
        <v>86</v>
      </c>
      <c r="BB58" t="s">
        <v>86</v>
      </c>
      <c r="BC58" t="s">
        <v>86</v>
      </c>
      <c r="BD58" t="s">
        <v>86</v>
      </c>
      <c r="BE58" t="s">
        <v>86</v>
      </c>
      <c r="BF58" t="s">
        <v>75</v>
      </c>
      <c r="BG58" t="s">
        <v>76</v>
      </c>
      <c r="BH58" t="s">
        <v>77</v>
      </c>
      <c r="BI58" t="s">
        <v>73</v>
      </c>
      <c r="BJ58" t="s">
        <v>78</v>
      </c>
      <c r="BK58">
        <v>0</v>
      </c>
      <c r="BL58">
        <v>0</v>
      </c>
      <c r="BM58">
        <v>0</v>
      </c>
      <c r="BN58">
        <v>0</v>
      </c>
      <c r="BO58">
        <v>0</v>
      </c>
      <c r="BP58">
        <v>1</v>
      </c>
      <c r="BQ58">
        <v>0</v>
      </c>
      <c r="BR58">
        <v>0</v>
      </c>
    </row>
    <row r="59" spans="1:72" x14ac:dyDescent="0.2">
      <c r="A59" s="1">
        <v>44585.925694444442</v>
      </c>
      <c r="B59" s="1">
        <v>44585.928472222222</v>
      </c>
      <c r="C59">
        <v>1</v>
      </c>
      <c r="D59">
        <v>0</v>
      </c>
      <c r="E59">
        <v>0</v>
      </c>
      <c r="F59">
        <v>0</v>
      </c>
      <c r="H59">
        <v>0</v>
      </c>
      <c r="I59">
        <v>0</v>
      </c>
      <c r="J59">
        <v>0</v>
      </c>
      <c r="K59">
        <v>0</v>
      </c>
      <c r="L59">
        <v>1</v>
      </c>
      <c r="M59" t="s">
        <v>149</v>
      </c>
      <c r="N59" t="s">
        <v>79</v>
      </c>
      <c r="O59" t="s">
        <v>127</v>
      </c>
      <c r="P59">
        <v>0</v>
      </c>
      <c r="Q59">
        <v>1</v>
      </c>
      <c r="R59">
        <v>0</v>
      </c>
      <c r="S59">
        <v>0</v>
      </c>
      <c r="T59">
        <v>0</v>
      </c>
      <c r="U59">
        <v>0</v>
      </c>
      <c r="V59">
        <v>0</v>
      </c>
      <c r="W59">
        <v>0</v>
      </c>
      <c r="X59">
        <v>0</v>
      </c>
      <c r="Y59">
        <v>0</v>
      </c>
      <c r="Z59">
        <v>0</v>
      </c>
      <c r="AA59">
        <v>0</v>
      </c>
      <c r="AM59" t="s">
        <v>83</v>
      </c>
      <c r="AN59" t="s">
        <v>82</v>
      </c>
      <c r="AO59" t="s">
        <v>83</v>
      </c>
      <c r="AP59" t="s">
        <v>83</v>
      </c>
      <c r="AQ59" t="s">
        <v>83</v>
      </c>
      <c r="AR59" t="s">
        <v>83</v>
      </c>
      <c r="AS59" t="s">
        <v>83</v>
      </c>
      <c r="AT59" t="s">
        <v>83</v>
      </c>
      <c r="AU59" t="s">
        <v>88</v>
      </c>
      <c r="AV59" t="s">
        <v>89</v>
      </c>
      <c r="AW59" t="s">
        <v>100</v>
      </c>
      <c r="AX59" t="s">
        <v>122</v>
      </c>
      <c r="AZ59" t="s">
        <v>73</v>
      </c>
      <c r="BA59" t="s">
        <v>74</v>
      </c>
      <c r="BF59" t="s">
        <v>75</v>
      </c>
      <c r="BG59" t="s">
        <v>76</v>
      </c>
      <c r="BH59" t="s">
        <v>98</v>
      </c>
      <c r="BI59" t="s">
        <v>73</v>
      </c>
      <c r="BJ59" t="s">
        <v>114</v>
      </c>
      <c r="BK59">
        <v>1</v>
      </c>
      <c r="BL59">
        <v>0</v>
      </c>
      <c r="BM59">
        <v>0</v>
      </c>
      <c r="BN59">
        <v>0</v>
      </c>
      <c r="BO59">
        <v>0</v>
      </c>
      <c r="BP59">
        <v>0</v>
      </c>
      <c r="BQ59">
        <v>0</v>
      </c>
      <c r="BR59">
        <v>0</v>
      </c>
    </row>
    <row r="60" spans="1:72" x14ac:dyDescent="0.2">
      <c r="A60" s="1">
        <v>44589.398611111108</v>
      </c>
      <c r="B60" s="1">
        <v>44589.401388888888</v>
      </c>
      <c r="C60">
        <v>0</v>
      </c>
      <c r="D60">
        <v>1</v>
      </c>
      <c r="E60">
        <v>0</v>
      </c>
      <c r="F60">
        <v>0</v>
      </c>
      <c r="H60">
        <v>1</v>
      </c>
      <c r="I60">
        <v>0</v>
      </c>
      <c r="J60">
        <v>0</v>
      </c>
      <c r="K60">
        <v>0</v>
      </c>
      <c r="L60">
        <v>0</v>
      </c>
      <c r="P60">
        <v>0</v>
      </c>
      <c r="Q60">
        <v>1</v>
      </c>
      <c r="R60">
        <v>0</v>
      </c>
      <c r="S60">
        <v>0</v>
      </c>
      <c r="T60">
        <v>0</v>
      </c>
      <c r="U60">
        <v>0</v>
      </c>
      <c r="V60">
        <v>0</v>
      </c>
      <c r="W60">
        <v>0</v>
      </c>
      <c r="X60">
        <v>0</v>
      </c>
      <c r="Y60">
        <v>0</v>
      </c>
      <c r="Z60">
        <v>0</v>
      </c>
      <c r="AA60">
        <v>0</v>
      </c>
      <c r="AM60" t="s">
        <v>82</v>
      </c>
      <c r="AN60" t="s">
        <v>90</v>
      </c>
      <c r="AO60" t="s">
        <v>90</v>
      </c>
      <c r="AP60" t="s">
        <v>90</v>
      </c>
      <c r="AQ60" t="s">
        <v>82</v>
      </c>
      <c r="AR60" t="s">
        <v>90</v>
      </c>
      <c r="AS60" t="s">
        <v>81</v>
      </c>
      <c r="AT60" t="s">
        <v>90</v>
      </c>
      <c r="AU60" t="s">
        <v>127</v>
      </c>
      <c r="AV60" t="s">
        <v>127</v>
      </c>
      <c r="AX60" t="s">
        <v>110</v>
      </c>
      <c r="AY60" t="s">
        <v>150</v>
      </c>
      <c r="AZ60" t="s">
        <v>107</v>
      </c>
      <c r="BA60" t="s">
        <v>87</v>
      </c>
      <c r="BB60" t="s">
        <v>86</v>
      </c>
      <c r="BC60" t="s">
        <v>86</v>
      </c>
      <c r="BD60" t="s">
        <v>87</v>
      </c>
      <c r="BE60" t="s">
        <v>86</v>
      </c>
      <c r="BF60" t="s">
        <v>108</v>
      </c>
      <c r="BG60" t="s">
        <v>76</v>
      </c>
      <c r="BH60" t="s">
        <v>98</v>
      </c>
      <c r="BI60" t="s">
        <v>107</v>
      </c>
      <c r="BJ60" t="s">
        <v>151</v>
      </c>
      <c r="BK60">
        <v>0</v>
      </c>
      <c r="BL60">
        <v>1</v>
      </c>
      <c r="BM60">
        <v>0</v>
      </c>
      <c r="BN60">
        <v>0</v>
      </c>
      <c r="BO60">
        <v>0</v>
      </c>
      <c r="BP60">
        <v>0</v>
      </c>
      <c r="BQ60">
        <v>0</v>
      </c>
      <c r="BR60">
        <v>0</v>
      </c>
    </row>
    <row r="61" spans="1:72" x14ac:dyDescent="0.2">
      <c r="A61" s="1">
        <v>44579.878472222219</v>
      </c>
      <c r="B61" s="1">
        <v>44579.879861111112</v>
      </c>
      <c r="C61">
        <v>1</v>
      </c>
      <c r="D61">
        <v>0</v>
      </c>
      <c r="E61">
        <v>0</v>
      </c>
      <c r="F61">
        <v>0</v>
      </c>
      <c r="H61">
        <v>1</v>
      </c>
      <c r="I61">
        <v>0</v>
      </c>
      <c r="J61">
        <v>0</v>
      </c>
      <c r="K61">
        <v>0</v>
      </c>
      <c r="L61">
        <v>0</v>
      </c>
      <c r="P61">
        <v>0</v>
      </c>
      <c r="Q61">
        <v>1</v>
      </c>
      <c r="R61">
        <v>0</v>
      </c>
      <c r="S61">
        <v>0</v>
      </c>
      <c r="T61">
        <v>0</v>
      </c>
      <c r="U61">
        <v>0</v>
      </c>
      <c r="V61">
        <v>0</v>
      </c>
      <c r="W61">
        <v>0</v>
      </c>
      <c r="X61">
        <v>0</v>
      </c>
      <c r="Y61">
        <v>0</v>
      </c>
      <c r="Z61">
        <v>0</v>
      </c>
      <c r="AA61">
        <v>1</v>
      </c>
      <c r="AB61" t="s">
        <v>152</v>
      </c>
      <c r="AM61" t="s">
        <v>81</v>
      </c>
      <c r="AN61" t="s">
        <v>81</v>
      </c>
      <c r="AO61" t="s">
        <v>83</v>
      </c>
      <c r="AP61" t="s">
        <v>83</v>
      </c>
      <c r="AQ61" t="s">
        <v>81</v>
      </c>
      <c r="AR61" t="s">
        <v>82</v>
      </c>
      <c r="AS61" t="s">
        <v>83</v>
      </c>
      <c r="AT61" t="s">
        <v>83</v>
      </c>
      <c r="AU61" t="s">
        <v>88</v>
      </c>
      <c r="AV61" t="s">
        <v>127</v>
      </c>
      <c r="AW61" t="s">
        <v>153</v>
      </c>
      <c r="AX61" t="s">
        <v>106</v>
      </c>
      <c r="AZ61" t="s">
        <v>107</v>
      </c>
      <c r="BA61" t="s">
        <v>87</v>
      </c>
      <c r="BB61" t="s">
        <v>74</v>
      </c>
      <c r="BC61" t="s">
        <v>86</v>
      </c>
      <c r="BD61" t="s">
        <v>74</v>
      </c>
      <c r="BE61" t="s">
        <v>74</v>
      </c>
      <c r="BF61" t="s">
        <v>75</v>
      </c>
      <c r="BG61" t="s">
        <v>76</v>
      </c>
      <c r="BH61" t="s">
        <v>98</v>
      </c>
      <c r="BI61" t="s">
        <v>107</v>
      </c>
      <c r="BJ61" t="s">
        <v>94</v>
      </c>
      <c r="BK61">
        <v>0</v>
      </c>
      <c r="BL61">
        <v>0</v>
      </c>
      <c r="BM61">
        <v>0</v>
      </c>
      <c r="BN61">
        <v>0</v>
      </c>
      <c r="BO61">
        <v>0</v>
      </c>
      <c r="BP61">
        <v>1</v>
      </c>
      <c r="BQ61">
        <v>0</v>
      </c>
      <c r="BR61">
        <v>0</v>
      </c>
    </row>
    <row r="62" spans="1:72" x14ac:dyDescent="0.2">
      <c r="A62" s="1">
        <v>44579.877083333333</v>
      </c>
      <c r="B62" s="1">
        <v>44589.47152777778</v>
      </c>
      <c r="C62">
        <v>1</v>
      </c>
      <c r="D62">
        <v>0</v>
      </c>
      <c r="E62">
        <v>0</v>
      </c>
      <c r="F62">
        <v>0</v>
      </c>
      <c r="H62">
        <v>0</v>
      </c>
      <c r="I62">
        <v>1</v>
      </c>
      <c r="J62">
        <v>0</v>
      </c>
      <c r="K62">
        <v>0</v>
      </c>
      <c r="L62">
        <v>0</v>
      </c>
      <c r="N62" t="s">
        <v>135</v>
      </c>
      <c r="O62" t="s">
        <v>80</v>
      </c>
      <c r="P62">
        <v>0</v>
      </c>
      <c r="Q62">
        <v>0</v>
      </c>
      <c r="R62">
        <v>1</v>
      </c>
      <c r="S62">
        <v>0</v>
      </c>
      <c r="T62">
        <v>0</v>
      </c>
      <c r="U62">
        <v>0</v>
      </c>
      <c r="V62">
        <v>0</v>
      </c>
      <c r="W62">
        <v>0</v>
      </c>
      <c r="X62">
        <v>0</v>
      </c>
      <c r="Y62">
        <v>0</v>
      </c>
      <c r="Z62">
        <v>0</v>
      </c>
      <c r="AA62">
        <v>0</v>
      </c>
      <c r="AM62" t="s">
        <v>82</v>
      </c>
      <c r="AN62" t="s">
        <v>82</v>
      </c>
      <c r="AO62" t="s">
        <v>81</v>
      </c>
      <c r="AP62" t="s">
        <v>81</v>
      </c>
      <c r="AQ62" t="s">
        <v>82</v>
      </c>
      <c r="AR62" t="s">
        <v>83</v>
      </c>
      <c r="AS62" t="s">
        <v>82</v>
      </c>
      <c r="AT62" t="s">
        <v>82</v>
      </c>
      <c r="AU62" t="s">
        <v>88</v>
      </c>
      <c r="AV62" t="s">
        <v>89</v>
      </c>
      <c r="AW62" t="s">
        <v>100</v>
      </c>
      <c r="AX62" t="s">
        <v>106</v>
      </c>
      <c r="AZ62" t="s">
        <v>96</v>
      </c>
      <c r="BA62" t="s">
        <v>86</v>
      </c>
      <c r="BB62" t="s">
        <v>87</v>
      </c>
      <c r="BC62" t="s">
        <v>87</v>
      </c>
      <c r="BD62" t="s">
        <v>87</v>
      </c>
      <c r="BE62" t="s">
        <v>86</v>
      </c>
      <c r="BF62" t="s">
        <v>75</v>
      </c>
      <c r="BG62" t="s">
        <v>76</v>
      </c>
      <c r="BH62" t="s">
        <v>98</v>
      </c>
      <c r="BI62" t="s">
        <v>96</v>
      </c>
      <c r="BJ62" t="s">
        <v>154</v>
      </c>
      <c r="BK62">
        <v>0</v>
      </c>
      <c r="BL62">
        <v>0</v>
      </c>
      <c r="BM62">
        <v>0</v>
      </c>
      <c r="BN62">
        <v>0</v>
      </c>
      <c r="BO62">
        <v>0</v>
      </c>
      <c r="BP62">
        <v>1</v>
      </c>
      <c r="BQ62">
        <v>0</v>
      </c>
      <c r="BR62">
        <v>0</v>
      </c>
    </row>
    <row r="63" spans="1:72" x14ac:dyDescent="0.2">
      <c r="A63" s="1">
        <v>44580.585416666669</v>
      </c>
      <c r="B63" s="1">
        <v>44580.588194444441</v>
      </c>
      <c r="C63">
        <v>1</v>
      </c>
      <c r="D63">
        <v>0</v>
      </c>
      <c r="E63">
        <v>0</v>
      </c>
      <c r="F63">
        <v>0</v>
      </c>
      <c r="H63">
        <v>0</v>
      </c>
      <c r="I63">
        <v>1</v>
      </c>
      <c r="J63">
        <v>1</v>
      </c>
      <c r="K63">
        <v>1</v>
      </c>
      <c r="L63">
        <v>1</v>
      </c>
      <c r="M63" t="s">
        <v>155</v>
      </c>
      <c r="N63" t="s">
        <v>88</v>
      </c>
      <c r="O63" t="s">
        <v>89</v>
      </c>
      <c r="P63">
        <v>0</v>
      </c>
      <c r="Q63">
        <v>0</v>
      </c>
      <c r="R63">
        <v>1</v>
      </c>
      <c r="S63">
        <v>1</v>
      </c>
      <c r="T63">
        <v>0</v>
      </c>
      <c r="U63">
        <v>0</v>
      </c>
      <c r="V63">
        <v>0</v>
      </c>
      <c r="W63">
        <v>0</v>
      </c>
      <c r="X63">
        <v>0</v>
      </c>
      <c r="Y63">
        <v>0</v>
      </c>
      <c r="Z63">
        <v>0</v>
      </c>
      <c r="AA63">
        <v>0</v>
      </c>
      <c r="AM63" t="s">
        <v>83</v>
      </c>
      <c r="AN63" t="s">
        <v>82</v>
      </c>
      <c r="AO63" t="s">
        <v>82</v>
      </c>
      <c r="AP63" t="s">
        <v>82</v>
      </c>
      <c r="AQ63" t="s">
        <v>82</v>
      </c>
      <c r="AR63" t="s">
        <v>83</v>
      </c>
      <c r="AS63" t="s">
        <v>83</v>
      </c>
      <c r="AT63" t="s">
        <v>83</v>
      </c>
      <c r="AU63" t="s">
        <v>135</v>
      </c>
      <c r="AV63" t="s">
        <v>89</v>
      </c>
      <c r="AW63" t="s">
        <v>100</v>
      </c>
      <c r="AZ63" t="s">
        <v>107</v>
      </c>
      <c r="BA63" t="s">
        <v>87</v>
      </c>
      <c r="BB63" t="s">
        <v>87</v>
      </c>
      <c r="BC63" t="s">
        <v>87</v>
      </c>
      <c r="BD63" t="s">
        <v>87</v>
      </c>
      <c r="BE63" t="s">
        <v>87</v>
      </c>
      <c r="BF63" t="s">
        <v>101</v>
      </c>
      <c r="BG63" t="s">
        <v>76</v>
      </c>
      <c r="BH63" t="s">
        <v>98</v>
      </c>
      <c r="BI63" t="s">
        <v>107</v>
      </c>
      <c r="BJ63" t="s">
        <v>94</v>
      </c>
      <c r="BK63">
        <v>0</v>
      </c>
      <c r="BL63">
        <v>0</v>
      </c>
      <c r="BM63">
        <v>0</v>
      </c>
      <c r="BN63">
        <v>0</v>
      </c>
      <c r="BO63">
        <v>0</v>
      </c>
      <c r="BP63">
        <v>1</v>
      </c>
      <c r="BQ63">
        <v>0</v>
      </c>
      <c r="BR63">
        <v>0</v>
      </c>
    </row>
    <row r="64" spans="1:72" x14ac:dyDescent="0.2">
      <c r="A64" s="1">
        <v>44588.884027777778</v>
      </c>
      <c r="B64" s="1">
        <v>44588.884722222225</v>
      </c>
      <c r="C64">
        <v>0</v>
      </c>
      <c r="D64">
        <v>1</v>
      </c>
      <c r="E64">
        <v>0</v>
      </c>
      <c r="F64">
        <v>0</v>
      </c>
      <c r="H64">
        <v>1</v>
      </c>
      <c r="I64">
        <v>0</v>
      </c>
      <c r="J64">
        <v>0</v>
      </c>
      <c r="K64">
        <v>0</v>
      </c>
      <c r="L64">
        <v>0</v>
      </c>
      <c r="P64">
        <v>1</v>
      </c>
      <c r="Q64">
        <v>0</v>
      </c>
      <c r="R64">
        <v>0</v>
      </c>
      <c r="S64">
        <v>0</v>
      </c>
      <c r="T64">
        <v>0</v>
      </c>
      <c r="U64">
        <v>0</v>
      </c>
      <c r="V64">
        <v>0</v>
      </c>
      <c r="W64">
        <v>0</v>
      </c>
      <c r="X64">
        <v>0</v>
      </c>
      <c r="Y64">
        <v>0</v>
      </c>
      <c r="Z64">
        <v>0</v>
      </c>
      <c r="AA64">
        <v>0</v>
      </c>
      <c r="AC64">
        <v>0</v>
      </c>
      <c r="AD64">
        <v>0</v>
      </c>
      <c r="AE64">
        <v>0</v>
      </c>
      <c r="AF64">
        <v>0</v>
      </c>
      <c r="AG64">
        <v>0</v>
      </c>
      <c r="AH64">
        <v>0</v>
      </c>
      <c r="AI64">
        <v>1</v>
      </c>
      <c r="AJ64">
        <v>0</v>
      </c>
      <c r="AK64">
        <v>0</v>
      </c>
      <c r="AX64" t="s">
        <v>106</v>
      </c>
      <c r="AZ64" t="s">
        <v>96</v>
      </c>
      <c r="BA64" t="s">
        <v>86</v>
      </c>
      <c r="BB64" t="s">
        <v>86</v>
      </c>
      <c r="BC64" t="s">
        <v>86</v>
      </c>
      <c r="BD64" t="s">
        <v>86</v>
      </c>
      <c r="BE64" t="s">
        <v>86</v>
      </c>
      <c r="BF64" t="s">
        <v>75</v>
      </c>
      <c r="BG64" t="s">
        <v>76</v>
      </c>
      <c r="BH64" t="s">
        <v>98</v>
      </c>
      <c r="BI64" t="s">
        <v>96</v>
      </c>
      <c r="BJ64" t="s">
        <v>109</v>
      </c>
      <c r="BK64">
        <v>0</v>
      </c>
      <c r="BL64">
        <v>0</v>
      </c>
      <c r="BM64">
        <v>0</v>
      </c>
      <c r="BN64">
        <v>0</v>
      </c>
      <c r="BO64">
        <v>0</v>
      </c>
      <c r="BP64">
        <v>1</v>
      </c>
      <c r="BQ64">
        <v>0</v>
      </c>
      <c r="BR64">
        <v>0</v>
      </c>
    </row>
    <row r="65" spans="1:72" x14ac:dyDescent="0.2">
      <c r="A65" s="1">
        <v>44580.216666666667</v>
      </c>
      <c r="B65" s="1">
        <v>44580.220138888886</v>
      </c>
      <c r="C65">
        <v>0</v>
      </c>
      <c r="D65">
        <v>1</v>
      </c>
      <c r="E65">
        <v>0</v>
      </c>
      <c r="F65">
        <v>0</v>
      </c>
      <c r="H65">
        <v>1</v>
      </c>
      <c r="I65">
        <v>0</v>
      </c>
      <c r="J65">
        <v>0</v>
      </c>
      <c r="K65">
        <v>0</v>
      </c>
      <c r="L65">
        <v>0</v>
      </c>
      <c r="P65">
        <v>0</v>
      </c>
      <c r="Q65">
        <v>0</v>
      </c>
      <c r="R65">
        <v>0</v>
      </c>
      <c r="S65">
        <v>1</v>
      </c>
      <c r="T65">
        <v>0</v>
      </c>
      <c r="U65">
        <v>0</v>
      </c>
      <c r="V65">
        <v>0</v>
      </c>
      <c r="W65">
        <v>0</v>
      </c>
      <c r="X65">
        <v>0</v>
      </c>
      <c r="Y65">
        <v>0</v>
      </c>
      <c r="Z65">
        <v>0</v>
      </c>
      <c r="AA65">
        <v>0</v>
      </c>
      <c r="AM65" t="s">
        <v>90</v>
      </c>
      <c r="AN65" t="s">
        <v>82</v>
      </c>
      <c r="AO65" t="s">
        <v>81</v>
      </c>
      <c r="AP65" t="s">
        <v>90</v>
      </c>
      <c r="AQ65" t="s">
        <v>90</v>
      </c>
      <c r="AR65" t="s">
        <v>90</v>
      </c>
      <c r="AS65" t="s">
        <v>90</v>
      </c>
      <c r="AT65" t="s">
        <v>83</v>
      </c>
      <c r="AU65" t="s">
        <v>88</v>
      </c>
      <c r="AV65" t="s">
        <v>89</v>
      </c>
      <c r="AW65" t="s">
        <v>100</v>
      </c>
      <c r="AX65" t="s">
        <v>72</v>
      </c>
      <c r="AZ65" t="s">
        <v>96</v>
      </c>
      <c r="BA65" t="s">
        <v>87</v>
      </c>
      <c r="BB65" t="s">
        <v>87</v>
      </c>
      <c r="BC65" t="s">
        <v>87</v>
      </c>
      <c r="BD65" t="s">
        <v>87</v>
      </c>
      <c r="BE65" t="s">
        <v>87</v>
      </c>
      <c r="BF65" t="s">
        <v>75</v>
      </c>
      <c r="BG65" t="s">
        <v>76</v>
      </c>
      <c r="BH65" t="s">
        <v>98</v>
      </c>
      <c r="BI65" t="s">
        <v>96</v>
      </c>
      <c r="BJ65" t="s">
        <v>94</v>
      </c>
      <c r="BK65">
        <v>0</v>
      </c>
      <c r="BL65">
        <v>0</v>
      </c>
      <c r="BM65">
        <v>0</v>
      </c>
      <c r="BN65">
        <v>0</v>
      </c>
      <c r="BO65">
        <v>0</v>
      </c>
      <c r="BP65">
        <v>1</v>
      </c>
      <c r="BQ65">
        <v>0</v>
      </c>
      <c r="BR65">
        <v>0</v>
      </c>
    </row>
    <row r="66" spans="1:72" x14ac:dyDescent="0.2">
      <c r="A66" s="1">
        <v>44579.970833333333</v>
      </c>
      <c r="B66" s="1">
        <v>44579.972222222219</v>
      </c>
      <c r="C66">
        <v>1</v>
      </c>
      <c r="D66">
        <v>0</v>
      </c>
      <c r="E66">
        <v>0</v>
      </c>
      <c r="F66">
        <v>0</v>
      </c>
      <c r="H66">
        <v>0</v>
      </c>
      <c r="I66">
        <v>1</v>
      </c>
      <c r="J66">
        <v>0</v>
      </c>
      <c r="K66">
        <v>0</v>
      </c>
      <c r="L66">
        <v>0</v>
      </c>
      <c r="N66" t="s">
        <v>88</v>
      </c>
      <c r="O66" t="s">
        <v>89</v>
      </c>
      <c r="P66">
        <v>1</v>
      </c>
      <c r="Q66">
        <v>0</v>
      </c>
      <c r="R66">
        <v>0</v>
      </c>
      <c r="S66">
        <v>0</v>
      </c>
      <c r="T66">
        <v>0</v>
      </c>
      <c r="U66">
        <v>0</v>
      </c>
      <c r="V66">
        <v>0</v>
      </c>
      <c r="W66">
        <v>0</v>
      </c>
      <c r="X66">
        <v>0</v>
      </c>
      <c r="Y66">
        <v>0</v>
      </c>
      <c r="Z66">
        <v>0</v>
      </c>
      <c r="AA66">
        <v>0</v>
      </c>
      <c r="AC66">
        <v>0</v>
      </c>
      <c r="AD66">
        <v>1</v>
      </c>
      <c r="AE66">
        <v>0</v>
      </c>
      <c r="AF66">
        <v>0</v>
      </c>
      <c r="AG66">
        <v>0</v>
      </c>
      <c r="AH66">
        <v>0</v>
      </c>
      <c r="AI66">
        <v>0</v>
      </c>
      <c r="AJ66">
        <v>0</v>
      </c>
      <c r="AK66">
        <v>0</v>
      </c>
      <c r="AX66" t="s">
        <v>72</v>
      </c>
      <c r="AZ66" t="s">
        <v>73</v>
      </c>
      <c r="BA66" t="s">
        <v>87</v>
      </c>
      <c r="BB66" t="s">
        <v>87</v>
      </c>
      <c r="BC66" t="s">
        <v>87</v>
      </c>
      <c r="BD66" t="s">
        <v>86</v>
      </c>
      <c r="BE66" t="s">
        <v>86</v>
      </c>
      <c r="BF66" t="s">
        <v>108</v>
      </c>
      <c r="BG66" t="s">
        <v>76</v>
      </c>
      <c r="BH66" t="s">
        <v>77</v>
      </c>
      <c r="BI66" t="s">
        <v>73</v>
      </c>
      <c r="BJ66" t="s">
        <v>78</v>
      </c>
      <c r="BK66">
        <v>0</v>
      </c>
      <c r="BL66">
        <v>0</v>
      </c>
      <c r="BM66">
        <v>0</v>
      </c>
      <c r="BN66">
        <v>0</v>
      </c>
      <c r="BO66">
        <v>0</v>
      </c>
      <c r="BP66">
        <v>1</v>
      </c>
      <c r="BQ66">
        <v>0</v>
      </c>
      <c r="BR66">
        <v>0</v>
      </c>
    </row>
    <row r="67" spans="1:72" x14ac:dyDescent="0.2">
      <c r="A67" s="1">
        <v>44579.98541666667</v>
      </c>
      <c r="B67" s="1">
        <v>44579.986805555556</v>
      </c>
      <c r="C67">
        <v>1</v>
      </c>
      <c r="D67">
        <v>0</v>
      </c>
      <c r="E67">
        <v>0</v>
      </c>
      <c r="F67">
        <v>0</v>
      </c>
      <c r="H67">
        <v>0</v>
      </c>
      <c r="I67">
        <v>1</v>
      </c>
      <c r="J67">
        <v>1</v>
      </c>
      <c r="K67">
        <v>1</v>
      </c>
      <c r="L67">
        <v>0</v>
      </c>
      <c r="N67" t="s">
        <v>88</v>
      </c>
      <c r="O67" t="s">
        <v>89</v>
      </c>
      <c r="P67">
        <v>0</v>
      </c>
      <c r="Q67">
        <v>0</v>
      </c>
      <c r="R67">
        <v>1</v>
      </c>
      <c r="S67">
        <v>0</v>
      </c>
      <c r="T67">
        <v>0</v>
      </c>
      <c r="U67">
        <v>0</v>
      </c>
      <c r="V67">
        <v>0</v>
      </c>
      <c r="W67">
        <v>0</v>
      </c>
      <c r="X67">
        <v>0</v>
      </c>
      <c r="Y67">
        <v>0</v>
      </c>
      <c r="Z67">
        <v>0</v>
      </c>
      <c r="AA67">
        <v>0</v>
      </c>
      <c r="AM67" t="s">
        <v>81</v>
      </c>
      <c r="AN67" t="s">
        <v>82</v>
      </c>
      <c r="AO67" t="s">
        <v>82</v>
      </c>
      <c r="AP67" t="s">
        <v>82</v>
      </c>
      <c r="AQ67" t="s">
        <v>82</v>
      </c>
      <c r="AR67" t="s">
        <v>83</v>
      </c>
      <c r="AS67" t="s">
        <v>81</v>
      </c>
      <c r="AT67" t="s">
        <v>81</v>
      </c>
      <c r="AU67" t="s">
        <v>88</v>
      </c>
      <c r="AV67" t="s">
        <v>89</v>
      </c>
      <c r="AW67" t="s">
        <v>100</v>
      </c>
      <c r="AZ67" t="s">
        <v>73</v>
      </c>
      <c r="BA67" t="s">
        <v>87</v>
      </c>
      <c r="BB67" t="s">
        <v>87</v>
      </c>
      <c r="BC67" t="s">
        <v>87</v>
      </c>
      <c r="BD67" t="s">
        <v>87</v>
      </c>
      <c r="BE67" t="s">
        <v>87</v>
      </c>
      <c r="BF67" t="s">
        <v>97</v>
      </c>
      <c r="BG67" t="s">
        <v>76</v>
      </c>
      <c r="BH67" t="s">
        <v>98</v>
      </c>
      <c r="BI67" t="s">
        <v>73</v>
      </c>
      <c r="BJ67" t="s">
        <v>78</v>
      </c>
      <c r="BK67">
        <v>0</v>
      </c>
      <c r="BL67">
        <v>0</v>
      </c>
      <c r="BM67">
        <v>0</v>
      </c>
      <c r="BN67">
        <v>0</v>
      </c>
      <c r="BO67">
        <v>0</v>
      </c>
      <c r="BP67">
        <v>1</v>
      </c>
      <c r="BQ67">
        <v>0</v>
      </c>
      <c r="BR67">
        <v>0</v>
      </c>
    </row>
    <row r="68" spans="1:72" x14ac:dyDescent="0.2">
      <c r="A68" s="1">
        <v>44579.782638888886</v>
      </c>
      <c r="B68" s="1">
        <v>44579.784722222219</v>
      </c>
      <c r="C68">
        <v>1</v>
      </c>
      <c r="D68">
        <v>0</v>
      </c>
      <c r="E68">
        <v>0</v>
      </c>
      <c r="F68">
        <v>0</v>
      </c>
      <c r="H68">
        <v>1</v>
      </c>
      <c r="I68">
        <v>0</v>
      </c>
      <c r="J68">
        <v>0</v>
      </c>
      <c r="K68">
        <v>0</v>
      </c>
      <c r="L68">
        <v>0</v>
      </c>
      <c r="P68">
        <v>1</v>
      </c>
      <c r="Q68">
        <v>0</v>
      </c>
      <c r="R68">
        <v>0</v>
      </c>
      <c r="S68">
        <v>0</v>
      </c>
      <c r="T68">
        <v>0</v>
      </c>
      <c r="U68">
        <v>0</v>
      </c>
      <c r="V68">
        <v>0</v>
      </c>
      <c r="W68">
        <v>0</v>
      </c>
      <c r="X68">
        <v>0</v>
      </c>
      <c r="Y68">
        <v>0</v>
      </c>
      <c r="Z68">
        <v>0</v>
      </c>
      <c r="AA68">
        <v>0</v>
      </c>
      <c r="AC68">
        <v>0</v>
      </c>
      <c r="AD68">
        <v>0</v>
      </c>
      <c r="AE68">
        <v>0</v>
      </c>
      <c r="AF68">
        <v>0</v>
      </c>
      <c r="AG68">
        <v>0</v>
      </c>
      <c r="AH68">
        <v>0</v>
      </c>
      <c r="AI68">
        <v>1</v>
      </c>
      <c r="AJ68">
        <v>0</v>
      </c>
      <c r="AK68">
        <v>0</v>
      </c>
      <c r="AX68" t="s">
        <v>122</v>
      </c>
      <c r="AZ68" t="s">
        <v>73</v>
      </c>
      <c r="BA68" t="s">
        <v>74</v>
      </c>
      <c r="BF68" t="s">
        <v>75</v>
      </c>
      <c r="BG68" t="s">
        <v>76</v>
      </c>
      <c r="BH68" t="s">
        <v>98</v>
      </c>
      <c r="BI68" t="s">
        <v>73</v>
      </c>
      <c r="BJ68" t="s">
        <v>114</v>
      </c>
      <c r="BK68">
        <v>0</v>
      </c>
      <c r="BL68">
        <v>0</v>
      </c>
      <c r="BM68">
        <v>0</v>
      </c>
      <c r="BN68">
        <v>0</v>
      </c>
      <c r="BO68">
        <v>0</v>
      </c>
      <c r="BP68">
        <v>1</v>
      </c>
      <c r="BQ68">
        <v>0</v>
      </c>
      <c r="BR68">
        <v>0</v>
      </c>
    </row>
    <row r="69" spans="1:72" x14ac:dyDescent="0.2">
      <c r="A69" s="1">
        <v>44579.94027777778</v>
      </c>
      <c r="B69" s="1">
        <v>44579.943055555559</v>
      </c>
      <c r="C69">
        <v>0</v>
      </c>
      <c r="D69">
        <v>1</v>
      </c>
      <c r="E69">
        <v>0</v>
      </c>
      <c r="F69">
        <v>0</v>
      </c>
      <c r="H69">
        <v>0</v>
      </c>
      <c r="I69">
        <v>1</v>
      </c>
      <c r="J69">
        <v>1</v>
      </c>
      <c r="K69">
        <v>1</v>
      </c>
      <c r="L69">
        <v>0</v>
      </c>
      <c r="N69" t="s">
        <v>88</v>
      </c>
      <c r="O69" t="s">
        <v>89</v>
      </c>
      <c r="P69">
        <v>0</v>
      </c>
      <c r="Q69">
        <v>1</v>
      </c>
      <c r="R69">
        <v>0</v>
      </c>
      <c r="S69">
        <v>0</v>
      </c>
      <c r="T69">
        <v>0</v>
      </c>
      <c r="U69">
        <v>0</v>
      </c>
      <c r="V69">
        <v>0</v>
      </c>
      <c r="W69">
        <v>0</v>
      </c>
      <c r="X69">
        <v>0</v>
      </c>
      <c r="Y69">
        <v>0</v>
      </c>
      <c r="Z69">
        <v>0</v>
      </c>
      <c r="AA69">
        <v>0</v>
      </c>
      <c r="AM69" t="s">
        <v>90</v>
      </c>
      <c r="AN69" t="s">
        <v>82</v>
      </c>
      <c r="AO69" t="s">
        <v>82</v>
      </c>
      <c r="AP69" t="s">
        <v>82</v>
      </c>
      <c r="AQ69" t="s">
        <v>81</v>
      </c>
      <c r="AR69" t="s">
        <v>90</v>
      </c>
      <c r="AS69" t="s">
        <v>81</v>
      </c>
      <c r="AT69" t="s">
        <v>81</v>
      </c>
      <c r="AU69" t="s">
        <v>88</v>
      </c>
      <c r="AV69" t="s">
        <v>89</v>
      </c>
      <c r="AW69" t="s">
        <v>100</v>
      </c>
      <c r="AX69" t="s">
        <v>110</v>
      </c>
      <c r="AY69" t="s">
        <v>156</v>
      </c>
      <c r="AZ69" t="s">
        <v>96</v>
      </c>
      <c r="BA69" t="s">
        <v>87</v>
      </c>
      <c r="BB69" t="s">
        <v>87</v>
      </c>
      <c r="BC69" t="s">
        <v>87</v>
      </c>
      <c r="BD69" t="s">
        <v>87</v>
      </c>
      <c r="BE69" t="s">
        <v>87</v>
      </c>
      <c r="BF69" t="s">
        <v>113</v>
      </c>
      <c r="BG69" t="s">
        <v>76</v>
      </c>
      <c r="BH69" t="s">
        <v>98</v>
      </c>
      <c r="BI69" t="s">
        <v>96</v>
      </c>
      <c r="BJ69" t="s">
        <v>94</v>
      </c>
      <c r="BK69">
        <v>0</v>
      </c>
      <c r="BL69">
        <v>1</v>
      </c>
      <c r="BM69">
        <v>0</v>
      </c>
      <c r="BN69">
        <v>0</v>
      </c>
      <c r="BO69">
        <v>0</v>
      </c>
      <c r="BP69">
        <v>1</v>
      </c>
      <c r="BQ69">
        <v>0</v>
      </c>
      <c r="BR69">
        <v>0</v>
      </c>
    </row>
    <row r="70" spans="1:72" x14ac:dyDescent="0.2">
      <c r="A70" s="1">
        <v>44579.895833333336</v>
      </c>
      <c r="B70" s="1">
        <v>44579.9</v>
      </c>
      <c r="C70">
        <v>0</v>
      </c>
      <c r="D70">
        <v>1</v>
      </c>
      <c r="E70">
        <v>0</v>
      </c>
      <c r="F70">
        <v>0</v>
      </c>
      <c r="H70">
        <v>0</v>
      </c>
      <c r="I70">
        <v>0</v>
      </c>
      <c r="J70">
        <v>0</v>
      </c>
      <c r="K70">
        <v>0</v>
      </c>
      <c r="L70">
        <v>1</v>
      </c>
      <c r="M70" t="s">
        <v>157</v>
      </c>
      <c r="N70" t="s">
        <v>135</v>
      </c>
      <c r="O70" t="s">
        <v>89</v>
      </c>
      <c r="P70">
        <v>0</v>
      </c>
      <c r="Q70">
        <v>0</v>
      </c>
      <c r="R70">
        <v>0</v>
      </c>
      <c r="S70">
        <v>1</v>
      </c>
      <c r="T70">
        <v>0</v>
      </c>
      <c r="U70">
        <v>0</v>
      </c>
      <c r="V70">
        <v>0</v>
      </c>
      <c r="W70">
        <v>0</v>
      </c>
      <c r="X70">
        <v>0</v>
      </c>
      <c r="Y70">
        <v>0</v>
      </c>
      <c r="Z70">
        <v>0</v>
      </c>
      <c r="AA70">
        <v>0</v>
      </c>
      <c r="AM70" t="s">
        <v>83</v>
      </c>
      <c r="AN70" t="s">
        <v>82</v>
      </c>
      <c r="AO70" t="s">
        <v>81</v>
      </c>
      <c r="AP70" t="s">
        <v>82</v>
      </c>
      <c r="AQ70" t="s">
        <v>83</v>
      </c>
      <c r="AR70" t="s">
        <v>81</v>
      </c>
      <c r="AS70" t="s">
        <v>83</v>
      </c>
      <c r="AT70" t="s">
        <v>83</v>
      </c>
      <c r="AU70" t="s">
        <v>88</v>
      </c>
      <c r="AV70" t="s">
        <v>89</v>
      </c>
      <c r="AW70" t="s">
        <v>100</v>
      </c>
      <c r="AZ70" t="s">
        <v>73</v>
      </c>
      <c r="BA70" t="s">
        <v>87</v>
      </c>
      <c r="BB70" t="s">
        <v>87</v>
      </c>
      <c r="BC70" t="s">
        <v>87</v>
      </c>
      <c r="BD70" t="s">
        <v>87</v>
      </c>
      <c r="BE70" t="s">
        <v>87</v>
      </c>
      <c r="BF70" t="s">
        <v>101</v>
      </c>
      <c r="BG70" t="s">
        <v>76</v>
      </c>
      <c r="BH70" t="s">
        <v>98</v>
      </c>
      <c r="BI70" t="s">
        <v>73</v>
      </c>
      <c r="BJ70" t="s">
        <v>114</v>
      </c>
      <c r="BK70">
        <v>0</v>
      </c>
      <c r="BL70">
        <v>0</v>
      </c>
      <c r="BM70">
        <v>0</v>
      </c>
      <c r="BN70">
        <v>0</v>
      </c>
      <c r="BO70">
        <v>0</v>
      </c>
      <c r="BP70">
        <v>1</v>
      </c>
      <c r="BQ70">
        <v>0</v>
      </c>
      <c r="BR70">
        <v>0</v>
      </c>
    </row>
    <row r="71" spans="1:72" x14ac:dyDescent="0.2">
      <c r="A71" s="1">
        <v>44580.004861111112</v>
      </c>
      <c r="B71" s="1">
        <v>44580.007638888892</v>
      </c>
      <c r="C71">
        <v>0</v>
      </c>
      <c r="D71">
        <v>1</v>
      </c>
      <c r="E71">
        <v>0</v>
      </c>
      <c r="F71">
        <v>0</v>
      </c>
      <c r="H71">
        <v>1</v>
      </c>
      <c r="I71">
        <v>0</v>
      </c>
      <c r="J71">
        <v>0</v>
      </c>
      <c r="K71">
        <v>0</v>
      </c>
      <c r="L71">
        <v>0</v>
      </c>
      <c r="P71">
        <v>1</v>
      </c>
      <c r="Q71">
        <v>0</v>
      </c>
      <c r="R71">
        <v>0</v>
      </c>
      <c r="S71">
        <v>0</v>
      </c>
      <c r="T71">
        <v>0</v>
      </c>
      <c r="U71">
        <v>0</v>
      </c>
      <c r="V71">
        <v>0</v>
      </c>
      <c r="W71">
        <v>0</v>
      </c>
      <c r="X71">
        <v>0</v>
      </c>
      <c r="Y71">
        <v>0</v>
      </c>
      <c r="Z71">
        <v>0</v>
      </c>
      <c r="AA71">
        <v>0</v>
      </c>
      <c r="AC71">
        <v>0</v>
      </c>
      <c r="AD71">
        <v>1</v>
      </c>
      <c r="AE71">
        <v>0</v>
      </c>
      <c r="AF71">
        <v>0</v>
      </c>
      <c r="AG71">
        <v>0</v>
      </c>
      <c r="AH71">
        <v>0</v>
      </c>
      <c r="AI71">
        <v>0</v>
      </c>
      <c r="AJ71">
        <v>0</v>
      </c>
      <c r="AK71">
        <v>0</v>
      </c>
      <c r="AZ71" t="s">
        <v>96</v>
      </c>
      <c r="BA71" t="s">
        <v>87</v>
      </c>
      <c r="BB71" t="s">
        <v>87</v>
      </c>
      <c r="BC71" t="s">
        <v>87</v>
      </c>
      <c r="BD71" t="s">
        <v>86</v>
      </c>
      <c r="BE71" t="s">
        <v>86</v>
      </c>
      <c r="BF71" t="s">
        <v>97</v>
      </c>
      <c r="BG71" t="s">
        <v>92</v>
      </c>
      <c r="BH71" t="s">
        <v>158</v>
      </c>
      <c r="BI71" t="s">
        <v>96</v>
      </c>
      <c r="BJ71" t="s">
        <v>78</v>
      </c>
      <c r="BK71">
        <v>1</v>
      </c>
      <c r="BL71">
        <v>0</v>
      </c>
      <c r="BM71">
        <v>0</v>
      </c>
      <c r="BN71">
        <v>0</v>
      </c>
      <c r="BO71">
        <v>0</v>
      </c>
      <c r="BP71">
        <v>0</v>
      </c>
      <c r="BQ71">
        <v>0</v>
      </c>
      <c r="BR71">
        <v>0</v>
      </c>
    </row>
    <row r="72" spans="1:72" x14ac:dyDescent="0.2">
      <c r="A72" s="1">
        <v>44580.036111111112</v>
      </c>
      <c r="B72" s="1">
        <v>44589.075694444444</v>
      </c>
      <c r="C72">
        <v>1</v>
      </c>
      <c r="D72">
        <v>0</v>
      </c>
      <c r="E72">
        <v>0</v>
      </c>
      <c r="F72">
        <v>0</v>
      </c>
      <c r="H72">
        <v>0</v>
      </c>
      <c r="I72">
        <v>1</v>
      </c>
      <c r="J72">
        <v>1</v>
      </c>
      <c r="K72">
        <v>0</v>
      </c>
      <c r="L72">
        <v>0</v>
      </c>
      <c r="N72" t="s">
        <v>88</v>
      </c>
      <c r="O72" t="s">
        <v>89</v>
      </c>
      <c r="P72">
        <v>0</v>
      </c>
      <c r="Q72">
        <v>0</v>
      </c>
      <c r="R72">
        <v>1</v>
      </c>
      <c r="S72">
        <v>0</v>
      </c>
      <c r="T72">
        <v>0</v>
      </c>
      <c r="U72">
        <v>0</v>
      </c>
      <c r="V72">
        <v>0</v>
      </c>
      <c r="W72">
        <v>0</v>
      </c>
      <c r="X72">
        <v>0</v>
      </c>
      <c r="Y72">
        <v>0</v>
      </c>
      <c r="Z72">
        <v>0</v>
      </c>
      <c r="AA72">
        <v>0</v>
      </c>
      <c r="AM72" t="s">
        <v>81</v>
      </c>
      <c r="AN72" t="s">
        <v>81</v>
      </c>
      <c r="AO72" t="s">
        <v>83</v>
      </c>
      <c r="AP72" t="s">
        <v>81</v>
      </c>
      <c r="AQ72" t="s">
        <v>81</v>
      </c>
      <c r="AR72" t="s">
        <v>81</v>
      </c>
      <c r="AS72" t="s">
        <v>82</v>
      </c>
      <c r="AT72" t="s">
        <v>83</v>
      </c>
      <c r="AU72" t="s">
        <v>88</v>
      </c>
      <c r="AV72" t="s">
        <v>89</v>
      </c>
      <c r="AW72" t="s">
        <v>85</v>
      </c>
      <c r="AX72" t="s">
        <v>122</v>
      </c>
      <c r="AZ72" t="s">
        <v>73</v>
      </c>
      <c r="BA72" t="s">
        <v>86</v>
      </c>
      <c r="BB72" t="s">
        <v>87</v>
      </c>
      <c r="BC72" t="s">
        <v>87</v>
      </c>
      <c r="BD72" t="s">
        <v>87</v>
      </c>
      <c r="BE72" t="s">
        <v>86</v>
      </c>
      <c r="BF72" t="s">
        <v>113</v>
      </c>
      <c r="BG72" t="s">
        <v>92</v>
      </c>
      <c r="BH72" t="s">
        <v>98</v>
      </c>
      <c r="BI72" t="s">
        <v>73</v>
      </c>
      <c r="BJ72" t="s">
        <v>109</v>
      </c>
      <c r="BK72">
        <v>1</v>
      </c>
      <c r="BL72">
        <v>0</v>
      </c>
      <c r="BM72">
        <v>0</v>
      </c>
      <c r="BN72">
        <v>0</v>
      </c>
      <c r="BO72">
        <v>0</v>
      </c>
      <c r="BP72">
        <v>0</v>
      </c>
      <c r="BQ72">
        <v>0</v>
      </c>
      <c r="BR72">
        <v>0</v>
      </c>
    </row>
    <row r="73" spans="1:72" x14ac:dyDescent="0.2">
      <c r="A73" s="1">
        <v>44588.994444444441</v>
      </c>
      <c r="B73" s="1">
        <v>44588.995833333334</v>
      </c>
      <c r="C73">
        <v>1</v>
      </c>
      <c r="D73">
        <v>0</v>
      </c>
      <c r="E73">
        <v>0</v>
      </c>
      <c r="F73">
        <v>0</v>
      </c>
      <c r="H73">
        <v>1</v>
      </c>
      <c r="I73">
        <v>0</v>
      </c>
      <c r="J73">
        <v>0</v>
      </c>
      <c r="K73">
        <v>0</v>
      </c>
      <c r="L73">
        <v>0</v>
      </c>
      <c r="P73">
        <v>0</v>
      </c>
      <c r="Q73">
        <v>0</v>
      </c>
      <c r="R73">
        <v>1</v>
      </c>
      <c r="S73">
        <v>0</v>
      </c>
      <c r="T73">
        <v>0</v>
      </c>
      <c r="U73">
        <v>0</v>
      </c>
      <c r="V73">
        <v>0</v>
      </c>
      <c r="W73">
        <v>0</v>
      </c>
      <c r="X73">
        <v>0</v>
      </c>
      <c r="Y73">
        <v>0</v>
      </c>
      <c r="Z73">
        <v>0</v>
      </c>
      <c r="AA73">
        <v>0</v>
      </c>
      <c r="AM73" t="s">
        <v>83</v>
      </c>
      <c r="AN73" t="s">
        <v>81</v>
      </c>
      <c r="AO73" t="s">
        <v>83</v>
      </c>
      <c r="AP73" t="s">
        <v>81</v>
      </c>
      <c r="AQ73" t="s">
        <v>82</v>
      </c>
      <c r="AR73" t="s">
        <v>81</v>
      </c>
      <c r="AS73" t="s">
        <v>83</v>
      </c>
      <c r="AT73" t="s">
        <v>81</v>
      </c>
      <c r="AU73" t="s">
        <v>88</v>
      </c>
      <c r="AV73" t="s">
        <v>80</v>
      </c>
      <c r="AW73" t="s">
        <v>100</v>
      </c>
      <c r="AZ73" t="s">
        <v>73</v>
      </c>
      <c r="BA73" t="s">
        <v>87</v>
      </c>
      <c r="BB73" t="s">
        <v>87</v>
      </c>
      <c r="BC73" t="s">
        <v>87</v>
      </c>
      <c r="BD73" t="s">
        <v>87</v>
      </c>
      <c r="BE73" t="s">
        <v>87</v>
      </c>
      <c r="BF73" t="s">
        <v>159</v>
      </c>
      <c r="BG73" t="s">
        <v>76</v>
      </c>
      <c r="BH73" t="s">
        <v>93</v>
      </c>
      <c r="BI73" t="s">
        <v>73</v>
      </c>
      <c r="BJ73" t="s">
        <v>114</v>
      </c>
      <c r="BK73">
        <v>1</v>
      </c>
      <c r="BL73">
        <v>0</v>
      </c>
      <c r="BM73">
        <v>0</v>
      </c>
      <c r="BN73">
        <v>0</v>
      </c>
      <c r="BO73">
        <v>0</v>
      </c>
      <c r="BP73">
        <v>0</v>
      </c>
      <c r="BQ73">
        <v>0</v>
      </c>
      <c r="BR73">
        <v>0</v>
      </c>
    </row>
    <row r="74" spans="1:72" x14ac:dyDescent="0.2">
      <c r="A74" s="1">
        <v>44588.897222222222</v>
      </c>
      <c r="B74" s="1">
        <v>44588.898611111108</v>
      </c>
      <c r="C74">
        <v>0</v>
      </c>
      <c r="D74">
        <v>1</v>
      </c>
      <c r="E74">
        <v>0</v>
      </c>
      <c r="F74">
        <v>0</v>
      </c>
      <c r="H74">
        <v>1</v>
      </c>
      <c r="I74">
        <v>0</v>
      </c>
      <c r="J74">
        <v>0</v>
      </c>
      <c r="K74">
        <v>0</v>
      </c>
      <c r="L74">
        <v>0</v>
      </c>
      <c r="P74">
        <v>1</v>
      </c>
      <c r="Q74">
        <v>0</v>
      </c>
      <c r="R74">
        <v>0</v>
      </c>
      <c r="S74">
        <v>0</v>
      </c>
      <c r="T74">
        <v>0</v>
      </c>
      <c r="U74">
        <v>0</v>
      </c>
      <c r="V74">
        <v>0</v>
      </c>
      <c r="W74">
        <v>0</v>
      </c>
      <c r="X74">
        <v>0</v>
      </c>
      <c r="Y74">
        <v>0</v>
      </c>
      <c r="Z74">
        <v>0</v>
      </c>
      <c r="AA74">
        <v>0</v>
      </c>
      <c r="AC74">
        <v>0</v>
      </c>
      <c r="AD74">
        <v>0</v>
      </c>
      <c r="AE74">
        <v>0</v>
      </c>
      <c r="AF74">
        <v>0</v>
      </c>
      <c r="AG74">
        <v>0</v>
      </c>
      <c r="AH74">
        <v>0</v>
      </c>
      <c r="AI74">
        <v>0</v>
      </c>
      <c r="AJ74">
        <v>0</v>
      </c>
      <c r="AK74">
        <v>1</v>
      </c>
      <c r="AL74" t="s">
        <v>160</v>
      </c>
      <c r="AZ74" t="s">
        <v>96</v>
      </c>
      <c r="BA74" t="s">
        <v>74</v>
      </c>
      <c r="BF74" t="s">
        <v>101</v>
      </c>
      <c r="BG74" t="s">
        <v>92</v>
      </c>
      <c r="BH74" t="s">
        <v>158</v>
      </c>
      <c r="BI74" t="s">
        <v>96</v>
      </c>
      <c r="BJ74" t="s">
        <v>114</v>
      </c>
      <c r="BK74">
        <v>1</v>
      </c>
      <c r="BL74">
        <v>0</v>
      </c>
      <c r="BM74">
        <v>0</v>
      </c>
      <c r="BN74">
        <v>0</v>
      </c>
      <c r="BO74">
        <v>0</v>
      </c>
      <c r="BP74">
        <v>0</v>
      </c>
      <c r="BQ74">
        <v>0</v>
      </c>
      <c r="BR74">
        <v>0</v>
      </c>
    </row>
    <row r="75" spans="1:72" x14ac:dyDescent="0.2">
      <c r="A75" s="1">
        <v>44579.927083333336</v>
      </c>
      <c r="B75" s="1">
        <v>44579.932638888888</v>
      </c>
      <c r="C75">
        <v>0</v>
      </c>
      <c r="D75">
        <v>1</v>
      </c>
      <c r="E75">
        <v>0</v>
      </c>
      <c r="F75">
        <v>0</v>
      </c>
      <c r="H75">
        <v>0</v>
      </c>
      <c r="I75">
        <v>1</v>
      </c>
      <c r="J75">
        <v>1</v>
      </c>
      <c r="K75">
        <v>1</v>
      </c>
      <c r="L75">
        <v>0</v>
      </c>
      <c r="N75" t="s">
        <v>88</v>
      </c>
      <c r="O75" t="s">
        <v>89</v>
      </c>
      <c r="P75">
        <v>0</v>
      </c>
      <c r="Q75">
        <v>1</v>
      </c>
      <c r="R75">
        <v>0</v>
      </c>
      <c r="S75">
        <v>0</v>
      </c>
      <c r="T75">
        <v>0</v>
      </c>
      <c r="U75">
        <v>0</v>
      </c>
      <c r="V75">
        <v>0</v>
      </c>
      <c r="W75">
        <v>0</v>
      </c>
      <c r="X75">
        <v>0</v>
      </c>
      <c r="Y75">
        <v>0</v>
      </c>
      <c r="Z75">
        <v>0</v>
      </c>
      <c r="AA75">
        <v>1</v>
      </c>
      <c r="AB75" t="s">
        <v>161</v>
      </c>
      <c r="AM75" t="s">
        <v>83</v>
      </c>
      <c r="AN75" t="s">
        <v>82</v>
      </c>
      <c r="AO75" t="s">
        <v>81</v>
      </c>
      <c r="AP75" t="s">
        <v>82</v>
      </c>
      <c r="AQ75" t="s">
        <v>83</v>
      </c>
      <c r="AR75" t="s">
        <v>90</v>
      </c>
      <c r="AS75" t="s">
        <v>90</v>
      </c>
      <c r="AT75" t="s">
        <v>83</v>
      </c>
      <c r="AU75" t="s">
        <v>88</v>
      </c>
      <c r="AV75" t="s">
        <v>89</v>
      </c>
      <c r="AW75" t="s">
        <v>117</v>
      </c>
      <c r="AX75" t="s">
        <v>110</v>
      </c>
      <c r="AY75" t="s">
        <v>162</v>
      </c>
      <c r="AZ75" t="s">
        <v>96</v>
      </c>
      <c r="BA75" t="s">
        <v>86</v>
      </c>
      <c r="BB75" t="s">
        <v>87</v>
      </c>
      <c r="BC75" t="s">
        <v>87</v>
      </c>
      <c r="BD75" t="s">
        <v>87</v>
      </c>
      <c r="BE75" t="s">
        <v>74</v>
      </c>
      <c r="BF75" t="s">
        <v>113</v>
      </c>
      <c r="BG75" t="s">
        <v>76</v>
      </c>
      <c r="BH75" t="s">
        <v>77</v>
      </c>
      <c r="BI75" t="s">
        <v>96</v>
      </c>
      <c r="BJ75" t="s">
        <v>114</v>
      </c>
      <c r="BK75">
        <v>1</v>
      </c>
      <c r="BL75">
        <v>0</v>
      </c>
      <c r="BM75">
        <v>0</v>
      </c>
      <c r="BN75">
        <v>0</v>
      </c>
      <c r="BO75">
        <v>0</v>
      </c>
      <c r="BP75">
        <v>0</v>
      </c>
      <c r="BQ75">
        <v>0</v>
      </c>
      <c r="BR75">
        <v>0</v>
      </c>
    </row>
    <row r="76" spans="1:72" x14ac:dyDescent="0.2">
      <c r="A76" s="1">
        <v>44579.877083333333</v>
      </c>
      <c r="B76" s="1">
        <v>44579.881249999999</v>
      </c>
      <c r="C76">
        <v>1</v>
      </c>
      <c r="D76">
        <v>0</v>
      </c>
      <c r="E76">
        <v>0</v>
      </c>
      <c r="F76">
        <v>0</v>
      </c>
      <c r="H76">
        <v>1</v>
      </c>
      <c r="I76">
        <v>0</v>
      </c>
      <c r="J76">
        <v>0</v>
      </c>
      <c r="K76">
        <v>0</v>
      </c>
      <c r="L76">
        <v>0</v>
      </c>
      <c r="P76">
        <v>0</v>
      </c>
      <c r="Q76">
        <v>1</v>
      </c>
      <c r="R76">
        <v>0</v>
      </c>
      <c r="S76">
        <v>0</v>
      </c>
      <c r="T76">
        <v>0</v>
      </c>
      <c r="U76">
        <v>0</v>
      </c>
      <c r="V76">
        <v>0</v>
      </c>
      <c r="W76">
        <v>0</v>
      </c>
      <c r="X76">
        <v>0</v>
      </c>
      <c r="Y76">
        <v>0</v>
      </c>
      <c r="Z76">
        <v>0</v>
      </c>
      <c r="AA76">
        <v>0</v>
      </c>
      <c r="AM76" t="s">
        <v>90</v>
      </c>
      <c r="AN76" t="s">
        <v>82</v>
      </c>
      <c r="AO76" t="s">
        <v>81</v>
      </c>
      <c r="AP76" t="s">
        <v>83</v>
      </c>
      <c r="AQ76" t="s">
        <v>90</v>
      </c>
      <c r="AR76" t="s">
        <v>90</v>
      </c>
      <c r="AS76" t="s">
        <v>90</v>
      </c>
      <c r="AT76" t="s">
        <v>83</v>
      </c>
      <c r="AU76" t="s">
        <v>88</v>
      </c>
      <c r="AV76" t="s">
        <v>89</v>
      </c>
      <c r="AW76" t="s">
        <v>100</v>
      </c>
      <c r="AZ76" t="s">
        <v>73</v>
      </c>
      <c r="BA76" t="s">
        <v>87</v>
      </c>
      <c r="BB76" t="s">
        <v>87</v>
      </c>
      <c r="BC76" t="s">
        <v>87</v>
      </c>
      <c r="BD76" t="s">
        <v>87</v>
      </c>
      <c r="BE76" t="s">
        <v>87</v>
      </c>
      <c r="BF76" t="s">
        <v>97</v>
      </c>
      <c r="BG76" t="s">
        <v>76</v>
      </c>
      <c r="BH76" t="s">
        <v>158</v>
      </c>
      <c r="BI76" t="s">
        <v>73</v>
      </c>
      <c r="BJ76" t="s">
        <v>114</v>
      </c>
      <c r="BK76">
        <v>1</v>
      </c>
      <c r="BL76">
        <v>0</v>
      </c>
      <c r="BM76">
        <v>0</v>
      </c>
      <c r="BN76">
        <v>0</v>
      </c>
      <c r="BO76">
        <v>0</v>
      </c>
      <c r="BP76">
        <v>0</v>
      </c>
      <c r="BQ76">
        <v>0</v>
      </c>
      <c r="BR76">
        <v>0</v>
      </c>
    </row>
    <row r="77" spans="1:72" x14ac:dyDescent="0.2">
      <c r="A77" s="1">
        <v>44588.880555555559</v>
      </c>
      <c r="B77" s="1">
        <v>44588.883333333331</v>
      </c>
      <c r="C77">
        <v>0</v>
      </c>
      <c r="D77">
        <v>1</v>
      </c>
      <c r="E77">
        <v>0</v>
      </c>
      <c r="F77">
        <v>0</v>
      </c>
      <c r="H77">
        <v>0</v>
      </c>
      <c r="I77">
        <v>1</v>
      </c>
      <c r="J77">
        <v>0</v>
      </c>
      <c r="K77">
        <v>0</v>
      </c>
      <c r="L77">
        <v>0</v>
      </c>
      <c r="N77" t="s">
        <v>88</v>
      </c>
      <c r="O77" t="s">
        <v>80</v>
      </c>
      <c r="P77">
        <v>0</v>
      </c>
      <c r="Q77">
        <v>0</v>
      </c>
      <c r="R77">
        <v>0</v>
      </c>
      <c r="S77">
        <v>0</v>
      </c>
      <c r="T77">
        <v>1</v>
      </c>
      <c r="U77">
        <v>0</v>
      </c>
      <c r="V77">
        <v>0</v>
      </c>
      <c r="W77">
        <v>0</v>
      </c>
      <c r="X77">
        <v>0</v>
      </c>
      <c r="Y77">
        <v>0</v>
      </c>
      <c r="Z77">
        <v>0</v>
      </c>
      <c r="AA77">
        <v>0</v>
      </c>
      <c r="AM77" t="s">
        <v>83</v>
      </c>
      <c r="AN77" t="s">
        <v>82</v>
      </c>
      <c r="AO77" t="s">
        <v>83</v>
      </c>
      <c r="AP77" t="s">
        <v>81</v>
      </c>
      <c r="AQ77" t="s">
        <v>82</v>
      </c>
      <c r="AR77" t="s">
        <v>83</v>
      </c>
      <c r="AS77" t="s">
        <v>83</v>
      </c>
      <c r="AT77" t="s">
        <v>83</v>
      </c>
      <c r="AU77" t="s">
        <v>88</v>
      </c>
      <c r="AV77" t="s">
        <v>80</v>
      </c>
      <c r="AW77" t="s">
        <v>85</v>
      </c>
      <c r="AX77" t="s">
        <v>126</v>
      </c>
      <c r="AZ77" t="s">
        <v>120</v>
      </c>
      <c r="BA77" t="s">
        <v>87</v>
      </c>
      <c r="BB77" t="s">
        <v>87</v>
      </c>
      <c r="BC77" t="s">
        <v>87</v>
      </c>
      <c r="BD77" t="s">
        <v>86</v>
      </c>
      <c r="BE77" t="s">
        <v>86</v>
      </c>
      <c r="BF77" t="s">
        <v>108</v>
      </c>
      <c r="BG77" t="s">
        <v>76</v>
      </c>
      <c r="BH77" t="s">
        <v>77</v>
      </c>
      <c r="BI77" t="s">
        <v>120</v>
      </c>
      <c r="BK77">
        <v>0</v>
      </c>
      <c r="BL77">
        <v>0</v>
      </c>
      <c r="BM77">
        <v>0</v>
      </c>
      <c r="BN77">
        <v>0</v>
      </c>
      <c r="BO77">
        <v>0</v>
      </c>
      <c r="BP77">
        <v>1</v>
      </c>
      <c r="BQ77">
        <v>0</v>
      </c>
      <c r="BR77">
        <v>0</v>
      </c>
      <c r="BT77" t="s">
        <v>163</v>
      </c>
    </row>
    <row r="78" spans="1:72" x14ac:dyDescent="0.2">
      <c r="A78" s="1">
        <v>44579.888194444444</v>
      </c>
      <c r="B78" s="1">
        <v>44579.979166666664</v>
      </c>
      <c r="C78">
        <v>0</v>
      </c>
      <c r="D78">
        <v>1</v>
      </c>
      <c r="E78">
        <v>1</v>
      </c>
      <c r="F78">
        <v>0</v>
      </c>
      <c r="G78" t="s">
        <v>164</v>
      </c>
      <c r="H78">
        <v>1</v>
      </c>
      <c r="I78">
        <v>0</v>
      </c>
      <c r="J78">
        <v>0</v>
      </c>
      <c r="K78">
        <v>0</v>
      </c>
      <c r="L78">
        <v>0</v>
      </c>
      <c r="P78">
        <v>1</v>
      </c>
      <c r="Q78">
        <v>0</v>
      </c>
      <c r="R78">
        <v>0</v>
      </c>
      <c r="S78">
        <v>0</v>
      </c>
      <c r="T78">
        <v>0</v>
      </c>
      <c r="U78">
        <v>0</v>
      </c>
      <c r="V78">
        <v>0</v>
      </c>
      <c r="W78">
        <v>0</v>
      </c>
      <c r="X78">
        <v>0</v>
      </c>
      <c r="Y78">
        <v>0</v>
      </c>
      <c r="Z78">
        <v>0</v>
      </c>
      <c r="AA78">
        <v>0</v>
      </c>
      <c r="AC78">
        <v>0</v>
      </c>
      <c r="AD78">
        <v>0</v>
      </c>
      <c r="AE78">
        <v>1</v>
      </c>
      <c r="AF78">
        <v>0</v>
      </c>
      <c r="AG78">
        <v>0</v>
      </c>
      <c r="AH78">
        <v>0</v>
      </c>
      <c r="AI78">
        <v>0</v>
      </c>
      <c r="AJ78">
        <v>0</v>
      </c>
      <c r="AK78">
        <v>0</v>
      </c>
      <c r="AZ78" t="s">
        <v>107</v>
      </c>
      <c r="BA78" t="s">
        <v>87</v>
      </c>
      <c r="BB78" t="s">
        <v>87</v>
      </c>
      <c r="BC78" t="s">
        <v>87</v>
      </c>
      <c r="BD78" t="s">
        <v>87</v>
      </c>
      <c r="BE78" t="s">
        <v>87</v>
      </c>
      <c r="BF78" t="s">
        <v>101</v>
      </c>
      <c r="BG78" t="s">
        <v>76</v>
      </c>
      <c r="BH78" t="s">
        <v>98</v>
      </c>
      <c r="BI78" t="s">
        <v>107</v>
      </c>
      <c r="BJ78" t="s">
        <v>114</v>
      </c>
      <c r="BK78">
        <v>1</v>
      </c>
      <c r="BL78">
        <v>0</v>
      </c>
      <c r="BM78">
        <v>0</v>
      </c>
      <c r="BN78">
        <v>0</v>
      </c>
      <c r="BO78">
        <v>0</v>
      </c>
      <c r="BP78">
        <v>0</v>
      </c>
      <c r="BQ78">
        <v>0</v>
      </c>
      <c r="BR78">
        <v>0</v>
      </c>
    </row>
    <row r="79" spans="1:72" x14ac:dyDescent="0.2">
      <c r="A79" s="1">
        <v>44581.915277777778</v>
      </c>
      <c r="B79" s="1">
        <v>44581.916666666664</v>
      </c>
      <c r="C79">
        <v>1</v>
      </c>
      <c r="D79">
        <v>0</v>
      </c>
      <c r="E79">
        <v>0</v>
      </c>
      <c r="F79">
        <v>0</v>
      </c>
      <c r="H79">
        <v>0</v>
      </c>
      <c r="I79">
        <v>1</v>
      </c>
      <c r="J79">
        <v>0</v>
      </c>
      <c r="K79">
        <v>1</v>
      </c>
      <c r="L79">
        <v>0</v>
      </c>
      <c r="N79" t="s">
        <v>79</v>
      </c>
      <c r="O79" t="s">
        <v>80</v>
      </c>
      <c r="P79">
        <v>1</v>
      </c>
      <c r="Q79">
        <v>0</v>
      </c>
      <c r="R79">
        <v>0</v>
      </c>
      <c r="S79">
        <v>0</v>
      </c>
      <c r="T79">
        <v>0</v>
      </c>
      <c r="U79">
        <v>0</v>
      </c>
      <c r="V79">
        <v>0</v>
      </c>
      <c r="W79">
        <v>0</v>
      </c>
      <c r="X79">
        <v>0</v>
      </c>
      <c r="Y79">
        <v>0</v>
      </c>
      <c r="Z79">
        <v>0</v>
      </c>
      <c r="AA79">
        <v>0</v>
      </c>
      <c r="AC79">
        <v>0</v>
      </c>
      <c r="AD79">
        <v>0</v>
      </c>
      <c r="AE79">
        <v>1</v>
      </c>
      <c r="AF79">
        <v>0</v>
      </c>
      <c r="AG79">
        <v>0</v>
      </c>
      <c r="AH79">
        <v>0</v>
      </c>
      <c r="AI79">
        <v>0</v>
      </c>
      <c r="AJ79">
        <v>0</v>
      </c>
      <c r="AK79">
        <v>0</v>
      </c>
      <c r="AX79" t="s">
        <v>122</v>
      </c>
      <c r="AZ79" t="s">
        <v>73</v>
      </c>
      <c r="BA79" t="s">
        <v>74</v>
      </c>
      <c r="BF79" t="s">
        <v>75</v>
      </c>
      <c r="BG79" t="s">
        <v>76</v>
      </c>
      <c r="BH79" t="s">
        <v>98</v>
      </c>
      <c r="BI79" t="s">
        <v>73</v>
      </c>
      <c r="BJ79" t="s">
        <v>78</v>
      </c>
      <c r="BK79">
        <v>1</v>
      </c>
      <c r="BL79">
        <v>0</v>
      </c>
      <c r="BM79">
        <v>0</v>
      </c>
      <c r="BN79">
        <v>0</v>
      </c>
      <c r="BO79">
        <v>0</v>
      </c>
      <c r="BP79">
        <v>0</v>
      </c>
      <c r="BQ79">
        <v>0</v>
      </c>
      <c r="BR79">
        <v>0</v>
      </c>
    </row>
    <row r="80" spans="1:72" x14ac:dyDescent="0.2">
      <c r="A80" s="1">
        <v>44579.925694444442</v>
      </c>
      <c r="B80" s="1">
        <v>44579.927083333336</v>
      </c>
      <c r="C80">
        <v>0</v>
      </c>
      <c r="D80">
        <v>1</v>
      </c>
      <c r="E80">
        <v>0</v>
      </c>
      <c r="F80">
        <v>0</v>
      </c>
      <c r="H80">
        <v>0</v>
      </c>
      <c r="I80">
        <v>0</v>
      </c>
      <c r="J80">
        <v>1</v>
      </c>
      <c r="K80">
        <v>0</v>
      </c>
      <c r="L80">
        <v>0</v>
      </c>
      <c r="N80" t="s">
        <v>135</v>
      </c>
      <c r="O80" t="s">
        <v>142</v>
      </c>
      <c r="P80">
        <v>1</v>
      </c>
      <c r="Q80">
        <v>0</v>
      </c>
      <c r="R80">
        <v>0</v>
      </c>
      <c r="S80">
        <v>0</v>
      </c>
      <c r="T80">
        <v>0</v>
      </c>
      <c r="U80">
        <v>0</v>
      </c>
      <c r="V80">
        <v>0</v>
      </c>
      <c r="W80">
        <v>0</v>
      </c>
      <c r="X80">
        <v>0</v>
      </c>
      <c r="Y80">
        <v>0</v>
      </c>
      <c r="Z80">
        <v>0</v>
      </c>
      <c r="AA80">
        <v>0</v>
      </c>
      <c r="AC80">
        <v>0</v>
      </c>
      <c r="AD80">
        <v>0</v>
      </c>
      <c r="AE80">
        <v>1</v>
      </c>
      <c r="AF80">
        <v>0</v>
      </c>
      <c r="AG80">
        <v>1</v>
      </c>
      <c r="AH80">
        <v>0</v>
      </c>
      <c r="AI80">
        <v>0</v>
      </c>
      <c r="AJ80">
        <v>1</v>
      </c>
      <c r="AK80">
        <v>0</v>
      </c>
      <c r="AX80" t="s">
        <v>146</v>
      </c>
      <c r="AZ80" t="s">
        <v>73</v>
      </c>
      <c r="BA80" t="s">
        <v>74</v>
      </c>
      <c r="BF80" t="s">
        <v>75</v>
      </c>
      <c r="BG80" t="s">
        <v>92</v>
      </c>
      <c r="BH80" t="s">
        <v>77</v>
      </c>
      <c r="BI80" t="s">
        <v>73</v>
      </c>
      <c r="BK80">
        <v>1</v>
      </c>
      <c r="BL80">
        <v>0</v>
      </c>
      <c r="BM80">
        <v>0</v>
      </c>
      <c r="BN80">
        <v>0</v>
      </c>
      <c r="BO80">
        <v>0</v>
      </c>
      <c r="BP80">
        <v>0</v>
      </c>
      <c r="BQ80">
        <v>0</v>
      </c>
      <c r="BR80">
        <v>0</v>
      </c>
    </row>
    <row r="81" spans="1:72" x14ac:dyDescent="0.2">
      <c r="A81" s="1">
        <v>44585.691666666666</v>
      </c>
      <c r="B81" s="1">
        <v>44585.694444444445</v>
      </c>
      <c r="C81">
        <v>1</v>
      </c>
      <c r="D81">
        <v>0</v>
      </c>
      <c r="E81">
        <v>0</v>
      </c>
      <c r="F81">
        <v>0</v>
      </c>
      <c r="H81">
        <v>0</v>
      </c>
      <c r="I81">
        <v>1</v>
      </c>
      <c r="J81">
        <v>1</v>
      </c>
      <c r="K81">
        <v>0</v>
      </c>
      <c r="L81">
        <v>0</v>
      </c>
      <c r="N81" t="s">
        <v>88</v>
      </c>
      <c r="O81" t="s">
        <v>89</v>
      </c>
      <c r="P81">
        <v>0</v>
      </c>
      <c r="Q81">
        <v>0</v>
      </c>
      <c r="R81">
        <v>1</v>
      </c>
      <c r="S81">
        <v>0</v>
      </c>
      <c r="T81">
        <v>0</v>
      </c>
      <c r="U81">
        <v>0</v>
      </c>
      <c r="V81">
        <v>0</v>
      </c>
      <c r="W81">
        <v>0</v>
      </c>
      <c r="X81">
        <v>0</v>
      </c>
      <c r="Y81">
        <v>0</v>
      </c>
      <c r="Z81">
        <v>0</v>
      </c>
      <c r="AA81">
        <v>0</v>
      </c>
      <c r="AM81" t="s">
        <v>81</v>
      </c>
      <c r="AN81" t="s">
        <v>82</v>
      </c>
      <c r="AO81" t="s">
        <v>83</v>
      </c>
      <c r="AP81" t="s">
        <v>82</v>
      </c>
      <c r="AQ81" t="s">
        <v>82</v>
      </c>
      <c r="AR81" t="s">
        <v>81</v>
      </c>
      <c r="AS81" t="s">
        <v>83</v>
      </c>
      <c r="AT81" t="s">
        <v>83</v>
      </c>
      <c r="AU81" t="s">
        <v>88</v>
      </c>
      <c r="AV81" t="s">
        <v>89</v>
      </c>
      <c r="AW81" t="s">
        <v>100</v>
      </c>
      <c r="AZ81" t="s">
        <v>73</v>
      </c>
      <c r="BA81" t="s">
        <v>87</v>
      </c>
      <c r="BB81" t="s">
        <v>87</v>
      </c>
      <c r="BC81" t="s">
        <v>87</v>
      </c>
      <c r="BD81" t="s">
        <v>86</v>
      </c>
      <c r="BE81" t="s">
        <v>86</v>
      </c>
      <c r="BF81" t="s">
        <v>97</v>
      </c>
      <c r="BG81" t="s">
        <v>76</v>
      </c>
      <c r="BH81" t="s">
        <v>98</v>
      </c>
      <c r="BI81" t="s">
        <v>73</v>
      </c>
      <c r="BJ81" t="s">
        <v>165</v>
      </c>
      <c r="BK81">
        <v>1</v>
      </c>
      <c r="BL81">
        <v>0</v>
      </c>
      <c r="BM81">
        <v>0</v>
      </c>
      <c r="BN81">
        <v>0</v>
      </c>
      <c r="BO81">
        <v>0</v>
      </c>
      <c r="BP81">
        <v>0</v>
      </c>
      <c r="BQ81">
        <v>0</v>
      </c>
      <c r="BR81">
        <v>0</v>
      </c>
    </row>
    <row r="82" spans="1:72" x14ac:dyDescent="0.2">
      <c r="A82" s="1">
        <v>44585.78402777778</v>
      </c>
      <c r="B82" s="1">
        <v>44585.861805555556</v>
      </c>
      <c r="C82">
        <v>0</v>
      </c>
      <c r="D82">
        <v>1</v>
      </c>
      <c r="E82">
        <v>0</v>
      </c>
      <c r="F82">
        <v>0</v>
      </c>
      <c r="H82">
        <v>1</v>
      </c>
      <c r="I82">
        <v>0</v>
      </c>
      <c r="J82">
        <v>0</v>
      </c>
      <c r="K82">
        <v>0</v>
      </c>
      <c r="L82">
        <v>0</v>
      </c>
      <c r="P82">
        <v>1</v>
      </c>
      <c r="Q82">
        <v>0</v>
      </c>
      <c r="R82">
        <v>0</v>
      </c>
      <c r="S82">
        <v>0</v>
      </c>
      <c r="T82">
        <v>0</v>
      </c>
      <c r="U82">
        <v>0</v>
      </c>
      <c r="V82">
        <v>0</v>
      </c>
      <c r="W82">
        <v>0</v>
      </c>
      <c r="X82">
        <v>0</v>
      </c>
      <c r="Y82">
        <v>0</v>
      </c>
      <c r="Z82">
        <v>0</v>
      </c>
      <c r="AA82">
        <v>0</v>
      </c>
      <c r="AC82">
        <v>0</v>
      </c>
      <c r="AD82">
        <v>0</v>
      </c>
      <c r="AE82">
        <v>0</v>
      </c>
      <c r="AF82">
        <v>0</v>
      </c>
      <c r="AG82">
        <v>0</v>
      </c>
      <c r="AH82">
        <v>0</v>
      </c>
      <c r="AI82">
        <v>1</v>
      </c>
      <c r="AJ82">
        <v>0</v>
      </c>
      <c r="AK82">
        <v>0</v>
      </c>
      <c r="AZ82" t="s">
        <v>107</v>
      </c>
      <c r="BA82" t="s">
        <v>74</v>
      </c>
      <c r="BF82" t="s">
        <v>97</v>
      </c>
      <c r="BG82" t="s">
        <v>76</v>
      </c>
      <c r="BH82" t="s">
        <v>98</v>
      </c>
      <c r="BI82" t="s">
        <v>107</v>
      </c>
      <c r="BJ82" t="s">
        <v>109</v>
      </c>
      <c r="BK82">
        <v>1</v>
      </c>
      <c r="BL82">
        <v>0</v>
      </c>
      <c r="BM82">
        <v>0</v>
      </c>
      <c r="BN82">
        <v>0</v>
      </c>
      <c r="BO82">
        <v>0</v>
      </c>
      <c r="BP82">
        <v>0</v>
      </c>
      <c r="BQ82">
        <v>0</v>
      </c>
      <c r="BR82">
        <v>0</v>
      </c>
    </row>
    <row r="83" spans="1:72" x14ac:dyDescent="0.2">
      <c r="A83" s="1">
        <v>44579.943055555559</v>
      </c>
      <c r="B83" s="1">
        <v>44579.945138888892</v>
      </c>
      <c r="C83">
        <v>0</v>
      </c>
      <c r="D83">
        <v>1</v>
      </c>
      <c r="E83">
        <v>0</v>
      </c>
      <c r="F83">
        <v>0</v>
      </c>
      <c r="H83">
        <v>0</v>
      </c>
      <c r="I83">
        <v>1</v>
      </c>
      <c r="J83">
        <v>1</v>
      </c>
      <c r="K83">
        <v>1</v>
      </c>
      <c r="L83">
        <v>0</v>
      </c>
      <c r="N83" t="s">
        <v>88</v>
      </c>
      <c r="O83" t="s">
        <v>89</v>
      </c>
      <c r="P83">
        <v>1</v>
      </c>
      <c r="Q83">
        <v>0</v>
      </c>
      <c r="R83">
        <v>0</v>
      </c>
      <c r="S83">
        <v>0</v>
      </c>
      <c r="T83">
        <v>0</v>
      </c>
      <c r="U83">
        <v>0</v>
      </c>
      <c r="V83">
        <v>0</v>
      </c>
      <c r="W83">
        <v>0</v>
      </c>
      <c r="X83">
        <v>0</v>
      </c>
      <c r="Y83">
        <v>0</v>
      </c>
      <c r="Z83">
        <v>0</v>
      </c>
      <c r="AA83">
        <v>0</v>
      </c>
      <c r="AC83">
        <v>0</v>
      </c>
      <c r="AD83">
        <v>0</v>
      </c>
      <c r="AE83">
        <v>1</v>
      </c>
      <c r="AF83">
        <v>0</v>
      </c>
      <c r="AG83">
        <v>0</v>
      </c>
      <c r="AH83">
        <v>0</v>
      </c>
      <c r="AI83">
        <v>0</v>
      </c>
      <c r="AJ83">
        <v>0</v>
      </c>
      <c r="AK83">
        <v>0</v>
      </c>
      <c r="AX83" t="s">
        <v>110</v>
      </c>
      <c r="AY83" t="s">
        <v>166</v>
      </c>
      <c r="AZ83" t="s">
        <v>73</v>
      </c>
      <c r="BA83" t="s">
        <v>87</v>
      </c>
      <c r="BB83" t="s">
        <v>87</v>
      </c>
      <c r="BC83" t="s">
        <v>87</v>
      </c>
      <c r="BD83" t="s">
        <v>87</v>
      </c>
      <c r="BE83" t="s">
        <v>87</v>
      </c>
      <c r="BF83" t="s">
        <v>113</v>
      </c>
      <c r="BG83" t="s">
        <v>76</v>
      </c>
      <c r="BH83" t="s">
        <v>77</v>
      </c>
      <c r="BI83" t="s">
        <v>73</v>
      </c>
      <c r="BJ83" t="s">
        <v>167</v>
      </c>
      <c r="BK83">
        <v>1</v>
      </c>
      <c r="BL83">
        <v>0</v>
      </c>
      <c r="BM83">
        <v>0</v>
      </c>
      <c r="BN83">
        <v>0</v>
      </c>
      <c r="BO83">
        <v>0</v>
      </c>
      <c r="BP83">
        <v>0</v>
      </c>
      <c r="BQ83">
        <v>0</v>
      </c>
      <c r="BR83">
        <v>0</v>
      </c>
    </row>
    <row r="84" spans="1:72" x14ac:dyDescent="0.2">
      <c r="A84" s="1">
        <v>44584.628472222219</v>
      </c>
      <c r="B84" s="1">
        <v>44584.629861111112</v>
      </c>
      <c r="C84">
        <v>1</v>
      </c>
      <c r="D84">
        <v>0</v>
      </c>
      <c r="E84">
        <v>0</v>
      </c>
      <c r="F84">
        <v>0</v>
      </c>
      <c r="H84">
        <v>0</v>
      </c>
      <c r="I84">
        <v>1</v>
      </c>
      <c r="J84">
        <v>1</v>
      </c>
      <c r="K84">
        <v>1</v>
      </c>
      <c r="L84">
        <v>0</v>
      </c>
      <c r="N84" t="s">
        <v>135</v>
      </c>
      <c r="O84" t="s">
        <v>80</v>
      </c>
      <c r="P84">
        <v>0</v>
      </c>
      <c r="Q84">
        <v>0</v>
      </c>
      <c r="R84">
        <v>1</v>
      </c>
      <c r="S84">
        <v>0</v>
      </c>
      <c r="T84">
        <v>0</v>
      </c>
      <c r="U84">
        <v>0</v>
      </c>
      <c r="V84">
        <v>0</v>
      </c>
      <c r="W84">
        <v>0</v>
      </c>
      <c r="X84">
        <v>0</v>
      </c>
      <c r="Y84">
        <v>0</v>
      </c>
      <c r="Z84">
        <v>0</v>
      </c>
      <c r="AA84">
        <v>0</v>
      </c>
      <c r="AM84" t="s">
        <v>82</v>
      </c>
      <c r="AN84" t="s">
        <v>82</v>
      </c>
      <c r="AO84" t="s">
        <v>81</v>
      </c>
      <c r="AP84" t="s">
        <v>81</v>
      </c>
      <c r="AQ84" t="s">
        <v>82</v>
      </c>
      <c r="AR84" t="s">
        <v>82</v>
      </c>
      <c r="AS84" t="s">
        <v>83</v>
      </c>
      <c r="AT84" t="s">
        <v>83</v>
      </c>
      <c r="AU84" t="s">
        <v>88</v>
      </c>
      <c r="AV84" t="s">
        <v>80</v>
      </c>
      <c r="AW84" t="s">
        <v>85</v>
      </c>
      <c r="AX84" t="s">
        <v>118</v>
      </c>
      <c r="AZ84" t="s">
        <v>73</v>
      </c>
      <c r="BA84" t="s">
        <v>87</v>
      </c>
      <c r="BB84" t="s">
        <v>87</v>
      </c>
      <c r="BC84" t="s">
        <v>87</v>
      </c>
      <c r="BD84" t="s">
        <v>87</v>
      </c>
      <c r="BE84" t="s">
        <v>87</v>
      </c>
      <c r="BF84" t="s">
        <v>75</v>
      </c>
      <c r="BG84" t="s">
        <v>76</v>
      </c>
      <c r="BH84" t="s">
        <v>77</v>
      </c>
      <c r="BI84" t="s">
        <v>73</v>
      </c>
      <c r="BJ84" t="s">
        <v>78</v>
      </c>
      <c r="BK84">
        <v>0</v>
      </c>
      <c r="BL84">
        <v>0</v>
      </c>
      <c r="BM84">
        <v>0</v>
      </c>
      <c r="BN84">
        <v>0</v>
      </c>
      <c r="BO84">
        <v>0</v>
      </c>
      <c r="BP84">
        <v>1</v>
      </c>
      <c r="BQ84">
        <v>0</v>
      </c>
      <c r="BR84">
        <v>0</v>
      </c>
    </row>
    <row r="85" spans="1:72" x14ac:dyDescent="0.2">
      <c r="A85" s="1">
        <v>44580.806944444441</v>
      </c>
      <c r="B85" s="1">
        <v>44580.810416666667</v>
      </c>
      <c r="C85">
        <v>1</v>
      </c>
      <c r="D85">
        <v>0</v>
      </c>
      <c r="E85">
        <v>0</v>
      </c>
      <c r="F85">
        <v>0</v>
      </c>
      <c r="H85">
        <v>1</v>
      </c>
      <c r="I85">
        <v>0</v>
      </c>
      <c r="J85">
        <v>0</v>
      </c>
      <c r="K85">
        <v>0</v>
      </c>
      <c r="L85">
        <v>0</v>
      </c>
      <c r="P85">
        <v>1</v>
      </c>
      <c r="Q85">
        <v>0</v>
      </c>
      <c r="R85">
        <v>0</v>
      </c>
      <c r="S85">
        <v>0</v>
      </c>
      <c r="T85">
        <v>0</v>
      </c>
      <c r="U85">
        <v>0</v>
      </c>
      <c r="V85">
        <v>0</v>
      </c>
      <c r="W85">
        <v>0</v>
      </c>
      <c r="X85">
        <v>0</v>
      </c>
      <c r="Y85">
        <v>0</v>
      </c>
      <c r="Z85">
        <v>0</v>
      </c>
      <c r="AA85">
        <v>0</v>
      </c>
      <c r="AC85">
        <v>0</v>
      </c>
      <c r="AD85">
        <v>0</v>
      </c>
      <c r="AE85">
        <v>0</v>
      </c>
      <c r="AF85">
        <v>0</v>
      </c>
      <c r="AG85">
        <v>0</v>
      </c>
      <c r="AH85">
        <v>0</v>
      </c>
      <c r="AI85">
        <v>1</v>
      </c>
      <c r="AJ85">
        <v>1</v>
      </c>
      <c r="AK85">
        <v>1</v>
      </c>
      <c r="AL85" t="s">
        <v>168</v>
      </c>
      <c r="AZ85" t="s">
        <v>107</v>
      </c>
      <c r="BA85" t="s">
        <v>86</v>
      </c>
      <c r="BB85" t="s">
        <v>87</v>
      </c>
      <c r="BC85" t="s">
        <v>74</v>
      </c>
      <c r="BD85" t="s">
        <v>87</v>
      </c>
      <c r="BE85" t="s">
        <v>74</v>
      </c>
      <c r="BF85" t="s">
        <v>159</v>
      </c>
      <c r="BG85" t="s">
        <v>76</v>
      </c>
      <c r="BH85" t="s">
        <v>77</v>
      </c>
      <c r="BI85" t="s">
        <v>107</v>
      </c>
      <c r="BJ85" t="s">
        <v>78</v>
      </c>
      <c r="BK85">
        <v>1</v>
      </c>
      <c r="BL85">
        <v>0</v>
      </c>
      <c r="BM85">
        <v>0</v>
      </c>
      <c r="BN85">
        <v>0</v>
      </c>
      <c r="BO85">
        <v>0</v>
      </c>
      <c r="BP85">
        <v>0</v>
      </c>
      <c r="BQ85">
        <v>0</v>
      </c>
      <c r="BR85">
        <v>0</v>
      </c>
    </row>
    <row r="86" spans="1:72" x14ac:dyDescent="0.2">
      <c r="A86" s="1">
        <v>44581.630555555559</v>
      </c>
      <c r="B86" s="1">
        <v>44581.634027777778</v>
      </c>
      <c r="C86">
        <v>1</v>
      </c>
      <c r="D86">
        <v>0</v>
      </c>
      <c r="E86">
        <v>0</v>
      </c>
      <c r="F86">
        <v>0</v>
      </c>
      <c r="H86">
        <v>1</v>
      </c>
      <c r="I86">
        <v>0</v>
      </c>
      <c r="J86">
        <v>0</v>
      </c>
      <c r="K86">
        <v>0</v>
      </c>
      <c r="L86">
        <v>0</v>
      </c>
      <c r="P86">
        <v>0</v>
      </c>
      <c r="Q86">
        <v>1</v>
      </c>
      <c r="R86">
        <v>0</v>
      </c>
      <c r="S86">
        <v>0</v>
      </c>
      <c r="T86">
        <v>0</v>
      </c>
      <c r="U86">
        <v>0</v>
      </c>
      <c r="V86">
        <v>0</v>
      </c>
      <c r="W86">
        <v>0</v>
      </c>
      <c r="X86">
        <v>0</v>
      </c>
      <c r="Y86">
        <v>0</v>
      </c>
      <c r="Z86">
        <v>0</v>
      </c>
      <c r="AA86">
        <v>0</v>
      </c>
      <c r="AM86" t="s">
        <v>82</v>
      </c>
      <c r="AN86" t="s">
        <v>83</v>
      </c>
      <c r="AO86" t="s">
        <v>81</v>
      </c>
      <c r="AP86" t="s">
        <v>81</v>
      </c>
      <c r="AQ86" t="s">
        <v>82</v>
      </c>
      <c r="AR86" t="s">
        <v>83</v>
      </c>
      <c r="AS86" t="s">
        <v>81</v>
      </c>
      <c r="AT86" t="s">
        <v>83</v>
      </c>
      <c r="AU86" t="s">
        <v>84</v>
      </c>
      <c r="AV86" t="s">
        <v>80</v>
      </c>
      <c r="AW86" t="s">
        <v>169</v>
      </c>
      <c r="AZ86" t="s">
        <v>73</v>
      </c>
      <c r="BA86" t="s">
        <v>87</v>
      </c>
      <c r="BB86" t="s">
        <v>86</v>
      </c>
      <c r="BC86" t="s">
        <v>86</v>
      </c>
      <c r="BD86" t="s">
        <v>87</v>
      </c>
      <c r="BE86" t="s">
        <v>86</v>
      </c>
      <c r="BF86" t="s">
        <v>97</v>
      </c>
      <c r="BG86" t="s">
        <v>76</v>
      </c>
      <c r="BH86" t="s">
        <v>158</v>
      </c>
      <c r="BI86" t="s">
        <v>73</v>
      </c>
      <c r="BJ86" t="s">
        <v>78</v>
      </c>
      <c r="BK86">
        <v>1</v>
      </c>
      <c r="BL86">
        <v>0</v>
      </c>
      <c r="BM86">
        <v>0</v>
      </c>
      <c r="BN86">
        <v>0</v>
      </c>
      <c r="BO86">
        <v>0</v>
      </c>
      <c r="BP86">
        <v>0</v>
      </c>
      <c r="BQ86">
        <v>0</v>
      </c>
      <c r="BR86">
        <v>0</v>
      </c>
    </row>
    <row r="87" spans="1:72" x14ac:dyDescent="0.2">
      <c r="A87" s="1">
        <v>44580.697916666664</v>
      </c>
      <c r="B87" s="1">
        <v>44580.700694444444</v>
      </c>
      <c r="C87">
        <v>1</v>
      </c>
      <c r="D87">
        <v>0</v>
      </c>
      <c r="E87">
        <v>0</v>
      </c>
      <c r="F87">
        <v>0</v>
      </c>
      <c r="H87">
        <v>0</v>
      </c>
      <c r="I87">
        <v>1</v>
      </c>
      <c r="J87">
        <v>1</v>
      </c>
      <c r="K87">
        <v>1</v>
      </c>
      <c r="L87">
        <v>0</v>
      </c>
      <c r="N87" t="s">
        <v>79</v>
      </c>
      <c r="O87" t="s">
        <v>80</v>
      </c>
      <c r="P87">
        <v>0</v>
      </c>
      <c r="Q87">
        <v>0</v>
      </c>
      <c r="R87">
        <v>1</v>
      </c>
      <c r="S87">
        <v>0</v>
      </c>
      <c r="T87">
        <v>0</v>
      </c>
      <c r="U87">
        <v>0</v>
      </c>
      <c r="V87">
        <v>0</v>
      </c>
      <c r="W87">
        <v>0</v>
      </c>
      <c r="X87">
        <v>0</v>
      </c>
      <c r="Y87">
        <v>1</v>
      </c>
      <c r="Z87">
        <v>0</v>
      </c>
      <c r="AA87">
        <v>0</v>
      </c>
      <c r="AM87" t="s">
        <v>83</v>
      </c>
      <c r="AN87" t="s">
        <v>81</v>
      </c>
      <c r="AO87" t="s">
        <v>82</v>
      </c>
      <c r="AP87" t="s">
        <v>81</v>
      </c>
      <c r="AQ87" t="s">
        <v>81</v>
      </c>
      <c r="AR87" t="s">
        <v>83</v>
      </c>
      <c r="AS87" t="s">
        <v>81</v>
      </c>
      <c r="AT87" t="s">
        <v>83</v>
      </c>
      <c r="AU87" t="s">
        <v>88</v>
      </c>
      <c r="AV87" t="s">
        <v>89</v>
      </c>
      <c r="AW87" t="s">
        <v>100</v>
      </c>
      <c r="AX87" t="s">
        <v>170</v>
      </c>
      <c r="AZ87" t="s">
        <v>73</v>
      </c>
      <c r="BA87" t="s">
        <v>86</v>
      </c>
      <c r="BB87" t="s">
        <v>74</v>
      </c>
      <c r="BC87" t="s">
        <v>86</v>
      </c>
      <c r="BD87" t="s">
        <v>87</v>
      </c>
      <c r="BE87" t="s">
        <v>86</v>
      </c>
      <c r="BF87" t="s">
        <v>108</v>
      </c>
      <c r="BG87" t="s">
        <v>171</v>
      </c>
      <c r="BH87" t="s">
        <v>77</v>
      </c>
      <c r="BI87" t="s">
        <v>73</v>
      </c>
      <c r="BJ87" t="s">
        <v>114</v>
      </c>
      <c r="BK87">
        <v>0</v>
      </c>
      <c r="BL87">
        <v>0</v>
      </c>
      <c r="BM87">
        <v>0</v>
      </c>
      <c r="BN87">
        <v>1</v>
      </c>
      <c r="BO87">
        <v>0</v>
      </c>
      <c r="BP87">
        <v>1</v>
      </c>
      <c r="BQ87">
        <v>0</v>
      </c>
      <c r="BR87">
        <v>0</v>
      </c>
    </row>
    <row r="88" spans="1:72" x14ac:dyDescent="0.2">
      <c r="A88" s="1">
        <v>44581.663888888892</v>
      </c>
      <c r="B88" s="1">
        <v>44581.674305555556</v>
      </c>
      <c r="C88">
        <v>1</v>
      </c>
      <c r="D88">
        <v>0</v>
      </c>
      <c r="E88">
        <v>0</v>
      </c>
      <c r="F88">
        <v>0</v>
      </c>
      <c r="H88">
        <v>0</v>
      </c>
      <c r="I88">
        <v>1</v>
      </c>
      <c r="J88">
        <v>0</v>
      </c>
      <c r="K88">
        <v>0</v>
      </c>
      <c r="L88">
        <v>0</v>
      </c>
      <c r="N88" t="s">
        <v>88</v>
      </c>
      <c r="O88" t="s">
        <v>89</v>
      </c>
      <c r="P88">
        <v>1</v>
      </c>
      <c r="Q88">
        <v>0</v>
      </c>
      <c r="R88">
        <v>0</v>
      </c>
      <c r="S88">
        <v>0</v>
      </c>
      <c r="T88">
        <v>0</v>
      </c>
      <c r="U88">
        <v>0</v>
      </c>
      <c r="V88">
        <v>0</v>
      </c>
      <c r="W88">
        <v>0</v>
      </c>
      <c r="X88">
        <v>0</v>
      </c>
      <c r="Y88">
        <v>0</v>
      </c>
      <c r="Z88">
        <v>0</v>
      </c>
      <c r="AA88">
        <v>0</v>
      </c>
      <c r="AC88">
        <v>0</v>
      </c>
      <c r="AD88">
        <v>0</v>
      </c>
      <c r="AE88">
        <v>0</v>
      </c>
      <c r="AF88">
        <v>0</v>
      </c>
      <c r="AG88">
        <v>0</v>
      </c>
      <c r="AH88">
        <v>0</v>
      </c>
      <c r="AI88">
        <v>0</v>
      </c>
      <c r="AJ88">
        <v>0</v>
      </c>
      <c r="AK88">
        <v>1</v>
      </c>
      <c r="AL88" t="s">
        <v>172</v>
      </c>
      <c r="AZ88" t="s">
        <v>73</v>
      </c>
      <c r="BA88" t="s">
        <v>86</v>
      </c>
      <c r="BB88" t="s">
        <v>74</v>
      </c>
      <c r="BC88" t="s">
        <v>87</v>
      </c>
      <c r="BD88" t="s">
        <v>74</v>
      </c>
      <c r="BE88" t="s">
        <v>74</v>
      </c>
      <c r="BF88" t="s">
        <v>97</v>
      </c>
      <c r="BG88" t="s">
        <v>92</v>
      </c>
      <c r="BH88" t="s">
        <v>98</v>
      </c>
      <c r="BI88" t="s">
        <v>73</v>
      </c>
      <c r="BJ88" t="s">
        <v>154</v>
      </c>
      <c r="BK88">
        <v>1</v>
      </c>
      <c r="BL88">
        <v>0</v>
      </c>
      <c r="BM88">
        <v>0</v>
      </c>
      <c r="BN88">
        <v>0</v>
      </c>
      <c r="BO88">
        <v>0</v>
      </c>
      <c r="BP88">
        <v>0</v>
      </c>
      <c r="BQ88">
        <v>0</v>
      </c>
      <c r="BR88">
        <v>0</v>
      </c>
    </row>
    <row r="89" spans="1:72" x14ac:dyDescent="0.2">
      <c r="A89" s="1">
        <v>44580.038194444445</v>
      </c>
      <c r="B89" s="1">
        <v>44580.039583333331</v>
      </c>
      <c r="C89">
        <v>1</v>
      </c>
      <c r="D89">
        <v>0</v>
      </c>
      <c r="E89">
        <v>0</v>
      </c>
      <c r="F89">
        <v>0</v>
      </c>
      <c r="H89">
        <v>1</v>
      </c>
      <c r="I89">
        <v>0</v>
      </c>
      <c r="J89">
        <v>0</v>
      </c>
      <c r="K89">
        <v>0</v>
      </c>
      <c r="L89">
        <v>0</v>
      </c>
      <c r="P89">
        <v>1</v>
      </c>
      <c r="Q89">
        <v>0</v>
      </c>
      <c r="R89">
        <v>0</v>
      </c>
      <c r="S89">
        <v>0</v>
      </c>
      <c r="T89">
        <v>0</v>
      </c>
      <c r="U89">
        <v>0</v>
      </c>
      <c r="V89">
        <v>0</v>
      </c>
      <c r="W89">
        <v>0</v>
      </c>
      <c r="X89">
        <v>0</v>
      </c>
      <c r="Y89">
        <v>0</v>
      </c>
      <c r="Z89">
        <v>0</v>
      </c>
      <c r="AA89">
        <v>0</v>
      </c>
      <c r="AC89">
        <v>0</v>
      </c>
      <c r="AD89">
        <v>0</v>
      </c>
      <c r="AE89">
        <v>0</v>
      </c>
      <c r="AF89">
        <v>0</v>
      </c>
      <c r="AG89">
        <v>0</v>
      </c>
      <c r="AH89">
        <v>0</v>
      </c>
      <c r="AI89">
        <v>1</v>
      </c>
      <c r="AJ89">
        <v>0</v>
      </c>
      <c r="AK89">
        <v>0</v>
      </c>
      <c r="AX89" t="s">
        <v>118</v>
      </c>
      <c r="AZ89" t="s">
        <v>107</v>
      </c>
      <c r="BA89" t="s">
        <v>74</v>
      </c>
      <c r="BF89" t="s">
        <v>75</v>
      </c>
      <c r="BG89" t="s">
        <v>76</v>
      </c>
      <c r="BH89" t="s">
        <v>98</v>
      </c>
      <c r="BI89" t="s">
        <v>107</v>
      </c>
      <c r="BJ89" t="s">
        <v>102</v>
      </c>
      <c r="BK89">
        <v>0</v>
      </c>
      <c r="BL89">
        <v>0</v>
      </c>
      <c r="BM89">
        <v>0</v>
      </c>
      <c r="BN89">
        <v>0</v>
      </c>
      <c r="BO89">
        <v>0</v>
      </c>
      <c r="BP89">
        <v>1</v>
      </c>
      <c r="BQ89">
        <v>0</v>
      </c>
      <c r="BR89">
        <v>0</v>
      </c>
    </row>
    <row r="90" spans="1:72" x14ac:dyDescent="0.2">
      <c r="A90" s="1">
        <v>44585.661111111112</v>
      </c>
      <c r="B90" s="1">
        <v>44588.882638888892</v>
      </c>
      <c r="C90">
        <v>1</v>
      </c>
      <c r="D90">
        <v>0</v>
      </c>
      <c r="E90">
        <v>0</v>
      </c>
      <c r="F90">
        <v>0</v>
      </c>
      <c r="H90">
        <v>0</v>
      </c>
      <c r="I90">
        <v>1</v>
      </c>
      <c r="J90">
        <v>0</v>
      </c>
      <c r="K90">
        <v>0</v>
      </c>
      <c r="L90">
        <v>0</v>
      </c>
      <c r="N90" t="s">
        <v>88</v>
      </c>
      <c r="O90" t="s">
        <v>89</v>
      </c>
      <c r="P90">
        <v>0</v>
      </c>
      <c r="Q90">
        <v>1</v>
      </c>
      <c r="R90">
        <v>0</v>
      </c>
      <c r="S90">
        <v>0</v>
      </c>
      <c r="T90">
        <v>0</v>
      </c>
      <c r="U90">
        <v>0</v>
      </c>
      <c r="V90">
        <v>0</v>
      </c>
      <c r="W90">
        <v>0</v>
      </c>
      <c r="X90">
        <v>0</v>
      </c>
      <c r="Y90">
        <v>0</v>
      </c>
      <c r="Z90">
        <v>0</v>
      </c>
      <c r="AA90">
        <v>0</v>
      </c>
      <c r="AM90" t="s">
        <v>83</v>
      </c>
      <c r="AN90" t="s">
        <v>82</v>
      </c>
      <c r="AO90" t="s">
        <v>81</v>
      </c>
      <c r="AP90" t="s">
        <v>81</v>
      </c>
      <c r="AQ90" t="s">
        <v>81</v>
      </c>
      <c r="AR90" t="s">
        <v>83</v>
      </c>
      <c r="AS90" t="s">
        <v>83</v>
      </c>
      <c r="AT90" t="s">
        <v>83</v>
      </c>
      <c r="AU90" t="s">
        <v>88</v>
      </c>
      <c r="AV90" t="s">
        <v>89</v>
      </c>
      <c r="AW90" t="s">
        <v>100</v>
      </c>
      <c r="AZ90" t="s">
        <v>107</v>
      </c>
      <c r="BA90" t="s">
        <v>87</v>
      </c>
      <c r="BB90" t="s">
        <v>87</v>
      </c>
      <c r="BC90" t="s">
        <v>87</v>
      </c>
      <c r="BD90" t="s">
        <v>87</v>
      </c>
      <c r="BE90" t="s">
        <v>87</v>
      </c>
      <c r="BF90" t="s">
        <v>101</v>
      </c>
      <c r="BG90" t="s">
        <v>76</v>
      </c>
      <c r="BH90" t="s">
        <v>98</v>
      </c>
      <c r="BI90" t="s">
        <v>107</v>
      </c>
      <c r="BJ90" t="s">
        <v>78</v>
      </c>
      <c r="BK90">
        <v>1</v>
      </c>
      <c r="BL90">
        <v>0</v>
      </c>
      <c r="BM90">
        <v>0</v>
      </c>
      <c r="BN90">
        <v>0</v>
      </c>
      <c r="BO90">
        <v>0</v>
      </c>
      <c r="BP90">
        <v>0</v>
      </c>
      <c r="BQ90">
        <v>0</v>
      </c>
      <c r="BR90">
        <v>0</v>
      </c>
    </row>
    <row r="91" spans="1:72" x14ac:dyDescent="0.2">
      <c r="A91" s="1">
        <v>44585.543055555558</v>
      </c>
      <c r="B91" s="1">
        <v>44585.544444444444</v>
      </c>
      <c r="C91">
        <v>1</v>
      </c>
      <c r="D91">
        <v>0</v>
      </c>
      <c r="E91">
        <v>0</v>
      </c>
      <c r="F91">
        <v>0</v>
      </c>
      <c r="H91">
        <v>1</v>
      </c>
      <c r="I91">
        <v>0</v>
      </c>
      <c r="J91">
        <v>0</v>
      </c>
      <c r="K91">
        <v>0</v>
      </c>
      <c r="L91">
        <v>0</v>
      </c>
      <c r="P91">
        <v>1</v>
      </c>
      <c r="Q91">
        <v>0</v>
      </c>
      <c r="R91">
        <v>0</v>
      </c>
      <c r="S91">
        <v>0</v>
      </c>
      <c r="T91">
        <v>0</v>
      </c>
      <c r="U91">
        <v>0</v>
      </c>
      <c r="V91">
        <v>0</v>
      </c>
      <c r="W91">
        <v>0</v>
      </c>
      <c r="X91">
        <v>0</v>
      </c>
      <c r="Y91">
        <v>0</v>
      </c>
      <c r="Z91">
        <v>0</v>
      </c>
      <c r="AA91">
        <v>0</v>
      </c>
      <c r="AC91">
        <v>0</v>
      </c>
      <c r="AD91">
        <v>0</v>
      </c>
      <c r="AE91">
        <v>1</v>
      </c>
      <c r="AF91">
        <v>1</v>
      </c>
      <c r="AG91">
        <v>0</v>
      </c>
      <c r="AH91">
        <v>1</v>
      </c>
      <c r="AI91">
        <v>0</v>
      </c>
      <c r="AJ91">
        <v>0</v>
      </c>
      <c r="AK91">
        <v>0</v>
      </c>
      <c r="AZ91" t="s">
        <v>120</v>
      </c>
      <c r="BA91" t="s">
        <v>86</v>
      </c>
      <c r="BB91" t="s">
        <v>86</v>
      </c>
      <c r="BC91" t="s">
        <v>86</v>
      </c>
      <c r="BD91" t="s">
        <v>86</v>
      </c>
      <c r="BE91" t="s">
        <v>86</v>
      </c>
      <c r="BF91" t="s">
        <v>97</v>
      </c>
      <c r="BG91" t="s">
        <v>76</v>
      </c>
      <c r="BH91" t="s">
        <v>98</v>
      </c>
      <c r="BI91" t="s">
        <v>120</v>
      </c>
      <c r="BK91">
        <v>1</v>
      </c>
      <c r="BL91">
        <v>0</v>
      </c>
      <c r="BM91">
        <v>0</v>
      </c>
      <c r="BN91">
        <v>0</v>
      </c>
      <c r="BO91">
        <v>0</v>
      </c>
      <c r="BP91">
        <v>0</v>
      </c>
      <c r="BQ91">
        <v>0</v>
      </c>
      <c r="BR91">
        <v>0</v>
      </c>
      <c r="BT91" t="s">
        <v>138</v>
      </c>
    </row>
    <row r="92" spans="1:72" x14ac:dyDescent="0.2">
      <c r="A92" s="1">
        <v>44580.770138888889</v>
      </c>
      <c r="B92" s="1">
        <v>44580.772222222222</v>
      </c>
      <c r="C92">
        <v>1</v>
      </c>
      <c r="D92">
        <v>0</v>
      </c>
      <c r="E92">
        <v>0</v>
      </c>
      <c r="F92">
        <v>0</v>
      </c>
      <c r="H92">
        <v>0</v>
      </c>
      <c r="I92">
        <v>1</v>
      </c>
      <c r="J92">
        <v>0</v>
      </c>
      <c r="K92">
        <v>1</v>
      </c>
      <c r="L92">
        <v>0</v>
      </c>
      <c r="N92" t="s">
        <v>88</v>
      </c>
      <c r="O92" t="s">
        <v>89</v>
      </c>
      <c r="P92">
        <v>0</v>
      </c>
      <c r="Q92">
        <v>0</v>
      </c>
      <c r="R92">
        <v>1</v>
      </c>
      <c r="S92">
        <v>0</v>
      </c>
      <c r="T92">
        <v>0</v>
      </c>
      <c r="U92">
        <v>0</v>
      </c>
      <c r="V92">
        <v>0</v>
      </c>
      <c r="W92">
        <v>0</v>
      </c>
      <c r="X92">
        <v>0</v>
      </c>
      <c r="Y92">
        <v>0</v>
      </c>
      <c r="Z92">
        <v>0</v>
      </c>
      <c r="AA92">
        <v>0</v>
      </c>
      <c r="AM92" t="s">
        <v>81</v>
      </c>
      <c r="AN92" t="s">
        <v>82</v>
      </c>
      <c r="AO92" t="s">
        <v>81</v>
      </c>
      <c r="AP92" t="s">
        <v>81</v>
      </c>
      <c r="AQ92" t="s">
        <v>81</v>
      </c>
      <c r="AR92" t="s">
        <v>81</v>
      </c>
      <c r="AS92" t="s">
        <v>81</v>
      </c>
      <c r="AT92" t="s">
        <v>83</v>
      </c>
      <c r="AU92" t="s">
        <v>88</v>
      </c>
      <c r="AV92" t="s">
        <v>89</v>
      </c>
      <c r="AW92" t="s">
        <v>100</v>
      </c>
      <c r="AX92" t="s">
        <v>118</v>
      </c>
      <c r="AZ92" t="s">
        <v>107</v>
      </c>
      <c r="BA92" t="s">
        <v>87</v>
      </c>
      <c r="BB92" t="s">
        <v>87</v>
      </c>
      <c r="BC92" t="s">
        <v>87</v>
      </c>
      <c r="BD92" t="s">
        <v>86</v>
      </c>
      <c r="BE92" t="s">
        <v>86</v>
      </c>
      <c r="BF92" t="s">
        <v>75</v>
      </c>
      <c r="BG92" t="s">
        <v>92</v>
      </c>
      <c r="BH92" t="s">
        <v>93</v>
      </c>
      <c r="BI92" t="s">
        <v>107</v>
      </c>
      <c r="BJ92" t="s">
        <v>114</v>
      </c>
      <c r="BK92">
        <v>1</v>
      </c>
      <c r="BL92">
        <v>0</v>
      </c>
      <c r="BM92">
        <v>0</v>
      </c>
      <c r="BN92">
        <v>0</v>
      </c>
      <c r="BO92">
        <v>0</v>
      </c>
      <c r="BP92">
        <v>0</v>
      </c>
      <c r="BQ92">
        <v>0</v>
      </c>
      <c r="BR92">
        <v>0</v>
      </c>
    </row>
    <row r="93" spans="1:72" x14ac:dyDescent="0.2">
      <c r="A93" s="1">
        <v>44579.96597222222</v>
      </c>
      <c r="B93" s="1">
        <v>44585.523611111108</v>
      </c>
      <c r="C93">
        <v>1</v>
      </c>
      <c r="D93">
        <v>0</v>
      </c>
      <c r="E93">
        <v>0</v>
      </c>
      <c r="F93">
        <v>0</v>
      </c>
      <c r="H93">
        <v>0</v>
      </c>
      <c r="I93">
        <v>0</v>
      </c>
      <c r="J93">
        <v>0</v>
      </c>
      <c r="K93">
        <v>0</v>
      </c>
      <c r="L93">
        <v>1</v>
      </c>
      <c r="M93" t="s">
        <v>173</v>
      </c>
      <c r="N93" t="s">
        <v>88</v>
      </c>
      <c r="O93" t="s">
        <v>89</v>
      </c>
      <c r="P93">
        <v>0</v>
      </c>
      <c r="Q93">
        <v>0</v>
      </c>
      <c r="R93">
        <v>1</v>
      </c>
      <c r="S93">
        <v>0</v>
      </c>
      <c r="T93">
        <v>0</v>
      </c>
      <c r="U93">
        <v>0</v>
      </c>
      <c r="V93">
        <v>0</v>
      </c>
      <c r="W93">
        <v>0</v>
      </c>
      <c r="X93">
        <v>0</v>
      </c>
      <c r="Y93">
        <v>0</v>
      </c>
      <c r="Z93">
        <v>0</v>
      </c>
      <c r="AA93">
        <v>0</v>
      </c>
      <c r="AM93" t="s">
        <v>81</v>
      </c>
      <c r="AN93" t="s">
        <v>81</v>
      </c>
      <c r="AO93" t="s">
        <v>83</v>
      </c>
      <c r="AP93" t="s">
        <v>90</v>
      </c>
      <c r="AQ93" t="s">
        <v>82</v>
      </c>
      <c r="AR93" t="s">
        <v>83</v>
      </c>
      <c r="AS93" t="s">
        <v>83</v>
      </c>
      <c r="AT93" t="s">
        <v>83</v>
      </c>
      <c r="AU93" t="s">
        <v>88</v>
      </c>
      <c r="AV93" t="s">
        <v>89</v>
      </c>
      <c r="AW93" t="s">
        <v>100</v>
      </c>
      <c r="AZ93" t="s">
        <v>73</v>
      </c>
      <c r="BA93" t="s">
        <v>86</v>
      </c>
      <c r="BB93" t="s">
        <v>86</v>
      </c>
      <c r="BC93" t="s">
        <v>86</v>
      </c>
      <c r="BD93" t="s">
        <v>87</v>
      </c>
      <c r="BE93" t="s">
        <v>86</v>
      </c>
      <c r="BF93" t="s">
        <v>97</v>
      </c>
      <c r="BG93" t="s">
        <v>76</v>
      </c>
      <c r="BH93" t="s">
        <v>98</v>
      </c>
      <c r="BI93" t="s">
        <v>73</v>
      </c>
      <c r="BJ93" t="s">
        <v>78</v>
      </c>
      <c r="BK93">
        <v>1</v>
      </c>
      <c r="BL93">
        <v>0</v>
      </c>
      <c r="BM93">
        <v>0</v>
      </c>
      <c r="BN93">
        <v>0</v>
      </c>
      <c r="BO93">
        <v>0</v>
      </c>
      <c r="BP93">
        <v>0</v>
      </c>
      <c r="BQ93">
        <v>0</v>
      </c>
      <c r="BR93">
        <v>0</v>
      </c>
    </row>
    <row r="94" spans="1:72" x14ac:dyDescent="0.2">
      <c r="A94" s="1">
        <v>44579.897222222222</v>
      </c>
      <c r="B94" s="1">
        <v>44579.899305555555</v>
      </c>
      <c r="C94">
        <v>1</v>
      </c>
      <c r="D94">
        <v>0</v>
      </c>
      <c r="E94">
        <v>0</v>
      </c>
      <c r="F94">
        <v>0</v>
      </c>
      <c r="H94">
        <v>1</v>
      </c>
      <c r="I94">
        <v>0</v>
      </c>
      <c r="J94">
        <v>0</v>
      </c>
      <c r="K94">
        <v>0</v>
      </c>
      <c r="L94">
        <v>0</v>
      </c>
      <c r="P94">
        <v>1</v>
      </c>
      <c r="Q94">
        <v>0</v>
      </c>
      <c r="R94">
        <v>0</v>
      </c>
      <c r="S94">
        <v>0</v>
      </c>
      <c r="T94">
        <v>0</v>
      </c>
      <c r="U94">
        <v>0</v>
      </c>
      <c r="V94">
        <v>0</v>
      </c>
      <c r="W94">
        <v>0</v>
      </c>
      <c r="X94">
        <v>0</v>
      </c>
      <c r="Y94">
        <v>0</v>
      </c>
      <c r="Z94">
        <v>0</v>
      </c>
      <c r="AA94">
        <v>0</v>
      </c>
      <c r="AC94">
        <v>0</v>
      </c>
      <c r="AD94">
        <v>0</v>
      </c>
      <c r="AE94">
        <v>1</v>
      </c>
      <c r="AF94">
        <v>0</v>
      </c>
      <c r="AG94">
        <v>0</v>
      </c>
      <c r="AH94">
        <v>0</v>
      </c>
      <c r="AI94">
        <v>0</v>
      </c>
      <c r="AJ94">
        <v>0</v>
      </c>
      <c r="AK94">
        <v>0</v>
      </c>
      <c r="AX94" t="s">
        <v>106</v>
      </c>
      <c r="AZ94" t="s">
        <v>107</v>
      </c>
      <c r="BA94" t="s">
        <v>87</v>
      </c>
      <c r="BB94" t="s">
        <v>87</v>
      </c>
      <c r="BC94" t="s">
        <v>87</v>
      </c>
      <c r="BD94" t="s">
        <v>87</v>
      </c>
      <c r="BE94" t="s">
        <v>87</v>
      </c>
      <c r="BF94" t="s">
        <v>75</v>
      </c>
      <c r="BG94" t="s">
        <v>76</v>
      </c>
      <c r="BH94" t="s">
        <v>77</v>
      </c>
      <c r="BI94" t="s">
        <v>107</v>
      </c>
      <c r="BJ94" t="s">
        <v>154</v>
      </c>
      <c r="BK94">
        <v>1</v>
      </c>
      <c r="BL94">
        <v>0</v>
      </c>
      <c r="BM94">
        <v>0</v>
      </c>
      <c r="BN94">
        <v>0</v>
      </c>
      <c r="BO94">
        <v>0</v>
      </c>
      <c r="BP94">
        <v>0</v>
      </c>
      <c r="BQ94">
        <v>0</v>
      </c>
      <c r="BR94">
        <v>0</v>
      </c>
    </row>
    <row r="95" spans="1:72" x14ac:dyDescent="0.2">
      <c r="A95" s="1">
        <v>44579.884027777778</v>
      </c>
      <c r="B95" s="1">
        <v>44579.885416666664</v>
      </c>
      <c r="C95">
        <v>1</v>
      </c>
      <c r="D95">
        <v>0</v>
      </c>
      <c r="E95">
        <v>0</v>
      </c>
      <c r="F95">
        <v>0</v>
      </c>
      <c r="H95">
        <v>1</v>
      </c>
      <c r="I95">
        <v>0</v>
      </c>
      <c r="J95">
        <v>0</v>
      </c>
      <c r="K95">
        <v>0</v>
      </c>
      <c r="L95">
        <v>0</v>
      </c>
      <c r="P95">
        <v>1</v>
      </c>
      <c r="Q95">
        <v>0</v>
      </c>
      <c r="R95">
        <v>0</v>
      </c>
      <c r="S95">
        <v>0</v>
      </c>
      <c r="T95">
        <v>0</v>
      </c>
      <c r="U95">
        <v>0</v>
      </c>
      <c r="V95">
        <v>0</v>
      </c>
      <c r="W95">
        <v>0</v>
      </c>
      <c r="X95">
        <v>0</v>
      </c>
      <c r="Y95">
        <v>0</v>
      </c>
      <c r="Z95">
        <v>0</v>
      </c>
      <c r="AA95">
        <v>0</v>
      </c>
      <c r="AC95">
        <v>0</v>
      </c>
      <c r="AD95">
        <v>0</v>
      </c>
      <c r="AE95">
        <v>1</v>
      </c>
      <c r="AF95">
        <v>0</v>
      </c>
      <c r="AG95">
        <v>0</v>
      </c>
      <c r="AH95">
        <v>0</v>
      </c>
      <c r="AI95">
        <v>0</v>
      </c>
      <c r="AJ95">
        <v>0</v>
      </c>
      <c r="AK95">
        <v>0</v>
      </c>
      <c r="AZ95" t="s">
        <v>107</v>
      </c>
      <c r="BA95" t="s">
        <v>86</v>
      </c>
      <c r="BB95" t="s">
        <v>86</v>
      </c>
      <c r="BC95" t="s">
        <v>86</v>
      </c>
      <c r="BD95" t="s">
        <v>74</v>
      </c>
      <c r="BE95" t="s">
        <v>87</v>
      </c>
      <c r="BF95" t="s">
        <v>97</v>
      </c>
      <c r="BG95" t="s">
        <v>76</v>
      </c>
      <c r="BH95" t="s">
        <v>98</v>
      </c>
      <c r="BI95" t="s">
        <v>107</v>
      </c>
      <c r="BJ95" t="s">
        <v>147</v>
      </c>
      <c r="BK95">
        <v>0</v>
      </c>
      <c r="BL95">
        <v>0</v>
      </c>
      <c r="BM95">
        <v>0</v>
      </c>
      <c r="BN95">
        <v>0</v>
      </c>
      <c r="BO95">
        <v>0</v>
      </c>
      <c r="BP95">
        <v>1</v>
      </c>
      <c r="BQ95">
        <v>0</v>
      </c>
      <c r="BR95">
        <v>0</v>
      </c>
    </row>
    <row r="96" spans="1:72" x14ac:dyDescent="0.2">
      <c r="A96" s="1">
        <v>44579.952777777777</v>
      </c>
      <c r="B96" s="1">
        <v>44579.95416666667</v>
      </c>
      <c r="C96">
        <v>0</v>
      </c>
      <c r="D96">
        <v>1</v>
      </c>
      <c r="E96">
        <v>0</v>
      </c>
      <c r="F96">
        <v>0</v>
      </c>
      <c r="H96">
        <v>1</v>
      </c>
      <c r="I96">
        <v>0</v>
      </c>
      <c r="J96">
        <v>0</v>
      </c>
      <c r="K96">
        <v>0</v>
      </c>
      <c r="L96">
        <v>0</v>
      </c>
      <c r="P96">
        <v>1</v>
      </c>
      <c r="Q96">
        <v>0</v>
      </c>
      <c r="R96">
        <v>0</v>
      </c>
      <c r="S96">
        <v>0</v>
      </c>
      <c r="T96">
        <v>0</v>
      </c>
      <c r="U96">
        <v>0</v>
      </c>
      <c r="V96">
        <v>0</v>
      </c>
      <c r="W96">
        <v>0</v>
      </c>
      <c r="X96">
        <v>0</v>
      </c>
      <c r="Y96">
        <v>0</v>
      </c>
      <c r="Z96">
        <v>0</v>
      </c>
      <c r="AA96">
        <v>0</v>
      </c>
      <c r="AC96">
        <v>0</v>
      </c>
      <c r="AD96">
        <v>1</v>
      </c>
      <c r="AE96">
        <v>0</v>
      </c>
      <c r="AF96">
        <v>0</v>
      </c>
      <c r="AG96">
        <v>0</v>
      </c>
      <c r="AH96">
        <v>0</v>
      </c>
      <c r="AI96">
        <v>0</v>
      </c>
      <c r="AJ96">
        <v>0</v>
      </c>
      <c r="AK96">
        <v>0</v>
      </c>
      <c r="AZ96" t="s">
        <v>73</v>
      </c>
      <c r="BA96" t="s">
        <v>74</v>
      </c>
      <c r="BF96" t="s">
        <v>97</v>
      </c>
      <c r="BG96" t="s">
        <v>92</v>
      </c>
      <c r="BH96" t="s">
        <v>158</v>
      </c>
      <c r="BI96" t="s">
        <v>73</v>
      </c>
      <c r="BJ96" t="s">
        <v>78</v>
      </c>
      <c r="BK96">
        <v>1</v>
      </c>
      <c r="BL96">
        <v>0</v>
      </c>
      <c r="BM96">
        <v>0</v>
      </c>
      <c r="BN96">
        <v>0</v>
      </c>
      <c r="BO96">
        <v>0</v>
      </c>
      <c r="BP96">
        <v>0</v>
      </c>
      <c r="BQ96">
        <v>0</v>
      </c>
      <c r="BR96">
        <v>0</v>
      </c>
    </row>
    <row r="97" spans="1:72" x14ac:dyDescent="0.2">
      <c r="A97" s="1">
        <v>44579.881249999999</v>
      </c>
      <c r="B97" s="1">
        <v>44579.884027777778</v>
      </c>
      <c r="C97">
        <v>0</v>
      </c>
      <c r="D97">
        <v>1</v>
      </c>
      <c r="E97">
        <v>0</v>
      </c>
      <c r="F97">
        <v>0</v>
      </c>
      <c r="H97">
        <v>1</v>
      </c>
      <c r="I97">
        <v>0</v>
      </c>
      <c r="J97">
        <v>0</v>
      </c>
      <c r="K97">
        <v>0</v>
      </c>
      <c r="L97">
        <v>0</v>
      </c>
      <c r="P97">
        <v>0</v>
      </c>
      <c r="Q97">
        <v>1</v>
      </c>
      <c r="R97">
        <v>0</v>
      </c>
      <c r="S97">
        <v>0</v>
      </c>
      <c r="T97">
        <v>0</v>
      </c>
      <c r="U97">
        <v>0</v>
      </c>
      <c r="V97">
        <v>0</v>
      </c>
      <c r="W97">
        <v>0</v>
      </c>
      <c r="X97">
        <v>0</v>
      </c>
      <c r="Y97">
        <v>0</v>
      </c>
      <c r="Z97">
        <v>0</v>
      </c>
      <c r="AA97">
        <v>0</v>
      </c>
      <c r="AM97" t="s">
        <v>83</v>
      </c>
      <c r="AN97" t="s">
        <v>82</v>
      </c>
      <c r="AO97" t="s">
        <v>83</v>
      </c>
      <c r="AP97" t="s">
        <v>82</v>
      </c>
      <c r="AQ97" t="s">
        <v>83</v>
      </c>
      <c r="AR97" t="s">
        <v>83</v>
      </c>
      <c r="AS97" t="s">
        <v>83</v>
      </c>
      <c r="AT97" t="s">
        <v>83</v>
      </c>
      <c r="AU97" t="s">
        <v>88</v>
      </c>
      <c r="AV97" t="s">
        <v>89</v>
      </c>
      <c r="AW97" t="s">
        <v>100</v>
      </c>
      <c r="AZ97" t="s">
        <v>96</v>
      </c>
      <c r="BA97" t="s">
        <v>87</v>
      </c>
      <c r="BB97" t="s">
        <v>74</v>
      </c>
      <c r="BC97" t="s">
        <v>87</v>
      </c>
      <c r="BD97" t="s">
        <v>74</v>
      </c>
      <c r="BE97" t="s">
        <v>74</v>
      </c>
      <c r="BF97" t="s">
        <v>101</v>
      </c>
      <c r="BG97" t="s">
        <v>76</v>
      </c>
      <c r="BH97" t="s">
        <v>77</v>
      </c>
      <c r="BI97" t="s">
        <v>96</v>
      </c>
      <c r="BJ97" t="s">
        <v>174</v>
      </c>
      <c r="BK97">
        <v>1</v>
      </c>
      <c r="BL97">
        <v>0</v>
      </c>
      <c r="BM97">
        <v>0</v>
      </c>
      <c r="BN97">
        <v>0</v>
      </c>
      <c r="BO97">
        <v>0</v>
      </c>
      <c r="BP97">
        <v>0</v>
      </c>
      <c r="BQ97">
        <v>0</v>
      </c>
      <c r="BR97">
        <v>0</v>
      </c>
    </row>
    <row r="98" spans="1:72" x14ac:dyDescent="0.2">
      <c r="A98" s="1">
        <v>44579.962500000001</v>
      </c>
      <c r="B98" s="1">
        <v>44579.964583333334</v>
      </c>
      <c r="C98">
        <v>1</v>
      </c>
      <c r="D98">
        <v>1</v>
      </c>
      <c r="E98">
        <v>0</v>
      </c>
      <c r="F98">
        <v>0</v>
      </c>
      <c r="H98">
        <v>0</v>
      </c>
      <c r="I98">
        <v>1</v>
      </c>
      <c r="J98">
        <v>1</v>
      </c>
      <c r="K98">
        <v>0</v>
      </c>
      <c r="L98">
        <v>0</v>
      </c>
      <c r="N98" t="s">
        <v>88</v>
      </c>
      <c r="O98" t="s">
        <v>89</v>
      </c>
      <c r="P98">
        <v>0</v>
      </c>
      <c r="Q98">
        <v>0</v>
      </c>
      <c r="R98">
        <v>0</v>
      </c>
      <c r="S98">
        <v>1</v>
      </c>
      <c r="T98">
        <v>0</v>
      </c>
      <c r="U98">
        <v>0</v>
      </c>
      <c r="V98">
        <v>0</v>
      </c>
      <c r="W98">
        <v>0</v>
      </c>
      <c r="X98">
        <v>0</v>
      </c>
      <c r="Y98">
        <v>0</v>
      </c>
      <c r="Z98">
        <v>0</v>
      </c>
      <c r="AA98">
        <v>0</v>
      </c>
      <c r="AM98" t="s">
        <v>83</v>
      </c>
      <c r="AN98" t="s">
        <v>82</v>
      </c>
      <c r="AO98" t="s">
        <v>83</v>
      </c>
      <c r="AP98" t="s">
        <v>82</v>
      </c>
      <c r="AQ98" t="s">
        <v>81</v>
      </c>
      <c r="AR98" t="s">
        <v>90</v>
      </c>
      <c r="AS98" t="s">
        <v>83</v>
      </c>
      <c r="AT98" t="s">
        <v>81</v>
      </c>
      <c r="AU98" t="s">
        <v>88</v>
      </c>
      <c r="AV98" t="s">
        <v>89</v>
      </c>
      <c r="AW98" t="s">
        <v>100</v>
      </c>
      <c r="AX98" t="s">
        <v>175</v>
      </c>
      <c r="AZ98" t="s">
        <v>73</v>
      </c>
      <c r="BA98" t="s">
        <v>86</v>
      </c>
      <c r="BB98" t="s">
        <v>86</v>
      </c>
      <c r="BC98" t="s">
        <v>87</v>
      </c>
      <c r="BD98" t="s">
        <v>74</v>
      </c>
      <c r="BE98" t="s">
        <v>86</v>
      </c>
      <c r="BF98" t="s">
        <v>113</v>
      </c>
      <c r="BG98" t="s">
        <v>76</v>
      </c>
      <c r="BH98" t="s">
        <v>93</v>
      </c>
      <c r="BI98" t="s">
        <v>73</v>
      </c>
      <c r="BJ98" t="s">
        <v>176</v>
      </c>
      <c r="BK98">
        <v>1</v>
      </c>
      <c r="BL98">
        <v>0</v>
      </c>
      <c r="BM98">
        <v>0</v>
      </c>
      <c r="BN98">
        <v>0</v>
      </c>
      <c r="BO98">
        <v>0</v>
      </c>
      <c r="BP98">
        <v>0</v>
      </c>
      <c r="BQ98">
        <v>0</v>
      </c>
      <c r="BR98">
        <v>0</v>
      </c>
    </row>
    <row r="99" spans="1:72" x14ac:dyDescent="0.2">
      <c r="A99" s="1">
        <v>44580.690972222219</v>
      </c>
      <c r="B99" s="1">
        <v>44580.694444444445</v>
      </c>
      <c r="C99">
        <v>0</v>
      </c>
      <c r="D99">
        <v>1</v>
      </c>
      <c r="E99">
        <v>0</v>
      </c>
      <c r="F99">
        <v>0</v>
      </c>
      <c r="H99">
        <v>1</v>
      </c>
      <c r="I99">
        <v>0</v>
      </c>
      <c r="J99">
        <v>0</v>
      </c>
      <c r="K99">
        <v>0</v>
      </c>
      <c r="L99">
        <v>0</v>
      </c>
      <c r="P99">
        <v>1</v>
      </c>
      <c r="Q99">
        <v>0</v>
      </c>
      <c r="R99">
        <v>0</v>
      </c>
      <c r="S99">
        <v>0</v>
      </c>
      <c r="T99">
        <v>0</v>
      </c>
      <c r="U99">
        <v>0</v>
      </c>
      <c r="V99">
        <v>0</v>
      </c>
      <c r="W99">
        <v>0</v>
      </c>
      <c r="X99">
        <v>0</v>
      </c>
      <c r="Y99">
        <v>0</v>
      </c>
      <c r="Z99">
        <v>0</v>
      </c>
      <c r="AA99">
        <v>0</v>
      </c>
      <c r="AC99">
        <v>0</v>
      </c>
      <c r="AD99">
        <v>1</v>
      </c>
      <c r="AE99">
        <v>0</v>
      </c>
      <c r="AF99">
        <v>0</v>
      </c>
      <c r="AG99">
        <v>0</v>
      </c>
      <c r="AH99">
        <v>0</v>
      </c>
      <c r="AI99">
        <v>0</v>
      </c>
      <c r="AJ99">
        <v>0</v>
      </c>
      <c r="AK99">
        <v>0</v>
      </c>
      <c r="AZ99" t="s">
        <v>120</v>
      </c>
      <c r="BA99" t="s">
        <v>86</v>
      </c>
      <c r="BB99" t="s">
        <v>87</v>
      </c>
      <c r="BC99" t="s">
        <v>87</v>
      </c>
      <c r="BD99" t="s">
        <v>87</v>
      </c>
      <c r="BE99" t="s">
        <v>87</v>
      </c>
      <c r="BF99" t="s">
        <v>101</v>
      </c>
      <c r="BG99" t="s">
        <v>76</v>
      </c>
      <c r="BH99" t="s">
        <v>98</v>
      </c>
      <c r="BI99" t="s">
        <v>120</v>
      </c>
      <c r="BK99">
        <v>1</v>
      </c>
      <c r="BL99">
        <v>0</v>
      </c>
      <c r="BM99">
        <v>0</v>
      </c>
      <c r="BN99">
        <v>0</v>
      </c>
      <c r="BO99">
        <v>0</v>
      </c>
      <c r="BP99">
        <v>0</v>
      </c>
      <c r="BQ99">
        <v>0</v>
      </c>
      <c r="BR99">
        <v>0</v>
      </c>
    </row>
    <row r="100" spans="1:72" x14ac:dyDescent="0.2">
      <c r="A100" s="1">
        <v>44589.050694444442</v>
      </c>
      <c r="B100" s="1">
        <v>44589.054166666669</v>
      </c>
      <c r="C100">
        <v>1</v>
      </c>
      <c r="D100">
        <v>0</v>
      </c>
      <c r="E100">
        <v>0</v>
      </c>
      <c r="F100">
        <v>0</v>
      </c>
      <c r="H100">
        <v>0</v>
      </c>
      <c r="I100">
        <v>1</v>
      </c>
      <c r="J100">
        <v>1</v>
      </c>
      <c r="K100">
        <v>1</v>
      </c>
      <c r="L100">
        <v>0</v>
      </c>
      <c r="N100" t="s">
        <v>135</v>
      </c>
      <c r="O100" t="s">
        <v>80</v>
      </c>
      <c r="P100">
        <v>0</v>
      </c>
      <c r="Q100">
        <v>0</v>
      </c>
      <c r="R100">
        <v>1</v>
      </c>
      <c r="S100">
        <v>0</v>
      </c>
      <c r="T100">
        <v>0</v>
      </c>
      <c r="U100">
        <v>0</v>
      </c>
      <c r="V100">
        <v>0</v>
      </c>
      <c r="W100">
        <v>0</v>
      </c>
      <c r="X100">
        <v>0</v>
      </c>
      <c r="Y100">
        <v>0</v>
      </c>
      <c r="Z100">
        <v>0</v>
      </c>
      <c r="AA100">
        <v>0</v>
      </c>
      <c r="AM100" t="s">
        <v>83</v>
      </c>
      <c r="AN100" t="s">
        <v>82</v>
      </c>
      <c r="AO100" t="s">
        <v>81</v>
      </c>
      <c r="AP100" t="s">
        <v>81</v>
      </c>
      <c r="AQ100" t="s">
        <v>81</v>
      </c>
      <c r="AR100" t="s">
        <v>90</v>
      </c>
      <c r="AS100" t="s">
        <v>81</v>
      </c>
      <c r="AT100" t="s">
        <v>83</v>
      </c>
      <c r="AU100" t="s">
        <v>88</v>
      </c>
      <c r="AV100" t="s">
        <v>89</v>
      </c>
      <c r="AW100" t="s">
        <v>100</v>
      </c>
      <c r="AX100" t="s">
        <v>110</v>
      </c>
      <c r="AY100" t="s">
        <v>177</v>
      </c>
      <c r="AZ100" t="s">
        <v>107</v>
      </c>
      <c r="BA100" t="s">
        <v>86</v>
      </c>
      <c r="BB100" t="s">
        <v>87</v>
      </c>
      <c r="BC100" t="s">
        <v>86</v>
      </c>
      <c r="BD100" t="s">
        <v>87</v>
      </c>
      <c r="BE100" t="s">
        <v>86</v>
      </c>
      <c r="BF100" t="s">
        <v>75</v>
      </c>
      <c r="BG100" t="s">
        <v>76</v>
      </c>
      <c r="BH100" t="s">
        <v>77</v>
      </c>
      <c r="BI100" t="s">
        <v>107</v>
      </c>
      <c r="BJ100" t="s">
        <v>78</v>
      </c>
      <c r="BK100">
        <v>1</v>
      </c>
      <c r="BL100">
        <v>0</v>
      </c>
      <c r="BM100">
        <v>0</v>
      </c>
      <c r="BN100">
        <v>0</v>
      </c>
      <c r="BO100">
        <v>0</v>
      </c>
      <c r="BP100">
        <v>0</v>
      </c>
      <c r="BQ100">
        <v>0</v>
      </c>
      <c r="BR100">
        <v>0</v>
      </c>
    </row>
    <row r="101" spans="1:72" x14ac:dyDescent="0.2">
      <c r="A101" s="1">
        <v>44579.920138888891</v>
      </c>
      <c r="B101" s="1">
        <v>44579.921527777777</v>
      </c>
      <c r="C101">
        <v>0</v>
      </c>
      <c r="D101">
        <v>0</v>
      </c>
      <c r="E101">
        <v>0</v>
      </c>
      <c r="F101">
        <v>1</v>
      </c>
      <c r="P101">
        <v>1</v>
      </c>
      <c r="Q101">
        <v>0</v>
      </c>
      <c r="R101">
        <v>0</v>
      </c>
      <c r="S101">
        <v>0</v>
      </c>
      <c r="T101">
        <v>0</v>
      </c>
      <c r="U101">
        <v>0</v>
      </c>
      <c r="V101">
        <v>0</v>
      </c>
      <c r="W101">
        <v>0</v>
      </c>
      <c r="X101">
        <v>0</v>
      </c>
      <c r="Y101">
        <v>0</v>
      </c>
      <c r="Z101">
        <v>0</v>
      </c>
      <c r="AA101">
        <v>0</v>
      </c>
      <c r="AC101">
        <v>0</v>
      </c>
      <c r="AD101">
        <v>0</v>
      </c>
      <c r="AE101">
        <v>0</v>
      </c>
      <c r="AF101">
        <v>0</v>
      </c>
      <c r="AG101">
        <v>0</v>
      </c>
      <c r="AH101">
        <v>1</v>
      </c>
      <c r="AI101">
        <v>0</v>
      </c>
      <c r="AJ101">
        <v>1</v>
      </c>
      <c r="AK101">
        <v>0</v>
      </c>
      <c r="AZ101" t="s">
        <v>107</v>
      </c>
      <c r="BF101" t="s">
        <v>97</v>
      </c>
      <c r="BG101" t="s">
        <v>92</v>
      </c>
      <c r="BH101" t="s">
        <v>98</v>
      </c>
      <c r="BI101" t="s">
        <v>107</v>
      </c>
      <c r="BJ101" t="s">
        <v>129</v>
      </c>
      <c r="BK101">
        <v>1</v>
      </c>
      <c r="BL101">
        <v>0</v>
      </c>
      <c r="BM101">
        <v>0</v>
      </c>
      <c r="BN101">
        <v>0</v>
      </c>
      <c r="BO101">
        <v>0</v>
      </c>
      <c r="BP101">
        <v>0</v>
      </c>
      <c r="BQ101">
        <v>0</v>
      </c>
      <c r="BR101">
        <v>0</v>
      </c>
    </row>
    <row r="102" spans="1:72" x14ac:dyDescent="0.2">
      <c r="A102" s="1">
        <v>44579.825694444444</v>
      </c>
      <c r="B102" s="1">
        <v>44579.82708333333</v>
      </c>
      <c r="C102">
        <v>0</v>
      </c>
      <c r="D102">
        <v>1</v>
      </c>
      <c r="E102">
        <v>0</v>
      </c>
      <c r="F102">
        <v>0</v>
      </c>
      <c r="H102">
        <v>0</v>
      </c>
      <c r="I102">
        <v>1</v>
      </c>
      <c r="J102">
        <v>0</v>
      </c>
      <c r="K102">
        <v>1</v>
      </c>
      <c r="L102">
        <v>0</v>
      </c>
      <c r="N102" t="s">
        <v>88</v>
      </c>
      <c r="O102" t="s">
        <v>89</v>
      </c>
      <c r="P102">
        <v>0</v>
      </c>
      <c r="Q102">
        <v>0</v>
      </c>
      <c r="R102">
        <v>0</v>
      </c>
      <c r="S102">
        <v>0</v>
      </c>
      <c r="T102">
        <v>1</v>
      </c>
      <c r="U102">
        <v>0</v>
      </c>
      <c r="V102">
        <v>0</v>
      </c>
      <c r="W102">
        <v>0</v>
      </c>
      <c r="X102">
        <v>0</v>
      </c>
      <c r="Y102">
        <v>0</v>
      </c>
      <c r="Z102">
        <v>0</v>
      </c>
      <c r="AA102">
        <v>0</v>
      </c>
      <c r="AM102" t="s">
        <v>83</v>
      </c>
      <c r="AN102" t="s">
        <v>81</v>
      </c>
      <c r="AO102" t="s">
        <v>82</v>
      </c>
      <c r="AP102" t="s">
        <v>82</v>
      </c>
      <c r="AQ102" t="s">
        <v>83</v>
      </c>
      <c r="AR102" t="s">
        <v>90</v>
      </c>
      <c r="AS102" t="s">
        <v>90</v>
      </c>
      <c r="AT102" t="s">
        <v>83</v>
      </c>
      <c r="AU102" t="s">
        <v>88</v>
      </c>
      <c r="AV102" t="s">
        <v>89</v>
      </c>
      <c r="AW102" t="s">
        <v>100</v>
      </c>
      <c r="AZ102" t="s">
        <v>96</v>
      </c>
      <c r="BA102" t="s">
        <v>87</v>
      </c>
      <c r="BB102" t="s">
        <v>87</v>
      </c>
      <c r="BC102" t="s">
        <v>87</v>
      </c>
      <c r="BD102" t="s">
        <v>87</v>
      </c>
      <c r="BE102" t="s">
        <v>86</v>
      </c>
      <c r="BF102" t="s">
        <v>101</v>
      </c>
      <c r="BG102" t="s">
        <v>76</v>
      </c>
      <c r="BH102" t="s">
        <v>77</v>
      </c>
      <c r="BI102" t="s">
        <v>96</v>
      </c>
      <c r="BJ102" t="s">
        <v>109</v>
      </c>
      <c r="BK102">
        <v>0</v>
      </c>
      <c r="BL102">
        <v>0</v>
      </c>
      <c r="BM102">
        <v>0</v>
      </c>
      <c r="BN102">
        <v>0</v>
      </c>
      <c r="BO102">
        <v>0</v>
      </c>
      <c r="BP102">
        <v>1</v>
      </c>
      <c r="BQ102">
        <v>0</v>
      </c>
      <c r="BR102">
        <v>0</v>
      </c>
    </row>
    <row r="103" spans="1:72" x14ac:dyDescent="0.2">
      <c r="A103" s="1">
        <v>44585.644444444442</v>
      </c>
      <c r="B103" s="1">
        <v>44585.646527777775</v>
      </c>
      <c r="C103">
        <v>0</v>
      </c>
      <c r="D103">
        <v>1</v>
      </c>
      <c r="E103">
        <v>0</v>
      </c>
      <c r="F103">
        <v>0</v>
      </c>
      <c r="H103">
        <v>1</v>
      </c>
      <c r="I103">
        <v>0</v>
      </c>
      <c r="J103">
        <v>0</v>
      </c>
      <c r="K103">
        <v>0</v>
      </c>
      <c r="L103">
        <v>0</v>
      </c>
      <c r="P103">
        <v>1</v>
      </c>
      <c r="Q103">
        <v>0</v>
      </c>
      <c r="R103">
        <v>0</v>
      </c>
      <c r="S103">
        <v>0</v>
      </c>
      <c r="T103">
        <v>0</v>
      </c>
      <c r="U103">
        <v>0</v>
      </c>
      <c r="V103">
        <v>0</v>
      </c>
      <c r="W103">
        <v>0</v>
      </c>
      <c r="X103">
        <v>0</v>
      </c>
      <c r="Y103">
        <v>0</v>
      </c>
      <c r="Z103">
        <v>0</v>
      </c>
      <c r="AA103">
        <v>0</v>
      </c>
      <c r="AC103">
        <v>0</v>
      </c>
      <c r="AD103">
        <v>0</v>
      </c>
      <c r="AE103">
        <v>1</v>
      </c>
      <c r="AF103">
        <v>0</v>
      </c>
      <c r="AG103">
        <v>1</v>
      </c>
      <c r="AH103">
        <v>0</v>
      </c>
      <c r="AI103">
        <v>0</v>
      </c>
      <c r="AJ103">
        <v>0</v>
      </c>
      <c r="AK103">
        <v>0</v>
      </c>
      <c r="AX103" t="s">
        <v>110</v>
      </c>
      <c r="AY103" t="s">
        <v>178</v>
      </c>
      <c r="AZ103" t="s">
        <v>107</v>
      </c>
      <c r="BA103" t="s">
        <v>86</v>
      </c>
      <c r="BB103" t="s">
        <v>87</v>
      </c>
      <c r="BC103" t="s">
        <v>86</v>
      </c>
      <c r="BD103" t="s">
        <v>86</v>
      </c>
      <c r="BE103" t="s">
        <v>86</v>
      </c>
      <c r="BF103" t="s">
        <v>75</v>
      </c>
      <c r="BG103" t="s">
        <v>76</v>
      </c>
      <c r="BH103" t="s">
        <v>93</v>
      </c>
      <c r="BI103" t="s">
        <v>107</v>
      </c>
      <c r="BJ103" t="s">
        <v>109</v>
      </c>
      <c r="BK103">
        <v>0</v>
      </c>
      <c r="BL103">
        <v>0</v>
      </c>
      <c r="BM103">
        <v>0</v>
      </c>
      <c r="BN103">
        <v>0</v>
      </c>
      <c r="BO103">
        <v>0</v>
      </c>
      <c r="BP103">
        <v>0</v>
      </c>
      <c r="BQ103">
        <v>0</v>
      </c>
      <c r="BR103">
        <v>1</v>
      </c>
    </row>
    <row r="104" spans="1:72" x14ac:dyDescent="0.2">
      <c r="A104" s="1">
        <v>44579.87777777778</v>
      </c>
      <c r="B104" s="1">
        <v>44579.878472222219</v>
      </c>
      <c r="C104">
        <v>1</v>
      </c>
      <c r="D104">
        <v>0</v>
      </c>
      <c r="E104">
        <v>0</v>
      </c>
      <c r="F104">
        <v>0</v>
      </c>
      <c r="H104">
        <v>1</v>
      </c>
      <c r="I104">
        <v>0</v>
      </c>
      <c r="J104">
        <v>0</v>
      </c>
      <c r="K104">
        <v>0</v>
      </c>
      <c r="L104">
        <v>0</v>
      </c>
      <c r="P104">
        <v>1</v>
      </c>
      <c r="Q104">
        <v>0</v>
      </c>
      <c r="R104">
        <v>0</v>
      </c>
      <c r="S104">
        <v>0</v>
      </c>
      <c r="T104">
        <v>0</v>
      </c>
      <c r="U104">
        <v>0</v>
      </c>
      <c r="V104">
        <v>0</v>
      </c>
      <c r="W104">
        <v>0</v>
      </c>
      <c r="X104">
        <v>0</v>
      </c>
      <c r="Y104">
        <v>0</v>
      </c>
      <c r="Z104">
        <v>0</v>
      </c>
      <c r="AA104">
        <v>0</v>
      </c>
      <c r="AC104">
        <v>0</v>
      </c>
      <c r="AD104">
        <v>0</v>
      </c>
      <c r="AE104">
        <v>1</v>
      </c>
      <c r="AF104">
        <v>0</v>
      </c>
      <c r="AG104">
        <v>0</v>
      </c>
      <c r="AH104">
        <v>0</v>
      </c>
      <c r="AI104">
        <v>0</v>
      </c>
      <c r="AJ104">
        <v>0</v>
      </c>
      <c r="AK104">
        <v>0</v>
      </c>
      <c r="AZ104" t="s">
        <v>96</v>
      </c>
      <c r="BA104" t="s">
        <v>74</v>
      </c>
      <c r="BF104" t="s">
        <v>97</v>
      </c>
      <c r="BG104" t="s">
        <v>76</v>
      </c>
      <c r="BH104" t="s">
        <v>158</v>
      </c>
      <c r="BI104" t="s">
        <v>96</v>
      </c>
      <c r="BJ104" t="s">
        <v>78</v>
      </c>
      <c r="BK104">
        <v>1</v>
      </c>
      <c r="BL104">
        <v>0</v>
      </c>
      <c r="BM104">
        <v>0</v>
      </c>
      <c r="BN104">
        <v>0</v>
      </c>
      <c r="BO104">
        <v>0</v>
      </c>
      <c r="BP104">
        <v>0</v>
      </c>
      <c r="BQ104">
        <v>0</v>
      </c>
      <c r="BR104">
        <v>0</v>
      </c>
    </row>
    <row r="105" spans="1:72" x14ac:dyDescent="0.2">
      <c r="A105" s="1">
        <v>44579.892361111109</v>
      </c>
      <c r="B105" s="1">
        <v>44579.897916666669</v>
      </c>
      <c r="C105">
        <v>0</v>
      </c>
      <c r="D105">
        <v>1</v>
      </c>
      <c r="E105">
        <v>0</v>
      </c>
      <c r="F105">
        <v>0</v>
      </c>
      <c r="H105">
        <v>1</v>
      </c>
      <c r="I105">
        <v>0</v>
      </c>
      <c r="J105">
        <v>0</v>
      </c>
      <c r="K105">
        <v>0</v>
      </c>
      <c r="L105">
        <v>0</v>
      </c>
      <c r="P105">
        <v>0</v>
      </c>
      <c r="Q105">
        <v>1</v>
      </c>
      <c r="R105">
        <v>0</v>
      </c>
      <c r="S105">
        <v>0</v>
      </c>
      <c r="T105">
        <v>0</v>
      </c>
      <c r="U105">
        <v>0</v>
      </c>
      <c r="V105">
        <v>0</v>
      </c>
      <c r="W105">
        <v>0</v>
      </c>
      <c r="X105">
        <v>0</v>
      </c>
      <c r="Y105">
        <v>0</v>
      </c>
      <c r="Z105">
        <v>0</v>
      </c>
      <c r="AA105">
        <v>0</v>
      </c>
      <c r="AM105" t="s">
        <v>83</v>
      </c>
      <c r="AN105" t="s">
        <v>82</v>
      </c>
      <c r="AO105" t="s">
        <v>81</v>
      </c>
      <c r="AP105" t="s">
        <v>82</v>
      </c>
      <c r="AQ105" t="s">
        <v>83</v>
      </c>
      <c r="AR105" t="s">
        <v>90</v>
      </c>
      <c r="AS105" t="s">
        <v>90</v>
      </c>
      <c r="AT105" t="s">
        <v>83</v>
      </c>
      <c r="AU105" t="s">
        <v>88</v>
      </c>
      <c r="AV105" t="s">
        <v>89</v>
      </c>
      <c r="AW105" t="s">
        <v>100</v>
      </c>
      <c r="AZ105" t="s">
        <v>107</v>
      </c>
      <c r="BA105" t="s">
        <v>86</v>
      </c>
      <c r="BB105" t="s">
        <v>86</v>
      </c>
      <c r="BC105" t="s">
        <v>87</v>
      </c>
      <c r="BD105" t="s">
        <v>86</v>
      </c>
      <c r="BE105" t="s">
        <v>87</v>
      </c>
      <c r="BF105" t="s">
        <v>97</v>
      </c>
      <c r="BG105" t="s">
        <v>76</v>
      </c>
      <c r="BH105" t="s">
        <v>98</v>
      </c>
      <c r="BI105" t="s">
        <v>107</v>
      </c>
      <c r="BJ105" t="s">
        <v>114</v>
      </c>
      <c r="BK105">
        <v>1</v>
      </c>
      <c r="BL105">
        <v>0</v>
      </c>
      <c r="BM105">
        <v>0</v>
      </c>
      <c r="BN105">
        <v>0</v>
      </c>
      <c r="BO105">
        <v>0</v>
      </c>
      <c r="BP105">
        <v>0</v>
      </c>
      <c r="BQ105">
        <v>0</v>
      </c>
      <c r="BR105">
        <v>0</v>
      </c>
    </row>
    <row r="106" spans="1:72" x14ac:dyDescent="0.2">
      <c r="A106" s="1">
        <v>44585.522222222222</v>
      </c>
      <c r="B106" s="1">
        <v>44585.525694444441</v>
      </c>
      <c r="C106">
        <v>1</v>
      </c>
      <c r="D106">
        <v>0</v>
      </c>
      <c r="E106">
        <v>0</v>
      </c>
      <c r="F106">
        <v>0</v>
      </c>
      <c r="H106">
        <v>1</v>
      </c>
      <c r="I106">
        <v>0</v>
      </c>
      <c r="J106">
        <v>0</v>
      </c>
      <c r="K106">
        <v>0</v>
      </c>
      <c r="L106">
        <v>0</v>
      </c>
      <c r="P106">
        <v>1</v>
      </c>
      <c r="Q106">
        <v>0</v>
      </c>
      <c r="R106">
        <v>0</v>
      </c>
      <c r="S106">
        <v>0</v>
      </c>
      <c r="T106">
        <v>0</v>
      </c>
      <c r="U106">
        <v>0</v>
      </c>
      <c r="V106">
        <v>0</v>
      </c>
      <c r="W106">
        <v>0</v>
      </c>
      <c r="X106">
        <v>0</v>
      </c>
      <c r="Y106">
        <v>0</v>
      </c>
      <c r="Z106">
        <v>0</v>
      </c>
      <c r="AA106">
        <v>0</v>
      </c>
      <c r="AC106">
        <v>0</v>
      </c>
      <c r="AD106">
        <v>0</v>
      </c>
      <c r="AE106">
        <v>1</v>
      </c>
      <c r="AF106">
        <v>0</v>
      </c>
      <c r="AG106">
        <v>0</v>
      </c>
      <c r="AH106">
        <v>0</v>
      </c>
      <c r="AI106">
        <v>0</v>
      </c>
      <c r="AJ106">
        <v>0</v>
      </c>
      <c r="AK106">
        <v>0</v>
      </c>
      <c r="AX106" t="s">
        <v>179</v>
      </c>
      <c r="AZ106" t="s">
        <v>96</v>
      </c>
      <c r="BA106" t="s">
        <v>87</v>
      </c>
      <c r="BB106" t="s">
        <v>74</v>
      </c>
      <c r="BC106" t="s">
        <v>74</v>
      </c>
      <c r="BD106" t="s">
        <v>74</v>
      </c>
      <c r="BE106" t="s">
        <v>87</v>
      </c>
      <c r="BF106" t="s">
        <v>75</v>
      </c>
      <c r="BG106" t="s">
        <v>92</v>
      </c>
      <c r="BH106" t="s">
        <v>77</v>
      </c>
      <c r="BI106" t="s">
        <v>96</v>
      </c>
      <c r="BJ106" t="s">
        <v>102</v>
      </c>
      <c r="BK106">
        <v>1</v>
      </c>
      <c r="BL106">
        <v>0</v>
      </c>
      <c r="BM106">
        <v>0</v>
      </c>
      <c r="BN106">
        <v>0</v>
      </c>
      <c r="BO106">
        <v>0</v>
      </c>
      <c r="BP106">
        <v>0</v>
      </c>
      <c r="BQ106">
        <v>0</v>
      </c>
      <c r="BR106">
        <v>0</v>
      </c>
    </row>
    <row r="107" spans="1:72" x14ac:dyDescent="0.2">
      <c r="A107" s="1">
        <v>44579.915277777778</v>
      </c>
      <c r="B107" s="1">
        <v>44579.92291666667</v>
      </c>
      <c r="C107">
        <v>0</v>
      </c>
      <c r="D107">
        <v>1</v>
      </c>
      <c r="E107">
        <v>0</v>
      </c>
      <c r="F107">
        <v>0</v>
      </c>
      <c r="H107">
        <v>0</v>
      </c>
      <c r="I107">
        <v>1</v>
      </c>
      <c r="J107">
        <v>0</v>
      </c>
      <c r="K107">
        <v>0</v>
      </c>
      <c r="L107">
        <v>0</v>
      </c>
      <c r="N107" t="s">
        <v>79</v>
      </c>
      <c r="O107" t="s">
        <v>127</v>
      </c>
      <c r="P107">
        <v>0</v>
      </c>
      <c r="Q107">
        <v>1</v>
      </c>
      <c r="R107">
        <v>0</v>
      </c>
      <c r="S107">
        <v>0</v>
      </c>
      <c r="T107">
        <v>0</v>
      </c>
      <c r="U107">
        <v>0</v>
      </c>
      <c r="V107">
        <v>0</v>
      </c>
      <c r="W107">
        <v>0</v>
      </c>
      <c r="X107">
        <v>0</v>
      </c>
      <c r="Y107">
        <v>0</v>
      </c>
      <c r="Z107">
        <v>0</v>
      </c>
      <c r="AA107">
        <v>0</v>
      </c>
      <c r="AM107" t="s">
        <v>83</v>
      </c>
      <c r="AN107" t="s">
        <v>82</v>
      </c>
      <c r="AO107" t="s">
        <v>81</v>
      </c>
      <c r="AP107" t="s">
        <v>81</v>
      </c>
      <c r="AQ107" t="s">
        <v>83</v>
      </c>
      <c r="AR107" t="s">
        <v>81</v>
      </c>
      <c r="AS107" t="s">
        <v>83</v>
      </c>
      <c r="AT107" t="s">
        <v>81</v>
      </c>
      <c r="AU107" t="s">
        <v>88</v>
      </c>
      <c r="AV107" t="s">
        <v>142</v>
      </c>
      <c r="AW107" t="s">
        <v>100</v>
      </c>
      <c r="AZ107" t="s">
        <v>107</v>
      </c>
      <c r="BA107" t="s">
        <v>87</v>
      </c>
      <c r="BB107" t="s">
        <v>87</v>
      </c>
      <c r="BC107" t="s">
        <v>87</v>
      </c>
      <c r="BD107" t="s">
        <v>87</v>
      </c>
      <c r="BE107" t="s">
        <v>87</v>
      </c>
      <c r="BF107" t="s">
        <v>97</v>
      </c>
      <c r="BG107" t="s">
        <v>76</v>
      </c>
      <c r="BH107" t="s">
        <v>98</v>
      </c>
      <c r="BI107" t="s">
        <v>107</v>
      </c>
      <c r="BJ107" t="s">
        <v>114</v>
      </c>
      <c r="BK107">
        <v>1</v>
      </c>
      <c r="BL107">
        <v>0</v>
      </c>
      <c r="BM107">
        <v>0</v>
      </c>
      <c r="BN107">
        <v>0</v>
      </c>
      <c r="BO107">
        <v>0</v>
      </c>
      <c r="BP107">
        <v>0</v>
      </c>
      <c r="BQ107">
        <v>0</v>
      </c>
      <c r="BR107">
        <v>0</v>
      </c>
    </row>
    <row r="108" spans="1:72" x14ac:dyDescent="0.2">
      <c r="A108" s="1">
        <v>44590.729861111111</v>
      </c>
      <c r="B108" s="1">
        <v>44590.73333333333</v>
      </c>
      <c r="C108">
        <v>1</v>
      </c>
      <c r="D108">
        <v>0</v>
      </c>
      <c r="E108">
        <v>0</v>
      </c>
      <c r="F108">
        <v>0</v>
      </c>
      <c r="H108">
        <v>0</v>
      </c>
      <c r="I108">
        <v>1</v>
      </c>
      <c r="J108">
        <v>0</v>
      </c>
      <c r="K108">
        <v>0</v>
      </c>
      <c r="L108">
        <v>1</v>
      </c>
      <c r="M108" t="s">
        <v>180</v>
      </c>
      <c r="N108" t="s">
        <v>88</v>
      </c>
      <c r="O108" t="s">
        <v>89</v>
      </c>
      <c r="P108">
        <v>0</v>
      </c>
      <c r="Q108">
        <v>0</v>
      </c>
      <c r="R108">
        <v>1</v>
      </c>
      <c r="S108">
        <v>0</v>
      </c>
      <c r="T108">
        <v>0</v>
      </c>
      <c r="U108">
        <v>0</v>
      </c>
      <c r="V108">
        <v>0</v>
      </c>
      <c r="W108">
        <v>0</v>
      </c>
      <c r="X108">
        <v>0</v>
      </c>
      <c r="Y108">
        <v>0</v>
      </c>
      <c r="Z108">
        <v>0</v>
      </c>
      <c r="AA108">
        <v>0</v>
      </c>
      <c r="AM108" t="s">
        <v>83</v>
      </c>
      <c r="AN108" t="s">
        <v>83</v>
      </c>
      <c r="AO108" t="s">
        <v>83</v>
      </c>
      <c r="AP108" t="s">
        <v>81</v>
      </c>
      <c r="AQ108" t="s">
        <v>83</v>
      </c>
      <c r="AR108" t="s">
        <v>83</v>
      </c>
      <c r="AS108" t="s">
        <v>83</v>
      </c>
      <c r="AT108" t="s">
        <v>82</v>
      </c>
      <c r="AU108" t="s">
        <v>88</v>
      </c>
      <c r="AV108" t="s">
        <v>89</v>
      </c>
      <c r="AW108" t="s">
        <v>85</v>
      </c>
      <c r="AZ108" t="s">
        <v>107</v>
      </c>
      <c r="BA108" t="s">
        <v>86</v>
      </c>
      <c r="BB108" t="s">
        <v>87</v>
      </c>
      <c r="BC108" t="s">
        <v>87</v>
      </c>
      <c r="BD108" t="s">
        <v>74</v>
      </c>
      <c r="BE108" t="s">
        <v>87</v>
      </c>
      <c r="BF108" t="s">
        <v>97</v>
      </c>
      <c r="BG108" t="s">
        <v>92</v>
      </c>
      <c r="BH108" t="s">
        <v>158</v>
      </c>
      <c r="BI108" t="s">
        <v>107</v>
      </c>
      <c r="BJ108" t="s">
        <v>102</v>
      </c>
      <c r="BK108">
        <v>1</v>
      </c>
      <c r="BL108">
        <v>0</v>
      </c>
      <c r="BM108">
        <v>0</v>
      </c>
      <c r="BN108">
        <v>0</v>
      </c>
      <c r="BO108">
        <v>0</v>
      </c>
      <c r="BP108">
        <v>0</v>
      </c>
      <c r="BQ108">
        <v>0</v>
      </c>
      <c r="BR108">
        <v>0</v>
      </c>
    </row>
    <row r="109" spans="1:72" x14ac:dyDescent="0.2">
      <c r="A109" s="1">
        <v>44591.02847222222</v>
      </c>
      <c r="B109" s="1">
        <v>44591.03125</v>
      </c>
      <c r="C109">
        <v>1</v>
      </c>
      <c r="D109">
        <v>0</v>
      </c>
      <c r="E109">
        <v>0</v>
      </c>
      <c r="F109">
        <v>0</v>
      </c>
      <c r="H109">
        <v>0</v>
      </c>
      <c r="I109">
        <v>1</v>
      </c>
      <c r="J109">
        <v>1</v>
      </c>
      <c r="K109">
        <v>0</v>
      </c>
      <c r="L109">
        <v>0</v>
      </c>
      <c r="N109" t="s">
        <v>88</v>
      </c>
      <c r="O109" t="s">
        <v>80</v>
      </c>
      <c r="P109">
        <v>0</v>
      </c>
      <c r="Q109">
        <v>0</v>
      </c>
      <c r="R109">
        <v>1</v>
      </c>
      <c r="S109">
        <v>0</v>
      </c>
      <c r="T109">
        <v>0</v>
      </c>
      <c r="U109">
        <v>0</v>
      </c>
      <c r="V109">
        <v>0</v>
      </c>
      <c r="W109">
        <v>0</v>
      </c>
      <c r="X109">
        <v>0</v>
      </c>
      <c r="Y109">
        <v>0</v>
      </c>
      <c r="Z109">
        <v>0</v>
      </c>
      <c r="AA109">
        <v>0</v>
      </c>
      <c r="AM109" t="s">
        <v>81</v>
      </c>
      <c r="AN109" t="s">
        <v>82</v>
      </c>
      <c r="AO109" t="s">
        <v>82</v>
      </c>
      <c r="AP109" t="s">
        <v>82</v>
      </c>
      <c r="AQ109" t="s">
        <v>82</v>
      </c>
      <c r="AR109" t="s">
        <v>83</v>
      </c>
      <c r="AS109" t="s">
        <v>90</v>
      </c>
      <c r="AT109" t="s">
        <v>82</v>
      </c>
      <c r="AU109" t="s">
        <v>88</v>
      </c>
      <c r="AV109" t="s">
        <v>89</v>
      </c>
      <c r="AW109" t="s">
        <v>153</v>
      </c>
      <c r="AX109" t="s">
        <v>118</v>
      </c>
      <c r="AZ109" t="s">
        <v>73</v>
      </c>
      <c r="BA109" t="s">
        <v>87</v>
      </c>
      <c r="BB109" t="s">
        <v>87</v>
      </c>
      <c r="BC109" t="s">
        <v>87</v>
      </c>
      <c r="BD109" t="s">
        <v>74</v>
      </c>
      <c r="BE109" t="s">
        <v>87</v>
      </c>
      <c r="BF109" t="s">
        <v>75</v>
      </c>
      <c r="BG109" t="s">
        <v>76</v>
      </c>
      <c r="BH109" t="s">
        <v>93</v>
      </c>
      <c r="BI109" t="s">
        <v>73</v>
      </c>
      <c r="BJ109" t="s">
        <v>102</v>
      </c>
      <c r="BK109">
        <v>1</v>
      </c>
      <c r="BL109">
        <v>0</v>
      </c>
      <c r="BM109">
        <v>0</v>
      </c>
      <c r="BN109">
        <v>0</v>
      </c>
      <c r="BO109">
        <v>0</v>
      </c>
      <c r="BP109">
        <v>0</v>
      </c>
      <c r="BQ109">
        <v>0</v>
      </c>
      <c r="BR109">
        <v>0</v>
      </c>
    </row>
    <row r="110" spans="1:72" x14ac:dyDescent="0.2">
      <c r="A110" s="1">
        <v>44580.828472222223</v>
      </c>
      <c r="B110" s="1">
        <v>44580.830555555556</v>
      </c>
      <c r="C110">
        <v>1</v>
      </c>
      <c r="D110">
        <v>0</v>
      </c>
      <c r="E110">
        <v>0</v>
      </c>
      <c r="F110">
        <v>0</v>
      </c>
      <c r="H110">
        <v>0</v>
      </c>
      <c r="I110">
        <v>0</v>
      </c>
      <c r="J110">
        <v>0</v>
      </c>
      <c r="K110">
        <v>0</v>
      </c>
      <c r="L110">
        <v>1</v>
      </c>
      <c r="M110" t="s">
        <v>181</v>
      </c>
      <c r="N110" t="s">
        <v>88</v>
      </c>
      <c r="O110" t="s">
        <v>89</v>
      </c>
      <c r="P110">
        <v>1</v>
      </c>
      <c r="Q110">
        <v>0</v>
      </c>
      <c r="R110">
        <v>0</v>
      </c>
      <c r="S110">
        <v>0</v>
      </c>
      <c r="T110">
        <v>0</v>
      </c>
      <c r="U110">
        <v>0</v>
      </c>
      <c r="V110">
        <v>0</v>
      </c>
      <c r="W110">
        <v>0</v>
      </c>
      <c r="X110">
        <v>0</v>
      </c>
      <c r="Y110">
        <v>0</v>
      </c>
      <c r="Z110">
        <v>0</v>
      </c>
      <c r="AA110">
        <v>0</v>
      </c>
      <c r="AC110">
        <v>0</v>
      </c>
      <c r="AD110">
        <v>0</v>
      </c>
      <c r="AE110">
        <v>0</v>
      </c>
      <c r="AF110">
        <v>0</v>
      </c>
      <c r="AG110">
        <v>0</v>
      </c>
      <c r="AH110">
        <v>1</v>
      </c>
      <c r="AI110">
        <v>0</v>
      </c>
      <c r="AJ110">
        <v>0</v>
      </c>
      <c r="AK110">
        <v>0</v>
      </c>
      <c r="AZ110" t="s">
        <v>107</v>
      </c>
      <c r="BA110" t="s">
        <v>86</v>
      </c>
      <c r="BB110" t="s">
        <v>74</v>
      </c>
      <c r="BC110" t="s">
        <v>74</v>
      </c>
      <c r="BD110" t="s">
        <v>74</v>
      </c>
      <c r="BE110" t="s">
        <v>87</v>
      </c>
      <c r="BF110" t="s">
        <v>97</v>
      </c>
      <c r="BG110" t="s">
        <v>92</v>
      </c>
      <c r="BH110" t="s">
        <v>98</v>
      </c>
      <c r="BI110" t="s">
        <v>107</v>
      </c>
      <c r="BJ110" t="s">
        <v>114</v>
      </c>
      <c r="BK110">
        <v>1</v>
      </c>
      <c r="BL110">
        <v>0</v>
      </c>
      <c r="BM110">
        <v>0</v>
      </c>
      <c r="BN110">
        <v>0</v>
      </c>
      <c r="BO110">
        <v>0</v>
      </c>
      <c r="BP110">
        <v>0</v>
      </c>
      <c r="BQ110">
        <v>0</v>
      </c>
      <c r="BR110">
        <v>0</v>
      </c>
    </row>
    <row r="111" spans="1:72" x14ac:dyDescent="0.2">
      <c r="A111" s="1">
        <v>44579.923611111109</v>
      </c>
      <c r="B111" s="1">
        <v>44579.925694444442</v>
      </c>
      <c r="C111">
        <v>0</v>
      </c>
      <c r="D111">
        <v>1</v>
      </c>
      <c r="E111">
        <v>0</v>
      </c>
      <c r="F111">
        <v>0</v>
      </c>
      <c r="H111">
        <v>0</v>
      </c>
      <c r="I111">
        <v>1</v>
      </c>
      <c r="J111">
        <v>0</v>
      </c>
      <c r="K111">
        <v>1</v>
      </c>
      <c r="L111">
        <v>0</v>
      </c>
      <c r="N111" t="s">
        <v>79</v>
      </c>
      <c r="O111" t="s">
        <v>80</v>
      </c>
      <c r="P111">
        <v>0</v>
      </c>
      <c r="Q111">
        <v>1</v>
      </c>
      <c r="R111">
        <v>0</v>
      </c>
      <c r="S111">
        <v>0</v>
      </c>
      <c r="T111">
        <v>0</v>
      </c>
      <c r="U111">
        <v>0</v>
      </c>
      <c r="V111">
        <v>0</v>
      </c>
      <c r="W111">
        <v>0</v>
      </c>
      <c r="X111">
        <v>0</v>
      </c>
      <c r="Y111">
        <v>0</v>
      </c>
      <c r="Z111">
        <v>0</v>
      </c>
      <c r="AA111">
        <v>0</v>
      </c>
      <c r="AM111" t="s">
        <v>81</v>
      </c>
      <c r="AN111" t="s">
        <v>81</v>
      </c>
      <c r="AO111" t="s">
        <v>81</v>
      </c>
      <c r="AP111" t="s">
        <v>82</v>
      </c>
      <c r="AQ111" t="s">
        <v>82</v>
      </c>
      <c r="AR111" t="s">
        <v>81</v>
      </c>
      <c r="AS111" t="s">
        <v>81</v>
      </c>
      <c r="AT111" t="s">
        <v>83</v>
      </c>
      <c r="AU111" t="s">
        <v>88</v>
      </c>
      <c r="AV111" t="s">
        <v>89</v>
      </c>
      <c r="AW111" t="s">
        <v>100</v>
      </c>
      <c r="AX111" t="s">
        <v>122</v>
      </c>
      <c r="AZ111" t="s">
        <v>107</v>
      </c>
      <c r="BA111" t="s">
        <v>86</v>
      </c>
      <c r="BB111" t="s">
        <v>86</v>
      </c>
      <c r="BC111" t="s">
        <v>86</v>
      </c>
      <c r="BD111" t="s">
        <v>86</v>
      </c>
      <c r="BE111" t="s">
        <v>86</v>
      </c>
      <c r="BF111" t="s">
        <v>75</v>
      </c>
      <c r="BG111" t="s">
        <v>76</v>
      </c>
      <c r="BH111" t="s">
        <v>98</v>
      </c>
      <c r="BI111" t="s">
        <v>107</v>
      </c>
      <c r="BK111">
        <v>0</v>
      </c>
      <c r="BL111">
        <v>0</v>
      </c>
      <c r="BM111">
        <v>0</v>
      </c>
      <c r="BN111">
        <v>0</v>
      </c>
      <c r="BO111">
        <v>0</v>
      </c>
      <c r="BP111">
        <v>1</v>
      </c>
      <c r="BQ111">
        <v>0</v>
      </c>
      <c r="BR111">
        <v>0</v>
      </c>
      <c r="BT111" t="s">
        <v>138</v>
      </c>
    </row>
    <row r="112" spans="1:72" x14ac:dyDescent="0.2">
      <c r="A112" s="1">
        <v>44589.243055555555</v>
      </c>
      <c r="B112" s="1">
        <v>44589.249305555553</v>
      </c>
      <c r="C112">
        <v>1</v>
      </c>
      <c r="D112">
        <v>0</v>
      </c>
      <c r="E112">
        <v>0</v>
      </c>
      <c r="F112">
        <v>0</v>
      </c>
      <c r="H112">
        <v>0</v>
      </c>
      <c r="I112">
        <v>0</v>
      </c>
      <c r="J112">
        <v>0</v>
      </c>
      <c r="K112">
        <v>1</v>
      </c>
      <c r="L112">
        <v>1</v>
      </c>
      <c r="M112" t="s">
        <v>182</v>
      </c>
      <c r="N112" t="s">
        <v>88</v>
      </c>
      <c r="O112" t="s">
        <v>89</v>
      </c>
      <c r="P112">
        <v>1</v>
      </c>
      <c r="Q112">
        <v>0</v>
      </c>
      <c r="R112">
        <v>0</v>
      </c>
      <c r="S112">
        <v>0</v>
      </c>
      <c r="T112">
        <v>0</v>
      </c>
      <c r="U112">
        <v>0</v>
      </c>
      <c r="V112">
        <v>0</v>
      </c>
      <c r="W112">
        <v>0</v>
      </c>
      <c r="X112">
        <v>0</v>
      </c>
      <c r="Y112">
        <v>0</v>
      </c>
      <c r="Z112">
        <v>0</v>
      </c>
      <c r="AA112">
        <v>0</v>
      </c>
      <c r="AC112">
        <v>1</v>
      </c>
      <c r="AD112">
        <v>0</v>
      </c>
      <c r="AE112">
        <v>0</v>
      </c>
      <c r="AF112">
        <v>0</v>
      </c>
      <c r="AG112">
        <v>0</v>
      </c>
      <c r="AH112">
        <v>0</v>
      </c>
      <c r="AI112">
        <v>0</v>
      </c>
      <c r="AJ112">
        <v>0</v>
      </c>
      <c r="AK112">
        <v>0</v>
      </c>
      <c r="AX112" t="s">
        <v>110</v>
      </c>
      <c r="AY112" t="s">
        <v>183</v>
      </c>
      <c r="AZ112" t="s">
        <v>73</v>
      </c>
      <c r="BA112" t="s">
        <v>87</v>
      </c>
      <c r="BB112" t="s">
        <v>87</v>
      </c>
      <c r="BC112" t="s">
        <v>87</v>
      </c>
      <c r="BD112" t="s">
        <v>87</v>
      </c>
      <c r="BE112" t="s">
        <v>87</v>
      </c>
      <c r="BF112" t="s">
        <v>108</v>
      </c>
      <c r="BG112" t="s">
        <v>76</v>
      </c>
      <c r="BH112" t="s">
        <v>184</v>
      </c>
      <c r="BI112" t="s">
        <v>73</v>
      </c>
      <c r="BJ112" t="s">
        <v>78</v>
      </c>
      <c r="BK112">
        <v>0</v>
      </c>
      <c r="BL112">
        <v>0</v>
      </c>
      <c r="BM112">
        <v>0</v>
      </c>
      <c r="BN112">
        <v>0</v>
      </c>
      <c r="BO112">
        <v>0</v>
      </c>
      <c r="BP112">
        <v>0</v>
      </c>
      <c r="BQ112">
        <v>1</v>
      </c>
      <c r="BR112">
        <v>0</v>
      </c>
      <c r="BS112" t="s">
        <v>185</v>
      </c>
    </row>
    <row r="113" spans="1:72" x14ac:dyDescent="0.2">
      <c r="A113" s="1">
        <v>44579.970833333333</v>
      </c>
      <c r="B113" s="1">
        <v>44589.145833333336</v>
      </c>
      <c r="C113">
        <v>0</v>
      </c>
      <c r="D113">
        <v>1</v>
      </c>
      <c r="E113">
        <v>0</v>
      </c>
      <c r="F113">
        <v>0</v>
      </c>
      <c r="H113">
        <v>1</v>
      </c>
      <c r="I113">
        <v>0</v>
      </c>
      <c r="J113">
        <v>0</v>
      </c>
      <c r="K113">
        <v>0</v>
      </c>
      <c r="L113">
        <v>0</v>
      </c>
      <c r="P113">
        <v>1</v>
      </c>
      <c r="Q113">
        <v>0</v>
      </c>
      <c r="R113">
        <v>0</v>
      </c>
      <c r="S113">
        <v>0</v>
      </c>
      <c r="T113">
        <v>0</v>
      </c>
      <c r="U113">
        <v>0</v>
      </c>
      <c r="V113">
        <v>0</v>
      </c>
      <c r="W113">
        <v>0</v>
      </c>
      <c r="X113">
        <v>0</v>
      </c>
      <c r="Y113">
        <v>0</v>
      </c>
      <c r="Z113">
        <v>0</v>
      </c>
      <c r="AA113">
        <v>0</v>
      </c>
      <c r="AC113">
        <v>0</v>
      </c>
      <c r="AD113">
        <v>0</v>
      </c>
      <c r="AE113">
        <v>1</v>
      </c>
      <c r="AF113">
        <v>0</v>
      </c>
      <c r="AG113">
        <v>0</v>
      </c>
      <c r="AH113">
        <v>0</v>
      </c>
      <c r="AI113">
        <v>0</v>
      </c>
      <c r="AJ113">
        <v>0</v>
      </c>
      <c r="AK113">
        <v>0</v>
      </c>
      <c r="AZ113" t="s">
        <v>107</v>
      </c>
      <c r="BA113" t="s">
        <v>87</v>
      </c>
      <c r="BB113" t="s">
        <v>74</v>
      </c>
      <c r="BC113" t="s">
        <v>87</v>
      </c>
      <c r="BD113" t="s">
        <v>86</v>
      </c>
      <c r="BE113" t="s">
        <v>87</v>
      </c>
      <c r="BF113" t="s">
        <v>101</v>
      </c>
      <c r="BG113" t="s">
        <v>76</v>
      </c>
      <c r="BH113" t="s">
        <v>77</v>
      </c>
      <c r="BI113" t="s">
        <v>107</v>
      </c>
      <c r="BJ113" t="s">
        <v>114</v>
      </c>
      <c r="BK113">
        <v>1</v>
      </c>
      <c r="BL113">
        <v>0</v>
      </c>
      <c r="BM113">
        <v>0</v>
      </c>
      <c r="BN113">
        <v>0</v>
      </c>
      <c r="BO113">
        <v>0</v>
      </c>
      <c r="BP113">
        <v>0</v>
      </c>
      <c r="BQ113">
        <v>0</v>
      </c>
      <c r="BR113">
        <v>0</v>
      </c>
    </row>
    <row r="114" spans="1:72" x14ac:dyDescent="0.2">
      <c r="A114" s="1">
        <v>44580.111805555556</v>
      </c>
      <c r="B114" s="1">
        <v>44580.113194444442</v>
      </c>
      <c r="C114">
        <v>1</v>
      </c>
      <c r="D114">
        <v>0</v>
      </c>
      <c r="E114">
        <v>0</v>
      </c>
      <c r="F114">
        <v>0</v>
      </c>
      <c r="H114">
        <v>0</v>
      </c>
      <c r="I114">
        <v>1</v>
      </c>
      <c r="J114">
        <v>1</v>
      </c>
      <c r="K114">
        <v>0</v>
      </c>
      <c r="L114">
        <v>0</v>
      </c>
      <c r="N114" t="s">
        <v>79</v>
      </c>
      <c r="O114" t="s">
        <v>80</v>
      </c>
      <c r="P114">
        <v>0</v>
      </c>
      <c r="Q114">
        <v>1</v>
      </c>
      <c r="R114">
        <v>0</v>
      </c>
      <c r="S114">
        <v>0</v>
      </c>
      <c r="T114">
        <v>0</v>
      </c>
      <c r="U114">
        <v>0</v>
      </c>
      <c r="V114">
        <v>0</v>
      </c>
      <c r="W114">
        <v>0</v>
      </c>
      <c r="X114">
        <v>0</v>
      </c>
      <c r="Y114">
        <v>0</v>
      </c>
      <c r="Z114">
        <v>0</v>
      </c>
      <c r="AA114">
        <v>0</v>
      </c>
      <c r="AM114" t="s">
        <v>83</v>
      </c>
      <c r="AN114" t="s">
        <v>82</v>
      </c>
      <c r="AO114" t="s">
        <v>83</v>
      </c>
      <c r="AP114" t="s">
        <v>83</v>
      </c>
      <c r="AQ114" t="s">
        <v>83</v>
      </c>
      <c r="AR114" t="s">
        <v>83</v>
      </c>
      <c r="AS114" t="s">
        <v>90</v>
      </c>
      <c r="AT114" t="s">
        <v>83</v>
      </c>
      <c r="AU114" t="s">
        <v>88</v>
      </c>
      <c r="AV114" t="s">
        <v>80</v>
      </c>
      <c r="AW114" t="s">
        <v>85</v>
      </c>
      <c r="AX114" t="s">
        <v>118</v>
      </c>
      <c r="AZ114" t="s">
        <v>107</v>
      </c>
      <c r="BA114" t="s">
        <v>87</v>
      </c>
      <c r="BB114" t="s">
        <v>87</v>
      </c>
      <c r="BC114" t="s">
        <v>87</v>
      </c>
      <c r="BD114" t="s">
        <v>86</v>
      </c>
      <c r="BE114" t="s">
        <v>87</v>
      </c>
      <c r="BF114" t="s">
        <v>75</v>
      </c>
      <c r="BG114" t="s">
        <v>76</v>
      </c>
      <c r="BH114" t="s">
        <v>77</v>
      </c>
      <c r="BI114" t="s">
        <v>107</v>
      </c>
      <c r="BJ114" t="s">
        <v>137</v>
      </c>
      <c r="BK114">
        <v>0</v>
      </c>
      <c r="BL114">
        <v>0</v>
      </c>
      <c r="BM114">
        <v>0</v>
      </c>
      <c r="BN114">
        <v>0</v>
      </c>
      <c r="BO114">
        <v>0</v>
      </c>
      <c r="BP114">
        <v>0</v>
      </c>
      <c r="BQ114">
        <v>0</v>
      </c>
      <c r="BR114">
        <v>1</v>
      </c>
    </row>
    <row r="115" spans="1:72" x14ac:dyDescent="0.2">
      <c r="A115" s="1">
        <v>44581.843055555553</v>
      </c>
      <c r="B115" s="1">
        <v>44581.847222222219</v>
      </c>
      <c r="C115">
        <v>0</v>
      </c>
      <c r="D115">
        <v>1</v>
      </c>
      <c r="E115">
        <v>0</v>
      </c>
      <c r="F115">
        <v>0</v>
      </c>
      <c r="H115">
        <v>0</v>
      </c>
      <c r="I115">
        <v>0</v>
      </c>
      <c r="J115">
        <v>0</v>
      </c>
      <c r="K115">
        <v>0</v>
      </c>
      <c r="L115">
        <v>1</v>
      </c>
      <c r="M115" t="s">
        <v>186</v>
      </c>
      <c r="N115" t="s">
        <v>135</v>
      </c>
      <c r="O115" t="s">
        <v>142</v>
      </c>
      <c r="P115">
        <v>0</v>
      </c>
      <c r="Q115">
        <v>0</v>
      </c>
      <c r="R115">
        <v>0</v>
      </c>
      <c r="S115">
        <v>0</v>
      </c>
      <c r="T115">
        <v>1</v>
      </c>
      <c r="U115">
        <v>0</v>
      </c>
      <c r="V115">
        <v>0</v>
      </c>
      <c r="W115">
        <v>0</v>
      </c>
      <c r="X115">
        <v>0</v>
      </c>
      <c r="Y115">
        <v>0</v>
      </c>
      <c r="Z115">
        <v>0</v>
      </c>
      <c r="AA115">
        <v>0</v>
      </c>
      <c r="AM115" t="s">
        <v>82</v>
      </c>
      <c r="AN115" t="s">
        <v>82</v>
      </c>
      <c r="AO115" t="s">
        <v>90</v>
      </c>
      <c r="AP115" t="s">
        <v>90</v>
      </c>
      <c r="AQ115" t="s">
        <v>82</v>
      </c>
      <c r="AR115" t="s">
        <v>90</v>
      </c>
      <c r="AS115" t="s">
        <v>90</v>
      </c>
      <c r="AT115" t="s">
        <v>90</v>
      </c>
      <c r="AU115" t="s">
        <v>88</v>
      </c>
      <c r="AV115" t="s">
        <v>89</v>
      </c>
      <c r="AW115" t="s">
        <v>85</v>
      </c>
      <c r="AZ115" t="s">
        <v>73</v>
      </c>
      <c r="BA115" t="s">
        <v>87</v>
      </c>
      <c r="BB115" t="s">
        <v>74</v>
      </c>
      <c r="BC115" t="s">
        <v>87</v>
      </c>
      <c r="BD115" t="s">
        <v>74</v>
      </c>
      <c r="BE115" t="s">
        <v>87</v>
      </c>
      <c r="BF115" t="s">
        <v>97</v>
      </c>
      <c r="BG115" t="s">
        <v>76</v>
      </c>
      <c r="BH115" t="s">
        <v>98</v>
      </c>
      <c r="BI115" t="s">
        <v>73</v>
      </c>
      <c r="BJ115" t="s">
        <v>114</v>
      </c>
      <c r="BK115">
        <v>1</v>
      </c>
      <c r="BL115">
        <v>0</v>
      </c>
      <c r="BM115">
        <v>0</v>
      </c>
      <c r="BN115">
        <v>0</v>
      </c>
      <c r="BO115">
        <v>0</v>
      </c>
      <c r="BP115">
        <v>0</v>
      </c>
      <c r="BQ115">
        <v>0</v>
      </c>
      <c r="BR115">
        <v>0</v>
      </c>
    </row>
    <row r="116" spans="1:72" x14ac:dyDescent="0.2">
      <c r="A116" s="1">
        <v>44589.106944444444</v>
      </c>
      <c r="B116" s="1">
        <v>44589.10833333333</v>
      </c>
      <c r="C116">
        <v>0</v>
      </c>
      <c r="D116">
        <v>1</v>
      </c>
      <c r="E116">
        <v>0</v>
      </c>
      <c r="F116">
        <v>0</v>
      </c>
      <c r="H116">
        <v>1</v>
      </c>
      <c r="I116">
        <v>0</v>
      </c>
      <c r="J116">
        <v>0</v>
      </c>
      <c r="K116">
        <v>0</v>
      </c>
      <c r="L116">
        <v>0</v>
      </c>
      <c r="P116">
        <v>1</v>
      </c>
      <c r="Q116">
        <v>0</v>
      </c>
      <c r="R116">
        <v>0</v>
      </c>
      <c r="S116">
        <v>0</v>
      </c>
      <c r="T116">
        <v>0</v>
      </c>
      <c r="U116">
        <v>0</v>
      </c>
      <c r="V116">
        <v>0</v>
      </c>
      <c r="W116">
        <v>0</v>
      </c>
      <c r="X116">
        <v>0</v>
      </c>
      <c r="Y116">
        <v>0</v>
      </c>
      <c r="Z116">
        <v>0</v>
      </c>
      <c r="AA116">
        <v>0</v>
      </c>
      <c r="AC116">
        <v>0</v>
      </c>
      <c r="AD116">
        <v>1</v>
      </c>
      <c r="AE116">
        <v>0</v>
      </c>
      <c r="AF116">
        <v>0</v>
      </c>
      <c r="AG116">
        <v>0</v>
      </c>
      <c r="AH116">
        <v>0</v>
      </c>
      <c r="AI116">
        <v>0</v>
      </c>
      <c r="AJ116">
        <v>0</v>
      </c>
      <c r="AK116">
        <v>0</v>
      </c>
      <c r="AX116" t="s">
        <v>146</v>
      </c>
      <c r="AZ116" t="s">
        <v>107</v>
      </c>
      <c r="BA116" t="s">
        <v>86</v>
      </c>
      <c r="BB116" t="s">
        <v>74</v>
      </c>
      <c r="BC116" t="s">
        <v>74</v>
      </c>
      <c r="BD116" t="s">
        <v>87</v>
      </c>
      <c r="BE116" t="s">
        <v>86</v>
      </c>
      <c r="BF116" t="s">
        <v>75</v>
      </c>
      <c r="BG116" t="s">
        <v>76</v>
      </c>
      <c r="BH116" t="s">
        <v>98</v>
      </c>
      <c r="BI116" t="s">
        <v>107</v>
      </c>
      <c r="BJ116" t="s">
        <v>187</v>
      </c>
      <c r="BK116">
        <v>1</v>
      </c>
      <c r="BL116">
        <v>0</v>
      </c>
      <c r="BM116">
        <v>0</v>
      </c>
      <c r="BN116">
        <v>0</v>
      </c>
      <c r="BO116">
        <v>0</v>
      </c>
      <c r="BP116">
        <v>0</v>
      </c>
      <c r="BQ116">
        <v>0</v>
      </c>
      <c r="BR116">
        <v>0</v>
      </c>
    </row>
    <row r="117" spans="1:72" x14ac:dyDescent="0.2">
      <c r="A117" s="1">
        <v>44580.86041666667</v>
      </c>
      <c r="B117" s="1">
        <v>44580.861111111109</v>
      </c>
      <c r="C117">
        <v>0</v>
      </c>
      <c r="D117">
        <v>0</v>
      </c>
      <c r="E117">
        <v>0</v>
      </c>
      <c r="F117">
        <v>1</v>
      </c>
      <c r="P117">
        <v>1</v>
      </c>
      <c r="Q117">
        <v>0</v>
      </c>
      <c r="R117">
        <v>0</v>
      </c>
      <c r="S117">
        <v>0</v>
      </c>
      <c r="T117">
        <v>0</v>
      </c>
      <c r="U117">
        <v>0</v>
      </c>
      <c r="V117">
        <v>0</v>
      </c>
      <c r="W117">
        <v>0</v>
      </c>
      <c r="X117">
        <v>0</v>
      </c>
      <c r="Y117">
        <v>0</v>
      </c>
      <c r="Z117">
        <v>0</v>
      </c>
      <c r="AA117">
        <v>0</v>
      </c>
      <c r="AC117">
        <v>0</v>
      </c>
      <c r="AD117">
        <v>0</v>
      </c>
      <c r="AE117">
        <v>0</v>
      </c>
      <c r="AF117">
        <v>0</v>
      </c>
      <c r="AG117">
        <v>0</v>
      </c>
      <c r="AH117">
        <v>1</v>
      </c>
      <c r="AI117">
        <v>0</v>
      </c>
      <c r="AJ117">
        <v>0</v>
      </c>
      <c r="AK117">
        <v>0</v>
      </c>
      <c r="AZ117" t="s">
        <v>96</v>
      </c>
      <c r="BF117" t="s">
        <v>97</v>
      </c>
      <c r="BG117" t="s">
        <v>92</v>
      </c>
      <c r="BH117" t="s">
        <v>98</v>
      </c>
      <c r="BI117" t="s">
        <v>96</v>
      </c>
      <c r="BK117">
        <v>1</v>
      </c>
      <c r="BL117">
        <v>0</v>
      </c>
      <c r="BM117">
        <v>0</v>
      </c>
      <c r="BN117">
        <v>0</v>
      </c>
      <c r="BO117">
        <v>0</v>
      </c>
      <c r="BP117">
        <v>0</v>
      </c>
      <c r="BQ117">
        <v>0</v>
      </c>
      <c r="BR117">
        <v>0</v>
      </c>
      <c r="BT117" t="s">
        <v>188</v>
      </c>
    </row>
    <row r="118" spans="1:72" x14ac:dyDescent="0.2">
      <c r="A118" s="1">
        <v>44580.50277777778</v>
      </c>
      <c r="B118" s="1">
        <v>44580.504861111112</v>
      </c>
      <c r="C118">
        <v>1</v>
      </c>
      <c r="D118">
        <v>0</v>
      </c>
      <c r="E118">
        <v>0</v>
      </c>
      <c r="F118">
        <v>0</v>
      </c>
      <c r="H118">
        <v>0</v>
      </c>
      <c r="I118">
        <v>1</v>
      </c>
      <c r="J118">
        <v>0</v>
      </c>
      <c r="K118">
        <v>0</v>
      </c>
      <c r="L118">
        <v>0</v>
      </c>
      <c r="N118" t="s">
        <v>88</v>
      </c>
      <c r="O118" t="s">
        <v>80</v>
      </c>
      <c r="P118">
        <v>0</v>
      </c>
      <c r="Q118">
        <v>0</v>
      </c>
      <c r="R118">
        <v>1</v>
      </c>
      <c r="S118">
        <v>0</v>
      </c>
      <c r="T118">
        <v>0</v>
      </c>
      <c r="U118">
        <v>0</v>
      </c>
      <c r="V118">
        <v>0</v>
      </c>
      <c r="W118">
        <v>1</v>
      </c>
      <c r="X118">
        <v>0</v>
      </c>
      <c r="Y118">
        <v>0</v>
      </c>
      <c r="Z118">
        <v>0</v>
      </c>
      <c r="AA118">
        <v>0</v>
      </c>
      <c r="AM118" t="s">
        <v>83</v>
      </c>
      <c r="AN118" t="s">
        <v>82</v>
      </c>
      <c r="AO118" t="s">
        <v>83</v>
      </c>
      <c r="AP118" t="s">
        <v>81</v>
      </c>
      <c r="AQ118" t="s">
        <v>81</v>
      </c>
      <c r="AR118" t="s">
        <v>83</v>
      </c>
      <c r="AS118" t="s">
        <v>81</v>
      </c>
      <c r="AT118" t="s">
        <v>83</v>
      </c>
      <c r="AU118" t="s">
        <v>88</v>
      </c>
      <c r="AV118" t="s">
        <v>89</v>
      </c>
      <c r="AW118" t="s">
        <v>85</v>
      </c>
      <c r="AX118" t="s">
        <v>91</v>
      </c>
      <c r="AZ118" t="s">
        <v>107</v>
      </c>
      <c r="BA118" t="s">
        <v>87</v>
      </c>
      <c r="BB118" t="s">
        <v>87</v>
      </c>
      <c r="BC118" t="s">
        <v>87</v>
      </c>
      <c r="BD118" t="s">
        <v>87</v>
      </c>
      <c r="BE118" t="s">
        <v>74</v>
      </c>
      <c r="BF118" t="s">
        <v>75</v>
      </c>
      <c r="BG118" t="s">
        <v>92</v>
      </c>
      <c r="BH118" t="s">
        <v>77</v>
      </c>
      <c r="BI118" t="s">
        <v>107</v>
      </c>
      <c r="BJ118" t="s">
        <v>78</v>
      </c>
      <c r="BK118">
        <v>1</v>
      </c>
      <c r="BL118">
        <v>0</v>
      </c>
      <c r="BM118">
        <v>0</v>
      </c>
      <c r="BN118">
        <v>0</v>
      </c>
      <c r="BO118">
        <v>0</v>
      </c>
      <c r="BP118">
        <v>0</v>
      </c>
      <c r="BQ118">
        <v>0</v>
      </c>
      <c r="BR118">
        <v>0</v>
      </c>
    </row>
    <row r="119" spans="1:72" x14ac:dyDescent="0.2">
      <c r="A119" s="1">
        <v>44585.938194444447</v>
      </c>
      <c r="B119" s="1">
        <v>44585.94027777778</v>
      </c>
      <c r="C119">
        <v>1</v>
      </c>
      <c r="D119">
        <v>0</v>
      </c>
      <c r="E119">
        <v>0</v>
      </c>
      <c r="F119">
        <v>0</v>
      </c>
      <c r="H119">
        <v>0</v>
      </c>
      <c r="I119">
        <v>1</v>
      </c>
      <c r="J119">
        <v>0</v>
      </c>
      <c r="K119">
        <v>0</v>
      </c>
      <c r="L119">
        <v>0</v>
      </c>
      <c r="N119" t="s">
        <v>88</v>
      </c>
      <c r="O119" t="s">
        <v>127</v>
      </c>
      <c r="P119">
        <v>1</v>
      </c>
      <c r="Q119">
        <v>0</v>
      </c>
      <c r="R119">
        <v>0</v>
      </c>
      <c r="S119">
        <v>0</v>
      </c>
      <c r="T119">
        <v>0</v>
      </c>
      <c r="U119">
        <v>0</v>
      </c>
      <c r="V119">
        <v>0</v>
      </c>
      <c r="W119">
        <v>0</v>
      </c>
      <c r="X119">
        <v>0</v>
      </c>
      <c r="Y119">
        <v>0</v>
      </c>
      <c r="Z119">
        <v>0</v>
      </c>
      <c r="AA119">
        <v>0</v>
      </c>
      <c r="AC119">
        <v>0</v>
      </c>
      <c r="AD119">
        <v>1</v>
      </c>
      <c r="AE119">
        <v>0</v>
      </c>
      <c r="AF119">
        <v>0</v>
      </c>
      <c r="AG119">
        <v>0</v>
      </c>
      <c r="AH119">
        <v>0</v>
      </c>
      <c r="AI119">
        <v>0</v>
      </c>
      <c r="AJ119">
        <v>0</v>
      </c>
      <c r="AK119">
        <v>0</v>
      </c>
      <c r="AX119" t="s">
        <v>179</v>
      </c>
      <c r="AZ119" t="s">
        <v>120</v>
      </c>
      <c r="BA119" t="s">
        <v>87</v>
      </c>
      <c r="BB119" t="s">
        <v>86</v>
      </c>
      <c r="BC119" t="s">
        <v>87</v>
      </c>
      <c r="BD119" t="s">
        <v>74</v>
      </c>
      <c r="BE119" t="s">
        <v>86</v>
      </c>
      <c r="BF119" t="s">
        <v>75</v>
      </c>
      <c r="BG119" t="s">
        <v>92</v>
      </c>
      <c r="BH119" t="s">
        <v>77</v>
      </c>
      <c r="BI119" t="s">
        <v>120</v>
      </c>
      <c r="BJ119" t="s">
        <v>102</v>
      </c>
      <c r="BK119">
        <v>1</v>
      </c>
      <c r="BL119">
        <v>0</v>
      </c>
      <c r="BM119">
        <v>0</v>
      </c>
      <c r="BN119">
        <v>0</v>
      </c>
      <c r="BO119">
        <v>0</v>
      </c>
      <c r="BP119">
        <v>0</v>
      </c>
      <c r="BQ119">
        <v>0</v>
      </c>
      <c r="BR119">
        <v>0</v>
      </c>
    </row>
    <row r="120" spans="1:72" x14ac:dyDescent="0.2">
      <c r="A120" s="1">
        <v>44579.984027777777</v>
      </c>
      <c r="B120" s="1">
        <v>44579.986111111109</v>
      </c>
      <c r="C120">
        <v>1</v>
      </c>
      <c r="D120">
        <v>0</v>
      </c>
      <c r="E120">
        <v>0</v>
      </c>
      <c r="F120">
        <v>0</v>
      </c>
      <c r="H120">
        <v>0</v>
      </c>
      <c r="I120">
        <v>1</v>
      </c>
      <c r="J120">
        <v>0</v>
      </c>
      <c r="K120">
        <v>0</v>
      </c>
      <c r="L120">
        <v>0</v>
      </c>
      <c r="N120" t="s">
        <v>88</v>
      </c>
      <c r="O120" t="s">
        <v>80</v>
      </c>
      <c r="P120">
        <v>1</v>
      </c>
      <c r="Q120">
        <v>0</v>
      </c>
      <c r="R120">
        <v>0</v>
      </c>
      <c r="S120">
        <v>0</v>
      </c>
      <c r="T120">
        <v>0</v>
      </c>
      <c r="U120">
        <v>0</v>
      </c>
      <c r="V120">
        <v>0</v>
      </c>
      <c r="W120">
        <v>0</v>
      </c>
      <c r="X120">
        <v>0</v>
      </c>
      <c r="Y120">
        <v>0</v>
      </c>
      <c r="Z120">
        <v>0</v>
      </c>
      <c r="AA120">
        <v>0</v>
      </c>
      <c r="AC120">
        <v>1</v>
      </c>
      <c r="AD120">
        <v>0</v>
      </c>
      <c r="AE120">
        <v>0</v>
      </c>
      <c r="AF120">
        <v>0</v>
      </c>
      <c r="AG120">
        <v>0</v>
      </c>
      <c r="AH120">
        <v>0</v>
      </c>
      <c r="AI120">
        <v>0</v>
      </c>
      <c r="AJ120">
        <v>0</v>
      </c>
      <c r="AK120">
        <v>0</v>
      </c>
      <c r="AX120" t="s">
        <v>118</v>
      </c>
      <c r="AZ120" t="s">
        <v>73</v>
      </c>
      <c r="BA120" t="s">
        <v>87</v>
      </c>
      <c r="BB120" t="s">
        <v>87</v>
      </c>
      <c r="BC120" t="s">
        <v>87</v>
      </c>
      <c r="BD120" t="s">
        <v>87</v>
      </c>
      <c r="BE120" t="s">
        <v>74</v>
      </c>
      <c r="BF120" t="s">
        <v>75</v>
      </c>
      <c r="BG120" t="s">
        <v>76</v>
      </c>
      <c r="BH120" t="s">
        <v>77</v>
      </c>
      <c r="BI120" t="s">
        <v>73</v>
      </c>
      <c r="BJ120" t="s">
        <v>114</v>
      </c>
      <c r="BK120">
        <v>1</v>
      </c>
      <c r="BL120">
        <v>0</v>
      </c>
      <c r="BM120">
        <v>0</v>
      </c>
      <c r="BN120">
        <v>0</v>
      </c>
      <c r="BO120">
        <v>0</v>
      </c>
      <c r="BP120">
        <v>0</v>
      </c>
      <c r="BQ120">
        <v>0</v>
      </c>
      <c r="BR120">
        <v>0</v>
      </c>
    </row>
    <row r="121" spans="1:72" x14ac:dyDescent="0.2">
      <c r="A121" s="1">
        <v>44582.243055555555</v>
      </c>
      <c r="B121" s="1">
        <v>44582.244444444441</v>
      </c>
      <c r="C121">
        <v>0</v>
      </c>
      <c r="D121">
        <v>1</v>
      </c>
      <c r="E121">
        <v>0</v>
      </c>
      <c r="F121">
        <v>0</v>
      </c>
      <c r="H121">
        <v>1</v>
      </c>
      <c r="I121">
        <v>0</v>
      </c>
      <c r="J121">
        <v>0</v>
      </c>
      <c r="K121">
        <v>0</v>
      </c>
      <c r="L121">
        <v>0</v>
      </c>
      <c r="P121">
        <v>1</v>
      </c>
      <c r="Q121">
        <v>0</v>
      </c>
      <c r="R121">
        <v>0</v>
      </c>
      <c r="S121">
        <v>0</v>
      </c>
      <c r="T121">
        <v>0</v>
      </c>
      <c r="U121">
        <v>0</v>
      </c>
      <c r="V121">
        <v>0</v>
      </c>
      <c r="W121">
        <v>0</v>
      </c>
      <c r="X121">
        <v>0</v>
      </c>
      <c r="Y121">
        <v>0</v>
      </c>
      <c r="Z121">
        <v>0</v>
      </c>
      <c r="AA121">
        <v>0</v>
      </c>
      <c r="AC121">
        <v>0</v>
      </c>
      <c r="AD121">
        <v>0</v>
      </c>
      <c r="AE121">
        <v>0</v>
      </c>
      <c r="AF121">
        <v>0</v>
      </c>
      <c r="AG121">
        <v>0</v>
      </c>
      <c r="AH121">
        <v>1</v>
      </c>
      <c r="AI121">
        <v>0</v>
      </c>
      <c r="AJ121">
        <v>0</v>
      </c>
      <c r="AK121">
        <v>0</v>
      </c>
      <c r="AZ121" t="s">
        <v>96</v>
      </c>
      <c r="BA121" t="s">
        <v>87</v>
      </c>
      <c r="BB121" t="s">
        <v>87</v>
      </c>
      <c r="BC121" t="s">
        <v>74</v>
      </c>
      <c r="BD121" t="s">
        <v>87</v>
      </c>
      <c r="BE121" t="s">
        <v>74</v>
      </c>
      <c r="BF121" t="s">
        <v>101</v>
      </c>
      <c r="BG121" t="s">
        <v>76</v>
      </c>
      <c r="BH121" t="s">
        <v>98</v>
      </c>
      <c r="BI121" t="s">
        <v>96</v>
      </c>
      <c r="BJ121" t="s">
        <v>189</v>
      </c>
      <c r="BK121">
        <v>0</v>
      </c>
      <c r="BL121">
        <v>0</v>
      </c>
      <c r="BM121">
        <v>0</v>
      </c>
      <c r="BN121">
        <v>0</v>
      </c>
      <c r="BO121">
        <v>0</v>
      </c>
      <c r="BP121">
        <v>1</v>
      </c>
      <c r="BQ121">
        <v>0</v>
      </c>
      <c r="BR121">
        <v>0</v>
      </c>
    </row>
    <row r="122" spans="1:72" x14ac:dyDescent="0.2">
      <c r="A122" s="1">
        <v>44580.63958333333</v>
      </c>
      <c r="B122" s="1">
        <v>44580.642361111109</v>
      </c>
      <c r="C122">
        <v>1</v>
      </c>
      <c r="D122">
        <v>0</v>
      </c>
      <c r="E122">
        <v>0</v>
      </c>
      <c r="F122">
        <v>0</v>
      </c>
      <c r="H122">
        <v>0</v>
      </c>
      <c r="I122">
        <v>1</v>
      </c>
      <c r="J122">
        <v>0</v>
      </c>
      <c r="K122">
        <v>0</v>
      </c>
      <c r="L122">
        <v>0</v>
      </c>
      <c r="N122" t="s">
        <v>88</v>
      </c>
      <c r="O122" t="s">
        <v>89</v>
      </c>
      <c r="P122">
        <v>0</v>
      </c>
      <c r="Q122">
        <v>0</v>
      </c>
      <c r="R122">
        <v>1</v>
      </c>
      <c r="S122">
        <v>0</v>
      </c>
      <c r="T122">
        <v>0</v>
      </c>
      <c r="U122">
        <v>0</v>
      </c>
      <c r="V122">
        <v>0</v>
      </c>
      <c r="W122">
        <v>0</v>
      </c>
      <c r="X122">
        <v>0</v>
      </c>
      <c r="Y122">
        <v>0</v>
      </c>
      <c r="Z122">
        <v>0</v>
      </c>
      <c r="AA122">
        <v>0</v>
      </c>
      <c r="AM122" t="s">
        <v>83</v>
      </c>
      <c r="AN122" t="s">
        <v>81</v>
      </c>
      <c r="AO122" t="s">
        <v>83</v>
      </c>
      <c r="AP122" t="s">
        <v>83</v>
      </c>
      <c r="AQ122" t="s">
        <v>82</v>
      </c>
      <c r="AR122" t="s">
        <v>83</v>
      </c>
      <c r="AS122" t="s">
        <v>83</v>
      </c>
      <c r="AT122" t="s">
        <v>83</v>
      </c>
      <c r="AU122" t="s">
        <v>88</v>
      </c>
      <c r="AV122" t="s">
        <v>89</v>
      </c>
      <c r="AW122" t="s">
        <v>85</v>
      </c>
      <c r="AZ122" t="s">
        <v>73</v>
      </c>
      <c r="BA122" t="s">
        <v>87</v>
      </c>
      <c r="BB122" t="s">
        <v>87</v>
      </c>
      <c r="BC122" t="s">
        <v>87</v>
      </c>
      <c r="BD122" t="s">
        <v>87</v>
      </c>
      <c r="BE122" t="s">
        <v>87</v>
      </c>
      <c r="BF122" t="s">
        <v>97</v>
      </c>
      <c r="BG122" t="s">
        <v>76</v>
      </c>
      <c r="BH122" t="s">
        <v>98</v>
      </c>
      <c r="BI122" t="s">
        <v>73</v>
      </c>
      <c r="BJ122" t="s">
        <v>114</v>
      </c>
      <c r="BK122">
        <v>1</v>
      </c>
      <c r="BL122">
        <v>0</v>
      </c>
      <c r="BM122">
        <v>0</v>
      </c>
      <c r="BN122">
        <v>0</v>
      </c>
      <c r="BO122">
        <v>0</v>
      </c>
      <c r="BP122">
        <v>0</v>
      </c>
      <c r="BQ122">
        <v>0</v>
      </c>
      <c r="BR122">
        <v>0</v>
      </c>
    </row>
    <row r="123" spans="1:72" x14ac:dyDescent="0.2">
      <c r="A123" s="1">
        <v>44579.92291666667</v>
      </c>
      <c r="B123" s="1">
        <v>44579.926388888889</v>
      </c>
      <c r="C123">
        <v>0</v>
      </c>
      <c r="D123">
        <v>1</v>
      </c>
      <c r="E123">
        <v>0</v>
      </c>
      <c r="F123">
        <v>0</v>
      </c>
      <c r="H123">
        <v>1</v>
      </c>
      <c r="I123">
        <v>0</v>
      </c>
      <c r="J123">
        <v>0</v>
      </c>
      <c r="K123">
        <v>0</v>
      </c>
      <c r="L123">
        <v>0</v>
      </c>
      <c r="P123">
        <v>0</v>
      </c>
      <c r="Q123">
        <v>1</v>
      </c>
      <c r="R123">
        <v>0</v>
      </c>
      <c r="S123">
        <v>0</v>
      </c>
      <c r="T123">
        <v>0</v>
      </c>
      <c r="U123">
        <v>0</v>
      </c>
      <c r="V123">
        <v>0</v>
      </c>
      <c r="W123">
        <v>0</v>
      </c>
      <c r="X123">
        <v>0</v>
      </c>
      <c r="Y123">
        <v>0</v>
      </c>
      <c r="Z123">
        <v>0</v>
      </c>
      <c r="AA123">
        <v>0</v>
      </c>
      <c r="AM123" t="s">
        <v>90</v>
      </c>
      <c r="AN123" t="s">
        <v>82</v>
      </c>
      <c r="AO123" t="s">
        <v>82</v>
      </c>
      <c r="AP123" t="s">
        <v>90</v>
      </c>
      <c r="AQ123" t="s">
        <v>90</v>
      </c>
      <c r="AR123" t="s">
        <v>90</v>
      </c>
      <c r="AS123" t="s">
        <v>90</v>
      </c>
      <c r="AT123" t="s">
        <v>81</v>
      </c>
      <c r="AU123" t="s">
        <v>88</v>
      </c>
      <c r="AV123" t="s">
        <v>89</v>
      </c>
      <c r="AW123" t="s">
        <v>100</v>
      </c>
      <c r="AZ123" t="s">
        <v>73</v>
      </c>
      <c r="BA123" t="s">
        <v>87</v>
      </c>
      <c r="BB123" t="s">
        <v>86</v>
      </c>
      <c r="BC123" t="s">
        <v>87</v>
      </c>
      <c r="BD123" t="s">
        <v>87</v>
      </c>
      <c r="BE123" t="s">
        <v>87</v>
      </c>
      <c r="BF123" t="s">
        <v>97</v>
      </c>
      <c r="BG123" t="s">
        <v>92</v>
      </c>
      <c r="BH123" t="s">
        <v>158</v>
      </c>
      <c r="BI123" t="s">
        <v>73</v>
      </c>
      <c r="BJ123" t="s">
        <v>78</v>
      </c>
      <c r="BK123">
        <v>0</v>
      </c>
      <c r="BL123">
        <v>0</v>
      </c>
      <c r="BM123">
        <v>0</v>
      </c>
      <c r="BN123">
        <v>0</v>
      </c>
      <c r="BO123">
        <v>0</v>
      </c>
      <c r="BP123">
        <v>1</v>
      </c>
      <c r="BQ123">
        <v>0</v>
      </c>
      <c r="BR123">
        <v>0</v>
      </c>
    </row>
    <row r="124" spans="1:72" x14ac:dyDescent="0.2">
      <c r="A124" s="1">
        <v>44580.379861111112</v>
      </c>
      <c r="B124" s="1">
        <v>44580.382638888892</v>
      </c>
      <c r="C124">
        <v>1</v>
      </c>
      <c r="D124">
        <v>0</v>
      </c>
      <c r="E124">
        <v>0</v>
      </c>
      <c r="F124">
        <v>0</v>
      </c>
      <c r="H124">
        <v>0</v>
      </c>
      <c r="I124">
        <v>1</v>
      </c>
      <c r="J124">
        <v>1</v>
      </c>
      <c r="K124">
        <v>1</v>
      </c>
      <c r="L124">
        <v>0</v>
      </c>
      <c r="N124" t="s">
        <v>88</v>
      </c>
      <c r="O124" t="s">
        <v>89</v>
      </c>
      <c r="P124">
        <v>0</v>
      </c>
      <c r="Q124">
        <v>0</v>
      </c>
      <c r="R124">
        <v>1</v>
      </c>
      <c r="S124">
        <v>0</v>
      </c>
      <c r="T124">
        <v>0</v>
      </c>
      <c r="U124">
        <v>0</v>
      </c>
      <c r="V124">
        <v>0</v>
      </c>
      <c r="W124">
        <v>0</v>
      </c>
      <c r="X124">
        <v>0</v>
      </c>
      <c r="Y124">
        <v>0</v>
      </c>
      <c r="Z124">
        <v>0</v>
      </c>
      <c r="AA124">
        <v>0</v>
      </c>
      <c r="AM124" t="s">
        <v>82</v>
      </c>
      <c r="AN124" t="s">
        <v>82</v>
      </c>
      <c r="AO124" t="s">
        <v>81</v>
      </c>
      <c r="AP124" t="s">
        <v>82</v>
      </c>
      <c r="AQ124" t="s">
        <v>82</v>
      </c>
      <c r="AR124" t="s">
        <v>83</v>
      </c>
      <c r="AS124" t="s">
        <v>83</v>
      </c>
      <c r="AT124" t="s">
        <v>83</v>
      </c>
      <c r="AU124" t="s">
        <v>88</v>
      </c>
      <c r="AV124" t="s">
        <v>89</v>
      </c>
      <c r="AW124" t="s">
        <v>100</v>
      </c>
      <c r="AX124" t="s">
        <v>110</v>
      </c>
      <c r="AY124" t="s">
        <v>190</v>
      </c>
      <c r="AZ124" t="s">
        <v>96</v>
      </c>
      <c r="BA124" t="s">
        <v>87</v>
      </c>
      <c r="BB124" t="s">
        <v>87</v>
      </c>
      <c r="BC124" t="s">
        <v>87</v>
      </c>
      <c r="BD124" t="s">
        <v>87</v>
      </c>
      <c r="BE124" t="s">
        <v>74</v>
      </c>
      <c r="BF124" t="s">
        <v>108</v>
      </c>
      <c r="BG124" t="s">
        <v>92</v>
      </c>
      <c r="BH124" t="s">
        <v>98</v>
      </c>
      <c r="BI124" t="s">
        <v>96</v>
      </c>
      <c r="BJ124" t="s">
        <v>78</v>
      </c>
      <c r="BK124">
        <v>0</v>
      </c>
      <c r="BL124">
        <v>0</v>
      </c>
      <c r="BM124">
        <v>0</v>
      </c>
      <c r="BN124">
        <v>0</v>
      </c>
      <c r="BO124">
        <v>0</v>
      </c>
      <c r="BP124">
        <v>1</v>
      </c>
      <c r="BQ124">
        <v>0</v>
      </c>
      <c r="BR124">
        <v>0</v>
      </c>
    </row>
    <row r="125" spans="1:72" x14ac:dyDescent="0.2">
      <c r="A125" s="1">
        <v>44579.977083333331</v>
      </c>
      <c r="B125" s="1">
        <v>44579.979861111111</v>
      </c>
      <c r="C125">
        <v>1</v>
      </c>
      <c r="D125">
        <v>0</v>
      </c>
      <c r="E125">
        <v>0</v>
      </c>
      <c r="F125">
        <v>0</v>
      </c>
      <c r="H125">
        <v>0</v>
      </c>
      <c r="I125">
        <v>1</v>
      </c>
      <c r="J125">
        <v>0</v>
      </c>
      <c r="K125">
        <v>0</v>
      </c>
      <c r="L125">
        <v>0</v>
      </c>
      <c r="N125" t="s">
        <v>135</v>
      </c>
      <c r="O125" t="s">
        <v>80</v>
      </c>
      <c r="P125">
        <v>0</v>
      </c>
      <c r="Q125">
        <v>0</v>
      </c>
      <c r="R125">
        <v>1</v>
      </c>
      <c r="S125">
        <v>0</v>
      </c>
      <c r="T125">
        <v>0</v>
      </c>
      <c r="U125">
        <v>0</v>
      </c>
      <c r="V125">
        <v>0</v>
      </c>
      <c r="W125">
        <v>0</v>
      </c>
      <c r="X125">
        <v>0</v>
      </c>
      <c r="Y125">
        <v>0</v>
      </c>
      <c r="Z125">
        <v>0</v>
      </c>
      <c r="AA125">
        <v>0</v>
      </c>
      <c r="AM125" t="s">
        <v>83</v>
      </c>
      <c r="AN125" t="s">
        <v>81</v>
      </c>
      <c r="AO125" t="s">
        <v>83</v>
      </c>
      <c r="AP125" t="s">
        <v>81</v>
      </c>
      <c r="AQ125" t="s">
        <v>82</v>
      </c>
      <c r="AR125" t="s">
        <v>83</v>
      </c>
      <c r="AS125" t="s">
        <v>83</v>
      </c>
      <c r="AT125" t="s">
        <v>81</v>
      </c>
      <c r="AU125" t="s">
        <v>135</v>
      </c>
      <c r="AV125" t="s">
        <v>89</v>
      </c>
      <c r="AW125" t="s">
        <v>85</v>
      </c>
      <c r="AX125" t="s">
        <v>191</v>
      </c>
      <c r="AZ125" t="s">
        <v>107</v>
      </c>
      <c r="BA125" t="s">
        <v>74</v>
      </c>
      <c r="BF125" t="s">
        <v>75</v>
      </c>
      <c r="BG125" t="s">
        <v>76</v>
      </c>
      <c r="BH125" t="s">
        <v>98</v>
      </c>
      <c r="BI125" t="s">
        <v>107</v>
      </c>
      <c r="BJ125" t="s">
        <v>174</v>
      </c>
      <c r="BK125">
        <v>0</v>
      </c>
      <c r="BL125">
        <v>0</v>
      </c>
      <c r="BM125">
        <v>0</v>
      </c>
      <c r="BN125">
        <v>0</v>
      </c>
      <c r="BO125">
        <v>0</v>
      </c>
      <c r="BP125">
        <v>1</v>
      </c>
      <c r="BQ125">
        <v>0</v>
      </c>
      <c r="BR125">
        <v>0</v>
      </c>
    </row>
    <row r="126" spans="1:72" x14ac:dyDescent="0.2">
      <c r="A126" s="1">
        <v>44580.191666666666</v>
      </c>
      <c r="B126" s="1">
        <v>44580.193055555559</v>
      </c>
      <c r="C126">
        <v>1</v>
      </c>
      <c r="D126">
        <v>0</v>
      </c>
      <c r="E126">
        <v>0</v>
      </c>
      <c r="F126">
        <v>0</v>
      </c>
      <c r="H126">
        <v>0</v>
      </c>
      <c r="I126">
        <v>1</v>
      </c>
      <c r="J126">
        <v>1</v>
      </c>
      <c r="K126">
        <v>1</v>
      </c>
      <c r="L126">
        <v>0</v>
      </c>
      <c r="N126" t="s">
        <v>88</v>
      </c>
      <c r="O126" t="s">
        <v>89</v>
      </c>
      <c r="P126">
        <v>0</v>
      </c>
      <c r="Q126">
        <v>0</v>
      </c>
      <c r="R126">
        <v>0</v>
      </c>
      <c r="S126">
        <v>1</v>
      </c>
      <c r="T126">
        <v>0</v>
      </c>
      <c r="U126">
        <v>0</v>
      </c>
      <c r="V126">
        <v>0</v>
      </c>
      <c r="W126">
        <v>0</v>
      </c>
      <c r="X126">
        <v>0</v>
      </c>
      <c r="Y126">
        <v>0</v>
      </c>
      <c r="Z126">
        <v>0</v>
      </c>
      <c r="AA126">
        <v>0</v>
      </c>
      <c r="AM126" t="s">
        <v>83</v>
      </c>
      <c r="AN126" t="s">
        <v>82</v>
      </c>
      <c r="AO126" t="s">
        <v>81</v>
      </c>
      <c r="AP126" t="s">
        <v>81</v>
      </c>
      <c r="AQ126" t="s">
        <v>83</v>
      </c>
      <c r="AR126" t="s">
        <v>83</v>
      </c>
      <c r="AS126" t="s">
        <v>83</v>
      </c>
      <c r="AT126" t="s">
        <v>83</v>
      </c>
      <c r="AU126" t="s">
        <v>88</v>
      </c>
      <c r="AV126" t="s">
        <v>89</v>
      </c>
      <c r="AW126" t="s">
        <v>100</v>
      </c>
      <c r="AZ126" t="s">
        <v>73</v>
      </c>
      <c r="BA126" t="s">
        <v>86</v>
      </c>
      <c r="BB126" t="s">
        <v>87</v>
      </c>
      <c r="BC126" t="s">
        <v>86</v>
      </c>
      <c r="BD126" t="s">
        <v>87</v>
      </c>
      <c r="BE126" t="s">
        <v>86</v>
      </c>
      <c r="BF126" t="s">
        <v>159</v>
      </c>
      <c r="BG126" t="s">
        <v>76</v>
      </c>
      <c r="BH126" t="s">
        <v>77</v>
      </c>
      <c r="BI126" t="s">
        <v>73</v>
      </c>
      <c r="BK126">
        <v>0</v>
      </c>
      <c r="BL126">
        <v>0</v>
      </c>
      <c r="BM126">
        <v>0</v>
      </c>
      <c r="BN126">
        <v>0</v>
      </c>
      <c r="BO126">
        <v>0</v>
      </c>
      <c r="BP126">
        <v>1</v>
      </c>
      <c r="BQ126">
        <v>0</v>
      </c>
      <c r="BR126">
        <v>0</v>
      </c>
    </row>
    <row r="127" spans="1:72" x14ac:dyDescent="0.2">
      <c r="A127" s="1">
        <v>44579.90902777778</v>
      </c>
      <c r="B127" s="1">
        <v>44579.913194444445</v>
      </c>
      <c r="C127">
        <v>1</v>
      </c>
      <c r="D127">
        <v>0</v>
      </c>
      <c r="E127">
        <v>0</v>
      </c>
      <c r="F127">
        <v>0</v>
      </c>
      <c r="H127">
        <v>0</v>
      </c>
      <c r="I127">
        <v>1</v>
      </c>
      <c r="J127">
        <v>0</v>
      </c>
      <c r="K127">
        <v>0</v>
      </c>
      <c r="L127">
        <v>0</v>
      </c>
      <c r="N127" t="s">
        <v>79</v>
      </c>
      <c r="O127" t="s">
        <v>89</v>
      </c>
      <c r="P127">
        <v>0</v>
      </c>
      <c r="Q127">
        <v>1</v>
      </c>
      <c r="R127">
        <v>0</v>
      </c>
      <c r="S127">
        <v>0</v>
      </c>
      <c r="T127">
        <v>0</v>
      </c>
      <c r="U127">
        <v>0</v>
      </c>
      <c r="V127">
        <v>0</v>
      </c>
      <c r="W127">
        <v>0</v>
      </c>
      <c r="X127">
        <v>0</v>
      </c>
      <c r="Y127">
        <v>0</v>
      </c>
      <c r="Z127">
        <v>0</v>
      </c>
      <c r="AA127">
        <v>0</v>
      </c>
      <c r="AM127" t="s">
        <v>90</v>
      </c>
      <c r="AN127" t="s">
        <v>82</v>
      </c>
      <c r="AO127" t="s">
        <v>81</v>
      </c>
      <c r="AP127" t="s">
        <v>90</v>
      </c>
      <c r="AQ127" t="s">
        <v>90</v>
      </c>
      <c r="AR127" t="s">
        <v>90</v>
      </c>
      <c r="AS127" t="s">
        <v>90</v>
      </c>
      <c r="AT127" t="s">
        <v>83</v>
      </c>
      <c r="AU127" t="s">
        <v>88</v>
      </c>
      <c r="AV127" t="s">
        <v>89</v>
      </c>
      <c r="AW127" t="s">
        <v>100</v>
      </c>
      <c r="AX127" t="s">
        <v>72</v>
      </c>
      <c r="AZ127" t="s">
        <v>107</v>
      </c>
      <c r="BA127" t="s">
        <v>87</v>
      </c>
      <c r="BB127" t="s">
        <v>87</v>
      </c>
      <c r="BC127" t="s">
        <v>87</v>
      </c>
      <c r="BD127" t="s">
        <v>87</v>
      </c>
      <c r="BE127" t="s">
        <v>87</v>
      </c>
      <c r="BF127" t="s">
        <v>75</v>
      </c>
      <c r="BG127" t="s">
        <v>76</v>
      </c>
      <c r="BH127" t="s">
        <v>98</v>
      </c>
      <c r="BI127" t="s">
        <v>107</v>
      </c>
      <c r="BJ127" t="s">
        <v>94</v>
      </c>
      <c r="BK127">
        <v>0</v>
      </c>
      <c r="BL127">
        <v>0</v>
      </c>
      <c r="BM127">
        <v>0</v>
      </c>
      <c r="BN127">
        <v>0</v>
      </c>
      <c r="BO127">
        <v>0</v>
      </c>
      <c r="BP127">
        <v>1</v>
      </c>
      <c r="BQ127">
        <v>0</v>
      </c>
      <c r="BR127">
        <v>0</v>
      </c>
    </row>
    <row r="128" spans="1:72" x14ac:dyDescent="0.2">
      <c r="A128" s="1">
        <v>44579.998611111114</v>
      </c>
      <c r="B128" s="1">
        <v>44579.999305555553</v>
      </c>
      <c r="C128">
        <v>0</v>
      </c>
      <c r="D128">
        <v>1</v>
      </c>
      <c r="E128">
        <v>0</v>
      </c>
      <c r="F128">
        <v>0</v>
      </c>
      <c r="H128">
        <v>1</v>
      </c>
      <c r="I128">
        <v>0</v>
      </c>
      <c r="J128">
        <v>0</v>
      </c>
      <c r="K128">
        <v>0</v>
      </c>
      <c r="L128">
        <v>0</v>
      </c>
      <c r="P128">
        <v>1</v>
      </c>
      <c r="Q128">
        <v>0</v>
      </c>
      <c r="R128">
        <v>0</v>
      </c>
      <c r="S128">
        <v>0</v>
      </c>
      <c r="T128">
        <v>0</v>
      </c>
      <c r="U128">
        <v>0</v>
      </c>
      <c r="V128">
        <v>0</v>
      </c>
      <c r="W128">
        <v>0</v>
      </c>
      <c r="X128">
        <v>0</v>
      </c>
      <c r="Y128">
        <v>0</v>
      </c>
      <c r="Z128">
        <v>0</v>
      </c>
      <c r="AA128">
        <v>0</v>
      </c>
      <c r="AC128">
        <v>0</v>
      </c>
      <c r="AD128">
        <v>1</v>
      </c>
      <c r="AE128">
        <v>0</v>
      </c>
      <c r="AF128">
        <v>0</v>
      </c>
      <c r="AG128">
        <v>0</v>
      </c>
      <c r="AH128">
        <v>0</v>
      </c>
      <c r="AI128">
        <v>0</v>
      </c>
      <c r="AJ128">
        <v>0</v>
      </c>
      <c r="AK128">
        <v>0</v>
      </c>
      <c r="AX128" t="s">
        <v>110</v>
      </c>
      <c r="AY128" t="s">
        <v>139</v>
      </c>
      <c r="AZ128" t="s">
        <v>96</v>
      </c>
      <c r="BA128" t="s">
        <v>74</v>
      </c>
      <c r="BF128" t="s">
        <v>75</v>
      </c>
      <c r="BG128" t="s">
        <v>76</v>
      </c>
      <c r="BH128" t="s">
        <v>98</v>
      </c>
      <c r="BI128" t="s">
        <v>96</v>
      </c>
      <c r="BJ128" t="s">
        <v>114</v>
      </c>
      <c r="BK128">
        <v>1</v>
      </c>
      <c r="BL128">
        <v>0</v>
      </c>
      <c r="BM128">
        <v>0</v>
      </c>
      <c r="BN128">
        <v>0</v>
      </c>
      <c r="BO128">
        <v>0</v>
      </c>
      <c r="BP128">
        <v>0</v>
      </c>
      <c r="BQ128">
        <v>0</v>
      </c>
      <c r="BR128">
        <v>0</v>
      </c>
    </row>
    <row r="129" spans="1:70" x14ac:dyDescent="0.2">
      <c r="A129" s="1">
        <v>44579.886805555558</v>
      </c>
      <c r="B129" s="1">
        <v>44579.950694444444</v>
      </c>
      <c r="C129">
        <v>1</v>
      </c>
      <c r="D129">
        <v>0</v>
      </c>
      <c r="E129">
        <v>0</v>
      </c>
      <c r="F129">
        <v>0</v>
      </c>
      <c r="H129">
        <v>1</v>
      </c>
      <c r="I129">
        <v>0</v>
      </c>
      <c r="J129">
        <v>0</v>
      </c>
      <c r="K129">
        <v>0</v>
      </c>
      <c r="L129">
        <v>0</v>
      </c>
      <c r="P129">
        <v>0</v>
      </c>
      <c r="Q129">
        <v>0</v>
      </c>
      <c r="R129">
        <v>1</v>
      </c>
      <c r="S129">
        <v>1</v>
      </c>
      <c r="T129">
        <v>0</v>
      </c>
      <c r="U129">
        <v>0</v>
      </c>
      <c r="V129">
        <v>0</v>
      </c>
      <c r="W129">
        <v>0</v>
      </c>
      <c r="X129">
        <v>0</v>
      </c>
      <c r="Y129">
        <v>0</v>
      </c>
      <c r="Z129">
        <v>0</v>
      </c>
      <c r="AA129">
        <v>0</v>
      </c>
      <c r="AM129" t="s">
        <v>82</v>
      </c>
      <c r="AN129" t="s">
        <v>81</v>
      </c>
      <c r="AO129" t="s">
        <v>90</v>
      </c>
      <c r="AP129" t="s">
        <v>83</v>
      </c>
      <c r="AQ129" t="s">
        <v>82</v>
      </c>
      <c r="AR129" t="s">
        <v>83</v>
      </c>
      <c r="AS129" t="s">
        <v>82</v>
      </c>
      <c r="AT129" t="s">
        <v>83</v>
      </c>
      <c r="AU129" t="s">
        <v>84</v>
      </c>
      <c r="AV129" t="s">
        <v>89</v>
      </c>
      <c r="AW129" t="s">
        <v>85</v>
      </c>
      <c r="AX129" t="s">
        <v>191</v>
      </c>
      <c r="AZ129" t="s">
        <v>96</v>
      </c>
      <c r="BA129" t="s">
        <v>74</v>
      </c>
      <c r="BF129" t="s">
        <v>75</v>
      </c>
      <c r="BG129" t="s">
        <v>76</v>
      </c>
      <c r="BH129" t="s">
        <v>98</v>
      </c>
      <c r="BI129" t="s">
        <v>96</v>
      </c>
      <c r="BJ129" t="s">
        <v>78</v>
      </c>
      <c r="BK129">
        <v>1</v>
      </c>
      <c r="BL129">
        <v>0</v>
      </c>
      <c r="BM129">
        <v>0</v>
      </c>
      <c r="BN129">
        <v>0</v>
      </c>
      <c r="BO129">
        <v>0</v>
      </c>
      <c r="BP129">
        <v>0</v>
      </c>
      <c r="BQ129">
        <v>0</v>
      </c>
      <c r="BR129">
        <v>0</v>
      </c>
    </row>
    <row r="130" spans="1:70" x14ac:dyDescent="0.2">
      <c r="A130" s="1">
        <v>44589.213888888888</v>
      </c>
      <c r="B130" s="1">
        <v>44589.21597222222</v>
      </c>
      <c r="C130">
        <v>1</v>
      </c>
      <c r="D130">
        <v>0</v>
      </c>
      <c r="E130">
        <v>0</v>
      </c>
      <c r="F130">
        <v>0</v>
      </c>
      <c r="H130">
        <v>0</v>
      </c>
      <c r="I130">
        <v>1</v>
      </c>
      <c r="J130">
        <v>0</v>
      </c>
      <c r="K130">
        <v>0</v>
      </c>
      <c r="L130">
        <v>0</v>
      </c>
      <c r="N130" t="s">
        <v>88</v>
      </c>
      <c r="O130" t="s">
        <v>89</v>
      </c>
      <c r="P130">
        <v>0</v>
      </c>
      <c r="Q130">
        <v>1</v>
      </c>
      <c r="R130">
        <v>0</v>
      </c>
      <c r="S130">
        <v>0</v>
      </c>
      <c r="T130">
        <v>0</v>
      </c>
      <c r="U130">
        <v>0</v>
      </c>
      <c r="V130">
        <v>0</v>
      </c>
      <c r="W130">
        <v>0</v>
      </c>
      <c r="X130">
        <v>0</v>
      </c>
      <c r="Y130">
        <v>0</v>
      </c>
      <c r="Z130">
        <v>0</v>
      </c>
      <c r="AA130">
        <v>0</v>
      </c>
      <c r="AM130" t="s">
        <v>90</v>
      </c>
      <c r="AN130" t="s">
        <v>82</v>
      </c>
      <c r="AO130" t="s">
        <v>83</v>
      </c>
      <c r="AP130" t="s">
        <v>82</v>
      </c>
      <c r="AQ130" t="s">
        <v>90</v>
      </c>
      <c r="AR130" t="s">
        <v>81</v>
      </c>
      <c r="AS130" t="s">
        <v>83</v>
      </c>
      <c r="AT130" t="s">
        <v>90</v>
      </c>
      <c r="AU130" t="s">
        <v>88</v>
      </c>
      <c r="AV130" t="s">
        <v>89</v>
      </c>
      <c r="AW130" t="s">
        <v>100</v>
      </c>
      <c r="AX130" t="s">
        <v>118</v>
      </c>
      <c r="AZ130" t="s">
        <v>73</v>
      </c>
      <c r="BA130" t="s">
        <v>86</v>
      </c>
      <c r="BB130" t="s">
        <v>87</v>
      </c>
      <c r="BC130" t="s">
        <v>87</v>
      </c>
      <c r="BD130" t="s">
        <v>86</v>
      </c>
      <c r="BE130" t="s">
        <v>87</v>
      </c>
      <c r="BF130" t="s">
        <v>75</v>
      </c>
      <c r="BG130" t="s">
        <v>76</v>
      </c>
      <c r="BH130" t="s">
        <v>77</v>
      </c>
      <c r="BI130" t="s">
        <v>73</v>
      </c>
      <c r="BJ130" t="s">
        <v>114</v>
      </c>
      <c r="BK130">
        <v>1</v>
      </c>
      <c r="BL130">
        <v>0</v>
      </c>
      <c r="BM130">
        <v>0</v>
      </c>
      <c r="BN130">
        <v>0</v>
      </c>
      <c r="BO130">
        <v>0</v>
      </c>
      <c r="BP130">
        <v>0</v>
      </c>
      <c r="BQ130">
        <v>0</v>
      </c>
      <c r="BR130">
        <v>0</v>
      </c>
    </row>
    <row r="131" spans="1:70" x14ac:dyDescent="0.2">
      <c r="A131" s="1">
        <v>44579.879166666666</v>
      </c>
      <c r="B131" s="1">
        <v>44579.880555555559</v>
      </c>
      <c r="C131">
        <v>1</v>
      </c>
      <c r="D131">
        <v>0</v>
      </c>
      <c r="E131">
        <v>0</v>
      </c>
      <c r="F131">
        <v>0</v>
      </c>
      <c r="H131">
        <v>0</v>
      </c>
      <c r="I131">
        <v>1</v>
      </c>
      <c r="J131">
        <v>0</v>
      </c>
      <c r="K131">
        <v>1</v>
      </c>
      <c r="L131">
        <v>0</v>
      </c>
      <c r="N131" t="s">
        <v>88</v>
      </c>
      <c r="O131" t="s">
        <v>89</v>
      </c>
      <c r="P131">
        <v>1</v>
      </c>
      <c r="Q131">
        <v>0</v>
      </c>
      <c r="R131">
        <v>0</v>
      </c>
      <c r="S131">
        <v>0</v>
      </c>
      <c r="T131">
        <v>0</v>
      </c>
      <c r="U131">
        <v>0</v>
      </c>
      <c r="V131">
        <v>0</v>
      </c>
      <c r="W131">
        <v>0</v>
      </c>
      <c r="X131">
        <v>0</v>
      </c>
      <c r="Y131">
        <v>0</v>
      </c>
      <c r="Z131">
        <v>0</v>
      </c>
      <c r="AA131">
        <v>0</v>
      </c>
      <c r="AC131">
        <v>0</v>
      </c>
      <c r="AD131">
        <v>0</v>
      </c>
      <c r="AE131">
        <v>1</v>
      </c>
      <c r="AF131">
        <v>0</v>
      </c>
      <c r="AG131">
        <v>0</v>
      </c>
      <c r="AH131">
        <v>0</v>
      </c>
      <c r="AI131">
        <v>0</v>
      </c>
      <c r="AJ131">
        <v>0</v>
      </c>
      <c r="AK131">
        <v>0</v>
      </c>
      <c r="AX131" t="s">
        <v>72</v>
      </c>
      <c r="AZ131" t="s">
        <v>73</v>
      </c>
      <c r="BA131" t="s">
        <v>87</v>
      </c>
      <c r="BB131" t="s">
        <v>87</v>
      </c>
      <c r="BC131" t="s">
        <v>87</v>
      </c>
      <c r="BD131" t="s">
        <v>87</v>
      </c>
      <c r="BE131" t="s">
        <v>87</v>
      </c>
      <c r="BF131" t="s">
        <v>75</v>
      </c>
      <c r="BG131" t="s">
        <v>76</v>
      </c>
      <c r="BH131" t="s">
        <v>77</v>
      </c>
      <c r="BI131" t="s">
        <v>73</v>
      </c>
      <c r="BJ131" t="s">
        <v>78</v>
      </c>
      <c r="BK131">
        <v>1</v>
      </c>
      <c r="BL131">
        <v>0</v>
      </c>
      <c r="BM131">
        <v>0</v>
      </c>
      <c r="BN131">
        <v>0</v>
      </c>
      <c r="BO131">
        <v>0</v>
      </c>
      <c r="BP131">
        <v>0</v>
      </c>
      <c r="BQ131">
        <v>1</v>
      </c>
      <c r="BR131">
        <v>0</v>
      </c>
    </row>
    <row r="132" spans="1:70" x14ac:dyDescent="0.2">
      <c r="A132" s="1">
        <v>44585.679861111108</v>
      </c>
      <c r="B132" s="1">
        <v>44585.682638888888</v>
      </c>
      <c r="C132">
        <v>1</v>
      </c>
      <c r="D132">
        <v>0</v>
      </c>
      <c r="E132">
        <v>0</v>
      </c>
      <c r="F132">
        <v>0</v>
      </c>
      <c r="H132">
        <v>1</v>
      </c>
      <c r="I132">
        <v>0</v>
      </c>
      <c r="J132">
        <v>0</v>
      </c>
      <c r="K132">
        <v>0</v>
      </c>
      <c r="L132">
        <v>0</v>
      </c>
      <c r="P132">
        <v>1</v>
      </c>
      <c r="Q132">
        <v>0</v>
      </c>
      <c r="R132">
        <v>0</v>
      </c>
      <c r="S132">
        <v>0</v>
      </c>
      <c r="T132">
        <v>0</v>
      </c>
      <c r="U132">
        <v>0</v>
      </c>
      <c r="V132">
        <v>0</v>
      </c>
      <c r="W132">
        <v>0</v>
      </c>
      <c r="X132">
        <v>0</v>
      </c>
      <c r="Y132">
        <v>0</v>
      </c>
      <c r="Z132">
        <v>0</v>
      </c>
      <c r="AA132">
        <v>0</v>
      </c>
      <c r="AC132">
        <v>0</v>
      </c>
      <c r="AD132">
        <v>0</v>
      </c>
      <c r="AE132">
        <v>0</v>
      </c>
      <c r="AF132">
        <v>0</v>
      </c>
      <c r="AG132">
        <v>0</v>
      </c>
      <c r="AH132">
        <v>0</v>
      </c>
      <c r="AI132">
        <v>0</v>
      </c>
      <c r="AJ132">
        <v>0</v>
      </c>
      <c r="AK132">
        <v>1</v>
      </c>
      <c r="AL132" t="s">
        <v>192</v>
      </c>
      <c r="AX132" t="s">
        <v>72</v>
      </c>
      <c r="AZ132" t="s">
        <v>107</v>
      </c>
      <c r="BA132" t="s">
        <v>86</v>
      </c>
      <c r="BB132" t="s">
        <v>86</v>
      </c>
      <c r="BC132" t="s">
        <v>86</v>
      </c>
      <c r="BD132" t="s">
        <v>87</v>
      </c>
      <c r="BE132" t="s">
        <v>86</v>
      </c>
      <c r="BF132" t="s">
        <v>75</v>
      </c>
      <c r="BG132" t="s">
        <v>76</v>
      </c>
      <c r="BH132" t="s">
        <v>98</v>
      </c>
      <c r="BI132" t="s">
        <v>107</v>
      </c>
      <c r="BJ132" t="s">
        <v>109</v>
      </c>
      <c r="BK132">
        <v>0</v>
      </c>
      <c r="BL132">
        <v>0</v>
      </c>
      <c r="BM132">
        <v>0</v>
      </c>
      <c r="BN132">
        <v>0</v>
      </c>
      <c r="BO132">
        <v>0</v>
      </c>
      <c r="BP132">
        <v>1</v>
      </c>
      <c r="BQ132">
        <v>0</v>
      </c>
      <c r="BR132">
        <v>0</v>
      </c>
    </row>
    <row r="133" spans="1:70" x14ac:dyDescent="0.2">
      <c r="A133" s="1">
        <v>44579.927777777775</v>
      </c>
      <c r="B133" s="1">
        <v>44579.929166666669</v>
      </c>
      <c r="C133">
        <v>0</v>
      </c>
      <c r="D133">
        <v>1</v>
      </c>
      <c r="E133">
        <v>0</v>
      </c>
      <c r="F133">
        <v>0</v>
      </c>
      <c r="H133">
        <v>0</v>
      </c>
      <c r="I133">
        <v>1</v>
      </c>
      <c r="J133">
        <v>0</v>
      </c>
      <c r="K133">
        <v>1</v>
      </c>
      <c r="L133">
        <v>0</v>
      </c>
      <c r="N133" t="s">
        <v>88</v>
      </c>
      <c r="O133" t="s">
        <v>89</v>
      </c>
      <c r="P133">
        <v>0</v>
      </c>
      <c r="Q133">
        <v>1</v>
      </c>
      <c r="R133">
        <v>0</v>
      </c>
      <c r="S133">
        <v>0</v>
      </c>
      <c r="T133">
        <v>0</v>
      </c>
      <c r="U133">
        <v>0</v>
      </c>
      <c r="V133">
        <v>0</v>
      </c>
      <c r="W133">
        <v>0</v>
      </c>
      <c r="X133">
        <v>0</v>
      </c>
      <c r="Y133">
        <v>0</v>
      </c>
      <c r="Z133">
        <v>0</v>
      </c>
      <c r="AA133">
        <v>0</v>
      </c>
      <c r="AM133" t="s">
        <v>90</v>
      </c>
      <c r="AN133" t="s">
        <v>82</v>
      </c>
      <c r="AO133" t="s">
        <v>81</v>
      </c>
      <c r="AP133" t="s">
        <v>83</v>
      </c>
      <c r="AQ133" t="s">
        <v>83</v>
      </c>
      <c r="AR133" t="s">
        <v>90</v>
      </c>
      <c r="AS133" t="s">
        <v>83</v>
      </c>
      <c r="AT133" t="s">
        <v>83</v>
      </c>
      <c r="AU133" t="s">
        <v>88</v>
      </c>
      <c r="AV133" t="s">
        <v>89</v>
      </c>
      <c r="AW133" t="s">
        <v>100</v>
      </c>
      <c r="AZ133" t="s">
        <v>107</v>
      </c>
      <c r="BA133" t="s">
        <v>87</v>
      </c>
      <c r="BB133" t="s">
        <v>74</v>
      </c>
      <c r="BC133" t="s">
        <v>87</v>
      </c>
      <c r="BD133" t="s">
        <v>87</v>
      </c>
      <c r="BE133" t="s">
        <v>74</v>
      </c>
      <c r="BF133" t="s">
        <v>101</v>
      </c>
      <c r="BG133" t="s">
        <v>76</v>
      </c>
      <c r="BH133" t="s">
        <v>98</v>
      </c>
      <c r="BI133" t="s">
        <v>107</v>
      </c>
      <c r="BJ133" t="s">
        <v>78</v>
      </c>
      <c r="BK133">
        <v>0</v>
      </c>
      <c r="BL133">
        <v>0</v>
      </c>
      <c r="BM133">
        <v>0</v>
      </c>
      <c r="BN133">
        <v>0</v>
      </c>
      <c r="BO133">
        <v>0</v>
      </c>
      <c r="BP133">
        <v>1</v>
      </c>
      <c r="BQ133">
        <v>0</v>
      </c>
      <c r="BR133">
        <v>0</v>
      </c>
    </row>
    <row r="134" spans="1:70" x14ac:dyDescent="0.2">
      <c r="A134" s="1">
        <v>44579.943749999999</v>
      </c>
      <c r="B134" s="1">
        <v>44579.945138888892</v>
      </c>
      <c r="C134">
        <v>1</v>
      </c>
      <c r="D134">
        <v>0</v>
      </c>
      <c r="E134">
        <v>0</v>
      </c>
      <c r="F134">
        <v>0</v>
      </c>
      <c r="H134">
        <v>1</v>
      </c>
      <c r="I134">
        <v>0</v>
      </c>
      <c r="J134">
        <v>0</v>
      </c>
      <c r="K134">
        <v>0</v>
      </c>
      <c r="L134">
        <v>0</v>
      </c>
      <c r="P134">
        <v>0</v>
      </c>
      <c r="Q134">
        <v>1</v>
      </c>
      <c r="R134">
        <v>0</v>
      </c>
      <c r="S134">
        <v>0</v>
      </c>
      <c r="T134">
        <v>0</v>
      </c>
      <c r="U134">
        <v>0</v>
      </c>
      <c r="V134">
        <v>0</v>
      </c>
      <c r="W134">
        <v>0</v>
      </c>
      <c r="X134">
        <v>0</v>
      </c>
      <c r="Y134">
        <v>0</v>
      </c>
      <c r="Z134">
        <v>0</v>
      </c>
      <c r="AA134">
        <v>0</v>
      </c>
      <c r="AM134" t="s">
        <v>90</v>
      </c>
      <c r="AN134" t="s">
        <v>82</v>
      </c>
      <c r="AO134" t="s">
        <v>81</v>
      </c>
      <c r="AP134" t="s">
        <v>90</v>
      </c>
      <c r="AQ134" t="s">
        <v>90</v>
      </c>
      <c r="AR134" t="s">
        <v>90</v>
      </c>
      <c r="AS134" t="s">
        <v>90</v>
      </c>
      <c r="AT134" t="s">
        <v>83</v>
      </c>
      <c r="AU134" t="s">
        <v>84</v>
      </c>
      <c r="AV134" t="s">
        <v>80</v>
      </c>
      <c r="AW134" t="s">
        <v>117</v>
      </c>
      <c r="AX134" t="s">
        <v>118</v>
      </c>
      <c r="AZ134" t="s">
        <v>107</v>
      </c>
      <c r="BA134" t="s">
        <v>86</v>
      </c>
      <c r="BB134" t="s">
        <v>86</v>
      </c>
      <c r="BC134" t="s">
        <v>86</v>
      </c>
      <c r="BD134" t="s">
        <v>86</v>
      </c>
      <c r="BE134" t="s">
        <v>86</v>
      </c>
      <c r="BF134" t="s">
        <v>75</v>
      </c>
      <c r="BG134" t="s">
        <v>76</v>
      </c>
      <c r="BH134" t="s">
        <v>77</v>
      </c>
      <c r="BI134" t="s">
        <v>107</v>
      </c>
      <c r="BJ134" t="s">
        <v>147</v>
      </c>
      <c r="BK134">
        <v>0</v>
      </c>
      <c r="BL134">
        <v>0</v>
      </c>
      <c r="BM134">
        <v>0</v>
      </c>
      <c r="BN134">
        <v>0</v>
      </c>
      <c r="BO134">
        <v>0</v>
      </c>
      <c r="BP134">
        <v>0</v>
      </c>
      <c r="BQ134">
        <v>0</v>
      </c>
      <c r="BR134">
        <v>1</v>
      </c>
    </row>
    <row r="135" spans="1:70" x14ac:dyDescent="0.2">
      <c r="A135" s="1">
        <v>44585.694444444445</v>
      </c>
      <c r="B135" s="1">
        <v>44585.695138888892</v>
      </c>
      <c r="C135">
        <v>1</v>
      </c>
      <c r="D135">
        <v>0</v>
      </c>
      <c r="E135">
        <v>0</v>
      </c>
      <c r="F135">
        <v>0</v>
      </c>
      <c r="H135">
        <v>1</v>
      </c>
      <c r="I135">
        <v>0</v>
      </c>
      <c r="J135">
        <v>0</v>
      </c>
      <c r="K135">
        <v>0</v>
      </c>
      <c r="L135">
        <v>0</v>
      </c>
      <c r="P135">
        <v>1</v>
      </c>
      <c r="Q135">
        <v>0</v>
      </c>
      <c r="R135">
        <v>0</v>
      </c>
      <c r="S135">
        <v>0</v>
      </c>
      <c r="T135">
        <v>0</v>
      </c>
      <c r="U135">
        <v>0</v>
      </c>
      <c r="V135">
        <v>0</v>
      </c>
      <c r="W135">
        <v>0</v>
      </c>
      <c r="X135">
        <v>0</v>
      </c>
      <c r="Y135">
        <v>0</v>
      </c>
      <c r="Z135">
        <v>0</v>
      </c>
      <c r="AA135">
        <v>0</v>
      </c>
      <c r="AC135">
        <v>0</v>
      </c>
      <c r="AD135">
        <v>1</v>
      </c>
      <c r="AE135">
        <v>0</v>
      </c>
      <c r="AF135">
        <v>0</v>
      </c>
      <c r="AG135">
        <v>0</v>
      </c>
      <c r="AH135">
        <v>0</v>
      </c>
      <c r="AI135">
        <v>0</v>
      </c>
      <c r="AJ135">
        <v>0</v>
      </c>
      <c r="AK135">
        <v>0</v>
      </c>
      <c r="AZ135" t="s">
        <v>107</v>
      </c>
      <c r="BA135" t="s">
        <v>74</v>
      </c>
      <c r="BF135" t="s">
        <v>97</v>
      </c>
      <c r="BG135" t="s">
        <v>76</v>
      </c>
      <c r="BH135" t="s">
        <v>98</v>
      </c>
      <c r="BI135" t="s">
        <v>107</v>
      </c>
      <c r="BJ135" t="s">
        <v>94</v>
      </c>
      <c r="BK135">
        <v>0</v>
      </c>
      <c r="BL135">
        <v>0</v>
      </c>
      <c r="BM135">
        <v>0</v>
      </c>
      <c r="BN135">
        <v>0</v>
      </c>
      <c r="BO135">
        <v>0</v>
      </c>
      <c r="BP135">
        <v>1</v>
      </c>
      <c r="BQ135">
        <v>0</v>
      </c>
      <c r="BR135">
        <v>0</v>
      </c>
    </row>
    <row r="136" spans="1:70" x14ac:dyDescent="0.2">
      <c r="A136" s="1">
        <v>44585.569444444445</v>
      </c>
      <c r="B136" s="1">
        <v>44585.572916666664</v>
      </c>
      <c r="C136">
        <v>0</v>
      </c>
      <c r="D136">
        <v>1</v>
      </c>
      <c r="E136">
        <v>0</v>
      </c>
      <c r="F136">
        <v>0</v>
      </c>
      <c r="H136">
        <v>1</v>
      </c>
      <c r="I136">
        <v>0</v>
      </c>
      <c r="J136">
        <v>0</v>
      </c>
      <c r="K136">
        <v>0</v>
      </c>
      <c r="L136">
        <v>0</v>
      </c>
      <c r="P136">
        <v>1</v>
      </c>
      <c r="Q136">
        <v>0</v>
      </c>
      <c r="R136">
        <v>0</v>
      </c>
      <c r="S136">
        <v>0</v>
      </c>
      <c r="T136">
        <v>0</v>
      </c>
      <c r="U136">
        <v>0</v>
      </c>
      <c r="V136">
        <v>0</v>
      </c>
      <c r="W136">
        <v>0</v>
      </c>
      <c r="X136">
        <v>0</v>
      </c>
      <c r="Y136">
        <v>0</v>
      </c>
      <c r="Z136">
        <v>0</v>
      </c>
      <c r="AA136">
        <v>0</v>
      </c>
      <c r="AC136">
        <v>0</v>
      </c>
      <c r="AD136">
        <v>1</v>
      </c>
      <c r="AE136">
        <v>0</v>
      </c>
      <c r="AF136">
        <v>0</v>
      </c>
      <c r="AG136">
        <v>0</v>
      </c>
      <c r="AH136">
        <v>0</v>
      </c>
      <c r="AI136">
        <v>0</v>
      </c>
      <c r="AJ136">
        <v>0</v>
      </c>
      <c r="AK136">
        <v>0</v>
      </c>
      <c r="AZ136" t="s">
        <v>107</v>
      </c>
      <c r="BA136" t="s">
        <v>86</v>
      </c>
      <c r="BB136" t="s">
        <v>86</v>
      </c>
      <c r="BC136" t="s">
        <v>74</v>
      </c>
      <c r="BD136" t="s">
        <v>74</v>
      </c>
      <c r="BE136" t="s">
        <v>74</v>
      </c>
      <c r="BF136" t="s">
        <v>101</v>
      </c>
      <c r="BG136" t="s">
        <v>76</v>
      </c>
      <c r="BH136" t="s">
        <v>77</v>
      </c>
      <c r="BI136" t="s">
        <v>107</v>
      </c>
      <c r="BJ136" t="s">
        <v>114</v>
      </c>
      <c r="BK136">
        <v>1</v>
      </c>
      <c r="BL136">
        <v>0</v>
      </c>
      <c r="BM136">
        <v>0</v>
      </c>
      <c r="BN136">
        <v>0</v>
      </c>
      <c r="BO136">
        <v>0</v>
      </c>
      <c r="BP136">
        <v>0</v>
      </c>
      <c r="BQ136">
        <v>0</v>
      </c>
      <c r="BR136">
        <v>0</v>
      </c>
    </row>
    <row r="137" spans="1:70" x14ac:dyDescent="0.2">
      <c r="A137" s="1">
        <v>44588.893055555556</v>
      </c>
      <c r="B137" s="1">
        <v>44588.893750000003</v>
      </c>
      <c r="C137">
        <v>0</v>
      </c>
      <c r="D137">
        <v>1</v>
      </c>
      <c r="E137">
        <v>0</v>
      </c>
      <c r="F137">
        <v>0</v>
      </c>
      <c r="H137">
        <v>1</v>
      </c>
      <c r="I137">
        <v>0</v>
      </c>
      <c r="J137">
        <v>0</v>
      </c>
      <c r="K137">
        <v>0</v>
      </c>
      <c r="L137">
        <v>0</v>
      </c>
      <c r="P137">
        <v>1</v>
      </c>
      <c r="Q137">
        <v>0</v>
      </c>
      <c r="R137">
        <v>0</v>
      </c>
      <c r="S137">
        <v>0</v>
      </c>
      <c r="T137">
        <v>0</v>
      </c>
      <c r="U137">
        <v>0</v>
      </c>
      <c r="V137">
        <v>0</v>
      </c>
      <c r="W137">
        <v>0</v>
      </c>
      <c r="X137">
        <v>0</v>
      </c>
      <c r="Y137">
        <v>0</v>
      </c>
      <c r="Z137">
        <v>0</v>
      </c>
      <c r="AA137">
        <v>0</v>
      </c>
      <c r="AC137">
        <v>0</v>
      </c>
      <c r="AD137">
        <v>0</v>
      </c>
      <c r="AE137">
        <v>1</v>
      </c>
      <c r="AF137">
        <v>0</v>
      </c>
      <c r="AG137">
        <v>0</v>
      </c>
      <c r="AH137">
        <v>0</v>
      </c>
      <c r="AI137">
        <v>0</v>
      </c>
      <c r="AJ137">
        <v>0</v>
      </c>
      <c r="AK137">
        <v>0</v>
      </c>
      <c r="AZ137" t="s">
        <v>120</v>
      </c>
      <c r="BA137" t="s">
        <v>87</v>
      </c>
      <c r="BB137" t="s">
        <v>87</v>
      </c>
      <c r="BC137" t="s">
        <v>74</v>
      </c>
      <c r="BD137" t="s">
        <v>87</v>
      </c>
      <c r="BE137" t="s">
        <v>74</v>
      </c>
      <c r="BF137" t="s">
        <v>101</v>
      </c>
      <c r="BG137" t="s">
        <v>76</v>
      </c>
      <c r="BH137" t="s">
        <v>98</v>
      </c>
      <c r="BI137" t="s">
        <v>120</v>
      </c>
      <c r="BJ137" t="s">
        <v>102</v>
      </c>
      <c r="BK137">
        <v>0</v>
      </c>
      <c r="BL137">
        <v>0</v>
      </c>
      <c r="BM137">
        <v>0</v>
      </c>
      <c r="BN137">
        <v>0</v>
      </c>
      <c r="BO137">
        <v>0</v>
      </c>
      <c r="BP137">
        <v>1</v>
      </c>
      <c r="BQ137">
        <v>0</v>
      </c>
      <c r="BR137">
        <v>0</v>
      </c>
    </row>
    <row r="138" spans="1:70" x14ac:dyDescent="0.2">
      <c r="A138" s="1">
        <v>44585.619444444441</v>
      </c>
      <c r="B138" s="1">
        <v>44585.620138888888</v>
      </c>
      <c r="C138">
        <v>1</v>
      </c>
      <c r="D138">
        <v>0</v>
      </c>
      <c r="E138">
        <v>0</v>
      </c>
      <c r="F138">
        <v>0</v>
      </c>
      <c r="H138">
        <v>1</v>
      </c>
      <c r="I138">
        <v>0</v>
      </c>
      <c r="J138">
        <v>0</v>
      </c>
      <c r="K138">
        <v>0</v>
      </c>
      <c r="L138">
        <v>0</v>
      </c>
      <c r="P138">
        <v>1</v>
      </c>
      <c r="Q138">
        <v>0</v>
      </c>
      <c r="R138">
        <v>0</v>
      </c>
      <c r="S138">
        <v>0</v>
      </c>
      <c r="T138">
        <v>0</v>
      </c>
      <c r="U138">
        <v>0</v>
      </c>
      <c r="V138">
        <v>0</v>
      </c>
      <c r="W138">
        <v>0</v>
      </c>
      <c r="X138">
        <v>0</v>
      </c>
      <c r="Y138">
        <v>0</v>
      </c>
      <c r="Z138">
        <v>0</v>
      </c>
      <c r="AA138">
        <v>0</v>
      </c>
      <c r="AC138">
        <v>0</v>
      </c>
      <c r="AD138">
        <v>1</v>
      </c>
      <c r="AE138">
        <v>0</v>
      </c>
      <c r="AF138">
        <v>0</v>
      </c>
      <c r="AG138">
        <v>0</v>
      </c>
      <c r="AH138">
        <v>0</v>
      </c>
      <c r="AI138">
        <v>0</v>
      </c>
      <c r="AJ138">
        <v>0</v>
      </c>
      <c r="AK138">
        <v>0</v>
      </c>
      <c r="AX138" t="s">
        <v>118</v>
      </c>
      <c r="AZ138" t="s">
        <v>107</v>
      </c>
      <c r="BA138" t="s">
        <v>86</v>
      </c>
      <c r="BB138" t="s">
        <v>87</v>
      </c>
      <c r="BC138" t="s">
        <v>87</v>
      </c>
      <c r="BD138" t="s">
        <v>87</v>
      </c>
      <c r="BE138" t="s">
        <v>87</v>
      </c>
      <c r="BF138" t="s">
        <v>75</v>
      </c>
      <c r="BG138" t="s">
        <v>76</v>
      </c>
      <c r="BH138" t="s">
        <v>98</v>
      </c>
      <c r="BI138" t="s">
        <v>107</v>
      </c>
      <c r="BJ138" t="s">
        <v>165</v>
      </c>
      <c r="BK138">
        <v>0</v>
      </c>
      <c r="BL138">
        <v>0</v>
      </c>
      <c r="BM138">
        <v>0</v>
      </c>
      <c r="BN138">
        <v>0</v>
      </c>
      <c r="BO138">
        <v>0</v>
      </c>
      <c r="BP138">
        <v>1</v>
      </c>
      <c r="BQ138">
        <v>0</v>
      </c>
      <c r="BR138">
        <v>0</v>
      </c>
    </row>
    <row r="139" spans="1:70" x14ac:dyDescent="0.2">
      <c r="A139" s="1">
        <v>44580.118055555555</v>
      </c>
      <c r="B139" s="1">
        <v>44580.12222222222</v>
      </c>
      <c r="C139">
        <v>1</v>
      </c>
      <c r="D139">
        <v>0</v>
      </c>
      <c r="E139">
        <v>0</v>
      </c>
      <c r="F139">
        <v>0</v>
      </c>
      <c r="H139">
        <v>0</v>
      </c>
      <c r="I139">
        <v>1</v>
      </c>
      <c r="J139">
        <v>0</v>
      </c>
      <c r="K139">
        <v>0</v>
      </c>
      <c r="L139">
        <v>0</v>
      </c>
      <c r="N139" t="s">
        <v>135</v>
      </c>
      <c r="O139" t="s">
        <v>80</v>
      </c>
      <c r="P139">
        <v>0</v>
      </c>
      <c r="Q139">
        <v>0</v>
      </c>
      <c r="R139">
        <v>1</v>
      </c>
      <c r="S139">
        <v>0</v>
      </c>
      <c r="T139">
        <v>0</v>
      </c>
      <c r="U139">
        <v>0</v>
      </c>
      <c r="V139">
        <v>0</v>
      </c>
      <c r="W139">
        <v>0</v>
      </c>
      <c r="X139">
        <v>0</v>
      </c>
      <c r="Y139">
        <v>0</v>
      </c>
      <c r="Z139">
        <v>0</v>
      </c>
      <c r="AA139">
        <v>0</v>
      </c>
      <c r="AM139" t="s">
        <v>81</v>
      </c>
      <c r="AN139" t="s">
        <v>81</v>
      </c>
      <c r="AO139" t="s">
        <v>83</v>
      </c>
      <c r="AP139" t="s">
        <v>81</v>
      </c>
      <c r="AQ139" t="s">
        <v>82</v>
      </c>
      <c r="AR139" t="s">
        <v>81</v>
      </c>
      <c r="AS139" t="s">
        <v>81</v>
      </c>
      <c r="AT139" t="s">
        <v>83</v>
      </c>
      <c r="AU139" t="s">
        <v>135</v>
      </c>
      <c r="AV139" t="s">
        <v>80</v>
      </c>
      <c r="AW139" t="s">
        <v>117</v>
      </c>
      <c r="AX139" t="s">
        <v>126</v>
      </c>
      <c r="AZ139" t="s">
        <v>96</v>
      </c>
      <c r="BA139" t="s">
        <v>86</v>
      </c>
      <c r="BB139" t="s">
        <v>86</v>
      </c>
      <c r="BC139" t="s">
        <v>86</v>
      </c>
      <c r="BD139" t="s">
        <v>86</v>
      </c>
      <c r="BE139" t="s">
        <v>86</v>
      </c>
      <c r="BF139" t="s">
        <v>75</v>
      </c>
      <c r="BG139" t="s">
        <v>92</v>
      </c>
      <c r="BH139" t="s">
        <v>77</v>
      </c>
      <c r="BI139" t="s">
        <v>96</v>
      </c>
      <c r="BJ139" t="s">
        <v>176</v>
      </c>
      <c r="BK139">
        <v>1</v>
      </c>
      <c r="BL139">
        <v>0</v>
      </c>
      <c r="BM139">
        <v>0</v>
      </c>
      <c r="BN139">
        <v>0</v>
      </c>
      <c r="BO139">
        <v>0</v>
      </c>
      <c r="BP139">
        <v>0</v>
      </c>
      <c r="BQ139">
        <v>0</v>
      </c>
      <c r="BR139">
        <v>0</v>
      </c>
    </row>
    <row r="140" spans="1:70" x14ac:dyDescent="0.2">
      <c r="A140" s="1">
        <v>44579.95</v>
      </c>
      <c r="B140" s="1">
        <v>44579.952777777777</v>
      </c>
      <c r="C140">
        <v>0</v>
      </c>
      <c r="D140">
        <v>1</v>
      </c>
      <c r="E140">
        <v>0</v>
      </c>
      <c r="F140">
        <v>0</v>
      </c>
      <c r="H140">
        <v>1</v>
      </c>
      <c r="I140">
        <v>0</v>
      </c>
      <c r="J140">
        <v>0</v>
      </c>
      <c r="K140">
        <v>0</v>
      </c>
      <c r="L140">
        <v>0</v>
      </c>
      <c r="P140">
        <v>1</v>
      </c>
      <c r="Q140">
        <v>0</v>
      </c>
      <c r="R140">
        <v>0</v>
      </c>
      <c r="S140">
        <v>0</v>
      </c>
      <c r="T140">
        <v>0</v>
      </c>
      <c r="U140">
        <v>0</v>
      </c>
      <c r="V140">
        <v>0</v>
      </c>
      <c r="W140">
        <v>0</v>
      </c>
      <c r="X140">
        <v>0</v>
      </c>
      <c r="Y140">
        <v>0</v>
      </c>
      <c r="Z140">
        <v>0</v>
      </c>
      <c r="AA140">
        <v>0</v>
      </c>
      <c r="AC140">
        <v>0</v>
      </c>
      <c r="AD140">
        <v>0</v>
      </c>
      <c r="AE140">
        <v>0</v>
      </c>
      <c r="AF140">
        <v>0</v>
      </c>
      <c r="AG140">
        <v>0</v>
      </c>
      <c r="AH140">
        <v>0</v>
      </c>
      <c r="AI140">
        <v>0</v>
      </c>
      <c r="AJ140">
        <v>0</v>
      </c>
      <c r="AK140">
        <v>1</v>
      </c>
      <c r="AL140" t="s">
        <v>193</v>
      </c>
      <c r="AX140" t="s">
        <v>110</v>
      </c>
      <c r="AY140" t="s">
        <v>194</v>
      </c>
      <c r="AZ140" t="s">
        <v>96</v>
      </c>
      <c r="BA140" t="s">
        <v>87</v>
      </c>
      <c r="BB140" t="s">
        <v>87</v>
      </c>
      <c r="BC140" t="s">
        <v>87</v>
      </c>
      <c r="BD140" t="s">
        <v>87</v>
      </c>
      <c r="BE140" t="s">
        <v>87</v>
      </c>
      <c r="BF140" t="s">
        <v>75</v>
      </c>
      <c r="BG140" t="s">
        <v>92</v>
      </c>
      <c r="BH140" t="s">
        <v>98</v>
      </c>
      <c r="BI140" t="s">
        <v>96</v>
      </c>
      <c r="BK140">
        <v>1</v>
      </c>
      <c r="BL140">
        <v>0</v>
      </c>
      <c r="BM140">
        <v>0</v>
      </c>
      <c r="BN140">
        <v>0</v>
      </c>
      <c r="BO140">
        <v>0</v>
      </c>
      <c r="BP140">
        <v>0</v>
      </c>
      <c r="BQ140">
        <v>0</v>
      </c>
      <c r="BR140">
        <v>0</v>
      </c>
    </row>
    <row r="141" spans="1:70" x14ac:dyDescent="0.2">
      <c r="A141" s="1">
        <v>44579.90902777778</v>
      </c>
      <c r="B141" s="1">
        <v>44579.911111111112</v>
      </c>
      <c r="C141">
        <v>1</v>
      </c>
      <c r="D141">
        <v>0</v>
      </c>
      <c r="E141">
        <v>0</v>
      </c>
      <c r="F141">
        <v>0</v>
      </c>
      <c r="H141">
        <v>0</v>
      </c>
      <c r="I141">
        <v>1</v>
      </c>
      <c r="J141">
        <v>1</v>
      </c>
      <c r="K141">
        <v>0</v>
      </c>
      <c r="L141">
        <v>0</v>
      </c>
      <c r="N141" t="s">
        <v>88</v>
      </c>
      <c r="O141" t="s">
        <v>89</v>
      </c>
      <c r="P141">
        <v>0</v>
      </c>
      <c r="Q141">
        <v>0</v>
      </c>
      <c r="R141">
        <v>1</v>
      </c>
      <c r="S141">
        <v>0</v>
      </c>
      <c r="T141">
        <v>0</v>
      </c>
      <c r="U141">
        <v>0</v>
      </c>
      <c r="V141">
        <v>0</v>
      </c>
      <c r="W141">
        <v>0</v>
      </c>
      <c r="X141">
        <v>0</v>
      </c>
      <c r="Y141">
        <v>0</v>
      </c>
      <c r="Z141">
        <v>0</v>
      </c>
      <c r="AA141">
        <v>0</v>
      </c>
      <c r="AM141" t="s">
        <v>83</v>
      </c>
      <c r="AN141" t="s">
        <v>82</v>
      </c>
      <c r="AO141" t="s">
        <v>83</v>
      </c>
      <c r="AP141" t="s">
        <v>81</v>
      </c>
      <c r="AQ141" t="s">
        <v>83</v>
      </c>
      <c r="AR141" t="s">
        <v>83</v>
      </c>
      <c r="AS141" t="s">
        <v>83</v>
      </c>
      <c r="AT141" t="s">
        <v>83</v>
      </c>
      <c r="AU141" t="s">
        <v>88</v>
      </c>
      <c r="AV141" t="s">
        <v>89</v>
      </c>
      <c r="AW141" t="s">
        <v>85</v>
      </c>
      <c r="AZ141" t="s">
        <v>107</v>
      </c>
      <c r="BA141" t="s">
        <v>87</v>
      </c>
      <c r="BB141" t="s">
        <v>87</v>
      </c>
      <c r="BC141" t="s">
        <v>87</v>
      </c>
      <c r="BD141" t="s">
        <v>87</v>
      </c>
      <c r="BE141" t="s">
        <v>87</v>
      </c>
      <c r="BF141" t="s">
        <v>97</v>
      </c>
      <c r="BG141" t="s">
        <v>76</v>
      </c>
      <c r="BH141" t="s">
        <v>98</v>
      </c>
      <c r="BI141" t="s">
        <v>107</v>
      </c>
      <c r="BJ141" t="s">
        <v>109</v>
      </c>
      <c r="BK141">
        <v>0</v>
      </c>
      <c r="BL141">
        <v>0</v>
      </c>
      <c r="BM141">
        <v>0</v>
      </c>
      <c r="BN141">
        <v>0</v>
      </c>
      <c r="BO141">
        <v>0</v>
      </c>
      <c r="BP141">
        <v>1</v>
      </c>
      <c r="BQ141">
        <v>0</v>
      </c>
      <c r="BR141">
        <v>0</v>
      </c>
    </row>
    <row r="142" spans="1:70" x14ac:dyDescent="0.2">
      <c r="A142" s="1">
        <v>44586.013194444444</v>
      </c>
      <c r="B142" s="1">
        <v>44586.01458333333</v>
      </c>
      <c r="C142">
        <v>0</v>
      </c>
      <c r="D142">
        <v>1</v>
      </c>
      <c r="E142">
        <v>0</v>
      </c>
      <c r="F142">
        <v>0</v>
      </c>
      <c r="H142">
        <v>0</v>
      </c>
      <c r="I142">
        <v>0</v>
      </c>
      <c r="J142">
        <v>0</v>
      </c>
      <c r="K142">
        <v>0</v>
      </c>
      <c r="L142">
        <v>1</v>
      </c>
      <c r="M142" t="s">
        <v>195</v>
      </c>
      <c r="N142" t="s">
        <v>79</v>
      </c>
      <c r="O142" t="s">
        <v>80</v>
      </c>
      <c r="P142">
        <v>1</v>
      </c>
      <c r="Q142">
        <v>0</v>
      </c>
      <c r="R142">
        <v>0</v>
      </c>
      <c r="S142">
        <v>0</v>
      </c>
      <c r="T142">
        <v>0</v>
      </c>
      <c r="U142">
        <v>0</v>
      </c>
      <c r="V142">
        <v>0</v>
      </c>
      <c r="W142">
        <v>0</v>
      </c>
      <c r="X142">
        <v>0</v>
      </c>
      <c r="Y142">
        <v>0</v>
      </c>
      <c r="Z142">
        <v>0</v>
      </c>
      <c r="AA142">
        <v>0</v>
      </c>
      <c r="AC142">
        <v>0</v>
      </c>
      <c r="AD142">
        <v>1</v>
      </c>
      <c r="AE142">
        <v>0</v>
      </c>
      <c r="AF142">
        <v>0</v>
      </c>
      <c r="AG142">
        <v>0</v>
      </c>
      <c r="AH142">
        <v>0</v>
      </c>
      <c r="AI142">
        <v>0</v>
      </c>
      <c r="AJ142">
        <v>0</v>
      </c>
      <c r="AK142">
        <v>0</v>
      </c>
      <c r="AZ142" t="s">
        <v>73</v>
      </c>
      <c r="BA142" t="s">
        <v>74</v>
      </c>
      <c r="BF142" t="s">
        <v>97</v>
      </c>
      <c r="BG142" t="s">
        <v>76</v>
      </c>
      <c r="BH142" t="s">
        <v>98</v>
      </c>
      <c r="BI142" t="s">
        <v>73</v>
      </c>
      <c r="BJ142" t="s">
        <v>78</v>
      </c>
      <c r="BK142">
        <v>1</v>
      </c>
      <c r="BL142">
        <v>0</v>
      </c>
      <c r="BM142">
        <v>0</v>
      </c>
      <c r="BN142">
        <v>0</v>
      </c>
      <c r="BO142">
        <v>0</v>
      </c>
      <c r="BP142">
        <v>0</v>
      </c>
      <c r="BQ142">
        <v>0</v>
      </c>
      <c r="BR142">
        <v>0</v>
      </c>
    </row>
    <row r="143" spans="1:70" x14ac:dyDescent="0.2">
      <c r="A143" s="1">
        <v>44579.902777777781</v>
      </c>
      <c r="B143" s="1">
        <v>44579.905555555553</v>
      </c>
      <c r="C143">
        <v>1</v>
      </c>
      <c r="D143">
        <v>0</v>
      </c>
      <c r="E143">
        <v>0</v>
      </c>
      <c r="F143">
        <v>0</v>
      </c>
      <c r="H143">
        <v>1</v>
      </c>
      <c r="I143">
        <v>0</v>
      </c>
      <c r="J143">
        <v>0</v>
      </c>
      <c r="K143">
        <v>0</v>
      </c>
      <c r="L143">
        <v>0</v>
      </c>
      <c r="P143">
        <v>0</v>
      </c>
      <c r="Q143">
        <v>1</v>
      </c>
      <c r="R143">
        <v>1</v>
      </c>
      <c r="S143">
        <v>0</v>
      </c>
      <c r="T143">
        <v>0</v>
      </c>
      <c r="U143">
        <v>0</v>
      </c>
      <c r="V143">
        <v>0</v>
      </c>
      <c r="W143">
        <v>0</v>
      </c>
      <c r="X143">
        <v>0</v>
      </c>
      <c r="Y143">
        <v>0</v>
      </c>
      <c r="Z143">
        <v>0</v>
      </c>
      <c r="AA143">
        <v>0</v>
      </c>
      <c r="AM143" t="s">
        <v>81</v>
      </c>
      <c r="AN143" t="s">
        <v>83</v>
      </c>
      <c r="AO143" t="s">
        <v>83</v>
      </c>
      <c r="AP143" t="s">
        <v>83</v>
      </c>
      <c r="AQ143" t="s">
        <v>82</v>
      </c>
      <c r="AR143" t="s">
        <v>83</v>
      </c>
      <c r="AS143" t="s">
        <v>83</v>
      </c>
      <c r="AT143" t="s">
        <v>83</v>
      </c>
      <c r="AU143" t="s">
        <v>84</v>
      </c>
      <c r="AV143" t="s">
        <v>80</v>
      </c>
      <c r="AW143" t="s">
        <v>85</v>
      </c>
      <c r="AZ143" t="s">
        <v>107</v>
      </c>
      <c r="BA143" t="s">
        <v>87</v>
      </c>
      <c r="BB143" t="s">
        <v>87</v>
      </c>
      <c r="BC143" t="s">
        <v>87</v>
      </c>
      <c r="BD143" t="s">
        <v>87</v>
      </c>
      <c r="BE143" t="s">
        <v>87</v>
      </c>
      <c r="BF143" t="s">
        <v>101</v>
      </c>
      <c r="BG143" t="s">
        <v>76</v>
      </c>
      <c r="BH143" t="s">
        <v>98</v>
      </c>
      <c r="BI143" t="s">
        <v>107</v>
      </c>
      <c r="BJ143" t="s">
        <v>78</v>
      </c>
      <c r="BK143">
        <v>0</v>
      </c>
      <c r="BL143">
        <v>0</v>
      </c>
      <c r="BM143">
        <v>0</v>
      </c>
      <c r="BN143">
        <v>0</v>
      </c>
      <c r="BO143">
        <v>0</v>
      </c>
      <c r="BP143">
        <v>1</v>
      </c>
      <c r="BQ143">
        <v>0</v>
      </c>
      <c r="BR143">
        <v>0</v>
      </c>
    </row>
    <row r="144" spans="1:70" x14ac:dyDescent="0.2">
      <c r="A144" s="1">
        <v>44589.024305555555</v>
      </c>
      <c r="B144" s="1">
        <v>44589.026388888888</v>
      </c>
      <c r="C144">
        <v>1</v>
      </c>
      <c r="D144">
        <v>0</v>
      </c>
      <c r="E144">
        <v>0</v>
      </c>
      <c r="F144">
        <v>0</v>
      </c>
      <c r="H144">
        <v>0</v>
      </c>
      <c r="I144">
        <v>1</v>
      </c>
      <c r="J144">
        <v>1</v>
      </c>
      <c r="K144">
        <v>0</v>
      </c>
      <c r="L144">
        <v>0</v>
      </c>
      <c r="N144" t="s">
        <v>79</v>
      </c>
      <c r="O144" t="s">
        <v>80</v>
      </c>
      <c r="P144">
        <v>0</v>
      </c>
      <c r="Q144">
        <v>0</v>
      </c>
      <c r="R144">
        <v>1</v>
      </c>
      <c r="S144">
        <v>0</v>
      </c>
      <c r="T144">
        <v>0</v>
      </c>
      <c r="U144">
        <v>0</v>
      </c>
      <c r="V144">
        <v>0</v>
      </c>
      <c r="W144">
        <v>0</v>
      </c>
      <c r="X144">
        <v>0</v>
      </c>
      <c r="Y144">
        <v>0</v>
      </c>
      <c r="Z144">
        <v>0</v>
      </c>
      <c r="AA144">
        <v>0</v>
      </c>
      <c r="AM144" t="s">
        <v>83</v>
      </c>
      <c r="AN144" t="s">
        <v>82</v>
      </c>
      <c r="AO144" t="s">
        <v>83</v>
      </c>
      <c r="AP144" t="s">
        <v>82</v>
      </c>
      <c r="AQ144" t="s">
        <v>81</v>
      </c>
      <c r="AR144" t="s">
        <v>83</v>
      </c>
      <c r="AS144" t="s">
        <v>81</v>
      </c>
      <c r="AT144" t="s">
        <v>83</v>
      </c>
      <c r="AU144" t="s">
        <v>88</v>
      </c>
      <c r="AV144" t="s">
        <v>89</v>
      </c>
      <c r="AW144" t="s">
        <v>85</v>
      </c>
      <c r="AZ144" t="s">
        <v>107</v>
      </c>
      <c r="BA144" t="s">
        <v>87</v>
      </c>
      <c r="BB144" t="s">
        <v>87</v>
      </c>
      <c r="BC144" t="s">
        <v>87</v>
      </c>
      <c r="BD144" t="s">
        <v>86</v>
      </c>
      <c r="BE144" t="s">
        <v>87</v>
      </c>
      <c r="BF144" t="s">
        <v>159</v>
      </c>
      <c r="BG144" t="s">
        <v>76</v>
      </c>
      <c r="BH144" t="s">
        <v>77</v>
      </c>
      <c r="BI144" t="s">
        <v>107</v>
      </c>
      <c r="BJ144" t="s">
        <v>78</v>
      </c>
      <c r="BK144">
        <v>0</v>
      </c>
      <c r="BL144">
        <v>0</v>
      </c>
      <c r="BM144">
        <v>0</v>
      </c>
      <c r="BN144">
        <v>0</v>
      </c>
      <c r="BO144">
        <v>0</v>
      </c>
      <c r="BP144">
        <v>1</v>
      </c>
      <c r="BQ144">
        <v>0</v>
      </c>
      <c r="BR144">
        <v>0</v>
      </c>
    </row>
    <row r="145" spans="1:72" x14ac:dyDescent="0.2">
      <c r="A145" s="1">
        <v>44579.897916666669</v>
      </c>
      <c r="B145" s="1">
        <v>44579.911805555559</v>
      </c>
      <c r="C145">
        <v>1</v>
      </c>
      <c r="D145">
        <v>0</v>
      </c>
      <c r="E145">
        <v>0</v>
      </c>
      <c r="F145">
        <v>0</v>
      </c>
      <c r="H145">
        <v>0</v>
      </c>
      <c r="I145">
        <v>1</v>
      </c>
      <c r="J145">
        <v>0</v>
      </c>
      <c r="K145">
        <v>0</v>
      </c>
      <c r="L145">
        <v>0</v>
      </c>
      <c r="N145" t="s">
        <v>88</v>
      </c>
      <c r="O145" t="s">
        <v>89</v>
      </c>
      <c r="P145">
        <v>0</v>
      </c>
      <c r="Q145">
        <v>0</v>
      </c>
      <c r="R145">
        <v>1</v>
      </c>
      <c r="S145">
        <v>0</v>
      </c>
      <c r="T145">
        <v>0</v>
      </c>
      <c r="U145">
        <v>0</v>
      </c>
      <c r="V145">
        <v>0</v>
      </c>
      <c r="W145">
        <v>0</v>
      </c>
      <c r="X145">
        <v>0</v>
      </c>
      <c r="Y145">
        <v>0</v>
      </c>
      <c r="Z145">
        <v>0</v>
      </c>
      <c r="AA145">
        <v>0</v>
      </c>
      <c r="AM145" t="s">
        <v>81</v>
      </c>
      <c r="AN145" t="s">
        <v>82</v>
      </c>
      <c r="AO145" t="s">
        <v>81</v>
      </c>
      <c r="AP145" t="s">
        <v>82</v>
      </c>
      <c r="AQ145" t="s">
        <v>81</v>
      </c>
      <c r="AR145" t="s">
        <v>83</v>
      </c>
      <c r="AS145" t="s">
        <v>83</v>
      </c>
      <c r="AT145" t="s">
        <v>83</v>
      </c>
      <c r="AU145" t="s">
        <v>88</v>
      </c>
      <c r="AV145" t="s">
        <v>89</v>
      </c>
      <c r="AW145" t="s">
        <v>85</v>
      </c>
      <c r="AZ145" t="s">
        <v>73</v>
      </c>
      <c r="BA145" t="s">
        <v>74</v>
      </c>
      <c r="BF145" t="s">
        <v>97</v>
      </c>
      <c r="BG145" t="s">
        <v>76</v>
      </c>
      <c r="BH145" t="s">
        <v>98</v>
      </c>
      <c r="BI145" t="s">
        <v>73</v>
      </c>
      <c r="BJ145" t="s">
        <v>129</v>
      </c>
      <c r="BK145">
        <v>0</v>
      </c>
      <c r="BL145">
        <v>0</v>
      </c>
      <c r="BM145">
        <v>0</v>
      </c>
      <c r="BN145">
        <v>0</v>
      </c>
      <c r="BO145">
        <v>0</v>
      </c>
      <c r="BP145">
        <v>1</v>
      </c>
      <c r="BQ145">
        <v>0</v>
      </c>
      <c r="BR145">
        <v>0</v>
      </c>
    </row>
    <row r="146" spans="1:72" x14ac:dyDescent="0.2">
      <c r="A146" s="1">
        <v>44588.897916666669</v>
      </c>
      <c r="B146" s="1">
        <v>44589.0625</v>
      </c>
      <c r="C146">
        <v>0</v>
      </c>
      <c r="D146">
        <v>0</v>
      </c>
      <c r="E146">
        <v>1</v>
      </c>
      <c r="F146">
        <v>0</v>
      </c>
      <c r="G146" t="s">
        <v>196</v>
      </c>
      <c r="H146">
        <v>1</v>
      </c>
      <c r="I146">
        <v>0</v>
      </c>
      <c r="J146">
        <v>0</v>
      </c>
      <c r="K146">
        <v>0</v>
      </c>
      <c r="L146">
        <v>0</v>
      </c>
      <c r="P146">
        <v>1</v>
      </c>
      <c r="Q146">
        <v>0</v>
      </c>
      <c r="R146">
        <v>0</v>
      </c>
      <c r="S146">
        <v>0</v>
      </c>
      <c r="T146">
        <v>0</v>
      </c>
      <c r="U146">
        <v>0</v>
      </c>
      <c r="V146">
        <v>0</v>
      </c>
      <c r="W146">
        <v>0</v>
      </c>
      <c r="X146">
        <v>0</v>
      </c>
      <c r="Y146">
        <v>0</v>
      </c>
      <c r="Z146">
        <v>0</v>
      </c>
      <c r="AA146">
        <v>0</v>
      </c>
      <c r="AC146">
        <v>0</v>
      </c>
      <c r="AD146">
        <v>0</v>
      </c>
      <c r="AE146">
        <v>1</v>
      </c>
      <c r="AF146">
        <v>1</v>
      </c>
      <c r="AG146">
        <v>0</v>
      </c>
      <c r="AH146">
        <v>0</v>
      </c>
      <c r="AI146">
        <v>0</v>
      </c>
      <c r="AJ146">
        <v>0</v>
      </c>
      <c r="AK146">
        <v>1</v>
      </c>
      <c r="AL146" t="s">
        <v>197</v>
      </c>
      <c r="AZ146" t="s">
        <v>107</v>
      </c>
      <c r="BA146" t="s">
        <v>87</v>
      </c>
      <c r="BB146" t="s">
        <v>87</v>
      </c>
      <c r="BC146" t="s">
        <v>74</v>
      </c>
      <c r="BD146" t="s">
        <v>87</v>
      </c>
      <c r="BE146" t="s">
        <v>74</v>
      </c>
      <c r="BF146" t="s">
        <v>101</v>
      </c>
      <c r="BG146" t="s">
        <v>76</v>
      </c>
      <c r="BH146" t="s">
        <v>98</v>
      </c>
      <c r="BI146" t="s">
        <v>107</v>
      </c>
      <c r="BJ146" t="s">
        <v>109</v>
      </c>
      <c r="BK146">
        <v>1</v>
      </c>
      <c r="BL146">
        <v>0</v>
      </c>
      <c r="BM146">
        <v>0</v>
      </c>
      <c r="BN146">
        <v>0</v>
      </c>
      <c r="BO146">
        <v>0</v>
      </c>
      <c r="BP146">
        <v>0</v>
      </c>
      <c r="BQ146">
        <v>0</v>
      </c>
      <c r="BR146">
        <v>0</v>
      </c>
    </row>
    <row r="147" spans="1:72" x14ac:dyDescent="0.2">
      <c r="A147" s="1">
        <v>44580.651388888888</v>
      </c>
      <c r="B147" s="1">
        <v>44580.652777777781</v>
      </c>
      <c r="C147">
        <v>1</v>
      </c>
      <c r="D147">
        <v>0</v>
      </c>
      <c r="E147">
        <v>0</v>
      </c>
      <c r="F147">
        <v>0</v>
      </c>
      <c r="H147">
        <v>0</v>
      </c>
      <c r="I147">
        <v>1</v>
      </c>
      <c r="J147">
        <v>0</v>
      </c>
      <c r="K147">
        <v>0</v>
      </c>
      <c r="L147">
        <v>0</v>
      </c>
      <c r="N147" t="s">
        <v>135</v>
      </c>
      <c r="O147" t="s">
        <v>80</v>
      </c>
      <c r="P147">
        <v>0</v>
      </c>
      <c r="Q147">
        <v>0</v>
      </c>
      <c r="R147">
        <v>0</v>
      </c>
      <c r="S147">
        <v>0</v>
      </c>
      <c r="T147">
        <v>0</v>
      </c>
      <c r="U147">
        <v>1</v>
      </c>
      <c r="V147">
        <v>0</v>
      </c>
      <c r="W147">
        <v>0</v>
      </c>
      <c r="X147">
        <v>0</v>
      </c>
      <c r="Y147">
        <v>0</v>
      </c>
      <c r="Z147">
        <v>0</v>
      </c>
      <c r="AA147">
        <v>0</v>
      </c>
      <c r="AM147" t="s">
        <v>83</v>
      </c>
      <c r="AN147" t="s">
        <v>82</v>
      </c>
      <c r="AO147" t="s">
        <v>83</v>
      </c>
      <c r="AP147" t="s">
        <v>82</v>
      </c>
      <c r="AQ147" t="s">
        <v>83</v>
      </c>
      <c r="AR147" t="s">
        <v>83</v>
      </c>
      <c r="AS147" t="s">
        <v>83</v>
      </c>
      <c r="AT147" t="s">
        <v>83</v>
      </c>
      <c r="AU147" t="s">
        <v>135</v>
      </c>
      <c r="AV147" t="s">
        <v>80</v>
      </c>
      <c r="AW147" t="s">
        <v>153</v>
      </c>
      <c r="AZ147" t="s">
        <v>73</v>
      </c>
      <c r="BA147" t="s">
        <v>86</v>
      </c>
      <c r="BB147" t="s">
        <v>74</v>
      </c>
      <c r="BC147" t="s">
        <v>87</v>
      </c>
      <c r="BD147" t="s">
        <v>86</v>
      </c>
      <c r="BE147" t="s">
        <v>86</v>
      </c>
      <c r="BF147" t="s">
        <v>97</v>
      </c>
      <c r="BG147" t="s">
        <v>76</v>
      </c>
      <c r="BH147" t="s">
        <v>98</v>
      </c>
      <c r="BI147" t="s">
        <v>73</v>
      </c>
      <c r="BJ147" t="s">
        <v>176</v>
      </c>
      <c r="BK147">
        <v>0</v>
      </c>
      <c r="BL147">
        <v>0</v>
      </c>
      <c r="BM147">
        <v>0</v>
      </c>
      <c r="BN147">
        <v>0</v>
      </c>
      <c r="BO147">
        <v>0</v>
      </c>
      <c r="BP147">
        <v>1</v>
      </c>
      <c r="BQ147">
        <v>0</v>
      </c>
      <c r="BR147">
        <v>0</v>
      </c>
    </row>
    <row r="148" spans="1:72" x14ac:dyDescent="0.2">
      <c r="A148" s="1">
        <v>44579.866666666669</v>
      </c>
      <c r="B148" s="1">
        <v>44579.870833333334</v>
      </c>
      <c r="C148">
        <v>1</v>
      </c>
      <c r="D148">
        <v>0</v>
      </c>
      <c r="E148">
        <v>0</v>
      </c>
      <c r="F148">
        <v>0</v>
      </c>
      <c r="H148">
        <v>1</v>
      </c>
      <c r="I148">
        <v>0</v>
      </c>
      <c r="J148">
        <v>0</v>
      </c>
      <c r="K148">
        <v>0</v>
      </c>
      <c r="L148">
        <v>0</v>
      </c>
      <c r="P148">
        <v>0</v>
      </c>
      <c r="Q148">
        <v>0</v>
      </c>
      <c r="R148">
        <v>1</v>
      </c>
      <c r="S148">
        <v>0</v>
      </c>
      <c r="T148">
        <v>0</v>
      </c>
      <c r="U148">
        <v>0</v>
      </c>
      <c r="V148">
        <v>0</v>
      </c>
      <c r="W148">
        <v>0</v>
      </c>
      <c r="X148">
        <v>0</v>
      </c>
      <c r="Y148">
        <v>0</v>
      </c>
      <c r="Z148">
        <v>0</v>
      </c>
      <c r="AA148">
        <v>0</v>
      </c>
      <c r="AM148" t="s">
        <v>83</v>
      </c>
      <c r="AN148" t="s">
        <v>82</v>
      </c>
      <c r="AO148" t="s">
        <v>83</v>
      </c>
      <c r="AP148" t="s">
        <v>81</v>
      </c>
      <c r="AQ148" t="s">
        <v>81</v>
      </c>
      <c r="AR148" t="s">
        <v>81</v>
      </c>
      <c r="AS148" t="s">
        <v>83</v>
      </c>
      <c r="AT148" t="s">
        <v>83</v>
      </c>
      <c r="AU148" t="s">
        <v>88</v>
      </c>
      <c r="AV148" t="s">
        <v>89</v>
      </c>
      <c r="AW148" t="s">
        <v>85</v>
      </c>
      <c r="AZ148" t="s">
        <v>107</v>
      </c>
      <c r="BA148" t="s">
        <v>87</v>
      </c>
      <c r="BB148" t="s">
        <v>74</v>
      </c>
      <c r="BC148" t="s">
        <v>87</v>
      </c>
      <c r="BD148" t="s">
        <v>74</v>
      </c>
      <c r="BE148" t="s">
        <v>74</v>
      </c>
      <c r="BF148" t="s">
        <v>97</v>
      </c>
      <c r="BG148" t="s">
        <v>76</v>
      </c>
      <c r="BH148" t="s">
        <v>98</v>
      </c>
      <c r="BI148" t="s">
        <v>107</v>
      </c>
      <c r="BJ148" t="s">
        <v>78</v>
      </c>
      <c r="BK148">
        <v>0</v>
      </c>
      <c r="BL148">
        <v>0</v>
      </c>
      <c r="BM148">
        <v>0</v>
      </c>
      <c r="BN148">
        <v>0</v>
      </c>
      <c r="BO148">
        <v>0</v>
      </c>
      <c r="BP148">
        <v>1</v>
      </c>
      <c r="BQ148">
        <v>0</v>
      </c>
      <c r="BR148">
        <v>0</v>
      </c>
    </row>
    <row r="149" spans="1:72" x14ac:dyDescent="0.2">
      <c r="A149" s="1">
        <v>44588.909722222219</v>
      </c>
      <c r="B149" s="1">
        <v>44588.911111111112</v>
      </c>
      <c r="C149">
        <v>1</v>
      </c>
      <c r="D149">
        <v>0</v>
      </c>
      <c r="E149">
        <v>0</v>
      </c>
      <c r="F149">
        <v>0</v>
      </c>
      <c r="H149">
        <v>1</v>
      </c>
      <c r="I149">
        <v>0</v>
      </c>
      <c r="J149">
        <v>0</v>
      </c>
      <c r="K149">
        <v>0</v>
      </c>
      <c r="L149">
        <v>0</v>
      </c>
      <c r="P149">
        <v>0</v>
      </c>
      <c r="Q149">
        <v>0</v>
      </c>
      <c r="R149">
        <v>1</v>
      </c>
      <c r="S149">
        <v>0</v>
      </c>
      <c r="T149">
        <v>0</v>
      </c>
      <c r="U149">
        <v>0</v>
      </c>
      <c r="V149">
        <v>0</v>
      </c>
      <c r="W149">
        <v>0</v>
      </c>
      <c r="X149">
        <v>0</v>
      </c>
      <c r="Y149">
        <v>0</v>
      </c>
      <c r="Z149">
        <v>0</v>
      </c>
      <c r="AA149">
        <v>0</v>
      </c>
      <c r="AM149" t="s">
        <v>81</v>
      </c>
      <c r="AN149" t="s">
        <v>83</v>
      </c>
      <c r="AO149" t="s">
        <v>83</v>
      </c>
      <c r="AP149" t="s">
        <v>83</v>
      </c>
      <c r="AQ149" t="s">
        <v>82</v>
      </c>
      <c r="AR149" t="s">
        <v>81</v>
      </c>
      <c r="AS149" t="s">
        <v>83</v>
      </c>
      <c r="AT149" t="s">
        <v>81</v>
      </c>
      <c r="AU149" t="s">
        <v>88</v>
      </c>
      <c r="AV149" t="s">
        <v>89</v>
      </c>
      <c r="AW149" t="s">
        <v>85</v>
      </c>
      <c r="AZ149" t="s">
        <v>107</v>
      </c>
      <c r="BA149" t="s">
        <v>87</v>
      </c>
      <c r="BB149" t="s">
        <v>87</v>
      </c>
      <c r="BC149" t="s">
        <v>87</v>
      </c>
      <c r="BD149" t="s">
        <v>87</v>
      </c>
      <c r="BE149" t="s">
        <v>87</v>
      </c>
      <c r="BF149" t="s">
        <v>159</v>
      </c>
      <c r="BG149" t="s">
        <v>76</v>
      </c>
      <c r="BH149" t="s">
        <v>77</v>
      </c>
      <c r="BI149" t="s">
        <v>107</v>
      </c>
      <c r="BJ149" t="s">
        <v>78</v>
      </c>
      <c r="BK149">
        <v>0</v>
      </c>
      <c r="BL149">
        <v>0</v>
      </c>
      <c r="BM149">
        <v>0</v>
      </c>
      <c r="BN149">
        <v>0</v>
      </c>
      <c r="BO149">
        <v>0</v>
      </c>
      <c r="BP149">
        <v>1</v>
      </c>
      <c r="BQ149">
        <v>0</v>
      </c>
      <c r="BR149">
        <v>0</v>
      </c>
    </row>
    <row r="150" spans="1:72" x14ac:dyDescent="0.2">
      <c r="A150" s="1">
        <v>44580.970138888886</v>
      </c>
      <c r="B150" s="1">
        <v>44580.97152777778</v>
      </c>
      <c r="C150">
        <v>0</v>
      </c>
      <c r="D150">
        <v>1</v>
      </c>
      <c r="E150">
        <v>0</v>
      </c>
      <c r="F150">
        <v>0</v>
      </c>
      <c r="H150">
        <v>1</v>
      </c>
      <c r="I150">
        <v>0</v>
      </c>
      <c r="J150">
        <v>0</v>
      </c>
      <c r="K150">
        <v>0</v>
      </c>
      <c r="L150">
        <v>0</v>
      </c>
      <c r="P150">
        <v>1</v>
      </c>
      <c r="Q150">
        <v>0</v>
      </c>
      <c r="R150">
        <v>0</v>
      </c>
      <c r="S150">
        <v>0</v>
      </c>
      <c r="T150">
        <v>0</v>
      </c>
      <c r="U150">
        <v>0</v>
      </c>
      <c r="V150">
        <v>0</v>
      </c>
      <c r="W150">
        <v>0</v>
      </c>
      <c r="X150">
        <v>0</v>
      </c>
      <c r="Y150">
        <v>0</v>
      </c>
      <c r="Z150">
        <v>0</v>
      </c>
      <c r="AA150">
        <v>0</v>
      </c>
      <c r="AC150">
        <v>1</v>
      </c>
      <c r="AD150">
        <v>0</v>
      </c>
      <c r="AE150">
        <v>0</v>
      </c>
      <c r="AF150">
        <v>0</v>
      </c>
      <c r="AG150">
        <v>0</v>
      </c>
      <c r="AH150">
        <v>0</v>
      </c>
      <c r="AI150">
        <v>0</v>
      </c>
      <c r="AJ150">
        <v>0</v>
      </c>
      <c r="AK150">
        <v>0</v>
      </c>
      <c r="AZ150" t="s">
        <v>107</v>
      </c>
      <c r="BA150" t="s">
        <v>86</v>
      </c>
      <c r="BB150" t="s">
        <v>86</v>
      </c>
      <c r="BC150" t="s">
        <v>86</v>
      </c>
      <c r="BD150" t="s">
        <v>86</v>
      </c>
      <c r="BE150" t="s">
        <v>87</v>
      </c>
      <c r="BF150" t="s">
        <v>97</v>
      </c>
      <c r="BG150" t="s">
        <v>76</v>
      </c>
      <c r="BH150" t="s">
        <v>98</v>
      </c>
      <c r="BI150" t="s">
        <v>107</v>
      </c>
      <c r="BJ150" t="s">
        <v>114</v>
      </c>
      <c r="BK150">
        <v>1</v>
      </c>
      <c r="BL150">
        <v>0</v>
      </c>
      <c r="BM150">
        <v>0</v>
      </c>
      <c r="BN150">
        <v>0</v>
      </c>
      <c r="BO150">
        <v>0</v>
      </c>
      <c r="BP150">
        <v>0</v>
      </c>
      <c r="BQ150">
        <v>0</v>
      </c>
      <c r="BR150">
        <v>0</v>
      </c>
    </row>
    <row r="151" spans="1:72" x14ac:dyDescent="0.2">
      <c r="A151" s="1">
        <v>44579.969444444447</v>
      </c>
      <c r="B151" s="1">
        <v>44579.973611111112</v>
      </c>
      <c r="C151">
        <v>0</v>
      </c>
      <c r="D151">
        <v>1</v>
      </c>
      <c r="E151">
        <v>0</v>
      </c>
      <c r="F151">
        <v>0</v>
      </c>
      <c r="H151">
        <v>0</v>
      </c>
      <c r="I151">
        <v>1</v>
      </c>
      <c r="J151">
        <v>0</v>
      </c>
      <c r="K151">
        <v>1</v>
      </c>
      <c r="L151">
        <v>0</v>
      </c>
      <c r="N151" t="s">
        <v>79</v>
      </c>
      <c r="O151" t="s">
        <v>80</v>
      </c>
      <c r="P151">
        <v>0</v>
      </c>
      <c r="Q151">
        <v>1</v>
      </c>
      <c r="R151">
        <v>0</v>
      </c>
      <c r="S151">
        <v>0</v>
      </c>
      <c r="T151">
        <v>0</v>
      </c>
      <c r="U151">
        <v>0</v>
      </c>
      <c r="V151">
        <v>0</v>
      </c>
      <c r="W151">
        <v>0</v>
      </c>
      <c r="X151">
        <v>0</v>
      </c>
      <c r="Y151">
        <v>0</v>
      </c>
      <c r="Z151">
        <v>0</v>
      </c>
      <c r="AA151">
        <v>0</v>
      </c>
      <c r="AM151" t="s">
        <v>82</v>
      </c>
      <c r="AN151" t="s">
        <v>81</v>
      </c>
      <c r="AO151" t="s">
        <v>81</v>
      </c>
      <c r="AP151" t="s">
        <v>81</v>
      </c>
      <c r="AQ151" t="s">
        <v>82</v>
      </c>
      <c r="AR151" t="s">
        <v>83</v>
      </c>
      <c r="AS151" t="s">
        <v>83</v>
      </c>
      <c r="AT151" t="s">
        <v>81</v>
      </c>
      <c r="AU151" t="s">
        <v>84</v>
      </c>
      <c r="AV151" t="s">
        <v>80</v>
      </c>
      <c r="AW151" t="s">
        <v>85</v>
      </c>
      <c r="AX151" t="s">
        <v>122</v>
      </c>
      <c r="AZ151" t="s">
        <v>73</v>
      </c>
      <c r="BA151" t="s">
        <v>87</v>
      </c>
      <c r="BB151" t="s">
        <v>87</v>
      </c>
      <c r="BC151" t="s">
        <v>87</v>
      </c>
      <c r="BD151" t="s">
        <v>87</v>
      </c>
      <c r="BE151" t="s">
        <v>87</v>
      </c>
      <c r="BF151" t="s">
        <v>75</v>
      </c>
      <c r="BG151" t="s">
        <v>76</v>
      </c>
      <c r="BH151" t="s">
        <v>77</v>
      </c>
      <c r="BI151" t="s">
        <v>73</v>
      </c>
      <c r="BJ151" t="s">
        <v>78</v>
      </c>
      <c r="BK151">
        <v>1</v>
      </c>
      <c r="BL151">
        <v>0</v>
      </c>
      <c r="BM151">
        <v>0</v>
      </c>
      <c r="BN151">
        <v>0</v>
      </c>
      <c r="BO151">
        <v>0</v>
      </c>
      <c r="BP151">
        <v>0</v>
      </c>
      <c r="BQ151">
        <v>0</v>
      </c>
      <c r="BR151">
        <v>0</v>
      </c>
    </row>
    <row r="152" spans="1:72" x14ac:dyDescent="0.2">
      <c r="A152" s="1">
        <v>44589.619444444441</v>
      </c>
      <c r="B152" s="1">
        <v>44589.621527777781</v>
      </c>
      <c r="C152">
        <v>1</v>
      </c>
      <c r="D152">
        <v>0</v>
      </c>
      <c r="E152">
        <v>0</v>
      </c>
      <c r="F152">
        <v>0</v>
      </c>
      <c r="H152">
        <v>1</v>
      </c>
      <c r="I152">
        <v>0</v>
      </c>
      <c r="J152">
        <v>0</v>
      </c>
      <c r="K152">
        <v>0</v>
      </c>
      <c r="L152">
        <v>0</v>
      </c>
      <c r="P152">
        <v>0</v>
      </c>
      <c r="Q152">
        <v>1</v>
      </c>
      <c r="R152">
        <v>0</v>
      </c>
      <c r="S152">
        <v>0</v>
      </c>
      <c r="T152">
        <v>0</v>
      </c>
      <c r="U152">
        <v>0</v>
      </c>
      <c r="V152">
        <v>0</v>
      </c>
      <c r="W152">
        <v>0</v>
      </c>
      <c r="X152">
        <v>0</v>
      </c>
      <c r="Y152">
        <v>0</v>
      </c>
      <c r="Z152">
        <v>0</v>
      </c>
      <c r="AA152">
        <v>0</v>
      </c>
      <c r="AM152" t="s">
        <v>83</v>
      </c>
      <c r="AN152" t="s">
        <v>82</v>
      </c>
      <c r="AO152" t="s">
        <v>83</v>
      </c>
      <c r="AP152" t="s">
        <v>82</v>
      </c>
      <c r="AQ152" t="s">
        <v>83</v>
      </c>
      <c r="AR152" t="s">
        <v>83</v>
      </c>
      <c r="AS152" t="s">
        <v>83</v>
      </c>
      <c r="AT152" t="s">
        <v>83</v>
      </c>
      <c r="AU152" t="s">
        <v>88</v>
      </c>
      <c r="AV152" t="s">
        <v>89</v>
      </c>
      <c r="AW152" t="s">
        <v>85</v>
      </c>
      <c r="AZ152" t="s">
        <v>107</v>
      </c>
      <c r="BA152" t="s">
        <v>87</v>
      </c>
      <c r="BB152" t="s">
        <v>86</v>
      </c>
      <c r="BC152" t="s">
        <v>87</v>
      </c>
      <c r="BD152" t="s">
        <v>74</v>
      </c>
      <c r="BE152" t="s">
        <v>87</v>
      </c>
      <c r="BF152" t="s">
        <v>97</v>
      </c>
      <c r="BG152" t="s">
        <v>76</v>
      </c>
      <c r="BH152" t="s">
        <v>98</v>
      </c>
      <c r="BI152" t="s">
        <v>107</v>
      </c>
      <c r="BJ152" t="s">
        <v>109</v>
      </c>
      <c r="BK152">
        <v>0</v>
      </c>
      <c r="BL152">
        <v>0</v>
      </c>
      <c r="BM152">
        <v>0</v>
      </c>
      <c r="BN152">
        <v>0</v>
      </c>
      <c r="BO152">
        <v>0</v>
      </c>
      <c r="BP152">
        <v>1</v>
      </c>
      <c r="BQ152">
        <v>0</v>
      </c>
      <c r="BR152">
        <v>0</v>
      </c>
    </row>
    <row r="153" spans="1:72" x14ac:dyDescent="0.2">
      <c r="A153" s="1">
        <v>44585.816666666666</v>
      </c>
      <c r="B153" s="1">
        <v>44585.818749999999</v>
      </c>
      <c r="C153">
        <v>0</v>
      </c>
      <c r="D153">
        <v>1</v>
      </c>
      <c r="E153">
        <v>0</v>
      </c>
      <c r="F153">
        <v>0</v>
      </c>
      <c r="H153">
        <v>1</v>
      </c>
      <c r="I153">
        <v>0</v>
      </c>
      <c r="J153">
        <v>0</v>
      </c>
      <c r="K153">
        <v>0</v>
      </c>
      <c r="L153">
        <v>0</v>
      </c>
      <c r="P153">
        <v>0</v>
      </c>
      <c r="Q153">
        <v>0</v>
      </c>
      <c r="R153">
        <v>0</v>
      </c>
      <c r="S153">
        <v>0</v>
      </c>
      <c r="T153">
        <v>1</v>
      </c>
      <c r="U153">
        <v>0</v>
      </c>
      <c r="V153">
        <v>0</v>
      </c>
      <c r="W153">
        <v>0</v>
      </c>
      <c r="X153">
        <v>0</v>
      </c>
      <c r="Y153">
        <v>0</v>
      </c>
      <c r="Z153">
        <v>0</v>
      </c>
      <c r="AA153">
        <v>0</v>
      </c>
      <c r="AM153" t="s">
        <v>83</v>
      </c>
      <c r="AN153" t="s">
        <v>83</v>
      </c>
      <c r="AO153" t="s">
        <v>83</v>
      </c>
      <c r="AP153" t="s">
        <v>83</v>
      </c>
      <c r="AQ153" t="s">
        <v>81</v>
      </c>
      <c r="AR153" t="s">
        <v>83</v>
      </c>
      <c r="AS153" t="s">
        <v>83</v>
      </c>
      <c r="AT153" t="s">
        <v>83</v>
      </c>
      <c r="AU153" t="s">
        <v>127</v>
      </c>
      <c r="AV153" t="s">
        <v>127</v>
      </c>
      <c r="AZ153" t="s">
        <v>96</v>
      </c>
      <c r="BA153" t="s">
        <v>74</v>
      </c>
      <c r="BF153" t="s">
        <v>159</v>
      </c>
      <c r="BG153" t="s">
        <v>76</v>
      </c>
      <c r="BH153" t="s">
        <v>77</v>
      </c>
      <c r="BI153" t="s">
        <v>96</v>
      </c>
      <c r="BJ153" t="s">
        <v>78</v>
      </c>
      <c r="BK153">
        <v>1</v>
      </c>
      <c r="BL153">
        <v>0</v>
      </c>
      <c r="BM153">
        <v>0</v>
      </c>
      <c r="BN153">
        <v>0</v>
      </c>
      <c r="BO153">
        <v>0</v>
      </c>
      <c r="BP153">
        <v>0</v>
      </c>
      <c r="BQ153">
        <v>0</v>
      </c>
      <c r="BR153">
        <v>0</v>
      </c>
    </row>
    <row r="154" spans="1:72" x14ac:dyDescent="0.2">
      <c r="A154" s="1">
        <v>44580.1</v>
      </c>
      <c r="B154" s="1">
        <v>44580.102083333331</v>
      </c>
      <c r="C154">
        <v>1</v>
      </c>
      <c r="D154">
        <v>0</v>
      </c>
      <c r="E154">
        <v>0</v>
      </c>
      <c r="F154">
        <v>0</v>
      </c>
      <c r="H154">
        <v>0</v>
      </c>
      <c r="I154">
        <v>1</v>
      </c>
      <c r="J154">
        <v>0</v>
      </c>
      <c r="K154">
        <v>0</v>
      </c>
      <c r="L154">
        <v>0</v>
      </c>
      <c r="N154" t="s">
        <v>88</v>
      </c>
      <c r="O154" t="s">
        <v>80</v>
      </c>
      <c r="P154">
        <v>0</v>
      </c>
      <c r="Q154">
        <v>0</v>
      </c>
      <c r="R154">
        <v>1</v>
      </c>
      <c r="S154">
        <v>0</v>
      </c>
      <c r="T154">
        <v>0</v>
      </c>
      <c r="U154">
        <v>0</v>
      </c>
      <c r="V154">
        <v>0</v>
      </c>
      <c r="W154">
        <v>0</v>
      </c>
      <c r="X154">
        <v>0</v>
      </c>
      <c r="Y154">
        <v>0</v>
      </c>
      <c r="Z154">
        <v>0</v>
      </c>
      <c r="AA154">
        <v>0</v>
      </c>
      <c r="AM154" t="s">
        <v>83</v>
      </c>
      <c r="AN154" t="s">
        <v>81</v>
      </c>
      <c r="AO154" t="s">
        <v>83</v>
      </c>
      <c r="AP154" t="s">
        <v>83</v>
      </c>
      <c r="AQ154" t="s">
        <v>82</v>
      </c>
      <c r="AR154" t="s">
        <v>83</v>
      </c>
      <c r="AS154" t="s">
        <v>83</v>
      </c>
      <c r="AT154" t="s">
        <v>83</v>
      </c>
      <c r="AU154" t="s">
        <v>88</v>
      </c>
      <c r="AV154" t="s">
        <v>89</v>
      </c>
      <c r="AW154" t="s">
        <v>85</v>
      </c>
      <c r="AZ154" t="s">
        <v>73</v>
      </c>
      <c r="BA154" t="s">
        <v>86</v>
      </c>
      <c r="BB154" t="s">
        <v>86</v>
      </c>
      <c r="BC154" t="s">
        <v>86</v>
      </c>
      <c r="BD154" t="s">
        <v>87</v>
      </c>
      <c r="BE154" t="s">
        <v>86</v>
      </c>
      <c r="BF154" t="s">
        <v>97</v>
      </c>
      <c r="BG154" t="s">
        <v>76</v>
      </c>
      <c r="BH154" t="s">
        <v>98</v>
      </c>
      <c r="BI154" t="s">
        <v>73</v>
      </c>
      <c r="BJ154" t="s">
        <v>109</v>
      </c>
      <c r="BK154">
        <v>0</v>
      </c>
      <c r="BL154">
        <v>0</v>
      </c>
      <c r="BM154">
        <v>0</v>
      </c>
      <c r="BN154">
        <v>0</v>
      </c>
      <c r="BO154">
        <v>0</v>
      </c>
      <c r="BP154">
        <v>1</v>
      </c>
      <c r="BQ154">
        <v>0</v>
      </c>
      <c r="BR154">
        <v>0</v>
      </c>
    </row>
    <row r="155" spans="1:72" x14ac:dyDescent="0.2">
      <c r="A155" s="1">
        <v>44580.179861111108</v>
      </c>
      <c r="B155" s="1">
        <v>44580.181944444441</v>
      </c>
      <c r="C155">
        <v>0</v>
      </c>
      <c r="D155">
        <v>1</v>
      </c>
      <c r="E155">
        <v>0</v>
      </c>
      <c r="F155">
        <v>0</v>
      </c>
      <c r="H155">
        <v>0</v>
      </c>
      <c r="I155">
        <v>1</v>
      </c>
      <c r="J155">
        <v>0</v>
      </c>
      <c r="K155">
        <v>0</v>
      </c>
      <c r="L155">
        <v>1</v>
      </c>
      <c r="M155" t="s">
        <v>198</v>
      </c>
      <c r="N155" t="s">
        <v>88</v>
      </c>
      <c r="O155" t="s">
        <v>89</v>
      </c>
      <c r="P155">
        <v>0</v>
      </c>
      <c r="Q155">
        <v>0</v>
      </c>
      <c r="R155">
        <v>0</v>
      </c>
      <c r="S155">
        <v>0</v>
      </c>
      <c r="T155">
        <v>1</v>
      </c>
      <c r="U155">
        <v>0</v>
      </c>
      <c r="V155">
        <v>0</v>
      </c>
      <c r="W155">
        <v>0</v>
      </c>
      <c r="X155">
        <v>0</v>
      </c>
      <c r="Y155">
        <v>0</v>
      </c>
      <c r="Z155">
        <v>0</v>
      </c>
      <c r="AA155">
        <v>0</v>
      </c>
      <c r="AM155" t="s">
        <v>82</v>
      </c>
      <c r="AN155" t="s">
        <v>81</v>
      </c>
      <c r="AO155" t="s">
        <v>81</v>
      </c>
      <c r="AP155" t="s">
        <v>90</v>
      </c>
      <c r="AQ155" t="s">
        <v>82</v>
      </c>
      <c r="AR155" t="s">
        <v>82</v>
      </c>
      <c r="AS155" t="s">
        <v>82</v>
      </c>
      <c r="AT155" t="s">
        <v>83</v>
      </c>
      <c r="AU155" t="s">
        <v>88</v>
      </c>
      <c r="AV155" t="s">
        <v>89</v>
      </c>
      <c r="AW155" t="s">
        <v>117</v>
      </c>
      <c r="AZ155" t="s">
        <v>96</v>
      </c>
      <c r="BA155" t="s">
        <v>87</v>
      </c>
      <c r="BB155" t="s">
        <v>74</v>
      </c>
      <c r="BC155" t="s">
        <v>87</v>
      </c>
      <c r="BD155" t="s">
        <v>87</v>
      </c>
      <c r="BE155" t="s">
        <v>87</v>
      </c>
      <c r="BF155" t="s">
        <v>101</v>
      </c>
      <c r="BG155" t="s">
        <v>76</v>
      </c>
      <c r="BH155" t="s">
        <v>77</v>
      </c>
      <c r="BI155" t="s">
        <v>96</v>
      </c>
      <c r="BJ155" t="s">
        <v>102</v>
      </c>
      <c r="BK155">
        <v>1</v>
      </c>
      <c r="BL155">
        <v>0</v>
      </c>
      <c r="BM155">
        <v>0</v>
      </c>
      <c r="BN155">
        <v>0</v>
      </c>
      <c r="BO155">
        <v>0</v>
      </c>
      <c r="BP155">
        <v>0</v>
      </c>
      <c r="BQ155">
        <v>0</v>
      </c>
      <c r="BR155">
        <v>0</v>
      </c>
    </row>
    <row r="156" spans="1:72" x14ac:dyDescent="0.2">
      <c r="A156" s="1">
        <v>44585.720138888886</v>
      </c>
      <c r="B156" s="1">
        <v>44585.722222222219</v>
      </c>
      <c r="C156">
        <v>1</v>
      </c>
      <c r="D156">
        <v>0</v>
      </c>
      <c r="E156">
        <v>0</v>
      </c>
      <c r="F156">
        <v>0</v>
      </c>
      <c r="H156">
        <v>0</v>
      </c>
      <c r="I156">
        <v>1</v>
      </c>
      <c r="J156">
        <v>0</v>
      </c>
      <c r="K156">
        <v>0</v>
      </c>
      <c r="L156">
        <v>0</v>
      </c>
      <c r="N156" t="s">
        <v>88</v>
      </c>
      <c r="O156" t="s">
        <v>127</v>
      </c>
      <c r="P156">
        <v>1</v>
      </c>
      <c r="Q156">
        <v>0</v>
      </c>
      <c r="R156">
        <v>0</v>
      </c>
      <c r="S156">
        <v>0</v>
      </c>
      <c r="T156">
        <v>0</v>
      </c>
      <c r="U156">
        <v>0</v>
      </c>
      <c r="V156">
        <v>0</v>
      </c>
      <c r="W156">
        <v>0</v>
      </c>
      <c r="X156">
        <v>0</v>
      </c>
      <c r="Y156">
        <v>0</v>
      </c>
      <c r="Z156">
        <v>0</v>
      </c>
      <c r="AA156">
        <v>0</v>
      </c>
      <c r="AC156">
        <v>0</v>
      </c>
      <c r="AD156">
        <v>0</v>
      </c>
      <c r="AE156">
        <v>1</v>
      </c>
      <c r="AF156">
        <v>0</v>
      </c>
      <c r="AG156">
        <v>0</v>
      </c>
      <c r="AH156">
        <v>0</v>
      </c>
      <c r="AI156">
        <v>0</v>
      </c>
      <c r="AJ156">
        <v>0</v>
      </c>
      <c r="AK156">
        <v>0</v>
      </c>
      <c r="AX156" t="s">
        <v>124</v>
      </c>
      <c r="AZ156" t="s">
        <v>120</v>
      </c>
      <c r="BA156" t="s">
        <v>86</v>
      </c>
      <c r="BB156" t="s">
        <v>74</v>
      </c>
      <c r="BC156" t="s">
        <v>86</v>
      </c>
      <c r="BD156" t="s">
        <v>74</v>
      </c>
      <c r="BE156" t="s">
        <v>74</v>
      </c>
      <c r="BF156" t="s">
        <v>108</v>
      </c>
      <c r="BG156" t="s">
        <v>76</v>
      </c>
      <c r="BH156" t="s">
        <v>98</v>
      </c>
      <c r="BI156" t="s">
        <v>120</v>
      </c>
      <c r="BJ156" t="s">
        <v>94</v>
      </c>
      <c r="BK156">
        <v>0</v>
      </c>
      <c r="BL156">
        <v>0</v>
      </c>
      <c r="BM156">
        <v>0</v>
      </c>
      <c r="BN156">
        <v>0</v>
      </c>
      <c r="BO156">
        <v>0</v>
      </c>
      <c r="BP156">
        <v>1</v>
      </c>
      <c r="BQ156">
        <v>0</v>
      </c>
      <c r="BR156">
        <v>0</v>
      </c>
    </row>
    <row r="157" spans="1:72" x14ac:dyDescent="0.2">
      <c r="A157" s="1">
        <v>44588.881944444445</v>
      </c>
      <c r="B157" s="1">
        <v>44588.884027777778</v>
      </c>
      <c r="C157">
        <v>1</v>
      </c>
      <c r="D157">
        <v>0</v>
      </c>
      <c r="E157">
        <v>0</v>
      </c>
      <c r="F157">
        <v>0</v>
      </c>
      <c r="H157">
        <v>1</v>
      </c>
      <c r="I157">
        <v>0</v>
      </c>
      <c r="J157">
        <v>0</v>
      </c>
      <c r="K157">
        <v>0</v>
      </c>
      <c r="L157">
        <v>0</v>
      </c>
      <c r="P157">
        <v>0</v>
      </c>
      <c r="Q157">
        <v>0</v>
      </c>
      <c r="R157">
        <v>1</v>
      </c>
      <c r="S157">
        <v>0</v>
      </c>
      <c r="T157">
        <v>0</v>
      </c>
      <c r="U157">
        <v>0</v>
      </c>
      <c r="V157">
        <v>0</v>
      </c>
      <c r="W157">
        <v>0</v>
      </c>
      <c r="X157">
        <v>0</v>
      </c>
      <c r="Y157">
        <v>0</v>
      </c>
      <c r="Z157">
        <v>0</v>
      </c>
      <c r="AA157">
        <v>0</v>
      </c>
      <c r="AM157" t="s">
        <v>83</v>
      </c>
      <c r="AN157" t="s">
        <v>83</v>
      </c>
      <c r="AO157" t="s">
        <v>83</v>
      </c>
      <c r="AP157" t="s">
        <v>81</v>
      </c>
      <c r="AQ157" t="s">
        <v>82</v>
      </c>
      <c r="AR157" t="s">
        <v>83</v>
      </c>
      <c r="AS157" t="s">
        <v>83</v>
      </c>
      <c r="AT157" t="s">
        <v>82</v>
      </c>
      <c r="AU157" t="s">
        <v>135</v>
      </c>
      <c r="AV157" t="s">
        <v>80</v>
      </c>
      <c r="AW157" t="s">
        <v>85</v>
      </c>
      <c r="AX157" t="s">
        <v>72</v>
      </c>
      <c r="AZ157" t="s">
        <v>96</v>
      </c>
      <c r="BA157" t="s">
        <v>74</v>
      </c>
      <c r="BF157" t="s">
        <v>75</v>
      </c>
      <c r="BG157" t="s">
        <v>76</v>
      </c>
      <c r="BH157" t="s">
        <v>98</v>
      </c>
      <c r="BI157" t="s">
        <v>96</v>
      </c>
      <c r="BJ157" t="s">
        <v>137</v>
      </c>
      <c r="BK157">
        <v>1</v>
      </c>
      <c r="BL157">
        <v>0</v>
      </c>
      <c r="BM157">
        <v>0</v>
      </c>
      <c r="BN157">
        <v>0</v>
      </c>
      <c r="BO157">
        <v>0</v>
      </c>
      <c r="BP157">
        <v>0</v>
      </c>
      <c r="BQ157">
        <v>0</v>
      </c>
      <c r="BR157">
        <v>0</v>
      </c>
    </row>
    <row r="158" spans="1:72" x14ac:dyDescent="0.2">
      <c r="A158" s="1">
        <v>44585.640277777777</v>
      </c>
      <c r="B158" s="1">
        <v>44585.645138888889</v>
      </c>
      <c r="C158">
        <v>1</v>
      </c>
      <c r="D158">
        <v>0</v>
      </c>
      <c r="E158">
        <v>0</v>
      </c>
      <c r="F158">
        <v>0</v>
      </c>
      <c r="H158">
        <v>0</v>
      </c>
      <c r="I158">
        <v>1</v>
      </c>
      <c r="J158">
        <v>0</v>
      </c>
      <c r="K158">
        <v>0</v>
      </c>
      <c r="L158">
        <v>0</v>
      </c>
      <c r="N158" t="s">
        <v>135</v>
      </c>
      <c r="O158" t="s">
        <v>80</v>
      </c>
      <c r="P158">
        <v>0</v>
      </c>
      <c r="Q158">
        <v>0</v>
      </c>
      <c r="R158">
        <v>1</v>
      </c>
      <c r="S158">
        <v>0</v>
      </c>
      <c r="T158">
        <v>0</v>
      </c>
      <c r="U158">
        <v>0</v>
      </c>
      <c r="V158">
        <v>0</v>
      </c>
      <c r="W158">
        <v>0</v>
      </c>
      <c r="X158">
        <v>0</v>
      </c>
      <c r="Y158">
        <v>0</v>
      </c>
      <c r="Z158">
        <v>0</v>
      </c>
      <c r="AA158">
        <v>0</v>
      </c>
      <c r="AM158" t="s">
        <v>83</v>
      </c>
      <c r="AN158" t="s">
        <v>81</v>
      </c>
      <c r="AO158" t="s">
        <v>83</v>
      </c>
      <c r="AP158" t="s">
        <v>81</v>
      </c>
      <c r="AQ158" t="s">
        <v>82</v>
      </c>
      <c r="AR158" t="s">
        <v>83</v>
      </c>
      <c r="AS158" t="s">
        <v>90</v>
      </c>
      <c r="AT158" t="s">
        <v>81</v>
      </c>
      <c r="AU158" t="s">
        <v>88</v>
      </c>
      <c r="AV158" t="s">
        <v>89</v>
      </c>
      <c r="AW158" t="s">
        <v>85</v>
      </c>
      <c r="AZ158" t="s">
        <v>107</v>
      </c>
      <c r="BA158" t="s">
        <v>87</v>
      </c>
      <c r="BB158" t="s">
        <v>86</v>
      </c>
      <c r="BC158" t="s">
        <v>87</v>
      </c>
      <c r="BD158" t="s">
        <v>87</v>
      </c>
      <c r="BE158" t="s">
        <v>86</v>
      </c>
      <c r="BF158" t="s">
        <v>159</v>
      </c>
      <c r="BG158" t="s">
        <v>76</v>
      </c>
      <c r="BH158" t="s">
        <v>77</v>
      </c>
      <c r="BI158" t="s">
        <v>107</v>
      </c>
      <c r="BK158">
        <v>0</v>
      </c>
      <c r="BL158">
        <v>0</v>
      </c>
      <c r="BM158">
        <v>0</v>
      </c>
      <c r="BN158">
        <v>0</v>
      </c>
      <c r="BO158">
        <v>0</v>
      </c>
      <c r="BP158">
        <v>1</v>
      </c>
      <c r="BQ158">
        <v>0</v>
      </c>
      <c r="BR158">
        <v>0</v>
      </c>
    </row>
    <row r="159" spans="1:72" x14ac:dyDescent="0.2">
      <c r="A159" s="1">
        <v>44580.010416666664</v>
      </c>
      <c r="B159" s="1">
        <v>44580.011805555558</v>
      </c>
      <c r="C159">
        <v>1</v>
      </c>
      <c r="D159">
        <v>0</v>
      </c>
      <c r="E159">
        <v>0</v>
      </c>
      <c r="F159">
        <v>0</v>
      </c>
      <c r="H159">
        <v>1</v>
      </c>
      <c r="I159">
        <v>0</v>
      </c>
      <c r="J159">
        <v>0</v>
      </c>
      <c r="K159">
        <v>0</v>
      </c>
      <c r="L159">
        <v>0</v>
      </c>
      <c r="P159">
        <v>0</v>
      </c>
      <c r="Q159">
        <v>1</v>
      </c>
      <c r="R159">
        <v>0</v>
      </c>
      <c r="S159">
        <v>0</v>
      </c>
      <c r="T159">
        <v>0</v>
      </c>
      <c r="U159">
        <v>0</v>
      </c>
      <c r="V159">
        <v>0</v>
      </c>
      <c r="W159">
        <v>0</v>
      </c>
      <c r="X159">
        <v>0</v>
      </c>
      <c r="Y159">
        <v>0</v>
      </c>
      <c r="Z159">
        <v>0</v>
      </c>
      <c r="AA159">
        <v>0</v>
      </c>
      <c r="AM159" t="s">
        <v>83</v>
      </c>
      <c r="AN159" t="s">
        <v>83</v>
      </c>
      <c r="AO159" t="s">
        <v>83</v>
      </c>
      <c r="AP159" t="s">
        <v>83</v>
      </c>
      <c r="AQ159" t="s">
        <v>83</v>
      </c>
      <c r="AR159" t="s">
        <v>83</v>
      </c>
      <c r="AS159" t="s">
        <v>83</v>
      </c>
      <c r="AT159" t="s">
        <v>83</v>
      </c>
      <c r="AU159" t="s">
        <v>127</v>
      </c>
      <c r="AV159" t="s">
        <v>127</v>
      </c>
      <c r="AX159" t="s">
        <v>199</v>
      </c>
      <c r="AZ159" t="s">
        <v>107</v>
      </c>
      <c r="BA159" t="s">
        <v>87</v>
      </c>
      <c r="BB159" t="s">
        <v>87</v>
      </c>
      <c r="BC159" t="s">
        <v>87</v>
      </c>
      <c r="BD159" t="s">
        <v>87</v>
      </c>
      <c r="BE159" t="s">
        <v>87</v>
      </c>
      <c r="BF159" t="s">
        <v>75</v>
      </c>
      <c r="BG159" t="s">
        <v>76</v>
      </c>
      <c r="BH159" t="s">
        <v>77</v>
      </c>
      <c r="BI159" t="s">
        <v>107</v>
      </c>
      <c r="BK159">
        <v>0</v>
      </c>
      <c r="BL159">
        <v>0</v>
      </c>
      <c r="BM159">
        <v>0</v>
      </c>
      <c r="BN159">
        <v>0</v>
      </c>
      <c r="BO159">
        <v>0</v>
      </c>
      <c r="BP159">
        <v>1</v>
      </c>
      <c r="BQ159">
        <v>0</v>
      </c>
      <c r="BR159">
        <v>0</v>
      </c>
      <c r="BT159" t="s">
        <v>109</v>
      </c>
    </row>
    <row r="160" spans="1:72" x14ac:dyDescent="0.2">
      <c r="A160" s="1">
        <v>44585.693749999999</v>
      </c>
      <c r="B160" s="1">
        <v>44585.696527777778</v>
      </c>
      <c r="C160">
        <v>1</v>
      </c>
      <c r="D160">
        <v>0</v>
      </c>
      <c r="E160">
        <v>0</v>
      </c>
      <c r="F160">
        <v>0</v>
      </c>
      <c r="H160">
        <v>0</v>
      </c>
      <c r="I160">
        <v>1</v>
      </c>
      <c r="J160">
        <v>1</v>
      </c>
      <c r="K160">
        <v>0</v>
      </c>
      <c r="L160">
        <v>0</v>
      </c>
      <c r="N160" t="s">
        <v>79</v>
      </c>
      <c r="O160" t="s">
        <v>80</v>
      </c>
      <c r="P160">
        <v>0</v>
      </c>
      <c r="Q160">
        <v>0</v>
      </c>
      <c r="R160">
        <v>1</v>
      </c>
      <c r="S160">
        <v>0</v>
      </c>
      <c r="T160">
        <v>0</v>
      </c>
      <c r="U160">
        <v>0</v>
      </c>
      <c r="V160">
        <v>0</v>
      </c>
      <c r="W160">
        <v>0</v>
      </c>
      <c r="X160">
        <v>0</v>
      </c>
      <c r="Y160">
        <v>0</v>
      </c>
      <c r="Z160">
        <v>0</v>
      </c>
      <c r="AA160">
        <v>0</v>
      </c>
      <c r="AM160" t="s">
        <v>81</v>
      </c>
      <c r="AN160" t="s">
        <v>82</v>
      </c>
      <c r="AO160" t="s">
        <v>83</v>
      </c>
      <c r="AP160" t="s">
        <v>82</v>
      </c>
      <c r="AQ160" t="s">
        <v>82</v>
      </c>
      <c r="AR160" t="s">
        <v>82</v>
      </c>
      <c r="AS160" t="s">
        <v>81</v>
      </c>
      <c r="AT160" t="s">
        <v>83</v>
      </c>
      <c r="AU160" t="s">
        <v>88</v>
      </c>
      <c r="AV160" t="s">
        <v>89</v>
      </c>
      <c r="AW160" t="s">
        <v>85</v>
      </c>
      <c r="AZ160" t="s">
        <v>96</v>
      </c>
      <c r="BA160" t="s">
        <v>86</v>
      </c>
      <c r="BB160" t="s">
        <v>87</v>
      </c>
      <c r="BC160" t="s">
        <v>87</v>
      </c>
      <c r="BD160" t="s">
        <v>86</v>
      </c>
      <c r="BE160" t="s">
        <v>86</v>
      </c>
      <c r="BF160" t="s">
        <v>97</v>
      </c>
      <c r="BG160" t="s">
        <v>76</v>
      </c>
      <c r="BH160" t="s">
        <v>98</v>
      </c>
      <c r="BI160" t="s">
        <v>96</v>
      </c>
      <c r="BJ160" t="s">
        <v>114</v>
      </c>
      <c r="BK160">
        <v>0</v>
      </c>
      <c r="BL160">
        <v>0</v>
      </c>
      <c r="BM160">
        <v>0</v>
      </c>
      <c r="BN160">
        <v>0</v>
      </c>
      <c r="BO160">
        <v>0</v>
      </c>
      <c r="BP160">
        <v>1</v>
      </c>
      <c r="BQ160">
        <v>0</v>
      </c>
      <c r="BR160">
        <v>0</v>
      </c>
    </row>
    <row r="161" spans="1:70" x14ac:dyDescent="0.2">
      <c r="A161" s="1">
        <v>44580.099305555559</v>
      </c>
      <c r="B161" s="1">
        <v>44580.104166666664</v>
      </c>
      <c r="C161">
        <v>0</v>
      </c>
      <c r="D161">
        <v>1</v>
      </c>
      <c r="E161">
        <v>0</v>
      </c>
      <c r="F161">
        <v>0</v>
      </c>
      <c r="H161">
        <v>1</v>
      </c>
      <c r="I161">
        <v>0</v>
      </c>
      <c r="J161">
        <v>0</v>
      </c>
      <c r="K161">
        <v>0</v>
      </c>
      <c r="L161">
        <v>0</v>
      </c>
      <c r="P161">
        <v>0</v>
      </c>
      <c r="Q161">
        <v>1</v>
      </c>
      <c r="R161">
        <v>0</v>
      </c>
      <c r="S161">
        <v>0</v>
      </c>
      <c r="T161">
        <v>0</v>
      </c>
      <c r="U161">
        <v>0</v>
      </c>
      <c r="V161">
        <v>0</v>
      </c>
      <c r="W161">
        <v>0</v>
      </c>
      <c r="X161">
        <v>0</v>
      </c>
      <c r="Y161">
        <v>0</v>
      </c>
      <c r="Z161">
        <v>0</v>
      </c>
      <c r="AA161">
        <v>0</v>
      </c>
      <c r="AM161" t="s">
        <v>82</v>
      </c>
      <c r="AN161" t="s">
        <v>83</v>
      </c>
      <c r="AO161" t="s">
        <v>83</v>
      </c>
      <c r="AP161" t="s">
        <v>83</v>
      </c>
      <c r="AQ161" t="s">
        <v>83</v>
      </c>
      <c r="AR161" t="s">
        <v>83</v>
      </c>
      <c r="AS161" t="s">
        <v>81</v>
      </c>
      <c r="AT161" t="s">
        <v>83</v>
      </c>
      <c r="AU161" t="s">
        <v>84</v>
      </c>
      <c r="AV161" t="s">
        <v>89</v>
      </c>
      <c r="AW161" t="s">
        <v>85</v>
      </c>
      <c r="AX161" t="s">
        <v>199</v>
      </c>
      <c r="AZ161" t="s">
        <v>120</v>
      </c>
      <c r="BA161" t="s">
        <v>87</v>
      </c>
      <c r="BB161" t="s">
        <v>87</v>
      </c>
      <c r="BC161" t="s">
        <v>87</v>
      </c>
      <c r="BD161" t="s">
        <v>87</v>
      </c>
      <c r="BE161" t="s">
        <v>87</v>
      </c>
      <c r="BF161" t="s">
        <v>75</v>
      </c>
      <c r="BG161" t="s">
        <v>76</v>
      </c>
      <c r="BH161" t="s">
        <v>77</v>
      </c>
      <c r="BI161" t="s">
        <v>120</v>
      </c>
      <c r="BJ161" t="s">
        <v>200</v>
      </c>
      <c r="BK161">
        <v>0</v>
      </c>
      <c r="BL161">
        <v>0</v>
      </c>
      <c r="BM161">
        <v>0</v>
      </c>
      <c r="BN161">
        <v>0</v>
      </c>
      <c r="BO161">
        <v>0</v>
      </c>
      <c r="BP161">
        <v>1</v>
      </c>
      <c r="BQ161">
        <v>0</v>
      </c>
      <c r="BR161">
        <v>0</v>
      </c>
    </row>
    <row r="162" spans="1:70" x14ac:dyDescent="0.2">
      <c r="A162" s="1">
        <v>44579.881944444445</v>
      </c>
      <c r="B162" s="1">
        <v>44579.884027777778</v>
      </c>
      <c r="C162">
        <v>1</v>
      </c>
      <c r="D162">
        <v>0</v>
      </c>
      <c r="E162">
        <v>0</v>
      </c>
      <c r="F162">
        <v>0</v>
      </c>
      <c r="H162">
        <v>0</v>
      </c>
      <c r="I162">
        <v>1</v>
      </c>
      <c r="J162">
        <v>0</v>
      </c>
      <c r="K162">
        <v>0</v>
      </c>
      <c r="L162">
        <v>0</v>
      </c>
      <c r="N162" t="s">
        <v>135</v>
      </c>
      <c r="O162" t="s">
        <v>80</v>
      </c>
      <c r="P162">
        <v>0</v>
      </c>
      <c r="Q162">
        <v>0</v>
      </c>
      <c r="R162">
        <v>1</v>
      </c>
      <c r="S162">
        <v>0</v>
      </c>
      <c r="T162">
        <v>0</v>
      </c>
      <c r="U162">
        <v>0</v>
      </c>
      <c r="V162">
        <v>0</v>
      </c>
      <c r="W162">
        <v>0</v>
      </c>
      <c r="X162">
        <v>0</v>
      </c>
      <c r="Y162">
        <v>0</v>
      </c>
      <c r="Z162">
        <v>0</v>
      </c>
      <c r="AA162">
        <v>0</v>
      </c>
      <c r="AM162" t="s">
        <v>83</v>
      </c>
      <c r="AN162" t="s">
        <v>82</v>
      </c>
      <c r="AO162" t="s">
        <v>83</v>
      </c>
      <c r="AP162" t="s">
        <v>81</v>
      </c>
      <c r="AQ162" t="s">
        <v>82</v>
      </c>
      <c r="AR162" t="s">
        <v>83</v>
      </c>
      <c r="AS162" t="s">
        <v>83</v>
      </c>
      <c r="AT162" t="s">
        <v>82</v>
      </c>
      <c r="AU162" t="s">
        <v>88</v>
      </c>
      <c r="AV162" t="s">
        <v>89</v>
      </c>
      <c r="AW162" t="s">
        <v>85</v>
      </c>
      <c r="AZ162" t="s">
        <v>107</v>
      </c>
      <c r="BA162" t="s">
        <v>86</v>
      </c>
      <c r="BB162" t="s">
        <v>87</v>
      </c>
      <c r="BC162" t="s">
        <v>87</v>
      </c>
      <c r="BD162" t="s">
        <v>86</v>
      </c>
      <c r="BE162" t="s">
        <v>86</v>
      </c>
      <c r="BF162" t="s">
        <v>97</v>
      </c>
      <c r="BG162" t="s">
        <v>76</v>
      </c>
      <c r="BH162" t="s">
        <v>98</v>
      </c>
      <c r="BI162" t="s">
        <v>107</v>
      </c>
      <c r="BJ162" t="s">
        <v>102</v>
      </c>
      <c r="BK162">
        <v>0</v>
      </c>
      <c r="BL162">
        <v>0</v>
      </c>
      <c r="BM162">
        <v>0</v>
      </c>
      <c r="BN162">
        <v>0</v>
      </c>
      <c r="BO162">
        <v>0</v>
      </c>
      <c r="BP162">
        <v>1</v>
      </c>
      <c r="BQ162">
        <v>0</v>
      </c>
      <c r="BR162">
        <v>0</v>
      </c>
    </row>
    <row r="163" spans="1:70" x14ac:dyDescent="0.2">
      <c r="A163" s="1">
        <v>44585.65</v>
      </c>
      <c r="B163" s="1">
        <v>44585.652777777781</v>
      </c>
      <c r="C163">
        <v>1</v>
      </c>
      <c r="D163">
        <v>0</v>
      </c>
      <c r="E163">
        <v>0</v>
      </c>
      <c r="F163">
        <v>0</v>
      </c>
      <c r="H163">
        <v>0</v>
      </c>
      <c r="I163">
        <v>1</v>
      </c>
      <c r="J163">
        <v>1</v>
      </c>
      <c r="K163">
        <v>0</v>
      </c>
      <c r="L163">
        <v>0</v>
      </c>
      <c r="N163" t="s">
        <v>88</v>
      </c>
      <c r="O163" t="s">
        <v>89</v>
      </c>
      <c r="P163">
        <v>0</v>
      </c>
      <c r="Q163">
        <v>0</v>
      </c>
      <c r="R163">
        <v>1</v>
      </c>
      <c r="S163">
        <v>0</v>
      </c>
      <c r="T163">
        <v>0</v>
      </c>
      <c r="U163">
        <v>0</v>
      </c>
      <c r="V163">
        <v>0</v>
      </c>
      <c r="W163">
        <v>0</v>
      </c>
      <c r="X163">
        <v>0</v>
      </c>
      <c r="Y163">
        <v>0</v>
      </c>
      <c r="Z163">
        <v>0</v>
      </c>
      <c r="AA163">
        <v>0</v>
      </c>
      <c r="AM163" t="s">
        <v>81</v>
      </c>
      <c r="AN163" t="s">
        <v>82</v>
      </c>
      <c r="AO163" t="s">
        <v>83</v>
      </c>
      <c r="AP163" t="s">
        <v>81</v>
      </c>
      <c r="AQ163" t="s">
        <v>81</v>
      </c>
      <c r="AR163" t="s">
        <v>81</v>
      </c>
      <c r="AS163" t="s">
        <v>90</v>
      </c>
      <c r="AT163" t="s">
        <v>83</v>
      </c>
      <c r="AU163" t="s">
        <v>88</v>
      </c>
      <c r="AV163" t="s">
        <v>89</v>
      </c>
      <c r="AW163" t="s">
        <v>85</v>
      </c>
      <c r="AX163" t="s">
        <v>118</v>
      </c>
      <c r="AZ163" t="s">
        <v>73</v>
      </c>
      <c r="BA163" t="s">
        <v>87</v>
      </c>
      <c r="BB163" t="s">
        <v>87</v>
      </c>
      <c r="BC163" t="s">
        <v>87</v>
      </c>
      <c r="BD163" t="s">
        <v>74</v>
      </c>
      <c r="BE163" t="s">
        <v>87</v>
      </c>
      <c r="BF163" t="s">
        <v>75</v>
      </c>
      <c r="BG163" t="s">
        <v>76</v>
      </c>
      <c r="BH163" t="s">
        <v>98</v>
      </c>
      <c r="BI163" t="s">
        <v>73</v>
      </c>
      <c r="BJ163" t="s">
        <v>78</v>
      </c>
      <c r="BK163">
        <v>0</v>
      </c>
      <c r="BL163">
        <v>0</v>
      </c>
      <c r="BM163">
        <v>0</v>
      </c>
      <c r="BN163">
        <v>0</v>
      </c>
      <c r="BO163">
        <v>0</v>
      </c>
      <c r="BP163">
        <v>1</v>
      </c>
      <c r="BQ163">
        <v>0</v>
      </c>
      <c r="BR163">
        <v>0</v>
      </c>
    </row>
    <row r="164" spans="1:70" x14ac:dyDescent="0.2">
      <c r="A164" s="1">
        <v>44580.103472222225</v>
      </c>
      <c r="B164" s="1">
        <v>44580.106944444444</v>
      </c>
      <c r="C164">
        <v>1</v>
      </c>
      <c r="D164">
        <v>0</v>
      </c>
      <c r="E164">
        <v>0</v>
      </c>
      <c r="F164">
        <v>0</v>
      </c>
      <c r="H164">
        <v>0</v>
      </c>
      <c r="I164">
        <v>1</v>
      </c>
      <c r="J164">
        <v>0</v>
      </c>
      <c r="K164">
        <v>0</v>
      </c>
      <c r="L164">
        <v>0</v>
      </c>
      <c r="N164" t="s">
        <v>79</v>
      </c>
      <c r="O164" t="s">
        <v>80</v>
      </c>
      <c r="P164">
        <v>1</v>
      </c>
      <c r="Q164">
        <v>0</v>
      </c>
      <c r="R164">
        <v>0</v>
      </c>
      <c r="S164">
        <v>0</v>
      </c>
      <c r="T164">
        <v>0</v>
      </c>
      <c r="U164">
        <v>0</v>
      </c>
      <c r="V164">
        <v>0</v>
      </c>
      <c r="W164">
        <v>0</v>
      </c>
      <c r="X164">
        <v>0</v>
      </c>
      <c r="Y164">
        <v>0</v>
      </c>
      <c r="Z164">
        <v>0</v>
      </c>
      <c r="AA164">
        <v>0</v>
      </c>
      <c r="AC164">
        <v>0</v>
      </c>
      <c r="AD164">
        <v>0</v>
      </c>
      <c r="AE164">
        <v>0</v>
      </c>
      <c r="AF164">
        <v>0</v>
      </c>
      <c r="AG164">
        <v>0</v>
      </c>
      <c r="AH164">
        <v>0</v>
      </c>
      <c r="AI164">
        <v>1</v>
      </c>
      <c r="AJ164">
        <v>1</v>
      </c>
      <c r="AK164">
        <v>0</v>
      </c>
      <c r="AX164" t="s">
        <v>191</v>
      </c>
      <c r="AZ164" t="s">
        <v>120</v>
      </c>
      <c r="BA164" t="s">
        <v>74</v>
      </c>
      <c r="BF164" t="s">
        <v>75</v>
      </c>
      <c r="BG164" t="s">
        <v>76</v>
      </c>
      <c r="BH164" t="s">
        <v>98</v>
      </c>
      <c r="BI164" t="s">
        <v>120</v>
      </c>
      <c r="BJ164" t="s">
        <v>129</v>
      </c>
      <c r="BK164">
        <v>0</v>
      </c>
      <c r="BL164">
        <v>0</v>
      </c>
      <c r="BM164">
        <v>0</v>
      </c>
      <c r="BN164">
        <v>0</v>
      </c>
      <c r="BO164">
        <v>0</v>
      </c>
      <c r="BP164">
        <v>1</v>
      </c>
      <c r="BQ164">
        <v>0</v>
      </c>
      <c r="BR164">
        <v>0</v>
      </c>
    </row>
    <row r="165" spans="1:70" x14ac:dyDescent="0.2">
      <c r="A165" s="1">
        <v>44586.836111111108</v>
      </c>
      <c r="B165" s="1">
        <v>44586.847916666666</v>
      </c>
      <c r="C165">
        <v>1</v>
      </c>
      <c r="D165">
        <v>0</v>
      </c>
      <c r="E165">
        <v>0</v>
      </c>
      <c r="F165">
        <v>0</v>
      </c>
      <c r="H165">
        <v>0</v>
      </c>
      <c r="I165">
        <v>1</v>
      </c>
      <c r="J165">
        <v>0</v>
      </c>
      <c r="K165">
        <v>0</v>
      </c>
      <c r="L165">
        <v>0</v>
      </c>
      <c r="N165" t="s">
        <v>88</v>
      </c>
      <c r="O165" t="s">
        <v>80</v>
      </c>
      <c r="P165">
        <v>0</v>
      </c>
      <c r="Q165">
        <v>0</v>
      </c>
      <c r="R165">
        <v>1</v>
      </c>
      <c r="S165">
        <v>0</v>
      </c>
      <c r="T165">
        <v>0</v>
      </c>
      <c r="U165">
        <v>0</v>
      </c>
      <c r="V165">
        <v>0</v>
      </c>
      <c r="W165">
        <v>0</v>
      </c>
      <c r="X165">
        <v>0</v>
      </c>
      <c r="Y165">
        <v>0</v>
      </c>
      <c r="Z165">
        <v>0</v>
      </c>
      <c r="AA165">
        <v>0</v>
      </c>
      <c r="AM165" t="s">
        <v>82</v>
      </c>
      <c r="AN165" t="s">
        <v>82</v>
      </c>
      <c r="AO165" t="s">
        <v>83</v>
      </c>
      <c r="AP165" t="s">
        <v>83</v>
      </c>
      <c r="AQ165" t="s">
        <v>83</v>
      </c>
      <c r="AR165" t="s">
        <v>83</v>
      </c>
      <c r="AS165" t="s">
        <v>83</v>
      </c>
      <c r="AT165" t="s">
        <v>83</v>
      </c>
      <c r="AU165" t="s">
        <v>88</v>
      </c>
      <c r="AV165" t="s">
        <v>89</v>
      </c>
      <c r="AW165" t="s">
        <v>85</v>
      </c>
      <c r="AX165" t="s">
        <v>72</v>
      </c>
      <c r="AZ165" t="s">
        <v>107</v>
      </c>
      <c r="BA165" t="s">
        <v>87</v>
      </c>
      <c r="BB165" t="s">
        <v>87</v>
      </c>
      <c r="BC165" t="s">
        <v>87</v>
      </c>
      <c r="BD165" t="s">
        <v>74</v>
      </c>
      <c r="BE165" t="s">
        <v>87</v>
      </c>
      <c r="BF165" t="s">
        <v>108</v>
      </c>
      <c r="BG165" t="s">
        <v>76</v>
      </c>
      <c r="BH165" t="s">
        <v>77</v>
      </c>
      <c r="BI165" t="s">
        <v>107</v>
      </c>
      <c r="BJ165" t="s">
        <v>94</v>
      </c>
      <c r="BK165">
        <v>1</v>
      </c>
      <c r="BL165">
        <v>0</v>
      </c>
      <c r="BM165">
        <v>0</v>
      </c>
      <c r="BN165">
        <v>0</v>
      </c>
      <c r="BO165">
        <v>0</v>
      </c>
      <c r="BP165">
        <v>0</v>
      </c>
      <c r="BQ165">
        <v>0</v>
      </c>
      <c r="BR165">
        <v>0</v>
      </c>
    </row>
    <row r="166" spans="1:70" x14ac:dyDescent="0.2">
      <c r="A166" s="1">
        <v>44589.07916666667</v>
      </c>
      <c r="B166" s="1">
        <v>44589.080555555556</v>
      </c>
      <c r="C166">
        <v>1</v>
      </c>
      <c r="D166">
        <v>0</v>
      </c>
      <c r="E166">
        <v>0</v>
      </c>
      <c r="F166">
        <v>0</v>
      </c>
      <c r="H166">
        <v>1</v>
      </c>
      <c r="I166">
        <v>0</v>
      </c>
      <c r="J166">
        <v>0</v>
      </c>
      <c r="K166">
        <v>0</v>
      </c>
      <c r="L166">
        <v>0</v>
      </c>
      <c r="P166">
        <v>1</v>
      </c>
      <c r="Q166">
        <v>0</v>
      </c>
      <c r="R166">
        <v>0</v>
      </c>
      <c r="S166">
        <v>0</v>
      </c>
      <c r="T166">
        <v>0</v>
      </c>
      <c r="U166">
        <v>0</v>
      </c>
      <c r="V166">
        <v>0</v>
      </c>
      <c r="W166">
        <v>0</v>
      </c>
      <c r="X166">
        <v>0</v>
      </c>
      <c r="Y166">
        <v>0</v>
      </c>
      <c r="Z166">
        <v>0</v>
      </c>
      <c r="AA166">
        <v>0</v>
      </c>
      <c r="AC166">
        <v>0</v>
      </c>
      <c r="AD166">
        <v>1</v>
      </c>
      <c r="AE166">
        <v>0</v>
      </c>
      <c r="AF166">
        <v>0</v>
      </c>
      <c r="AG166">
        <v>0</v>
      </c>
      <c r="AH166">
        <v>0</v>
      </c>
      <c r="AI166">
        <v>0</v>
      </c>
      <c r="AJ166">
        <v>0</v>
      </c>
      <c r="AK166">
        <v>0</v>
      </c>
      <c r="AX166" t="s">
        <v>199</v>
      </c>
      <c r="AZ166" t="s">
        <v>96</v>
      </c>
      <c r="BA166" t="s">
        <v>86</v>
      </c>
      <c r="BB166" t="s">
        <v>87</v>
      </c>
      <c r="BC166" t="s">
        <v>87</v>
      </c>
      <c r="BD166" t="s">
        <v>87</v>
      </c>
      <c r="BE166" t="s">
        <v>86</v>
      </c>
      <c r="BF166" t="s">
        <v>75</v>
      </c>
      <c r="BG166" t="s">
        <v>76</v>
      </c>
      <c r="BH166" t="s">
        <v>98</v>
      </c>
      <c r="BI166" t="s">
        <v>96</v>
      </c>
      <c r="BJ166" t="s">
        <v>109</v>
      </c>
      <c r="BK166">
        <v>0</v>
      </c>
      <c r="BL166">
        <v>0</v>
      </c>
      <c r="BM166">
        <v>0</v>
      </c>
      <c r="BN166">
        <v>0</v>
      </c>
      <c r="BO166">
        <v>0</v>
      </c>
      <c r="BP166">
        <v>1</v>
      </c>
      <c r="BQ166">
        <v>0</v>
      </c>
      <c r="BR166">
        <v>0</v>
      </c>
    </row>
    <row r="167" spans="1:70" x14ac:dyDescent="0.2">
      <c r="A167" s="1">
        <v>44585.57708333333</v>
      </c>
      <c r="B167" s="1">
        <v>44585.579861111109</v>
      </c>
      <c r="C167">
        <v>1</v>
      </c>
      <c r="D167">
        <v>0</v>
      </c>
      <c r="E167">
        <v>0</v>
      </c>
      <c r="F167">
        <v>0</v>
      </c>
      <c r="H167">
        <v>0</v>
      </c>
      <c r="I167">
        <v>0</v>
      </c>
      <c r="J167">
        <v>1</v>
      </c>
      <c r="K167">
        <v>0</v>
      </c>
      <c r="L167">
        <v>0</v>
      </c>
      <c r="N167" t="s">
        <v>79</v>
      </c>
      <c r="O167" t="s">
        <v>80</v>
      </c>
      <c r="P167">
        <v>0</v>
      </c>
      <c r="Q167">
        <v>0</v>
      </c>
      <c r="R167">
        <v>1</v>
      </c>
      <c r="S167">
        <v>0</v>
      </c>
      <c r="T167">
        <v>0</v>
      </c>
      <c r="U167">
        <v>0</v>
      </c>
      <c r="V167">
        <v>0</v>
      </c>
      <c r="W167">
        <v>0</v>
      </c>
      <c r="X167">
        <v>0</v>
      </c>
      <c r="Y167">
        <v>0</v>
      </c>
      <c r="Z167">
        <v>0</v>
      </c>
      <c r="AA167">
        <v>0</v>
      </c>
      <c r="AM167" t="s">
        <v>83</v>
      </c>
      <c r="AN167" t="s">
        <v>81</v>
      </c>
      <c r="AO167" t="s">
        <v>83</v>
      </c>
      <c r="AP167" t="s">
        <v>82</v>
      </c>
      <c r="AQ167" t="s">
        <v>83</v>
      </c>
      <c r="AR167" t="s">
        <v>83</v>
      </c>
      <c r="AS167" t="s">
        <v>83</v>
      </c>
      <c r="AT167" t="s">
        <v>82</v>
      </c>
      <c r="AU167" t="s">
        <v>135</v>
      </c>
      <c r="AV167" t="s">
        <v>89</v>
      </c>
      <c r="AW167" t="s">
        <v>85</v>
      </c>
      <c r="AX167" t="s">
        <v>72</v>
      </c>
      <c r="AZ167" t="s">
        <v>96</v>
      </c>
      <c r="BA167" t="s">
        <v>87</v>
      </c>
      <c r="BB167" t="s">
        <v>87</v>
      </c>
      <c r="BC167" t="s">
        <v>86</v>
      </c>
      <c r="BD167" t="s">
        <v>74</v>
      </c>
      <c r="BE167" t="s">
        <v>86</v>
      </c>
      <c r="BF167" t="s">
        <v>75</v>
      </c>
      <c r="BG167" t="s">
        <v>76</v>
      </c>
      <c r="BH167" t="s">
        <v>93</v>
      </c>
      <c r="BI167" t="s">
        <v>96</v>
      </c>
      <c r="BJ167" t="s">
        <v>147</v>
      </c>
      <c r="BK167">
        <v>1</v>
      </c>
      <c r="BL167">
        <v>0</v>
      </c>
      <c r="BM167">
        <v>0</v>
      </c>
      <c r="BN167">
        <v>0</v>
      </c>
      <c r="BO167">
        <v>0</v>
      </c>
      <c r="BP167">
        <v>0</v>
      </c>
      <c r="BQ167">
        <v>0</v>
      </c>
      <c r="BR167">
        <v>0</v>
      </c>
    </row>
    <row r="168" spans="1:70" x14ac:dyDescent="0.2">
      <c r="A168" s="1">
        <v>44579.977777777778</v>
      </c>
      <c r="B168" s="1">
        <v>44579.979861111111</v>
      </c>
      <c r="C168">
        <v>0</v>
      </c>
      <c r="D168">
        <v>1</v>
      </c>
      <c r="E168">
        <v>0</v>
      </c>
      <c r="F168">
        <v>0</v>
      </c>
      <c r="H168">
        <v>0</v>
      </c>
      <c r="I168">
        <v>1</v>
      </c>
      <c r="J168">
        <v>0</v>
      </c>
      <c r="K168">
        <v>0</v>
      </c>
      <c r="L168">
        <v>0</v>
      </c>
      <c r="N168" t="s">
        <v>88</v>
      </c>
      <c r="O168" t="s">
        <v>89</v>
      </c>
      <c r="P168">
        <v>0</v>
      </c>
      <c r="Q168">
        <v>0</v>
      </c>
      <c r="R168">
        <v>0</v>
      </c>
      <c r="S168">
        <v>1</v>
      </c>
      <c r="T168">
        <v>0</v>
      </c>
      <c r="U168">
        <v>0</v>
      </c>
      <c r="V168">
        <v>0</v>
      </c>
      <c r="W168">
        <v>0</v>
      </c>
      <c r="X168">
        <v>0</v>
      </c>
      <c r="Y168">
        <v>0</v>
      </c>
      <c r="Z168">
        <v>0</v>
      </c>
      <c r="AA168">
        <v>0</v>
      </c>
      <c r="AM168" t="s">
        <v>83</v>
      </c>
      <c r="AN168" t="s">
        <v>82</v>
      </c>
      <c r="AO168" t="s">
        <v>82</v>
      </c>
      <c r="AP168" t="s">
        <v>81</v>
      </c>
      <c r="AQ168" t="s">
        <v>82</v>
      </c>
      <c r="AR168" t="s">
        <v>90</v>
      </c>
      <c r="AS168" t="s">
        <v>81</v>
      </c>
      <c r="AT168" t="s">
        <v>83</v>
      </c>
      <c r="AU168" t="s">
        <v>88</v>
      </c>
      <c r="AV168" t="s">
        <v>89</v>
      </c>
      <c r="AW168" t="s">
        <v>100</v>
      </c>
      <c r="AZ168" t="s">
        <v>107</v>
      </c>
      <c r="BA168" t="s">
        <v>87</v>
      </c>
      <c r="BB168" t="s">
        <v>87</v>
      </c>
      <c r="BC168" t="s">
        <v>87</v>
      </c>
      <c r="BD168" t="s">
        <v>87</v>
      </c>
      <c r="BE168" t="s">
        <v>87</v>
      </c>
      <c r="BF168" t="s">
        <v>159</v>
      </c>
      <c r="BG168" t="s">
        <v>76</v>
      </c>
      <c r="BH168" t="s">
        <v>98</v>
      </c>
      <c r="BI168" t="s">
        <v>107</v>
      </c>
      <c r="BJ168" t="s">
        <v>78</v>
      </c>
      <c r="BK168">
        <v>0</v>
      </c>
      <c r="BL168">
        <v>0</v>
      </c>
      <c r="BM168">
        <v>0</v>
      </c>
      <c r="BN168">
        <v>0</v>
      </c>
      <c r="BO168">
        <v>0</v>
      </c>
      <c r="BP168">
        <v>1</v>
      </c>
      <c r="BQ168">
        <v>0</v>
      </c>
      <c r="BR168">
        <v>0</v>
      </c>
    </row>
    <row r="169" spans="1:70" x14ac:dyDescent="0.2">
      <c r="A169" s="1">
        <v>44589.027777777781</v>
      </c>
      <c r="B169" s="1">
        <v>44589.030555555553</v>
      </c>
      <c r="C169">
        <v>1</v>
      </c>
      <c r="D169">
        <v>0</v>
      </c>
      <c r="E169">
        <v>0</v>
      </c>
      <c r="F169">
        <v>0</v>
      </c>
      <c r="H169">
        <v>0</v>
      </c>
      <c r="I169">
        <v>1</v>
      </c>
      <c r="J169">
        <v>0</v>
      </c>
      <c r="K169">
        <v>0</v>
      </c>
      <c r="L169">
        <v>0</v>
      </c>
      <c r="N169" t="s">
        <v>135</v>
      </c>
      <c r="O169" t="s">
        <v>127</v>
      </c>
      <c r="P169">
        <v>0</v>
      </c>
      <c r="Q169">
        <v>0</v>
      </c>
      <c r="R169">
        <v>0</v>
      </c>
      <c r="S169">
        <v>1</v>
      </c>
      <c r="T169">
        <v>0</v>
      </c>
      <c r="U169">
        <v>0</v>
      </c>
      <c r="V169">
        <v>0</v>
      </c>
      <c r="W169">
        <v>1</v>
      </c>
      <c r="X169">
        <v>0</v>
      </c>
      <c r="Y169">
        <v>0</v>
      </c>
      <c r="Z169">
        <v>0</v>
      </c>
      <c r="AA169">
        <v>0</v>
      </c>
      <c r="AM169" t="s">
        <v>83</v>
      </c>
      <c r="AN169" t="s">
        <v>82</v>
      </c>
      <c r="AO169" t="s">
        <v>81</v>
      </c>
      <c r="AP169" t="s">
        <v>82</v>
      </c>
      <c r="AQ169" t="s">
        <v>83</v>
      </c>
      <c r="AR169" t="s">
        <v>83</v>
      </c>
      <c r="AS169" t="s">
        <v>83</v>
      </c>
      <c r="AT169" t="s">
        <v>83</v>
      </c>
      <c r="AU169" t="s">
        <v>88</v>
      </c>
      <c r="AV169" t="s">
        <v>89</v>
      </c>
      <c r="AW169" t="s">
        <v>85</v>
      </c>
      <c r="AX169" t="s">
        <v>110</v>
      </c>
      <c r="AY169" t="s">
        <v>201</v>
      </c>
      <c r="AZ169" t="s">
        <v>73</v>
      </c>
      <c r="BA169" t="s">
        <v>86</v>
      </c>
      <c r="BB169" t="s">
        <v>86</v>
      </c>
      <c r="BC169" t="s">
        <v>86</v>
      </c>
      <c r="BD169" t="s">
        <v>86</v>
      </c>
      <c r="BE169" t="s">
        <v>74</v>
      </c>
      <c r="BF169" t="s">
        <v>113</v>
      </c>
      <c r="BG169" t="s">
        <v>76</v>
      </c>
      <c r="BH169" t="s">
        <v>77</v>
      </c>
      <c r="BI169" t="s">
        <v>73</v>
      </c>
      <c r="BJ169" t="s">
        <v>94</v>
      </c>
      <c r="BK169">
        <v>1</v>
      </c>
      <c r="BL169">
        <v>0</v>
      </c>
      <c r="BM169">
        <v>0</v>
      </c>
      <c r="BN169">
        <v>0</v>
      </c>
      <c r="BO169">
        <v>0</v>
      </c>
      <c r="BP169">
        <v>1</v>
      </c>
      <c r="BQ169">
        <v>0</v>
      </c>
      <c r="BR169">
        <v>0</v>
      </c>
    </row>
    <row r="170" spans="1:70" x14ac:dyDescent="0.2">
      <c r="A170" s="1">
        <v>44588.837500000001</v>
      </c>
      <c r="B170" s="1">
        <v>44588.839583333334</v>
      </c>
      <c r="C170">
        <v>0</v>
      </c>
      <c r="D170">
        <v>1</v>
      </c>
      <c r="E170">
        <v>0</v>
      </c>
      <c r="F170">
        <v>0</v>
      </c>
      <c r="H170">
        <v>1</v>
      </c>
      <c r="I170">
        <v>0</v>
      </c>
      <c r="J170">
        <v>0</v>
      </c>
      <c r="K170">
        <v>0</v>
      </c>
      <c r="L170">
        <v>0</v>
      </c>
      <c r="P170">
        <v>1</v>
      </c>
      <c r="Q170">
        <v>0</v>
      </c>
      <c r="R170">
        <v>0</v>
      </c>
      <c r="S170">
        <v>0</v>
      </c>
      <c r="T170">
        <v>0</v>
      </c>
      <c r="U170">
        <v>0</v>
      </c>
      <c r="V170">
        <v>0</v>
      </c>
      <c r="W170">
        <v>0</v>
      </c>
      <c r="X170">
        <v>0</v>
      </c>
      <c r="Y170">
        <v>0</v>
      </c>
      <c r="Z170">
        <v>0</v>
      </c>
      <c r="AA170">
        <v>0</v>
      </c>
      <c r="AC170">
        <v>0</v>
      </c>
      <c r="AD170">
        <v>0</v>
      </c>
      <c r="AE170">
        <v>1</v>
      </c>
      <c r="AF170">
        <v>0</v>
      </c>
      <c r="AG170">
        <v>0</v>
      </c>
      <c r="AH170">
        <v>0</v>
      </c>
      <c r="AI170">
        <v>0</v>
      </c>
      <c r="AJ170">
        <v>0</v>
      </c>
      <c r="AK170">
        <v>0</v>
      </c>
      <c r="AX170" t="s">
        <v>118</v>
      </c>
      <c r="AZ170" t="s">
        <v>96</v>
      </c>
      <c r="BA170" t="s">
        <v>87</v>
      </c>
      <c r="BB170" t="s">
        <v>87</v>
      </c>
      <c r="BC170" t="s">
        <v>87</v>
      </c>
      <c r="BD170" t="s">
        <v>87</v>
      </c>
      <c r="BE170" t="s">
        <v>87</v>
      </c>
      <c r="BF170" t="s">
        <v>108</v>
      </c>
      <c r="BG170" t="s">
        <v>76</v>
      </c>
      <c r="BH170" t="s">
        <v>77</v>
      </c>
      <c r="BI170" t="s">
        <v>96</v>
      </c>
      <c r="BJ170" t="s">
        <v>114</v>
      </c>
      <c r="BK170">
        <v>1</v>
      </c>
      <c r="BL170">
        <v>0</v>
      </c>
      <c r="BM170">
        <v>0</v>
      </c>
      <c r="BN170">
        <v>0</v>
      </c>
      <c r="BO170">
        <v>0</v>
      </c>
      <c r="BP170">
        <v>0</v>
      </c>
      <c r="BQ170">
        <v>0</v>
      </c>
      <c r="BR170">
        <v>0</v>
      </c>
    </row>
    <row r="171" spans="1:70" x14ac:dyDescent="0.2">
      <c r="A171" s="1">
        <v>44585.756944444445</v>
      </c>
      <c r="B171" s="1">
        <v>44585.759027777778</v>
      </c>
      <c r="C171">
        <v>1</v>
      </c>
      <c r="D171">
        <v>0</v>
      </c>
      <c r="E171">
        <v>0</v>
      </c>
      <c r="F171">
        <v>0</v>
      </c>
      <c r="H171">
        <v>0</v>
      </c>
      <c r="I171">
        <v>0</v>
      </c>
      <c r="J171">
        <v>0</v>
      </c>
      <c r="K171">
        <v>0</v>
      </c>
      <c r="L171">
        <v>1</v>
      </c>
      <c r="M171" t="s">
        <v>202</v>
      </c>
      <c r="N171" t="s">
        <v>79</v>
      </c>
      <c r="O171" t="s">
        <v>80</v>
      </c>
      <c r="P171">
        <v>1</v>
      </c>
      <c r="Q171">
        <v>0</v>
      </c>
      <c r="R171">
        <v>0</v>
      </c>
      <c r="S171">
        <v>0</v>
      </c>
      <c r="T171">
        <v>0</v>
      </c>
      <c r="U171">
        <v>0</v>
      </c>
      <c r="V171">
        <v>0</v>
      </c>
      <c r="W171">
        <v>0</v>
      </c>
      <c r="X171">
        <v>0</v>
      </c>
      <c r="Y171">
        <v>0</v>
      </c>
      <c r="Z171">
        <v>0</v>
      </c>
      <c r="AA171">
        <v>0</v>
      </c>
      <c r="AC171">
        <v>0</v>
      </c>
      <c r="AD171">
        <v>1</v>
      </c>
      <c r="AE171">
        <v>0</v>
      </c>
      <c r="AF171">
        <v>0</v>
      </c>
      <c r="AG171">
        <v>0</v>
      </c>
      <c r="AH171">
        <v>0</v>
      </c>
      <c r="AI171">
        <v>0</v>
      </c>
      <c r="AJ171">
        <v>0</v>
      </c>
      <c r="AK171">
        <v>0</v>
      </c>
      <c r="AX171" t="s">
        <v>199</v>
      </c>
      <c r="AZ171" t="s">
        <v>73</v>
      </c>
      <c r="BA171" t="s">
        <v>74</v>
      </c>
      <c r="BF171" t="s">
        <v>75</v>
      </c>
      <c r="BG171" t="s">
        <v>76</v>
      </c>
      <c r="BH171" t="s">
        <v>98</v>
      </c>
      <c r="BI171" t="s">
        <v>73</v>
      </c>
      <c r="BJ171" t="s">
        <v>94</v>
      </c>
      <c r="BK171">
        <v>1</v>
      </c>
      <c r="BL171">
        <v>0</v>
      </c>
      <c r="BM171">
        <v>0</v>
      </c>
      <c r="BN171">
        <v>0</v>
      </c>
      <c r="BO171">
        <v>0</v>
      </c>
      <c r="BP171">
        <v>0</v>
      </c>
      <c r="BQ171">
        <v>0</v>
      </c>
      <c r="BR171">
        <v>0</v>
      </c>
    </row>
    <row r="172" spans="1:70" x14ac:dyDescent="0.2">
      <c r="A172" s="1">
        <v>44589.64166666667</v>
      </c>
      <c r="B172" s="1">
        <v>44589.643055555556</v>
      </c>
      <c r="C172">
        <v>0</v>
      </c>
      <c r="D172">
        <v>1</v>
      </c>
      <c r="E172">
        <v>0</v>
      </c>
      <c r="F172">
        <v>0</v>
      </c>
      <c r="H172">
        <v>1</v>
      </c>
      <c r="I172">
        <v>0</v>
      </c>
      <c r="J172">
        <v>0</v>
      </c>
      <c r="K172">
        <v>0</v>
      </c>
      <c r="L172">
        <v>0</v>
      </c>
      <c r="P172">
        <v>1</v>
      </c>
      <c r="Q172">
        <v>0</v>
      </c>
      <c r="R172">
        <v>0</v>
      </c>
      <c r="S172">
        <v>0</v>
      </c>
      <c r="T172">
        <v>0</v>
      </c>
      <c r="U172">
        <v>0</v>
      </c>
      <c r="V172">
        <v>0</v>
      </c>
      <c r="W172">
        <v>0</v>
      </c>
      <c r="X172">
        <v>0</v>
      </c>
      <c r="Y172">
        <v>0</v>
      </c>
      <c r="Z172">
        <v>0</v>
      </c>
      <c r="AA172">
        <v>0</v>
      </c>
      <c r="AC172">
        <v>0</v>
      </c>
      <c r="AD172">
        <v>0</v>
      </c>
      <c r="AE172">
        <v>1</v>
      </c>
      <c r="AF172">
        <v>0</v>
      </c>
      <c r="AG172">
        <v>0</v>
      </c>
      <c r="AH172">
        <v>0</v>
      </c>
      <c r="AI172">
        <v>0</v>
      </c>
      <c r="AJ172">
        <v>0</v>
      </c>
      <c r="AK172">
        <v>0</v>
      </c>
      <c r="AZ172" t="s">
        <v>107</v>
      </c>
      <c r="BA172" t="s">
        <v>86</v>
      </c>
      <c r="BB172" t="s">
        <v>74</v>
      </c>
      <c r="BC172" t="s">
        <v>86</v>
      </c>
      <c r="BD172" t="s">
        <v>74</v>
      </c>
      <c r="BE172" t="s">
        <v>86</v>
      </c>
      <c r="BF172" t="s">
        <v>97</v>
      </c>
      <c r="BG172" t="s">
        <v>76</v>
      </c>
      <c r="BH172" t="s">
        <v>98</v>
      </c>
      <c r="BI172" t="s">
        <v>107</v>
      </c>
      <c r="BJ172" t="s">
        <v>114</v>
      </c>
      <c r="BK172">
        <v>1</v>
      </c>
      <c r="BL172">
        <v>0</v>
      </c>
      <c r="BM172">
        <v>0</v>
      </c>
      <c r="BN172">
        <v>0</v>
      </c>
      <c r="BO172">
        <v>0</v>
      </c>
      <c r="BP172">
        <v>0</v>
      </c>
      <c r="BQ172">
        <v>0</v>
      </c>
      <c r="BR172">
        <v>0</v>
      </c>
    </row>
    <row r="173" spans="1:70" x14ac:dyDescent="0.2">
      <c r="A173" s="1">
        <v>44585.568055555559</v>
      </c>
      <c r="B173" s="1">
        <v>44585.576388888891</v>
      </c>
      <c r="C173">
        <v>1</v>
      </c>
      <c r="D173">
        <v>0</v>
      </c>
      <c r="E173">
        <v>0</v>
      </c>
      <c r="F173">
        <v>0</v>
      </c>
      <c r="H173">
        <v>0</v>
      </c>
      <c r="I173">
        <v>1</v>
      </c>
      <c r="J173">
        <v>0</v>
      </c>
      <c r="K173">
        <v>1</v>
      </c>
      <c r="L173">
        <v>0</v>
      </c>
      <c r="N173" t="s">
        <v>88</v>
      </c>
      <c r="O173" t="s">
        <v>89</v>
      </c>
      <c r="P173">
        <v>0</v>
      </c>
      <c r="Q173">
        <v>0</v>
      </c>
      <c r="R173">
        <v>0</v>
      </c>
      <c r="S173">
        <v>0</v>
      </c>
      <c r="T173">
        <v>0</v>
      </c>
      <c r="U173">
        <v>0</v>
      </c>
      <c r="V173">
        <v>0</v>
      </c>
      <c r="W173">
        <v>0</v>
      </c>
      <c r="X173">
        <v>0</v>
      </c>
      <c r="Y173">
        <v>0</v>
      </c>
      <c r="Z173">
        <v>0</v>
      </c>
      <c r="AA173">
        <v>1</v>
      </c>
      <c r="AB173" t="s">
        <v>203</v>
      </c>
      <c r="AM173" t="s">
        <v>83</v>
      </c>
      <c r="AN173" t="s">
        <v>82</v>
      </c>
      <c r="AO173" t="s">
        <v>82</v>
      </c>
      <c r="AP173" t="s">
        <v>82</v>
      </c>
      <c r="AQ173" t="s">
        <v>83</v>
      </c>
      <c r="AR173" t="s">
        <v>83</v>
      </c>
      <c r="AS173" t="s">
        <v>83</v>
      </c>
      <c r="AT173" t="s">
        <v>83</v>
      </c>
      <c r="AU173" t="s">
        <v>88</v>
      </c>
      <c r="AV173" t="s">
        <v>89</v>
      </c>
      <c r="AW173" t="s">
        <v>100</v>
      </c>
      <c r="AX173" t="s">
        <v>122</v>
      </c>
      <c r="AZ173" t="s">
        <v>73</v>
      </c>
      <c r="BA173" t="s">
        <v>87</v>
      </c>
      <c r="BB173" t="s">
        <v>87</v>
      </c>
      <c r="BC173" t="s">
        <v>87</v>
      </c>
      <c r="BD173" t="s">
        <v>87</v>
      </c>
      <c r="BE173" t="s">
        <v>87</v>
      </c>
      <c r="BF173" t="s">
        <v>113</v>
      </c>
      <c r="BG173" t="s">
        <v>76</v>
      </c>
      <c r="BH173" t="s">
        <v>98</v>
      </c>
      <c r="BI173" t="s">
        <v>73</v>
      </c>
      <c r="BJ173" t="s">
        <v>94</v>
      </c>
      <c r="BK173">
        <v>0</v>
      </c>
      <c r="BL173">
        <v>0</v>
      </c>
      <c r="BM173">
        <v>0</v>
      </c>
      <c r="BN173">
        <v>0</v>
      </c>
      <c r="BO173">
        <v>0</v>
      </c>
      <c r="BP173">
        <v>0</v>
      </c>
      <c r="BQ173">
        <v>0</v>
      </c>
      <c r="BR173">
        <v>1</v>
      </c>
    </row>
    <row r="174" spans="1:70" x14ac:dyDescent="0.2">
      <c r="A174" s="1">
        <v>44580.037499999999</v>
      </c>
      <c r="B174" s="1">
        <v>44580.041666666664</v>
      </c>
      <c r="C174">
        <v>1</v>
      </c>
      <c r="D174">
        <v>0</v>
      </c>
      <c r="E174">
        <v>0</v>
      </c>
      <c r="F174">
        <v>0</v>
      </c>
      <c r="H174">
        <v>0</v>
      </c>
      <c r="I174">
        <v>0</v>
      </c>
      <c r="J174">
        <v>0</v>
      </c>
      <c r="K174">
        <v>0</v>
      </c>
      <c r="L174">
        <v>1</v>
      </c>
      <c r="M174" t="s">
        <v>204</v>
      </c>
      <c r="N174" t="s">
        <v>88</v>
      </c>
      <c r="O174" t="s">
        <v>89</v>
      </c>
      <c r="P174">
        <v>0</v>
      </c>
      <c r="Q174">
        <v>1</v>
      </c>
      <c r="R174">
        <v>0</v>
      </c>
      <c r="S174">
        <v>0</v>
      </c>
      <c r="T174">
        <v>0</v>
      </c>
      <c r="U174">
        <v>0</v>
      </c>
      <c r="V174">
        <v>0</v>
      </c>
      <c r="W174">
        <v>0</v>
      </c>
      <c r="X174">
        <v>0</v>
      </c>
      <c r="Y174">
        <v>0</v>
      </c>
      <c r="Z174">
        <v>0</v>
      </c>
      <c r="AA174">
        <v>0</v>
      </c>
      <c r="AM174" t="s">
        <v>83</v>
      </c>
      <c r="AN174" t="s">
        <v>82</v>
      </c>
      <c r="AO174" t="s">
        <v>83</v>
      </c>
      <c r="AP174" t="s">
        <v>83</v>
      </c>
      <c r="AQ174" t="s">
        <v>83</v>
      </c>
      <c r="AR174" t="s">
        <v>90</v>
      </c>
      <c r="AS174" t="s">
        <v>90</v>
      </c>
      <c r="AT174" t="s">
        <v>81</v>
      </c>
      <c r="AU174" t="s">
        <v>88</v>
      </c>
      <c r="AV174" t="s">
        <v>89</v>
      </c>
      <c r="AW174" t="s">
        <v>100</v>
      </c>
      <c r="AX174" t="s">
        <v>199</v>
      </c>
      <c r="AZ174" t="s">
        <v>107</v>
      </c>
      <c r="BA174" t="s">
        <v>86</v>
      </c>
      <c r="BB174" t="s">
        <v>74</v>
      </c>
      <c r="BC174" t="s">
        <v>87</v>
      </c>
      <c r="BD174" t="s">
        <v>87</v>
      </c>
      <c r="BE174" t="s">
        <v>74</v>
      </c>
      <c r="BF174" t="s">
        <v>75</v>
      </c>
      <c r="BG174" t="s">
        <v>76</v>
      </c>
      <c r="BH174" t="s">
        <v>98</v>
      </c>
      <c r="BI174" t="s">
        <v>107</v>
      </c>
      <c r="BJ174" t="s">
        <v>114</v>
      </c>
      <c r="BK174">
        <v>0</v>
      </c>
      <c r="BL174">
        <v>0</v>
      </c>
      <c r="BM174">
        <v>0</v>
      </c>
      <c r="BN174">
        <v>0</v>
      </c>
      <c r="BO174">
        <v>0</v>
      </c>
      <c r="BP174">
        <v>1</v>
      </c>
      <c r="BQ174">
        <v>0</v>
      </c>
      <c r="BR174">
        <v>0</v>
      </c>
    </row>
    <row r="175" spans="1:70" x14ac:dyDescent="0.2">
      <c r="A175" s="1">
        <v>44585.534722222219</v>
      </c>
      <c r="B175" s="1">
        <v>44585.536805555559</v>
      </c>
      <c r="C175">
        <v>1</v>
      </c>
      <c r="D175">
        <v>0</v>
      </c>
      <c r="E175">
        <v>0</v>
      </c>
      <c r="F175">
        <v>0</v>
      </c>
      <c r="H175">
        <v>1</v>
      </c>
      <c r="I175">
        <v>0</v>
      </c>
      <c r="J175">
        <v>0</v>
      </c>
      <c r="K175">
        <v>0</v>
      </c>
      <c r="L175">
        <v>0</v>
      </c>
      <c r="P175">
        <v>0</v>
      </c>
      <c r="Q175">
        <v>0</v>
      </c>
      <c r="R175">
        <v>1</v>
      </c>
      <c r="S175">
        <v>0</v>
      </c>
      <c r="T175">
        <v>0</v>
      </c>
      <c r="U175">
        <v>0</v>
      </c>
      <c r="V175">
        <v>0</v>
      </c>
      <c r="W175">
        <v>0</v>
      </c>
      <c r="X175">
        <v>0</v>
      </c>
      <c r="Y175">
        <v>0</v>
      </c>
      <c r="Z175">
        <v>0</v>
      </c>
      <c r="AA175">
        <v>0</v>
      </c>
      <c r="AM175" t="s">
        <v>82</v>
      </c>
      <c r="AN175" t="s">
        <v>83</v>
      </c>
      <c r="AO175" t="s">
        <v>83</v>
      </c>
      <c r="AP175" t="s">
        <v>83</v>
      </c>
      <c r="AQ175" t="s">
        <v>82</v>
      </c>
      <c r="AR175" t="s">
        <v>81</v>
      </c>
      <c r="AS175" t="s">
        <v>83</v>
      </c>
      <c r="AT175" t="s">
        <v>83</v>
      </c>
      <c r="AU175" t="s">
        <v>135</v>
      </c>
      <c r="AV175" t="s">
        <v>80</v>
      </c>
      <c r="AW175" t="s">
        <v>85</v>
      </c>
      <c r="AX175" t="s">
        <v>106</v>
      </c>
      <c r="AZ175" t="s">
        <v>107</v>
      </c>
      <c r="BA175" t="s">
        <v>74</v>
      </c>
      <c r="BF175" t="s">
        <v>75</v>
      </c>
      <c r="BG175" t="s">
        <v>76</v>
      </c>
      <c r="BH175" t="s">
        <v>77</v>
      </c>
      <c r="BI175" t="s">
        <v>107</v>
      </c>
      <c r="BJ175" t="s">
        <v>114</v>
      </c>
      <c r="BK175">
        <v>1</v>
      </c>
      <c r="BL175">
        <v>0</v>
      </c>
      <c r="BM175">
        <v>0</v>
      </c>
      <c r="BN175">
        <v>0</v>
      </c>
      <c r="BO175">
        <v>0</v>
      </c>
      <c r="BP175">
        <v>0</v>
      </c>
      <c r="BQ175">
        <v>0</v>
      </c>
      <c r="BR175">
        <v>0</v>
      </c>
    </row>
    <row r="176" spans="1:70" x14ac:dyDescent="0.2">
      <c r="A176" s="1">
        <v>44585.548611111109</v>
      </c>
      <c r="B176" s="1">
        <v>44585.550694444442</v>
      </c>
      <c r="C176">
        <v>1</v>
      </c>
      <c r="D176">
        <v>0</v>
      </c>
      <c r="E176">
        <v>0</v>
      </c>
      <c r="F176">
        <v>0</v>
      </c>
      <c r="H176">
        <v>0</v>
      </c>
      <c r="I176">
        <v>1</v>
      </c>
      <c r="J176">
        <v>0</v>
      </c>
      <c r="K176">
        <v>0</v>
      </c>
      <c r="L176">
        <v>0</v>
      </c>
      <c r="N176" t="s">
        <v>88</v>
      </c>
      <c r="O176" t="s">
        <v>80</v>
      </c>
      <c r="P176">
        <v>0</v>
      </c>
      <c r="Q176">
        <v>0</v>
      </c>
      <c r="R176">
        <v>1</v>
      </c>
      <c r="S176">
        <v>0</v>
      </c>
      <c r="T176">
        <v>0</v>
      </c>
      <c r="U176">
        <v>0</v>
      </c>
      <c r="V176">
        <v>0</v>
      </c>
      <c r="W176">
        <v>0</v>
      </c>
      <c r="X176">
        <v>0</v>
      </c>
      <c r="Y176">
        <v>0</v>
      </c>
      <c r="Z176">
        <v>0</v>
      </c>
      <c r="AA176">
        <v>0</v>
      </c>
      <c r="AM176" t="s">
        <v>83</v>
      </c>
      <c r="AN176" t="s">
        <v>82</v>
      </c>
      <c r="AO176" t="s">
        <v>83</v>
      </c>
      <c r="AP176" t="s">
        <v>82</v>
      </c>
      <c r="AQ176" t="s">
        <v>82</v>
      </c>
      <c r="AR176" t="s">
        <v>83</v>
      </c>
      <c r="AS176" t="s">
        <v>83</v>
      </c>
      <c r="AT176" t="s">
        <v>83</v>
      </c>
      <c r="AU176" t="s">
        <v>88</v>
      </c>
      <c r="AV176" t="s">
        <v>89</v>
      </c>
      <c r="AW176" t="s">
        <v>100</v>
      </c>
      <c r="AX176" t="s">
        <v>72</v>
      </c>
      <c r="AZ176" t="s">
        <v>73</v>
      </c>
      <c r="BA176" t="s">
        <v>87</v>
      </c>
      <c r="BB176" t="s">
        <v>87</v>
      </c>
      <c r="BC176" t="s">
        <v>87</v>
      </c>
      <c r="BD176" t="s">
        <v>87</v>
      </c>
      <c r="BE176" t="s">
        <v>87</v>
      </c>
      <c r="BF176" t="s">
        <v>75</v>
      </c>
      <c r="BG176" t="s">
        <v>76</v>
      </c>
      <c r="BH176" t="s">
        <v>77</v>
      </c>
      <c r="BI176" t="s">
        <v>73</v>
      </c>
      <c r="BJ176" t="s">
        <v>114</v>
      </c>
      <c r="BK176">
        <v>0</v>
      </c>
      <c r="BL176">
        <v>0</v>
      </c>
      <c r="BM176">
        <v>0</v>
      </c>
      <c r="BN176">
        <v>0</v>
      </c>
      <c r="BO176">
        <v>0</v>
      </c>
      <c r="BP176">
        <v>0</v>
      </c>
      <c r="BQ176">
        <v>0</v>
      </c>
      <c r="BR176">
        <v>1</v>
      </c>
    </row>
    <row r="177" spans="1:70" x14ac:dyDescent="0.2">
      <c r="A177" s="1">
        <v>44581.154861111114</v>
      </c>
      <c r="B177" s="1">
        <v>44581.156944444447</v>
      </c>
      <c r="C177">
        <v>1</v>
      </c>
      <c r="D177">
        <v>0</v>
      </c>
      <c r="E177">
        <v>0</v>
      </c>
      <c r="F177">
        <v>0</v>
      </c>
      <c r="H177">
        <v>1</v>
      </c>
      <c r="I177">
        <v>0</v>
      </c>
      <c r="J177">
        <v>0</v>
      </c>
      <c r="K177">
        <v>0</v>
      </c>
      <c r="L177">
        <v>0</v>
      </c>
      <c r="P177">
        <v>0</v>
      </c>
      <c r="Q177">
        <v>0</v>
      </c>
      <c r="R177">
        <v>1</v>
      </c>
      <c r="S177">
        <v>0</v>
      </c>
      <c r="T177">
        <v>0</v>
      </c>
      <c r="U177">
        <v>0</v>
      </c>
      <c r="V177">
        <v>0</v>
      </c>
      <c r="W177">
        <v>0</v>
      </c>
      <c r="X177">
        <v>0</v>
      </c>
      <c r="Y177">
        <v>0</v>
      </c>
      <c r="Z177">
        <v>0</v>
      </c>
      <c r="AA177">
        <v>0</v>
      </c>
      <c r="AM177" t="s">
        <v>83</v>
      </c>
      <c r="AN177" t="s">
        <v>82</v>
      </c>
      <c r="AO177" t="s">
        <v>81</v>
      </c>
      <c r="AP177" t="s">
        <v>83</v>
      </c>
      <c r="AQ177" t="s">
        <v>82</v>
      </c>
      <c r="AR177" t="s">
        <v>83</v>
      </c>
      <c r="AS177" t="s">
        <v>83</v>
      </c>
      <c r="AT177" t="s">
        <v>83</v>
      </c>
      <c r="AU177" t="s">
        <v>88</v>
      </c>
      <c r="AV177" t="s">
        <v>89</v>
      </c>
      <c r="AW177" t="s">
        <v>85</v>
      </c>
      <c r="AX177" t="s">
        <v>146</v>
      </c>
      <c r="AZ177" t="s">
        <v>96</v>
      </c>
      <c r="BA177" t="s">
        <v>86</v>
      </c>
      <c r="BB177" t="s">
        <v>74</v>
      </c>
      <c r="BC177" t="s">
        <v>87</v>
      </c>
      <c r="BD177" t="s">
        <v>87</v>
      </c>
      <c r="BE177" t="s">
        <v>74</v>
      </c>
      <c r="BF177" t="s">
        <v>75</v>
      </c>
      <c r="BG177" t="s">
        <v>76</v>
      </c>
      <c r="BH177" t="s">
        <v>77</v>
      </c>
      <c r="BI177" t="s">
        <v>96</v>
      </c>
      <c r="BJ177" t="s">
        <v>109</v>
      </c>
      <c r="BK177">
        <v>0</v>
      </c>
      <c r="BL177">
        <v>0</v>
      </c>
      <c r="BM177">
        <v>0</v>
      </c>
      <c r="BN177">
        <v>0</v>
      </c>
      <c r="BO177">
        <v>0</v>
      </c>
      <c r="BP177">
        <v>1</v>
      </c>
      <c r="BQ177">
        <v>0</v>
      </c>
      <c r="BR177">
        <v>0</v>
      </c>
    </row>
    <row r="178" spans="1:70" x14ac:dyDescent="0.2">
      <c r="A178" s="1">
        <v>44585.553472222222</v>
      </c>
      <c r="B178" s="1">
        <v>44585.570833333331</v>
      </c>
      <c r="C178">
        <v>0</v>
      </c>
      <c r="D178">
        <v>1</v>
      </c>
      <c r="E178">
        <v>0</v>
      </c>
      <c r="F178">
        <v>0</v>
      </c>
      <c r="H178">
        <v>1</v>
      </c>
      <c r="I178">
        <v>0</v>
      </c>
      <c r="J178">
        <v>0</v>
      </c>
      <c r="K178">
        <v>0</v>
      </c>
      <c r="L178">
        <v>0</v>
      </c>
      <c r="P178">
        <v>1</v>
      </c>
      <c r="Q178">
        <v>0</v>
      </c>
      <c r="R178">
        <v>0</v>
      </c>
      <c r="S178">
        <v>0</v>
      </c>
      <c r="T178">
        <v>0</v>
      </c>
      <c r="U178">
        <v>0</v>
      </c>
      <c r="V178">
        <v>0</v>
      </c>
      <c r="W178">
        <v>0</v>
      </c>
      <c r="X178">
        <v>0</v>
      </c>
      <c r="Y178">
        <v>0</v>
      </c>
      <c r="Z178">
        <v>0</v>
      </c>
      <c r="AA178">
        <v>0</v>
      </c>
      <c r="AC178">
        <v>0</v>
      </c>
      <c r="AD178">
        <v>0</v>
      </c>
      <c r="AE178">
        <v>1</v>
      </c>
      <c r="AF178">
        <v>0</v>
      </c>
      <c r="AG178">
        <v>0</v>
      </c>
      <c r="AH178">
        <v>0</v>
      </c>
      <c r="AI178">
        <v>0</v>
      </c>
      <c r="AJ178">
        <v>0</v>
      </c>
      <c r="AK178">
        <v>0</v>
      </c>
      <c r="AX178" t="s">
        <v>106</v>
      </c>
      <c r="AZ178" t="s">
        <v>96</v>
      </c>
      <c r="BA178" t="s">
        <v>86</v>
      </c>
      <c r="BB178" t="s">
        <v>87</v>
      </c>
      <c r="BC178" t="s">
        <v>87</v>
      </c>
      <c r="BD178" t="s">
        <v>87</v>
      </c>
      <c r="BE178" t="s">
        <v>87</v>
      </c>
      <c r="BF178" t="s">
        <v>75</v>
      </c>
      <c r="BG178" t="s">
        <v>76</v>
      </c>
      <c r="BH178" t="s">
        <v>98</v>
      </c>
      <c r="BI178" t="s">
        <v>96</v>
      </c>
      <c r="BJ178" t="s">
        <v>114</v>
      </c>
      <c r="BK178">
        <v>0</v>
      </c>
      <c r="BL178">
        <v>0</v>
      </c>
      <c r="BM178">
        <v>0</v>
      </c>
      <c r="BN178">
        <v>0</v>
      </c>
      <c r="BO178">
        <v>0</v>
      </c>
      <c r="BP178">
        <v>1</v>
      </c>
      <c r="BQ178">
        <v>0</v>
      </c>
      <c r="BR178">
        <v>0</v>
      </c>
    </row>
    <row r="179" spans="1:70" x14ac:dyDescent="0.2">
      <c r="A179" s="1">
        <v>44579.879166666666</v>
      </c>
      <c r="B179" s="1">
        <v>44579.881249999999</v>
      </c>
      <c r="C179">
        <v>1</v>
      </c>
      <c r="D179">
        <v>0</v>
      </c>
      <c r="E179">
        <v>0</v>
      </c>
      <c r="F179">
        <v>0</v>
      </c>
      <c r="H179">
        <v>0</v>
      </c>
      <c r="I179">
        <v>1</v>
      </c>
      <c r="J179">
        <v>1</v>
      </c>
      <c r="K179">
        <v>0</v>
      </c>
      <c r="L179">
        <v>1</v>
      </c>
      <c r="M179" t="s">
        <v>205</v>
      </c>
      <c r="N179" t="s">
        <v>88</v>
      </c>
      <c r="O179" t="s">
        <v>89</v>
      </c>
      <c r="P179">
        <v>0</v>
      </c>
      <c r="Q179">
        <v>0</v>
      </c>
      <c r="R179">
        <v>1</v>
      </c>
      <c r="S179">
        <v>0</v>
      </c>
      <c r="T179">
        <v>0</v>
      </c>
      <c r="U179">
        <v>0</v>
      </c>
      <c r="V179">
        <v>0</v>
      </c>
      <c r="W179">
        <v>1</v>
      </c>
      <c r="X179">
        <v>0</v>
      </c>
      <c r="Y179">
        <v>0</v>
      </c>
      <c r="Z179">
        <v>0</v>
      </c>
      <c r="AA179">
        <v>0</v>
      </c>
      <c r="AM179" t="s">
        <v>81</v>
      </c>
      <c r="AN179" t="s">
        <v>82</v>
      </c>
      <c r="AO179" t="s">
        <v>83</v>
      </c>
      <c r="AP179" t="s">
        <v>81</v>
      </c>
      <c r="AQ179" t="s">
        <v>82</v>
      </c>
      <c r="AR179" t="s">
        <v>81</v>
      </c>
      <c r="AS179" t="s">
        <v>81</v>
      </c>
      <c r="AT179" t="s">
        <v>83</v>
      </c>
      <c r="AU179" t="s">
        <v>88</v>
      </c>
      <c r="AV179" t="s">
        <v>89</v>
      </c>
      <c r="AW179" t="s">
        <v>85</v>
      </c>
      <c r="AX179" t="s">
        <v>146</v>
      </c>
      <c r="AZ179" t="s">
        <v>107</v>
      </c>
      <c r="BA179" t="s">
        <v>87</v>
      </c>
      <c r="BB179" t="s">
        <v>86</v>
      </c>
      <c r="BC179" t="s">
        <v>86</v>
      </c>
      <c r="BD179" t="s">
        <v>74</v>
      </c>
      <c r="BE179" t="s">
        <v>86</v>
      </c>
      <c r="BF179" t="s">
        <v>75</v>
      </c>
      <c r="BG179" t="s">
        <v>76</v>
      </c>
      <c r="BH179" t="s">
        <v>77</v>
      </c>
      <c r="BI179" t="s">
        <v>107</v>
      </c>
      <c r="BJ179" t="s">
        <v>78</v>
      </c>
      <c r="BK179">
        <v>0</v>
      </c>
      <c r="BL179">
        <v>0</v>
      </c>
      <c r="BM179">
        <v>0</v>
      </c>
      <c r="BN179">
        <v>0</v>
      </c>
      <c r="BO179">
        <v>0</v>
      </c>
      <c r="BP179">
        <v>1</v>
      </c>
      <c r="BQ179">
        <v>0</v>
      </c>
      <c r="BR179">
        <v>0</v>
      </c>
    </row>
    <row r="180" spans="1:70" x14ac:dyDescent="0.2">
      <c r="A180" s="1">
        <v>44579.95</v>
      </c>
      <c r="B180" s="1">
        <v>44579.952777777777</v>
      </c>
      <c r="C180">
        <v>1</v>
      </c>
      <c r="D180">
        <v>0</v>
      </c>
      <c r="E180">
        <v>0</v>
      </c>
      <c r="F180">
        <v>0</v>
      </c>
      <c r="H180">
        <v>0</v>
      </c>
      <c r="I180">
        <v>1</v>
      </c>
      <c r="J180">
        <v>1</v>
      </c>
      <c r="K180">
        <v>1</v>
      </c>
      <c r="L180">
        <v>0</v>
      </c>
      <c r="N180" t="s">
        <v>88</v>
      </c>
      <c r="O180" t="s">
        <v>89</v>
      </c>
      <c r="P180">
        <v>0</v>
      </c>
      <c r="Q180">
        <v>0</v>
      </c>
      <c r="R180">
        <v>1</v>
      </c>
      <c r="S180">
        <v>0</v>
      </c>
      <c r="T180">
        <v>0</v>
      </c>
      <c r="U180">
        <v>0</v>
      </c>
      <c r="V180">
        <v>0</v>
      </c>
      <c r="W180">
        <v>0</v>
      </c>
      <c r="X180">
        <v>0</v>
      </c>
      <c r="Y180">
        <v>0</v>
      </c>
      <c r="Z180">
        <v>0</v>
      </c>
      <c r="AA180">
        <v>0</v>
      </c>
      <c r="AM180" t="s">
        <v>81</v>
      </c>
      <c r="AN180" t="s">
        <v>82</v>
      </c>
      <c r="AO180" t="s">
        <v>82</v>
      </c>
      <c r="AP180" t="s">
        <v>82</v>
      </c>
      <c r="AQ180" t="s">
        <v>81</v>
      </c>
      <c r="AR180" t="s">
        <v>83</v>
      </c>
      <c r="AS180" t="s">
        <v>83</v>
      </c>
      <c r="AT180" t="s">
        <v>83</v>
      </c>
      <c r="AU180" t="s">
        <v>88</v>
      </c>
      <c r="AV180" t="s">
        <v>89</v>
      </c>
      <c r="AW180" t="s">
        <v>100</v>
      </c>
      <c r="AX180" t="s">
        <v>110</v>
      </c>
      <c r="AY180" t="s">
        <v>206</v>
      </c>
      <c r="AZ180" t="s">
        <v>107</v>
      </c>
      <c r="BA180" t="s">
        <v>87</v>
      </c>
      <c r="BB180" t="s">
        <v>87</v>
      </c>
      <c r="BC180" t="s">
        <v>87</v>
      </c>
      <c r="BD180" t="s">
        <v>87</v>
      </c>
      <c r="BE180" t="s">
        <v>87</v>
      </c>
      <c r="BF180" t="s">
        <v>75</v>
      </c>
      <c r="BG180" t="s">
        <v>76</v>
      </c>
      <c r="BH180" t="s">
        <v>77</v>
      </c>
      <c r="BI180" t="s">
        <v>107</v>
      </c>
      <c r="BJ180" t="s">
        <v>129</v>
      </c>
      <c r="BK180">
        <v>1</v>
      </c>
      <c r="BL180">
        <v>0</v>
      </c>
      <c r="BM180">
        <v>0</v>
      </c>
      <c r="BN180">
        <v>0</v>
      </c>
      <c r="BO180">
        <v>0</v>
      </c>
      <c r="BP180">
        <v>0</v>
      </c>
      <c r="BQ180">
        <v>0</v>
      </c>
      <c r="BR180">
        <v>0</v>
      </c>
    </row>
    <row r="181" spans="1:70" x14ac:dyDescent="0.2">
      <c r="A181" s="1">
        <v>44585.611111111109</v>
      </c>
      <c r="B181" s="1">
        <v>44585.613888888889</v>
      </c>
      <c r="C181">
        <v>1</v>
      </c>
      <c r="D181">
        <v>0</v>
      </c>
      <c r="E181">
        <v>0</v>
      </c>
      <c r="F181">
        <v>0</v>
      </c>
      <c r="H181">
        <v>0</v>
      </c>
      <c r="I181">
        <v>1</v>
      </c>
      <c r="J181">
        <v>1</v>
      </c>
      <c r="K181">
        <v>1</v>
      </c>
      <c r="L181">
        <v>0</v>
      </c>
      <c r="N181" t="s">
        <v>79</v>
      </c>
      <c r="O181" t="s">
        <v>80</v>
      </c>
      <c r="P181">
        <v>0</v>
      </c>
      <c r="Q181">
        <v>0</v>
      </c>
      <c r="R181">
        <v>1</v>
      </c>
      <c r="S181">
        <v>0</v>
      </c>
      <c r="T181">
        <v>0</v>
      </c>
      <c r="U181">
        <v>0</v>
      </c>
      <c r="V181">
        <v>0</v>
      </c>
      <c r="W181">
        <v>0</v>
      </c>
      <c r="X181">
        <v>0</v>
      </c>
      <c r="Y181">
        <v>0</v>
      </c>
      <c r="Z181">
        <v>0</v>
      </c>
      <c r="AA181">
        <v>0</v>
      </c>
      <c r="AM181" t="s">
        <v>81</v>
      </c>
      <c r="AN181" t="s">
        <v>81</v>
      </c>
      <c r="AO181" t="s">
        <v>81</v>
      </c>
      <c r="AP181" t="s">
        <v>82</v>
      </c>
      <c r="AQ181" t="s">
        <v>82</v>
      </c>
      <c r="AR181" t="s">
        <v>81</v>
      </c>
      <c r="AS181" t="s">
        <v>81</v>
      </c>
      <c r="AT181" t="s">
        <v>83</v>
      </c>
      <c r="AU181" t="s">
        <v>84</v>
      </c>
      <c r="AV181" t="s">
        <v>80</v>
      </c>
      <c r="AW181" t="s">
        <v>117</v>
      </c>
      <c r="AX181" t="s">
        <v>122</v>
      </c>
      <c r="AZ181" t="s">
        <v>107</v>
      </c>
      <c r="BA181" t="s">
        <v>86</v>
      </c>
      <c r="BB181" t="s">
        <v>87</v>
      </c>
      <c r="BC181" t="s">
        <v>86</v>
      </c>
      <c r="BD181" t="s">
        <v>87</v>
      </c>
      <c r="BE181" t="s">
        <v>86</v>
      </c>
      <c r="BF181" t="s">
        <v>108</v>
      </c>
      <c r="BG181" t="s">
        <v>76</v>
      </c>
      <c r="BH181" t="s">
        <v>77</v>
      </c>
      <c r="BI181" t="s">
        <v>107</v>
      </c>
      <c r="BJ181" t="s">
        <v>78</v>
      </c>
      <c r="BK181">
        <v>1</v>
      </c>
      <c r="BL181">
        <v>0</v>
      </c>
      <c r="BM181">
        <v>0</v>
      </c>
      <c r="BN181">
        <v>0</v>
      </c>
      <c r="BO181">
        <v>1</v>
      </c>
      <c r="BP181">
        <v>0</v>
      </c>
      <c r="BQ181">
        <v>0</v>
      </c>
      <c r="BR181">
        <v>0</v>
      </c>
    </row>
    <row r="182" spans="1:70" x14ac:dyDescent="0.2">
      <c r="A182" s="1">
        <v>44585.888888888891</v>
      </c>
      <c r="B182" s="1">
        <v>44585.890972222223</v>
      </c>
      <c r="C182">
        <v>0</v>
      </c>
      <c r="D182">
        <v>0</v>
      </c>
      <c r="E182">
        <v>1</v>
      </c>
      <c r="F182">
        <v>0</v>
      </c>
      <c r="G182" t="s">
        <v>207</v>
      </c>
      <c r="H182">
        <v>1</v>
      </c>
      <c r="I182">
        <v>0</v>
      </c>
      <c r="J182">
        <v>0</v>
      </c>
      <c r="K182">
        <v>0</v>
      </c>
      <c r="L182">
        <v>0</v>
      </c>
      <c r="P182">
        <v>1</v>
      </c>
      <c r="Q182">
        <v>0</v>
      </c>
      <c r="R182">
        <v>0</v>
      </c>
      <c r="S182">
        <v>0</v>
      </c>
      <c r="T182">
        <v>0</v>
      </c>
      <c r="U182">
        <v>0</v>
      </c>
      <c r="V182">
        <v>0</v>
      </c>
      <c r="W182">
        <v>0</v>
      </c>
      <c r="X182">
        <v>0</v>
      </c>
      <c r="Y182">
        <v>0</v>
      </c>
      <c r="Z182">
        <v>0</v>
      </c>
      <c r="AA182">
        <v>0</v>
      </c>
      <c r="AC182">
        <v>0</v>
      </c>
      <c r="AD182">
        <v>0</v>
      </c>
      <c r="AE182">
        <v>1</v>
      </c>
      <c r="AF182">
        <v>0</v>
      </c>
      <c r="AG182">
        <v>0</v>
      </c>
      <c r="AH182">
        <v>0</v>
      </c>
      <c r="AI182">
        <v>1</v>
      </c>
      <c r="AJ182">
        <v>0</v>
      </c>
      <c r="AK182">
        <v>0</v>
      </c>
      <c r="AZ182" t="s">
        <v>107</v>
      </c>
      <c r="BA182" t="s">
        <v>87</v>
      </c>
      <c r="BB182" t="s">
        <v>87</v>
      </c>
      <c r="BC182" t="s">
        <v>87</v>
      </c>
      <c r="BD182" t="s">
        <v>87</v>
      </c>
      <c r="BE182" t="s">
        <v>87</v>
      </c>
      <c r="BF182" t="s">
        <v>97</v>
      </c>
      <c r="BG182" t="s">
        <v>76</v>
      </c>
      <c r="BH182" t="s">
        <v>98</v>
      </c>
      <c r="BI182" t="s">
        <v>107</v>
      </c>
      <c r="BJ182" t="s">
        <v>94</v>
      </c>
      <c r="BK182">
        <v>0</v>
      </c>
      <c r="BL182">
        <v>0</v>
      </c>
      <c r="BM182">
        <v>0</v>
      </c>
      <c r="BN182">
        <v>0</v>
      </c>
      <c r="BO182">
        <v>0</v>
      </c>
      <c r="BP182">
        <v>1</v>
      </c>
      <c r="BQ182">
        <v>0</v>
      </c>
      <c r="BR182">
        <v>0</v>
      </c>
    </row>
    <row r="183" spans="1:70" x14ac:dyDescent="0.2">
      <c r="A183" s="1">
        <v>44585.515972222223</v>
      </c>
      <c r="B183" s="1">
        <v>44585.518055555556</v>
      </c>
      <c r="C183">
        <v>0</v>
      </c>
      <c r="D183">
        <v>1</v>
      </c>
      <c r="E183">
        <v>0</v>
      </c>
      <c r="F183">
        <v>0</v>
      </c>
      <c r="H183">
        <v>0</v>
      </c>
      <c r="I183">
        <v>1</v>
      </c>
      <c r="J183">
        <v>0</v>
      </c>
      <c r="K183">
        <v>0</v>
      </c>
      <c r="L183">
        <v>0</v>
      </c>
      <c r="N183" t="s">
        <v>88</v>
      </c>
      <c r="O183" t="s">
        <v>89</v>
      </c>
      <c r="P183">
        <v>1</v>
      </c>
      <c r="Q183">
        <v>0</v>
      </c>
      <c r="R183">
        <v>0</v>
      </c>
      <c r="S183">
        <v>0</v>
      </c>
      <c r="T183">
        <v>0</v>
      </c>
      <c r="U183">
        <v>0</v>
      </c>
      <c r="V183">
        <v>0</v>
      </c>
      <c r="W183">
        <v>0</v>
      </c>
      <c r="X183">
        <v>0</v>
      </c>
      <c r="Y183">
        <v>0</v>
      </c>
      <c r="Z183">
        <v>0</v>
      </c>
      <c r="AA183">
        <v>0</v>
      </c>
      <c r="AC183">
        <v>0</v>
      </c>
      <c r="AD183">
        <v>0</v>
      </c>
      <c r="AE183">
        <v>0</v>
      </c>
      <c r="AF183">
        <v>0</v>
      </c>
      <c r="AG183">
        <v>1</v>
      </c>
      <c r="AH183">
        <v>0</v>
      </c>
      <c r="AI183">
        <v>0</v>
      </c>
      <c r="AJ183">
        <v>0</v>
      </c>
      <c r="AK183">
        <v>0</v>
      </c>
      <c r="AZ183" t="s">
        <v>107</v>
      </c>
      <c r="BA183" t="s">
        <v>87</v>
      </c>
      <c r="BB183" t="s">
        <v>74</v>
      </c>
      <c r="BC183" t="s">
        <v>87</v>
      </c>
      <c r="BD183" t="s">
        <v>87</v>
      </c>
      <c r="BE183" t="s">
        <v>87</v>
      </c>
      <c r="BF183" t="s">
        <v>97</v>
      </c>
      <c r="BG183" t="s">
        <v>76</v>
      </c>
      <c r="BH183" t="s">
        <v>98</v>
      </c>
      <c r="BI183" t="s">
        <v>107</v>
      </c>
      <c r="BJ183" t="s">
        <v>78</v>
      </c>
      <c r="BK183">
        <v>0</v>
      </c>
      <c r="BL183">
        <v>0</v>
      </c>
      <c r="BM183">
        <v>0</v>
      </c>
      <c r="BN183">
        <v>0</v>
      </c>
      <c r="BO183">
        <v>0</v>
      </c>
      <c r="BP183">
        <v>1</v>
      </c>
      <c r="BQ183">
        <v>0</v>
      </c>
      <c r="BR183">
        <v>0</v>
      </c>
    </row>
    <row r="184" spans="1:70" x14ac:dyDescent="0.2">
      <c r="A184" s="1">
        <v>44588.894444444442</v>
      </c>
      <c r="B184" s="1">
        <v>44588.896527777775</v>
      </c>
      <c r="C184">
        <v>1</v>
      </c>
      <c r="D184">
        <v>0</v>
      </c>
      <c r="E184">
        <v>0</v>
      </c>
      <c r="F184">
        <v>0</v>
      </c>
      <c r="H184">
        <v>1</v>
      </c>
      <c r="I184">
        <v>0</v>
      </c>
      <c r="J184">
        <v>0</v>
      </c>
      <c r="K184">
        <v>0</v>
      </c>
      <c r="L184">
        <v>0</v>
      </c>
      <c r="P184">
        <v>0</v>
      </c>
      <c r="Q184">
        <v>1</v>
      </c>
      <c r="R184">
        <v>0</v>
      </c>
      <c r="S184">
        <v>0</v>
      </c>
      <c r="T184">
        <v>0</v>
      </c>
      <c r="U184">
        <v>0</v>
      </c>
      <c r="V184">
        <v>0</v>
      </c>
      <c r="W184">
        <v>0</v>
      </c>
      <c r="X184">
        <v>0</v>
      </c>
      <c r="Y184">
        <v>0</v>
      </c>
      <c r="Z184">
        <v>0</v>
      </c>
      <c r="AA184">
        <v>0</v>
      </c>
      <c r="AM184" t="s">
        <v>81</v>
      </c>
      <c r="AN184" t="s">
        <v>83</v>
      </c>
      <c r="AO184" t="s">
        <v>83</v>
      </c>
      <c r="AP184" t="s">
        <v>83</v>
      </c>
      <c r="AQ184" t="s">
        <v>82</v>
      </c>
      <c r="AR184" t="s">
        <v>81</v>
      </c>
      <c r="AS184" t="s">
        <v>83</v>
      </c>
      <c r="AT184" t="s">
        <v>82</v>
      </c>
      <c r="AU184" t="s">
        <v>88</v>
      </c>
      <c r="AV184" t="s">
        <v>89</v>
      </c>
      <c r="AW184" t="s">
        <v>100</v>
      </c>
      <c r="AZ184" t="s">
        <v>96</v>
      </c>
      <c r="BA184" t="s">
        <v>86</v>
      </c>
      <c r="BB184" t="s">
        <v>86</v>
      </c>
      <c r="BC184" t="s">
        <v>87</v>
      </c>
      <c r="BD184" t="s">
        <v>87</v>
      </c>
      <c r="BE184" t="s">
        <v>87</v>
      </c>
      <c r="BF184" t="s">
        <v>101</v>
      </c>
      <c r="BG184" t="s">
        <v>76</v>
      </c>
      <c r="BH184" t="s">
        <v>98</v>
      </c>
      <c r="BI184" t="s">
        <v>96</v>
      </c>
      <c r="BJ184" t="s">
        <v>78</v>
      </c>
      <c r="BK184">
        <v>1</v>
      </c>
      <c r="BL184">
        <v>0</v>
      </c>
      <c r="BM184">
        <v>0</v>
      </c>
      <c r="BN184">
        <v>0</v>
      </c>
      <c r="BO184">
        <v>0</v>
      </c>
      <c r="BP184">
        <v>0</v>
      </c>
      <c r="BQ184">
        <v>0</v>
      </c>
      <c r="BR184">
        <v>0</v>
      </c>
    </row>
    <row r="185" spans="1:70" x14ac:dyDescent="0.2">
      <c r="A185" s="1">
        <v>44588.897222222222</v>
      </c>
      <c r="B185" s="1">
        <v>44588.898611111108</v>
      </c>
      <c r="C185">
        <v>1</v>
      </c>
      <c r="D185">
        <v>0</v>
      </c>
      <c r="E185">
        <v>0</v>
      </c>
      <c r="F185">
        <v>0</v>
      </c>
      <c r="H185">
        <v>0</v>
      </c>
      <c r="I185">
        <v>1</v>
      </c>
      <c r="J185">
        <v>1</v>
      </c>
      <c r="K185">
        <v>1</v>
      </c>
      <c r="L185">
        <v>0</v>
      </c>
      <c r="N185" t="s">
        <v>88</v>
      </c>
      <c r="O185" t="s">
        <v>89</v>
      </c>
      <c r="P185">
        <v>0</v>
      </c>
      <c r="Q185">
        <v>0</v>
      </c>
      <c r="R185">
        <v>1</v>
      </c>
      <c r="S185">
        <v>0</v>
      </c>
      <c r="T185">
        <v>0</v>
      </c>
      <c r="U185">
        <v>0</v>
      </c>
      <c r="V185">
        <v>0</v>
      </c>
      <c r="W185">
        <v>0</v>
      </c>
      <c r="X185">
        <v>0</v>
      </c>
      <c r="Y185">
        <v>0</v>
      </c>
      <c r="Z185">
        <v>0</v>
      </c>
      <c r="AA185">
        <v>0</v>
      </c>
      <c r="AM185" t="s">
        <v>81</v>
      </c>
      <c r="AN185" t="s">
        <v>82</v>
      </c>
      <c r="AO185" t="s">
        <v>81</v>
      </c>
      <c r="AP185" t="s">
        <v>82</v>
      </c>
      <c r="AQ185" t="s">
        <v>82</v>
      </c>
      <c r="AR185" t="s">
        <v>81</v>
      </c>
      <c r="AS185" t="s">
        <v>81</v>
      </c>
      <c r="AT185" t="s">
        <v>81</v>
      </c>
      <c r="AU185" t="s">
        <v>88</v>
      </c>
      <c r="AV185" t="s">
        <v>89</v>
      </c>
      <c r="AW185" t="s">
        <v>100</v>
      </c>
      <c r="AX185" t="s">
        <v>118</v>
      </c>
      <c r="AZ185" t="s">
        <v>73</v>
      </c>
      <c r="BA185" t="s">
        <v>87</v>
      </c>
      <c r="BB185" t="s">
        <v>87</v>
      </c>
      <c r="BC185" t="s">
        <v>87</v>
      </c>
      <c r="BD185" t="s">
        <v>87</v>
      </c>
      <c r="BE185" t="s">
        <v>87</v>
      </c>
      <c r="BF185" t="s">
        <v>75</v>
      </c>
      <c r="BG185" t="s">
        <v>76</v>
      </c>
      <c r="BH185" t="s">
        <v>77</v>
      </c>
      <c r="BI185" t="s">
        <v>73</v>
      </c>
      <c r="BJ185" t="s">
        <v>154</v>
      </c>
      <c r="BK185">
        <v>1</v>
      </c>
      <c r="BL185">
        <v>0</v>
      </c>
      <c r="BM185">
        <v>0</v>
      </c>
      <c r="BN185">
        <v>0</v>
      </c>
      <c r="BO185">
        <v>0</v>
      </c>
      <c r="BP185">
        <v>0</v>
      </c>
      <c r="BQ185">
        <v>0</v>
      </c>
      <c r="BR185">
        <v>0</v>
      </c>
    </row>
    <row r="186" spans="1:70" x14ac:dyDescent="0.2">
      <c r="A186" s="1">
        <v>44585.560416666667</v>
      </c>
      <c r="B186" s="1">
        <v>44585.561805555553</v>
      </c>
      <c r="C186">
        <v>1</v>
      </c>
      <c r="D186">
        <v>0</v>
      </c>
      <c r="E186">
        <v>0</v>
      </c>
      <c r="F186">
        <v>0</v>
      </c>
      <c r="H186">
        <v>0</v>
      </c>
      <c r="I186">
        <v>1</v>
      </c>
      <c r="J186">
        <v>0</v>
      </c>
      <c r="K186">
        <v>0</v>
      </c>
      <c r="L186">
        <v>0</v>
      </c>
      <c r="N186" t="s">
        <v>88</v>
      </c>
      <c r="O186" t="s">
        <v>89</v>
      </c>
      <c r="P186">
        <v>0</v>
      </c>
      <c r="Q186">
        <v>1</v>
      </c>
      <c r="R186">
        <v>0</v>
      </c>
      <c r="S186">
        <v>0</v>
      </c>
      <c r="T186">
        <v>0</v>
      </c>
      <c r="U186">
        <v>0</v>
      </c>
      <c r="V186">
        <v>0</v>
      </c>
      <c r="W186">
        <v>0</v>
      </c>
      <c r="X186">
        <v>0</v>
      </c>
      <c r="Y186">
        <v>0</v>
      </c>
      <c r="Z186">
        <v>0</v>
      </c>
      <c r="AA186">
        <v>0</v>
      </c>
      <c r="AM186" t="s">
        <v>83</v>
      </c>
      <c r="AN186" t="s">
        <v>82</v>
      </c>
      <c r="AO186" t="s">
        <v>81</v>
      </c>
      <c r="AP186" t="s">
        <v>82</v>
      </c>
      <c r="AQ186" t="s">
        <v>82</v>
      </c>
      <c r="AR186" t="s">
        <v>83</v>
      </c>
      <c r="AS186" t="s">
        <v>83</v>
      </c>
      <c r="AT186" t="s">
        <v>83</v>
      </c>
      <c r="AU186" t="s">
        <v>88</v>
      </c>
      <c r="AV186" t="s">
        <v>89</v>
      </c>
      <c r="AW186" t="s">
        <v>100</v>
      </c>
      <c r="AX186" t="s">
        <v>118</v>
      </c>
      <c r="AZ186" t="s">
        <v>107</v>
      </c>
      <c r="BA186" t="s">
        <v>74</v>
      </c>
      <c r="BF186" t="s">
        <v>75</v>
      </c>
      <c r="BG186" t="s">
        <v>76</v>
      </c>
      <c r="BH186" t="s">
        <v>98</v>
      </c>
      <c r="BI186" t="s">
        <v>107</v>
      </c>
      <c r="BJ186" t="s">
        <v>147</v>
      </c>
      <c r="BK186">
        <v>0</v>
      </c>
      <c r="BL186">
        <v>0</v>
      </c>
      <c r="BM186">
        <v>0</v>
      </c>
      <c r="BN186">
        <v>0</v>
      </c>
      <c r="BO186">
        <v>0</v>
      </c>
      <c r="BP186">
        <v>1</v>
      </c>
      <c r="BQ186">
        <v>0</v>
      </c>
      <c r="BR186">
        <v>0</v>
      </c>
    </row>
    <row r="187" spans="1:70" x14ac:dyDescent="0.2">
      <c r="A187" s="1">
        <v>44586.791666666664</v>
      </c>
      <c r="B187" s="1">
        <v>44586.793055555558</v>
      </c>
      <c r="C187">
        <v>1</v>
      </c>
      <c r="D187">
        <v>0</v>
      </c>
      <c r="E187">
        <v>0</v>
      </c>
      <c r="F187">
        <v>0</v>
      </c>
      <c r="H187">
        <v>1</v>
      </c>
      <c r="I187">
        <v>0</v>
      </c>
      <c r="J187">
        <v>0</v>
      </c>
      <c r="K187">
        <v>0</v>
      </c>
      <c r="L187">
        <v>0</v>
      </c>
      <c r="P187">
        <v>1</v>
      </c>
      <c r="Q187">
        <v>0</v>
      </c>
      <c r="R187">
        <v>0</v>
      </c>
      <c r="S187">
        <v>0</v>
      </c>
      <c r="T187">
        <v>0</v>
      </c>
      <c r="U187">
        <v>0</v>
      </c>
      <c r="V187">
        <v>0</v>
      </c>
      <c r="W187">
        <v>0</v>
      </c>
      <c r="X187">
        <v>0</v>
      </c>
      <c r="Y187">
        <v>0</v>
      </c>
      <c r="Z187">
        <v>0</v>
      </c>
      <c r="AA187">
        <v>0</v>
      </c>
      <c r="AC187">
        <v>0</v>
      </c>
      <c r="AD187">
        <v>0</v>
      </c>
      <c r="AE187">
        <v>0</v>
      </c>
      <c r="AF187">
        <v>0</v>
      </c>
      <c r="AG187">
        <v>0</v>
      </c>
      <c r="AH187">
        <v>0</v>
      </c>
      <c r="AI187">
        <v>1</v>
      </c>
      <c r="AJ187">
        <v>0</v>
      </c>
      <c r="AK187">
        <v>0</v>
      </c>
      <c r="AZ187" t="s">
        <v>73</v>
      </c>
      <c r="BA187" t="s">
        <v>86</v>
      </c>
      <c r="BB187" t="s">
        <v>86</v>
      </c>
      <c r="BC187" t="s">
        <v>86</v>
      </c>
      <c r="BD187" t="s">
        <v>86</v>
      </c>
      <c r="BE187" t="s">
        <v>86</v>
      </c>
      <c r="BF187" t="s">
        <v>101</v>
      </c>
      <c r="BG187" t="s">
        <v>76</v>
      </c>
      <c r="BH187" t="s">
        <v>77</v>
      </c>
      <c r="BI187" t="s">
        <v>73</v>
      </c>
      <c r="BJ187" t="s">
        <v>78</v>
      </c>
      <c r="BK187">
        <v>0</v>
      </c>
      <c r="BL187">
        <v>0</v>
      </c>
      <c r="BM187">
        <v>0</v>
      </c>
      <c r="BN187">
        <v>0</v>
      </c>
      <c r="BO187">
        <v>0</v>
      </c>
      <c r="BP187">
        <v>1</v>
      </c>
      <c r="BQ187">
        <v>0</v>
      </c>
      <c r="BR187">
        <v>0</v>
      </c>
    </row>
    <row r="188" spans="1:70" x14ac:dyDescent="0.2">
      <c r="A188" s="1">
        <v>44587.112500000003</v>
      </c>
      <c r="B188" s="1">
        <v>44587.113194444442</v>
      </c>
      <c r="C188">
        <v>0</v>
      </c>
      <c r="D188">
        <v>1</v>
      </c>
      <c r="E188">
        <v>0</v>
      </c>
      <c r="F188">
        <v>0</v>
      </c>
      <c r="H188">
        <v>1</v>
      </c>
      <c r="I188">
        <v>0</v>
      </c>
      <c r="J188">
        <v>0</v>
      </c>
      <c r="K188">
        <v>0</v>
      </c>
      <c r="L188">
        <v>0</v>
      </c>
      <c r="P188">
        <v>1</v>
      </c>
      <c r="Q188">
        <v>0</v>
      </c>
      <c r="R188">
        <v>0</v>
      </c>
      <c r="S188">
        <v>0</v>
      </c>
      <c r="T188">
        <v>0</v>
      </c>
      <c r="U188">
        <v>0</v>
      </c>
      <c r="V188">
        <v>0</v>
      </c>
      <c r="W188">
        <v>0</v>
      </c>
      <c r="X188">
        <v>0</v>
      </c>
      <c r="Y188">
        <v>0</v>
      </c>
      <c r="Z188">
        <v>0</v>
      </c>
      <c r="AA188">
        <v>0</v>
      </c>
      <c r="AC188">
        <v>1</v>
      </c>
      <c r="AD188">
        <v>0</v>
      </c>
      <c r="AE188">
        <v>0</v>
      </c>
      <c r="AF188">
        <v>0</v>
      </c>
      <c r="AG188">
        <v>0</v>
      </c>
      <c r="AH188">
        <v>0</v>
      </c>
      <c r="AI188">
        <v>0</v>
      </c>
      <c r="AJ188">
        <v>0</v>
      </c>
      <c r="AK188">
        <v>0</v>
      </c>
      <c r="AX188" t="s">
        <v>110</v>
      </c>
      <c r="AY188" t="s">
        <v>208</v>
      </c>
      <c r="AZ188" t="s">
        <v>107</v>
      </c>
      <c r="BA188" t="s">
        <v>74</v>
      </c>
      <c r="BF188" t="s">
        <v>108</v>
      </c>
      <c r="BG188" t="s">
        <v>76</v>
      </c>
      <c r="BH188" t="s">
        <v>98</v>
      </c>
      <c r="BI188" t="s">
        <v>107</v>
      </c>
      <c r="BJ188" t="s">
        <v>78</v>
      </c>
      <c r="BK188">
        <v>1</v>
      </c>
      <c r="BL188">
        <v>0</v>
      </c>
      <c r="BM188">
        <v>0</v>
      </c>
      <c r="BN188">
        <v>0</v>
      </c>
      <c r="BO188">
        <v>0</v>
      </c>
      <c r="BP188">
        <v>0</v>
      </c>
      <c r="BQ188">
        <v>0</v>
      </c>
      <c r="BR188">
        <v>0</v>
      </c>
    </row>
    <row r="189" spans="1:70" x14ac:dyDescent="0.2">
      <c r="A189" s="1">
        <v>44585.662499999999</v>
      </c>
      <c r="B189" s="1">
        <v>44585.665277777778</v>
      </c>
      <c r="C189">
        <v>1</v>
      </c>
      <c r="D189">
        <v>0</v>
      </c>
      <c r="E189">
        <v>0</v>
      </c>
      <c r="F189">
        <v>0</v>
      </c>
      <c r="H189">
        <v>1</v>
      </c>
      <c r="I189">
        <v>0</v>
      </c>
      <c r="J189">
        <v>0</v>
      </c>
      <c r="K189">
        <v>0</v>
      </c>
      <c r="L189">
        <v>0</v>
      </c>
      <c r="P189">
        <v>0</v>
      </c>
      <c r="Q189">
        <v>0</v>
      </c>
      <c r="R189">
        <v>1</v>
      </c>
      <c r="S189">
        <v>0</v>
      </c>
      <c r="T189">
        <v>0</v>
      </c>
      <c r="U189">
        <v>0</v>
      </c>
      <c r="V189">
        <v>0</v>
      </c>
      <c r="W189">
        <v>0</v>
      </c>
      <c r="X189">
        <v>0</v>
      </c>
      <c r="Y189">
        <v>0</v>
      </c>
      <c r="Z189">
        <v>0</v>
      </c>
      <c r="AA189">
        <v>0</v>
      </c>
      <c r="AM189" t="s">
        <v>83</v>
      </c>
      <c r="AN189" t="s">
        <v>83</v>
      </c>
      <c r="AO189" t="s">
        <v>83</v>
      </c>
      <c r="AP189" t="s">
        <v>83</v>
      </c>
      <c r="AQ189" t="s">
        <v>82</v>
      </c>
      <c r="AR189" t="s">
        <v>83</v>
      </c>
      <c r="AS189" t="s">
        <v>83</v>
      </c>
      <c r="AT189" t="s">
        <v>83</v>
      </c>
      <c r="AU189" t="s">
        <v>88</v>
      </c>
      <c r="AV189" t="s">
        <v>80</v>
      </c>
      <c r="AW189" t="s">
        <v>85</v>
      </c>
      <c r="AX189" t="s">
        <v>118</v>
      </c>
      <c r="AZ189" t="s">
        <v>107</v>
      </c>
      <c r="BA189" t="s">
        <v>87</v>
      </c>
      <c r="BB189" t="s">
        <v>87</v>
      </c>
      <c r="BC189" t="s">
        <v>87</v>
      </c>
      <c r="BD189" t="s">
        <v>87</v>
      </c>
      <c r="BE189" t="s">
        <v>87</v>
      </c>
      <c r="BF189" t="s">
        <v>75</v>
      </c>
      <c r="BG189" t="s">
        <v>76</v>
      </c>
      <c r="BH189" t="s">
        <v>77</v>
      </c>
      <c r="BI189" t="s">
        <v>107</v>
      </c>
      <c r="BJ189" t="s">
        <v>114</v>
      </c>
      <c r="BK189">
        <v>0</v>
      </c>
      <c r="BL189">
        <v>0</v>
      </c>
      <c r="BM189">
        <v>0</v>
      </c>
      <c r="BN189">
        <v>0</v>
      </c>
      <c r="BO189">
        <v>0</v>
      </c>
      <c r="BP189">
        <v>1</v>
      </c>
      <c r="BQ189">
        <v>0</v>
      </c>
      <c r="BR189">
        <v>0</v>
      </c>
    </row>
    <row r="190" spans="1:70" x14ac:dyDescent="0.2">
      <c r="A190" s="1">
        <v>44585.642361111109</v>
      </c>
      <c r="B190" s="1">
        <v>44585.645138888889</v>
      </c>
      <c r="C190">
        <v>1</v>
      </c>
      <c r="D190">
        <v>0</v>
      </c>
      <c r="E190">
        <v>0</v>
      </c>
      <c r="F190">
        <v>0</v>
      </c>
      <c r="H190">
        <v>0</v>
      </c>
      <c r="I190">
        <v>1</v>
      </c>
      <c r="J190">
        <v>1</v>
      </c>
      <c r="K190">
        <v>1</v>
      </c>
      <c r="L190">
        <v>0</v>
      </c>
      <c r="N190" t="s">
        <v>88</v>
      </c>
      <c r="O190" t="s">
        <v>89</v>
      </c>
      <c r="P190">
        <v>0</v>
      </c>
      <c r="Q190">
        <v>0</v>
      </c>
      <c r="R190">
        <v>1</v>
      </c>
      <c r="S190">
        <v>0</v>
      </c>
      <c r="T190">
        <v>0</v>
      </c>
      <c r="U190">
        <v>0</v>
      </c>
      <c r="V190">
        <v>0</v>
      </c>
      <c r="W190">
        <v>0</v>
      </c>
      <c r="X190">
        <v>0</v>
      </c>
      <c r="Y190">
        <v>0</v>
      </c>
      <c r="Z190">
        <v>0</v>
      </c>
      <c r="AA190">
        <v>0</v>
      </c>
      <c r="AM190" t="s">
        <v>83</v>
      </c>
      <c r="AN190" t="s">
        <v>82</v>
      </c>
      <c r="AO190" t="s">
        <v>81</v>
      </c>
      <c r="AP190" t="s">
        <v>82</v>
      </c>
      <c r="AQ190" t="s">
        <v>81</v>
      </c>
      <c r="AR190" t="s">
        <v>81</v>
      </c>
      <c r="AS190" t="s">
        <v>83</v>
      </c>
      <c r="AT190" t="s">
        <v>83</v>
      </c>
      <c r="AU190" t="s">
        <v>88</v>
      </c>
      <c r="AV190" t="s">
        <v>89</v>
      </c>
      <c r="AW190" t="s">
        <v>100</v>
      </c>
      <c r="AZ190" t="s">
        <v>107</v>
      </c>
      <c r="BA190" t="s">
        <v>86</v>
      </c>
      <c r="BB190" t="s">
        <v>74</v>
      </c>
      <c r="BC190" t="s">
        <v>74</v>
      </c>
      <c r="BD190" t="s">
        <v>86</v>
      </c>
      <c r="BE190" t="s">
        <v>86</v>
      </c>
      <c r="BF190" t="s">
        <v>97</v>
      </c>
      <c r="BG190" t="s">
        <v>76</v>
      </c>
      <c r="BH190" t="s">
        <v>98</v>
      </c>
      <c r="BI190" t="s">
        <v>107</v>
      </c>
      <c r="BJ190" t="s">
        <v>78</v>
      </c>
      <c r="BK190">
        <v>0</v>
      </c>
      <c r="BL190">
        <v>0</v>
      </c>
      <c r="BM190">
        <v>0</v>
      </c>
      <c r="BN190">
        <v>0</v>
      </c>
      <c r="BO190">
        <v>0</v>
      </c>
      <c r="BP190">
        <v>1</v>
      </c>
      <c r="BQ190">
        <v>0</v>
      </c>
      <c r="BR190">
        <v>0</v>
      </c>
    </row>
    <row r="191" spans="1:70" x14ac:dyDescent="0.2">
      <c r="A191" s="1">
        <v>44586.65902777778</v>
      </c>
      <c r="B191" s="1">
        <v>44586.661805555559</v>
      </c>
      <c r="C191">
        <v>1</v>
      </c>
      <c r="D191">
        <v>0</v>
      </c>
      <c r="E191">
        <v>0</v>
      </c>
      <c r="F191">
        <v>0</v>
      </c>
      <c r="H191">
        <v>0</v>
      </c>
      <c r="I191">
        <v>0</v>
      </c>
      <c r="J191">
        <v>1</v>
      </c>
      <c r="K191">
        <v>0</v>
      </c>
      <c r="L191">
        <v>0</v>
      </c>
      <c r="N191" t="s">
        <v>135</v>
      </c>
      <c r="O191" t="s">
        <v>80</v>
      </c>
      <c r="P191">
        <v>0</v>
      </c>
      <c r="Q191">
        <v>0</v>
      </c>
      <c r="R191">
        <v>1</v>
      </c>
      <c r="S191">
        <v>0</v>
      </c>
      <c r="T191">
        <v>0</v>
      </c>
      <c r="U191">
        <v>0</v>
      </c>
      <c r="V191">
        <v>0</v>
      </c>
      <c r="W191">
        <v>0</v>
      </c>
      <c r="X191">
        <v>0</v>
      </c>
      <c r="Y191">
        <v>0</v>
      </c>
      <c r="Z191">
        <v>0</v>
      </c>
      <c r="AA191">
        <v>0</v>
      </c>
      <c r="AM191" t="s">
        <v>81</v>
      </c>
      <c r="AN191" t="s">
        <v>82</v>
      </c>
      <c r="AO191" t="s">
        <v>83</v>
      </c>
      <c r="AP191" t="s">
        <v>82</v>
      </c>
      <c r="AQ191" t="s">
        <v>81</v>
      </c>
      <c r="AR191" t="s">
        <v>81</v>
      </c>
      <c r="AS191" t="s">
        <v>83</v>
      </c>
      <c r="AT191" t="s">
        <v>82</v>
      </c>
      <c r="AU191" t="s">
        <v>88</v>
      </c>
      <c r="AV191" t="s">
        <v>89</v>
      </c>
      <c r="AW191" t="s">
        <v>85</v>
      </c>
      <c r="AX191" t="s">
        <v>106</v>
      </c>
      <c r="AZ191" t="s">
        <v>73</v>
      </c>
      <c r="BA191" t="s">
        <v>86</v>
      </c>
      <c r="BB191" t="s">
        <v>87</v>
      </c>
      <c r="BC191" t="s">
        <v>87</v>
      </c>
      <c r="BD191" t="s">
        <v>74</v>
      </c>
      <c r="BE191" t="s">
        <v>86</v>
      </c>
      <c r="BF191" t="s">
        <v>108</v>
      </c>
      <c r="BG191" t="s">
        <v>76</v>
      </c>
      <c r="BH191" t="s">
        <v>98</v>
      </c>
      <c r="BI191" t="s">
        <v>73</v>
      </c>
      <c r="BJ191" t="s">
        <v>114</v>
      </c>
      <c r="BK191">
        <v>1</v>
      </c>
      <c r="BL191">
        <v>0</v>
      </c>
      <c r="BM191">
        <v>0</v>
      </c>
      <c r="BN191">
        <v>0</v>
      </c>
      <c r="BO191">
        <v>0</v>
      </c>
      <c r="BP191">
        <v>0</v>
      </c>
      <c r="BQ191">
        <v>0</v>
      </c>
      <c r="BR191">
        <v>0</v>
      </c>
    </row>
    <row r="192" spans="1:70" x14ac:dyDescent="0.2">
      <c r="A192" s="1">
        <v>44585.522222222222</v>
      </c>
      <c r="B192" s="1">
        <v>44585.523611111108</v>
      </c>
      <c r="C192">
        <v>0</v>
      </c>
      <c r="D192">
        <v>1</v>
      </c>
      <c r="E192">
        <v>0</v>
      </c>
      <c r="F192">
        <v>0</v>
      </c>
      <c r="H192">
        <v>1</v>
      </c>
      <c r="I192">
        <v>0</v>
      </c>
      <c r="J192">
        <v>0</v>
      </c>
      <c r="K192">
        <v>0</v>
      </c>
      <c r="L192">
        <v>0</v>
      </c>
      <c r="P192">
        <v>1</v>
      </c>
      <c r="Q192">
        <v>0</v>
      </c>
      <c r="R192">
        <v>0</v>
      </c>
      <c r="S192">
        <v>0</v>
      </c>
      <c r="T192">
        <v>0</v>
      </c>
      <c r="U192">
        <v>0</v>
      </c>
      <c r="V192">
        <v>0</v>
      </c>
      <c r="W192">
        <v>0</v>
      </c>
      <c r="X192">
        <v>0</v>
      </c>
      <c r="Y192">
        <v>0</v>
      </c>
      <c r="Z192">
        <v>0</v>
      </c>
      <c r="AA192">
        <v>0</v>
      </c>
      <c r="AC192">
        <v>0</v>
      </c>
      <c r="AD192">
        <v>0</v>
      </c>
      <c r="AE192">
        <v>1</v>
      </c>
      <c r="AF192">
        <v>0</v>
      </c>
      <c r="AG192">
        <v>0</v>
      </c>
      <c r="AH192">
        <v>0</v>
      </c>
      <c r="AI192">
        <v>0</v>
      </c>
      <c r="AJ192">
        <v>0</v>
      </c>
      <c r="AK192">
        <v>0</v>
      </c>
      <c r="AX192" t="s">
        <v>106</v>
      </c>
      <c r="AZ192" t="s">
        <v>96</v>
      </c>
      <c r="BA192" t="s">
        <v>87</v>
      </c>
      <c r="BB192" t="s">
        <v>87</v>
      </c>
      <c r="BC192" t="s">
        <v>87</v>
      </c>
      <c r="BD192" t="s">
        <v>86</v>
      </c>
      <c r="BE192" t="s">
        <v>86</v>
      </c>
      <c r="BF192" t="s">
        <v>75</v>
      </c>
      <c r="BG192" t="s">
        <v>76</v>
      </c>
      <c r="BH192" t="s">
        <v>98</v>
      </c>
      <c r="BI192" t="s">
        <v>96</v>
      </c>
      <c r="BJ192" t="s">
        <v>137</v>
      </c>
      <c r="BK192">
        <v>0</v>
      </c>
      <c r="BL192">
        <v>0</v>
      </c>
      <c r="BM192">
        <v>0</v>
      </c>
      <c r="BN192">
        <v>0</v>
      </c>
      <c r="BO192">
        <v>0</v>
      </c>
      <c r="BP192">
        <v>1</v>
      </c>
      <c r="BQ192">
        <v>0</v>
      </c>
      <c r="BR192">
        <v>0</v>
      </c>
    </row>
    <row r="193" spans="1:70" x14ac:dyDescent="0.2">
      <c r="A193" s="1">
        <v>44580.018750000003</v>
      </c>
      <c r="B193" s="1">
        <v>44580.020833333336</v>
      </c>
      <c r="C193">
        <v>1</v>
      </c>
      <c r="D193">
        <v>0</v>
      </c>
      <c r="E193">
        <v>0</v>
      </c>
      <c r="F193">
        <v>0</v>
      </c>
      <c r="H193">
        <v>1</v>
      </c>
      <c r="I193">
        <v>0</v>
      </c>
      <c r="J193">
        <v>0</v>
      </c>
      <c r="K193">
        <v>0</v>
      </c>
      <c r="L193">
        <v>0</v>
      </c>
      <c r="P193">
        <v>0</v>
      </c>
      <c r="Q193">
        <v>0</v>
      </c>
      <c r="R193">
        <v>1</v>
      </c>
      <c r="S193">
        <v>0</v>
      </c>
      <c r="T193">
        <v>0</v>
      </c>
      <c r="U193">
        <v>0</v>
      </c>
      <c r="V193">
        <v>0</v>
      </c>
      <c r="W193">
        <v>0</v>
      </c>
      <c r="X193">
        <v>0</v>
      </c>
      <c r="Y193">
        <v>0</v>
      </c>
      <c r="Z193">
        <v>0</v>
      </c>
      <c r="AA193">
        <v>0</v>
      </c>
      <c r="AM193" t="s">
        <v>83</v>
      </c>
      <c r="AN193" t="s">
        <v>82</v>
      </c>
      <c r="AO193" t="s">
        <v>83</v>
      </c>
      <c r="AP193" t="s">
        <v>82</v>
      </c>
      <c r="AQ193" t="s">
        <v>81</v>
      </c>
      <c r="AR193" t="s">
        <v>83</v>
      </c>
      <c r="AS193" t="s">
        <v>83</v>
      </c>
      <c r="AT193" t="s">
        <v>83</v>
      </c>
      <c r="AU193" t="s">
        <v>88</v>
      </c>
      <c r="AV193" t="s">
        <v>89</v>
      </c>
      <c r="AW193" t="s">
        <v>100</v>
      </c>
      <c r="AZ193" t="s">
        <v>107</v>
      </c>
      <c r="BA193" t="s">
        <v>86</v>
      </c>
      <c r="BB193" t="s">
        <v>87</v>
      </c>
      <c r="BC193" t="s">
        <v>87</v>
      </c>
      <c r="BD193" t="s">
        <v>74</v>
      </c>
      <c r="BE193" t="s">
        <v>74</v>
      </c>
      <c r="BF193" t="s">
        <v>97</v>
      </c>
      <c r="BG193" t="s">
        <v>76</v>
      </c>
      <c r="BH193" t="s">
        <v>98</v>
      </c>
      <c r="BI193" t="s">
        <v>107</v>
      </c>
      <c r="BJ193" t="s">
        <v>114</v>
      </c>
      <c r="BK193">
        <v>0</v>
      </c>
      <c r="BL193">
        <v>0</v>
      </c>
      <c r="BM193">
        <v>0</v>
      </c>
      <c r="BN193">
        <v>0</v>
      </c>
      <c r="BO193">
        <v>0</v>
      </c>
      <c r="BP193">
        <v>1</v>
      </c>
      <c r="BQ193">
        <v>0</v>
      </c>
      <c r="BR193">
        <v>0</v>
      </c>
    </row>
    <row r="194" spans="1:70" x14ac:dyDescent="0.2">
      <c r="A194" s="1">
        <v>44579.888888888891</v>
      </c>
      <c r="B194" s="1">
        <v>44579.893055555556</v>
      </c>
      <c r="C194">
        <v>1</v>
      </c>
      <c r="D194">
        <v>0</v>
      </c>
      <c r="E194">
        <v>0</v>
      </c>
      <c r="F194">
        <v>0</v>
      </c>
      <c r="H194">
        <v>0</v>
      </c>
      <c r="I194">
        <v>0</v>
      </c>
      <c r="J194">
        <v>0</v>
      </c>
      <c r="K194">
        <v>1</v>
      </c>
      <c r="L194">
        <v>1</v>
      </c>
      <c r="M194" t="s">
        <v>209</v>
      </c>
      <c r="N194" t="s">
        <v>88</v>
      </c>
      <c r="O194" t="s">
        <v>89</v>
      </c>
      <c r="P194">
        <v>0</v>
      </c>
      <c r="Q194">
        <v>0</v>
      </c>
      <c r="R194">
        <v>1</v>
      </c>
      <c r="S194">
        <v>0</v>
      </c>
      <c r="T194">
        <v>0</v>
      </c>
      <c r="U194">
        <v>0</v>
      </c>
      <c r="V194">
        <v>0</v>
      </c>
      <c r="W194">
        <v>0</v>
      </c>
      <c r="X194">
        <v>0</v>
      </c>
      <c r="Y194">
        <v>0</v>
      </c>
      <c r="Z194">
        <v>0</v>
      </c>
      <c r="AA194">
        <v>1</v>
      </c>
      <c r="AB194" t="s">
        <v>210</v>
      </c>
      <c r="AM194" t="s">
        <v>81</v>
      </c>
      <c r="AN194" t="s">
        <v>81</v>
      </c>
      <c r="AO194" t="s">
        <v>81</v>
      </c>
      <c r="AP194" t="s">
        <v>82</v>
      </c>
      <c r="AQ194" t="s">
        <v>82</v>
      </c>
      <c r="AR194" t="s">
        <v>83</v>
      </c>
      <c r="AS194" t="s">
        <v>81</v>
      </c>
      <c r="AT194" t="s">
        <v>83</v>
      </c>
      <c r="AU194" t="s">
        <v>88</v>
      </c>
      <c r="AV194" t="s">
        <v>89</v>
      </c>
      <c r="AW194" t="s">
        <v>100</v>
      </c>
      <c r="AX194" t="s">
        <v>146</v>
      </c>
      <c r="AZ194" t="s">
        <v>107</v>
      </c>
      <c r="BA194" t="s">
        <v>87</v>
      </c>
      <c r="BB194" t="s">
        <v>87</v>
      </c>
      <c r="BC194" t="s">
        <v>74</v>
      </c>
      <c r="BD194" t="s">
        <v>87</v>
      </c>
      <c r="BE194" t="s">
        <v>86</v>
      </c>
      <c r="BF194" t="s">
        <v>75</v>
      </c>
      <c r="BG194" t="s">
        <v>76</v>
      </c>
      <c r="BH194" t="s">
        <v>77</v>
      </c>
      <c r="BI194" t="s">
        <v>107</v>
      </c>
      <c r="BJ194" t="s">
        <v>94</v>
      </c>
      <c r="BK194">
        <v>0</v>
      </c>
      <c r="BL194">
        <v>0</v>
      </c>
      <c r="BM194">
        <v>0</v>
      </c>
      <c r="BN194">
        <v>0</v>
      </c>
      <c r="BO194">
        <v>0</v>
      </c>
      <c r="BP194">
        <v>1</v>
      </c>
      <c r="BQ194">
        <v>0</v>
      </c>
      <c r="BR194">
        <v>0</v>
      </c>
    </row>
    <row r="195" spans="1:70" x14ac:dyDescent="0.2">
      <c r="A195" s="1">
        <v>44579.883333333331</v>
      </c>
      <c r="B195" s="1">
        <v>44579.886111111111</v>
      </c>
      <c r="C195">
        <v>1</v>
      </c>
      <c r="D195">
        <v>0</v>
      </c>
      <c r="E195">
        <v>0</v>
      </c>
      <c r="F195">
        <v>0</v>
      </c>
      <c r="H195">
        <v>1</v>
      </c>
      <c r="I195">
        <v>0</v>
      </c>
      <c r="J195">
        <v>0</v>
      </c>
      <c r="K195">
        <v>0</v>
      </c>
      <c r="L195">
        <v>0</v>
      </c>
      <c r="P195">
        <v>0</v>
      </c>
      <c r="Q195">
        <v>1</v>
      </c>
      <c r="R195">
        <v>0</v>
      </c>
      <c r="S195">
        <v>0</v>
      </c>
      <c r="T195">
        <v>0</v>
      </c>
      <c r="U195">
        <v>0</v>
      </c>
      <c r="V195">
        <v>0</v>
      </c>
      <c r="W195">
        <v>0</v>
      </c>
      <c r="X195">
        <v>0</v>
      </c>
      <c r="Y195">
        <v>0</v>
      </c>
      <c r="Z195">
        <v>0</v>
      </c>
      <c r="AA195">
        <v>0</v>
      </c>
      <c r="AM195" t="s">
        <v>90</v>
      </c>
      <c r="AN195" t="s">
        <v>90</v>
      </c>
      <c r="AO195" t="s">
        <v>82</v>
      </c>
      <c r="AP195" t="s">
        <v>82</v>
      </c>
      <c r="AQ195" t="s">
        <v>81</v>
      </c>
      <c r="AR195" t="s">
        <v>90</v>
      </c>
      <c r="AS195" t="s">
        <v>90</v>
      </c>
      <c r="AT195" t="s">
        <v>83</v>
      </c>
      <c r="AU195" t="s">
        <v>84</v>
      </c>
      <c r="AV195" t="s">
        <v>80</v>
      </c>
      <c r="AW195" t="s">
        <v>100</v>
      </c>
      <c r="AX195" t="s">
        <v>72</v>
      </c>
      <c r="AZ195" t="s">
        <v>73</v>
      </c>
      <c r="BA195" t="s">
        <v>87</v>
      </c>
      <c r="BB195" t="s">
        <v>87</v>
      </c>
      <c r="BC195" t="s">
        <v>87</v>
      </c>
      <c r="BD195" t="s">
        <v>87</v>
      </c>
      <c r="BE195" t="s">
        <v>87</v>
      </c>
      <c r="BF195" t="s">
        <v>75</v>
      </c>
      <c r="BG195" t="s">
        <v>76</v>
      </c>
      <c r="BH195" t="s">
        <v>77</v>
      </c>
      <c r="BI195" t="s">
        <v>73</v>
      </c>
      <c r="BJ195" t="s">
        <v>154</v>
      </c>
      <c r="BK195">
        <v>0</v>
      </c>
      <c r="BL195">
        <v>0</v>
      </c>
      <c r="BM195">
        <v>0</v>
      </c>
      <c r="BN195">
        <v>0</v>
      </c>
      <c r="BO195">
        <v>0</v>
      </c>
      <c r="BP195">
        <v>1</v>
      </c>
      <c r="BQ195">
        <v>0</v>
      </c>
      <c r="BR195">
        <v>0</v>
      </c>
    </row>
    <row r="196" spans="1:70" x14ac:dyDescent="0.2">
      <c r="A196" s="1">
        <v>44580.568749999999</v>
      </c>
      <c r="B196" s="1">
        <v>44580.571527777778</v>
      </c>
      <c r="C196">
        <v>1</v>
      </c>
      <c r="D196">
        <v>0</v>
      </c>
      <c r="E196">
        <v>0</v>
      </c>
      <c r="F196">
        <v>0</v>
      </c>
      <c r="H196">
        <v>0</v>
      </c>
      <c r="I196">
        <v>1</v>
      </c>
      <c r="J196">
        <v>1</v>
      </c>
      <c r="K196">
        <v>1</v>
      </c>
      <c r="L196">
        <v>0</v>
      </c>
      <c r="N196" t="s">
        <v>88</v>
      </c>
      <c r="O196" t="s">
        <v>89</v>
      </c>
      <c r="P196">
        <v>0</v>
      </c>
      <c r="Q196">
        <v>1</v>
      </c>
      <c r="R196">
        <v>0</v>
      </c>
      <c r="S196">
        <v>0</v>
      </c>
      <c r="T196">
        <v>0</v>
      </c>
      <c r="U196">
        <v>0</v>
      </c>
      <c r="V196">
        <v>0</v>
      </c>
      <c r="W196">
        <v>0</v>
      </c>
      <c r="X196">
        <v>0</v>
      </c>
      <c r="Y196">
        <v>0</v>
      </c>
      <c r="Z196">
        <v>0</v>
      </c>
      <c r="AA196">
        <v>0</v>
      </c>
      <c r="AM196" t="s">
        <v>83</v>
      </c>
      <c r="AN196" t="s">
        <v>82</v>
      </c>
      <c r="AO196" t="s">
        <v>82</v>
      </c>
      <c r="AP196" t="s">
        <v>82</v>
      </c>
      <c r="AQ196" t="s">
        <v>81</v>
      </c>
      <c r="AR196" t="s">
        <v>83</v>
      </c>
      <c r="AS196" t="s">
        <v>90</v>
      </c>
      <c r="AT196" t="s">
        <v>83</v>
      </c>
      <c r="AU196" t="s">
        <v>88</v>
      </c>
      <c r="AV196" t="s">
        <v>89</v>
      </c>
      <c r="AW196" t="s">
        <v>85</v>
      </c>
      <c r="AX196" t="s">
        <v>118</v>
      </c>
      <c r="AZ196" t="s">
        <v>73</v>
      </c>
      <c r="BA196" t="s">
        <v>86</v>
      </c>
      <c r="BB196" t="s">
        <v>87</v>
      </c>
      <c r="BC196" t="s">
        <v>87</v>
      </c>
      <c r="BD196" t="s">
        <v>87</v>
      </c>
      <c r="BE196" t="s">
        <v>87</v>
      </c>
      <c r="BF196" t="s">
        <v>75</v>
      </c>
      <c r="BG196" t="s">
        <v>76</v>
      </c>
      <c r="BH196" t="s">
        <v>77</v>
      </c>
      <c r="BI196" t="s">
        <v>73</v>
      </c>
      <c r="BJ196" t="s">
        <v>154</v>
      </c>
      <c r="BK196">
        <v>1</v>
      </c>
      <c r="BL196">
        <v>0</v>
      </c>
      <c r="BM196">
        <v>0</v>
      </c>
      <c r="BN196">
        <v>0</v>
      </c>
      <c r="BO196">
        <v>0</v>
      </c>
      <c r="BP196">
        <v>0</v>
      </c>
      <c r="BQ196">
        <v>0</v>
      </c>
      <c r="BR196">
        <v>0</v>
      </c>
    </row>
    <row r="197" spans="1:70" x14ac:dyDescent="0.2">
      <c r="A197" s="1">
        <v>44579.882638888892</v>
      </c>
      <c r="B197" s="1">
        <v>44579.885416666664</v>
      </c>
      <c r="C197">
        <v>1</v>
      </c>
      <c r="D197">
        <v>0</v>
      </c>
      <c r="E197">
        <v>0</v>
      </c>
      <c r="F197">
        <v>0</v>
      </c>
      <c r="H197">
        <v>0</v>
      </c>
      <c r="I197">
        <v>1</v>
      </c>
      <c r="J197">
        <v>1</v>
      </c>
      <c r="K197">
        <v>0</v>
      </c>
      <c r="L197">
        <v>1</v>
      </c>
      <c r="M197" t="s">
        <v>211</v>
      </c>
      <c r="N197" t="s">
        <v>88</v>
      </c>
      <c r="O197" t="s">
        <v>89</v>
      </c>
      <c r="P197">
        <v>0</v>
      </c>
      <c r="Q197">
        <v>1</v>
      </c>
      <c r="R197">
        <v>0</v>
      </c>
      <c r="S197">
        <v>0</v>
      </c>
      <c r="T197">
        <v>0</v>
      </c>
      <c r="U197">
        <v>0</v>
      </c>
      <c r="V197">
        <v>0</v>
      </c>
      <c r="W197">
        <v>0</v>
      </c>
      <c r="X197">
        <v>0</v>
      </c>
      <c r="Y197">
        <v>0</v>
      </c>
      <c r="Z197">
        <v>0</v>
      </c>
      <c r="AA197">
        <v>0</v>
      </c>
      <c r="AM197" t="s">
        <v>90</v>
      </c>
      <c r="AN197" t="s">
        <v>82</v>
      </c>
      <c r="AO197" t="s">
        <v>90</v>
      </c>
      <c r="AP197" t="s">
        <v>82</v>
      </c>
      <c r="AQ197" t="s">
        <v>81</v>
      </c>
      <c r="AR197" t="s">
        <v>90</v>
      </c>
      <c r="AS197" t="s">
        <v>90</v>
      </c>
      <c r="AT197" t="s">
        <v>90</v>
      </c>
      <c r="AU197" t="s">
        <v>88</v>
      </c>
      <c r="AV197" t="s">
        <v>89</v>
      </c>
      <c r="AW197" t="s">
        <v>85</v>
      </c>
      <c r="AX197" t="s">
        <v>118</v>
      </c>
      <c r="AZ197" t="s">
        <v>73</v>
      </c>
      <c r="BA197" t="s">
        <v>87</v>
      </c>
      <c r="BB197" t="s">
        <v>87</v>
      </c>
      <c r="BC197" t="s">
        <v>87</v>
      </c>
      <c r="BD197" t="s">
        <v>86</v>
      </c>
      <c r="BE197" t="s">
        <v>86</v>
      </c>
      <c r="BF197" t="s">
        <v>75</v>
      </c>
      <c r="BG197" t="s">
        <v>76</v>
      </c>
      <c r="BH197" t="s">
        <v>98</v>
      </c>
      <c r="BI197" t="s">
        <v>73</v>
      </c>
      <c r="BJ197" t="s">
        <v>114</v>
      </c>
      <c r="BK197">
        <v>0</v>
      </c>
      <c r="BL197">
        <v>0</v>
      </c>
      <c r="BM197">
        <v>0</v>
      </c>
      <c r="BN197">
        <v>0</v>
      </c>
      <c r="BO197">
        <v>0</v>
      </c>
      <c r="BP197">
        <v>1</v>
      </c>
      <c r="BQ197">
        <v>0</v>
      </c>
      <c r="BR197">
        <v>0</v>
      </c>
    </row>
    <row r="198" spans="1:70" x14ac:dyDescent="0.2">
      <c r="A198" s="1">
        <v>44585.847222222219</v>
      </c>
      <c r="B198" s="1">
        <v>44585.852777777778</v>
      </c>
      <c r="C198">
        <v>1</v>
      </c>
      <c r="D198">
        <v>0</v>
      </c>
      <c r="E198">
        <v>0</v>
      </c>
      <c r="F198">
        <v>0</v>
      </c>
      <c r="H198">
        <v>0</v>
      </c>
      <c r="I198">
        <v>0</v>
      </c>
      <c r="J198">
        <v>1</v>
      </c>
      <c r="K198">
        <v>1</v>
      </c>
      <c r="L198">
        <v>0</v>
      </c>
      <c r="N198" t="s">
        <v>135</v>
      </c>
      <c r="O198" t="s">
        <v>80</v>
      </c>
      <c r="P198">
        <v>0</v>
      </c>
      <c r="Q198">
        <v>0</v>
      </c>
      <c r="R198">
        <v>1</v>
      </c>
      <c r="S198">
        <v>0</v>
      </c>
      <c r="T198">
        <v>0</v>
      </c>
      <c r="U198">
        <v>0</v>
      </c>
      <c r="V198">
        <v>0</v>
      </c>
      <c r="W198">
        <v>0</v>
      </c>
      <c r="X198">
        <v>0</v>
      </c>
      <c r="Y198">
        <v>0</v>
      </c>
      <c r="Z198">
        <v>0</v>
      </c>
      <c r="AA198">
        <v>0</v>
      </c>
      <c r="AM198" t="s">
        <v>83</v>
      </c>
      <c r="AN198" t="s">
        <v>81</v>
      </c>
      <c r="AO198" t="s">
        <v>82</v>
      </c>
      <c r="AP198" t="s">
        <v>82</v>
      </c>
      <c r="AQ198" t="s">
        <v>82</v>
      </c>
      <c r="AR198" t="s">
        <v>81</v>
      </c>
      <c r="AS198" t="s">
        <v>82</v>
      </c>
      <c r="AT198" t="s">
        <v>83</v>
      </c>
      <c r="AU198" t="s">
        <v>84</v>
      </c>
      <c r="AV198" t="s">
        <v>80</v>
      </c>
      <c r="AW198" t="s">
        <v>85</v>
      </c>
      <c r="AX198" t="s">
        <v>122</v>
      </c>
      <c r="AZ198" t="s">
        <v>107</v>
      </c>
      <c r="BA198" t="s">
        <v>87</v>
      </c>
      <c r="BB198" t="s">
        <v>87</v>
      </c>
      <c r="BC198" t="s">
        <v>86</v>
      </c>
      <c r="BD198" t="s">
        <v>87</v>
      </c>
      <c r="BE198" t="s">
        <v>86</v>
      </c>
      <c r="BF198" t="s">
        <v>75</v>
      </c>
      <c r="BG198" t="s">
        <v>76</v>
      </c>
      <c r="BH198" t="s">
        <v>77</v>
      </c>
      <c r="BI198" t="s">
        <v>107</v>
      </c>
      <c r="BJ198" t="s">
        <v>212</v>
      </c>
      <c r="BK198">
        <v>1</v>
      </c>
      <c r="BL198">
        <v>0</v>
      </c>
      <c r="BM198">
        <v>0</v>
      </c>
      <c r="BN198">
        <v>0</v>
      </c>
      <c r="BO198">
        <v>0</v>
      </c>
      <c r="BP198">
        <v>0</v>
      </c>
      <c r="BQ198">
        <v>0</v>
      </c>
      <c r="BR198">
        <v>0</v>
      </c>
    </row>
    <row r="199" spans="1:70" x14ac:dyDescent="0.2">
      <c r="A199" s="1">
        <v>44580.856944444444</v>
      </c>
      <c r="B199" s="1">
        <v>44580.86041666667</v>
      </c>
      <c r="C199">
        <v>1</v>
      </c>
      <c r="D199">
        <v>0</v>
      </c>
      <c r="E199">
        <v>0</v>
      </c>
      <c r="F199">
        <v>0</v>
      </c>
      <c r="H199">
        <v>0</v>
      </c>
      <c r="I199">
        <v>1</v>
      </c>
      <c r="J199">
        <v>1</v>
      </c>
      <c r="K199">
        <v>1</v>
      </c>
      <c r="L199">
        <v>0</v>
      </c>
      <c r="N199" t="s">
        <v>88</v>
      </c>
      <c r="O199" t="s">
        <v>80</v>
      </c>
      <c r="P199">
        <v>0</v>
      </c>
      <c r="Q199">
        <v>0</v>
      </c>
      <c r="R199">
        <v>1</v>
      </c>
      <c r="S199">
        <v>0</v>
      </c>
      <c r="T199">
        <v>0</v>
      </c>
      <c r="U199">
        <v>0</v>
      </c>
      <c r="V199">
        <v>0</v>
      </c>
      <c r="W199">
        <v>0</v>
      </c>
      <c r="X199">
        <v>0</v>
      </c>
      <c r="Y199">
        <v>0</v>
      </c>
      <c r="Z199">
        <v>0</v>
      </c>
      <c r="AA199">
        <v>0</v>
      </c>
      <c r="AM199" t="s">
        <v>83</v>
      </c>
      <c r="AN199" t="s">
        <v>82</v>
      </c>
      <c r="AO199" t="s">
        <v>83</v>
      </c>
      <c r="AP199" t="s">
        <v>81</v>
      </c>
      <c r="AQ199" t="s">
        <v>82</v>
      </c>
      <c r="AR199" t="s">
        <v>82</v>
      </c>
      <c r="AS199" t="s">
        <v>82</v>
      </c>
      <c r="AT199" t="s">
        <v>83</v>
      </c>
      <c r="AU199" t="s">
        <v>88</v>
      </c>
      <c r="AV199" t="s">
        <v>89</v>
      </c>
      <c r="AW199" t="s">
        <v>100</v>
      </c>
      <c r="AX199" t="s">
        <v>199</v>
      </c>
      <c r="AZ199" t="s">
        <v>73</v>
      </c>
      <c r="BA199" t="s">
        <v>86</v>
      </c>
      <c r="BB199" t="s">
        <v>87</v>
      </c>
      <c r="BC199" t="s">
        <v>87</v>
      </c>
      <c r="BD199" t="s">
        <v>87</v>
      </c>
      <c r="BE199" t="s">
        <v>87</v>
      </c>
      <c r="BF199" t="s">
        <v>75</v>
      </c>
      <c r="BG199" t="s">
        <v>76</v>
      </c>
      <c r="BH199" t="s">
        <v>98</v>
      </c>
      <c r="BI199" t="s">
        <v>73</v>
      </c>
      <c r="BJ199" t="s">
        <v>114</v>
      </c>
      <c r="BK199">
        <v>1</v>
      </c>
      <c r="BL199">
        <v>0</v>
      </c>
      <c r="BM199">
        <v>0</v>
      </c>
      <c r="BN199">
        <v>0</v>
      </c>
      <c r="BO199">
        <v>0</v>
      </c>
      <c r="BP199">
        <v>0</v>
      </c>
      <c r="BQ199">
        <v>0</v>
      </c>
      <c r="BR199">
        <v>0</v>
      </c>
    </row>
    <row r="200" spans="1:70" x14ac:dyDescent="0.2">
      <c r="A200" s="1">
        <v>44580.554166666669</v>
      </c>
      <c r="B200" s="1">
        <v>44580.556250000001</v>
      </c>
      <c r="C200">
        <v>1</v>
      </c>
      <c r="D200">
        <v>0</v>
      </c>
      <c r="E200">
        <v>0</v>
      </c>
      <c r="F200">
        <v>0</v>
      </c>
      <c r="H200">
        <v>1</v>
      </c>
      <c r="I200">
        <v>0</v>
      </c>
      <c r="J200">
        <v>0</v>
      </c>
      <c r="K200">
        <v>0</v>
      </c>
      <c r="L200">
        <v>0</v>
      </c>
      <c r="P200">
        <v>0</v>
      </c>
      <c r="Q200">
        <v>0</v>
      </c>
      <c r="R200">
        <v>1</v>
      </c>
      <c r="S200">
        <v>0</v>
      </c>
      <c r="T200">
        <v>0</v>
      </c>
      <c r="U200">
        <v>0</v>
      </c>
      <c r="V200">
        <v>0</v>
      </c>
      <c r="W200">
        <v>0</v>
      </c>
      <c r="X200">
        <v>0</v>
      </c>
      <c r="Y200">
        <v>0</v>
      </c>
      <c r="Z200">
        <v>0</v>
      </c>
      <c r="AA200">
        <v>0</v>
      </c>
      <c r="AM200" t="s">
        <v>83</v>
      </c>
      <c r="AN200" t="s">
        <v>83</v>
      </c>
      <c r="AO200" t="s">
        <v>83</v>
      </c>
      <c r="AP200" t="s">
        <v>83</v>
      </c>
      <c r="AQ200" t="s">
        <v>82</v>
      </c>
      <c r="AR200" t="s">
        <v>83</v>
      </c>
      <c r="AS200" t="s">
        <v>83</v>
      </c>
      <c r="AT200" t="s">
        <v>81</v>
      </c>
      <c r="AU200" t="s">
        <v>84</v>
      </c>
      <c r="AV200" t="s">
        <v>80</v>
      </c>
      <c r="AW200" t="s">
        <v>85</v>
      </c>
      <c r="AX200" t="s">
        <v>72</v>
      </c>
      <c r="AZ200" t="s">
        <v>107</v>
      </c>
      <c r="BA200" t="s">
        <v>87</v>
      </c>
      <c r="BB200" t="s">
        <v>74</v>
      </c>
      <c r="BC200" t="s">
        <v>86</v>
      </c>
      <c r="BD200" t="s">
        <v>86</v>
      </c>
      <c r="BE200" t="s">
        <v>86</v>
      </c>
      <c r="BF200" t="s">
        <v>75</v>
      </c>
      <c r="BG200" t="s">
        <v>76</v>
      </c>
      <c r="BH200" t="s">
        <v>77</v>
      </c>
      <c r="BI200" t="s">
        <v>107</v>
      </c>
      <c r="BJ200" t="s">
        <v>114</v>
      </c>
      <c r="BK200">
        <v>1</v>
      </c>
      <c r="BL200">
        <v>0</v>
      </c>
      <c r="BM200">
        <v>0</v>
      </c>
      <c r="BN200">
        <v>0</v>
      </c>
      <c r="BO200">
        <v>1</v>
      </c>
      <c r="BP200">
        <v>0</v>
      </c>
      <c r="BQ200">
        <v>0</v>
      </c>
      <c r="BR200">
        <v>0</v>
      </c>
    </row>
    <row r="201" spans="1:70" x14ac:dyDescent="0.2">
      <c r="A201" s="1">
        <v>44580.17291666667</v>
      </c>
      <c r="B201" s="1">
        <v>44580.173611111109</v>
      </c>
      <c r="C201">
        <v>0</v>
      </c>
      <c r="D201">
        <v>1</v>
      </c>
      <c r="E201">
        <v>0</v>
      </c>
      <c r="F201">
        <v>0</v>
      </c>
      <c r="H201">
        <v>1</v>
      </c>
      <c r="I201">
        <v>0</v>
      </c>
      <c r="J201">
        <v>0</v>
      </c>
      <c r="K201">
        <v>0</v>
      </c>
      <c r="L201">
        <v>0</v>
      </c>
      <c r="P201">
        <v>1</v>
      </c>
      <c r="Q201">
        <v>0</v>
      </c>
      <c r="R201">
        <v>0</v>
      </c>
      <c r="S201">
        <v>0</v>
      </c>
      <c r="T201">
        <v>0</v>
      </c>
      <c r="U201">
        <v>0</v>
      </c>
      <c r="V201">
        <v>0</v>
      </c>
      <c r="W201">
        <v>0</v>
      </c>
      <c r="X201">
        <v>0</v>
      </c>
      <c r="Y201">
        <v>0</v>
      </c>
      <c r="Z201">
        <v>0</v>
      </c>
      <c r="AA201">
        <v>0</v>
      </c>
      <c r="AC201">
        <v>0</v>
      </c>
      <c r="AD201">
        <v>1</v>
      </c>
      <c r="AE201">
        <v>0</v>
      </c>
      <c r="AF201">
        <v>0</v>
      </c>
      <c r="AG201">
        <v>0</v>
      </c>
      <c r="AH201">
        <v>0</v>
      </c>
      <c r="AI201">
        <v>0</v>
      </c>
      <c r="AJ201">
        <v>0</v>
      </c>
      <c r="AK201">
        <v>0</v>
      </c>
      <c r="AZ201" t="s">
        <v>96</v>
      </c>
      <c r="BA201" t="s">
        <v>74</v>
      </c>
      <c r="BF201" t="s">
        <v>97</v>
      </c>
      <c r="BG201" t="s">
        <v>92</v>
      </c>
      <c r="BH201" t="s">
        <v>98</v>
      </c>
      <c r="BI201" t="s">
        <v>96</v>
      </c>
      <c r="BJ201" t="s">
        <v>78</v>
      </c>
      <c r="BK201">
        <v>1</v>
      </c>
      <c r="BL201">
        <v>0</v>
      </c>
      <c r="BM201">
        <v>0</v>
      </c>
      <c r="BN201">
        <v>0</v>
      </c>
      <c r="BO201">
        <v>0</v>
      </c>
      <c r="BP201">
        <v>0</v>
      </c>
      <c r="BQ201">
        <v>0</v>
      </c>
      <c r="BR201">
        <v>0</v>
      </c>
    </row>
    <row r="202" spans="1:70" x14ac:dyDescent="0.2">
      <c r="A202" s="1">
        <v>44581.842361111114</v>
      </c>
      <c r="B202" s="1">
        <v>44581.84375</v>
      </c>
      <c r="C202">
        <v>1</v>
      </c>
      <c r="D202">
        <v>0</v>
      </c>
      <c r="E202">
        <v>0</v>
      </c>
      <c r="F202">
        <v>0</v>
      </c>
      <c r="H202">
        <v>1</v>
      </c>
      <c r="I202">
        <v>0</v>
      </c>
      <c r="J202">
        <v>0</v>
      </c>
      <c r="K202">
        <v>0</v>
      </c>
      <c r="L202">
        <v>0</v>
      </c>
      <c r="P202">
        <v>0</v>
      </c>
      <c r="Q202">
        <v>1</v>
      </c>
      <c r="R202">
        <v>0</v>
      </c>
      <c r="S202">
        <v>0</v>
      </c>
      <c r="T202">
        <v>0</v>
      </c>
      <c r="U202">
        <v>0</v>
      </c>
      <c r="V202">
        <v>0</v>
      </c>
      <c r="W202">
        <v>0</v>
      </c>
      <c r="X202">
        <v>0</v>
      </c>
      <c r="Y202">
        <v>0</v>
      </c>
      <c r="Z202">
        <v>0</v>
      </c>
      <c r="AA202">
        <v>0</v>
      </c>
      <c r="AM202" t="s">
        <v>83</v>
      </c>
      <c r="AN202" t="s">
        <v>82</v>
      </c>
      <c r="AO202" t="s">
        <v>83</v>
      </c>
      <c r="AP202" t="s">
        <v>83</v>
      </c>
      <c r="AQ202" t="s">
        <v>83</v>
      </c>
      <c r="AR202" t="s">
        <v>83</v>
      </c>
      <c r="AS202" t="s">
        <v>83</v>
      </c>
      <c r="AT202" t="s">
        <v>83</v>
      </c>
      <c r="AU202" t="s">
        <v>88</v>
      </c>
      <c r="AV202" t="s">
        <v>89</v>
      </c>
      <c r="AW202" t="s">
        <v>85</v>
      </c>
      <c r="AZ202" t="s">
        <v>107</v>
      </c>
      <c r="BA202" t="s">
        <v>86</v>
      </c>
      <c r="BB202" t="s">
        <v>74</v>
      </c>
      <c r="BC202" t="s">
        <v>87</v>
      </c>
      <c r="BD202" t="s">
        <v>87</v>
      </c>
      <c r="BE202" t="s">
        <v>74</v>
      </c>
      <c r="BF202" t="s">
        <v>97</v>
      </c>
      <c r="BG202" t="s">
        <v>76</v>
      </c>
      <c r="BH202" t="s">
        <v>98</v>
      </c>
      <c r="BI202" t="s">
        <v>107</v>
      </c>
      <c r="BJ202" t="s">
        <v>102</v>
      </c>
      <c r="BK202">
        <v>0</v>
      </c>
      <c r="BL202">
        <v>0</v>
      </c>
      <c r="BM202">
        <v>0</v>
      </c>
      <c r="BN202">
        <v>0</v>
      </c>
      <c r="BO202">
        <v>0</v>
      </c>
      <c r="BP202">
        <v>1</v>
      </c>
      <c r="BQ202">
        <v>0</v>
      </c>
      <c r="BR202">
        <v>0</v>
      </c>
    </row>
    <row r="203" spans="1:70" x14ac:dyDescent="0.2">
      <c r="A203" s="1">
        <v>44580.486111111109</v>
      </c>
      <c r="B203" s="1">
        <v>44580.49722222222</v>
      </c>
      <c r="C203">
        <v>0</v>
      </c>
      <c r="D203">
        <v>1</v>
      </c>
      <c r="E203">
        <v>0</v>
      </c>
      <c r="F203">
        <v>0</v>
      </c>
      <c r="H203">
        <v>1</v>
      </c>
      <c r="I203">
        <v>0</v>
      </c>
      <c r="J203">
        <v>0</v>
      </c>
      <c r="K203">
        <v>0</v>
      </c>
      <c r="L203">
        <v>0</v>
      </c>
      <c r="P203">
        <v>1</v>
      </c>
      <c r="Q203">
        <v>0</v>
      </c>
      <c r="R203">
        <v>0</v>
      </c>
      <c r="S203">
        <v>0</v>
      </c>
      <c r="T203">
        <v>0</v>
      </c>
      <c r="U203">
        <v>0</v>
      </c>
      <c r="V203">
        <v>0</v>
      </c>
      <c r="W203">
        <v>0</v>
      </c>
      <c r="X203">
        <v>0</v>
      </c>
      <c r="Y203">
        <v>0</v>
      </c>
      <c r="Z203">
        <v>0</v>
      </c>
      <c r="AA203">
        <v>0</v>
      </c>
      <c r="AC203">
        <v>0</v>
      </c>
      <c r="AD203">
        <v>0</v>
      </c>
      <c r="AE203">
        <v>0</v>
      </c>
      <c r="AF203">
        <v>0</v>
      </c>
      <c r="AG203">
        <v>0</v>
      </c>
      <c r="AH203">
        <v>0</v>
      </c>
      <c r="AI203">
        <v>0</v>
      </c>
      <c r="AJ203">
        <v>0</v>
      </c>
      <c r="AK203">
        <v>1</v>
      </c>
      <c r="AL203" t="s">
        <v>213</v>
      </c>
      <c r="AX203" t="s">
        <v>106</v>
      </c>
      <c r="AZ203" t="s">
        <v>96</v>
      </c>
      <c r="BA203" t="s">
        <v>86</v>
      </c>
      <c r="BB203" t="s">
        <v>86</v>
      </c>
      <c r="BC203" t="s">
        <v>86</v>
      </c>
      <c r="BD203" t="s">
        <v>86</v>
      </c>
      <c r="BE203" t="s">
        <v>86</v>
      </c>
      <c r="BF203" t="s">
        <v>75</v>
      </c>
      <c r="BG203" t="s">
        <v>76</v>
      </c>
      <c r="BH203" t="s">
        <v>77</v>
      </c>
      <c r="BI203" t="s">
        <v>96</v>
      </c>
      <c r="BJ203" t="s">
        <v>94</v>
      </c>
      <c r="BK203">
        <v>0</v>
      </c>
      <c r="BL203">
        <v>0</v>
      </c>
      <c r="BM203">
        <v>0</v>
      </c>
      <c r="BN203">
        <v>0</v>
      </c>
      <c r="BO203">
        <v>0</v>
      </c>
      <c r="BP203">
        <v>1</v>
      </c>
      <c r="BQ203">
        <v>0</v>
      </c>
      <c r="BR203">
        <v>0</v>
      </c>
    </row>
    <row r="204" spans="1:70" x14ac:dyDescent="0.2">
      <c r="A204" s="1">
        <v>44579.915972222225</v>
      </c>
      <c r="B204" s="1">
        <v>44579.918749999997</v>
      </c>
      <c r="C204">
        <v>0</v>
      </c>
      <c r="D204">
        <v>1</v>
      </c>
      <c r="E204">
        <v>0</v>
      </c>
      <c r="F204">
        <v>0</v>
      </c>
      <c r="H204">
        <v>1</v>
      </c>
      <c r="I204">
        <v>0</v>
      </c>
      <c r="J204">
        <v>0</v>
      </c>
      <c r="K204">
        <v>0</v>
      </c>
      <c r="L204">
        <v>0</v>
      </c>
      <c r="P204">
        <v>1</v>
      </c>
      <c r="Q204">
        <v>0</v>
      </c>
      <c r="R204">
        <v>0</v>
      </c>
      <c r="S204">
        <v>0</v>
      </c>
      <c r="T204">
        <v>0</v>
      </c>
      <c r="U204">
        <v>0</v>
      </c>
      <c r="V204">
        <v>0</v>
      </c>
      <c r="W204">
        <v>0</v>
      </c>
      <c r="X204">
        <v>0</v>
      </c>
      <c r="Y204">
        <v>0</v>
      </c>
      <c r="Z204">
        <v>0</v>
      </c>
      <c r="AA204">
        <v>0</v>
      </c>
      <c r="AC204">
        <v>0</v>
      </c>
      <c r="AD204">
        <v>1</v>
      </c>
      <c r="AE204">
        <v>0</v>
      </c>
      <c r="AF204">
        <v>0</v>
      </c>
      <c r="AG204">
        <v>0</v>
      </c>
      <c r="AH204">
        <v>0</v>
      </c>
      <c r="AI204">
        <v>0</v>
      </c>
      <c r="AJ204">
        <v>0</v>
      </c>
      <c r="AK204">
        <v>0</v>
      </c>
      <c r="AZ204" t="s">
        <v>96</v>
      </c>
      <c r="BA204" t="s">
        <v>74</v>
      </c>
      <c r="BF204" t="s">
        <v>159</v>
      </c>
      <c r="BG204" t="s">
        <v>76</v>
      </c>
      <c r="BH204" t="s">
        <v>98</v>
      </c>
      <c r="BI204" t="s">
        <v>96</v>
      </c>
      <c r="BJ204" t="s">
        <v>94</v>
      </c>
      <c r="BK204">
        <v>0</v>
      </c>
      <c r="BL204">
        <v>0</v>
      </c>
      <c r="BM204">
        <v>0</v>
      </c>
      <c r="BN204">
        <v>0</v>
      </c>
      <c r="BO204">
        <v>0</v>
      </c>
      <c r="BP204">
        <v>1</v>
      </c>
      <c r="BQ204">
        <v>0</v>
      </c>
      <c r="BR204">
        <v>0</v>
      </c>
    </row>
    <row r="205" spans="1:70" x14ac:dyDescent="0.2">
      <c r="A205" s="1">
        <v>44579.875</v>
      </c>
      <c r="B205" s="1">
        <v>44579.877083333333</v>
      </c>
      <c r="C205">
        <v>1</v>
      </c>
      <c r="D205">
        <v>0</v>
      </c>
      <c r="E205">
        <v>0</v>
      </c>
      <c r="F205">
        <v>0</v>
      </c>
      <c r="H205">
        <v>0</v>
      </c>
      <c r="I205">
        <v>1</v>
      </c>
      <c r="J205">
        <v>0</v>
      </c>
      <c r="K205">
        <v>0</v>
      </c>
      <c r="L205">
        <v>0</v>
      </c>
      <c r="N205" t="s">
        <v>79</v>
      </c>
      <c r="O205" t="s">
        <v>80</v>
      </c>
      <c r="P205">
        <v>0</v>
      </c>
      <c r="Q205">
        <v>0</v>
      </c>
      <c r="R205">
        <v>1</v>
      </c>
      <c r="S205">
        <v>0</v>
      </c>
      <c r="T205">
        <v>0</v>
      </c>
      <c r="U205">
        <v>0</v>
      </c>
      <c r="V205">
        <v>0</v>
      </c>
      <c r="W205">
        <v>0</v>
      </c>
      <c r="X205">
        <v>0</v>
      </c>
      <c r="Y205">
        <v>0</v>
      </c>
      <c r="Z205">
        <v>0</v>
      </c>
      <c r="AA205">
        <v>0</v>
      </c>
      <c r="AM205" t="s">
        <v>81</v>
      </c>
      <c r="AN205" t="s">
        <v>81</v>
      </c>
      <c r="AO205" t="s">
        <v>83</v>
      </c>
      <c r="AP205" t="s">
        <v>81</v>
      </c>
      <c r="AQ205" t="s">
        <v>82</v>
      </c>
      <c r="AR205" t="s">
        <v>81</v>
      </c>
      <c r="AS205" t="s">
        <v>81</v>
      </c>
      <c r="AT205" t="s">
        <v>83</v>
      </c>
      <c r="AU205" t="s">
        <v>84</v>
      </c>
      <c r="AV205" t="s">
        <v>80</v>
      </c>
      <c r="AW205" t="s">
        <v>85</v>
      </c>
      <c r="AZ205" t="s">
        <v>107</v>
      </c>
      <c r="BA205" t="s">
        <v>86</v>
      </c>
      <c r="BB205" t="s">
        <v>86</v>
      </c>
      <c r="BC205" t="s">
        <v>86</v>
      </c>
      <c r="BD205" t="s">
        <v>86</v>
      </c>
      <c r="BE205" t="s">
        <v>86</v>
      </c>
      <c r="BF205" t="s">
        <v>97</v>
      </c>
      <c r="BG205" t="s">
        <v>76</v>
      </c>
      <c r="BH205" t="s">
        <v>98</v>
      </c>
      <c r="BI205" t="s">
        <v>107</v>
      </c>
      <c r="BJ205" t="s">
        <v>78</v>
      </c>
      <c r="BK205">
        <v>0</v>
      </c>
      <c r="BL205">
        <v>0</v>
      </c>
      <c r="BM205">
        <v>0</v>
      </c>
      <c r="BN205">
        <v>0</v>
      </c>
      <c r="BO205">
        <v>0</v>
      </c>
      <c r="BP205">
        <v>1</v>
      </c>
      <c r="BQ205">
        <v>0</v>
      </c>
      <c r="BR205">
        <v>0</v>
      </c>
    </row>
    <row r="206" spans="1:70" x14ac:dyDescent="0.2">
      <c r="A206" s="1">
        <v>44581.874305555553</v>
      </c>
      <c r="B206" s="1">
        <v>44581.878472222219</v>
      </c>
      <c r="C206">
        <v>0</v>
      </c>
      <c r="D206">
        <v>1</v>
      </c>
      <c r="E206">
        <v>0</v>
      </c>
      <c r="F206">
        <v>0</v>
      </c>
      <c r="H206">
        <v>0</v>
      </c>
      <c r="I206">
        <v>1</v>
      </c>
      <c r="J206">
        <v>0</v>
      </c>
      <c r="K206">
        <v>1</v>
      </c>
      <c r="L206">
        <v>0</v>
      </c>
      <c r="N206" t="s">
        <v>135</v>
      </c>
      <c r="O206" t="s">
        <v>80</v>
      </c>
      <c r="P206">
        <v>0</v>
      </c>
      <c r="Q206">
        <v>1</v>
      </c>
      <c r="R206">
        <v>0</v>
      </c>
      <c r="S206">
        <v>0</v>
      </c>
      <c r="T206">
        <v>0</v>
      </c>
      <c r="U206">
        <v>0</v>
      </c>
      <c r="V206">
        <v>0</v>
      </c>
      <c r="W206">
        <v>0</v>
      </c>
      <c r="X206">
        <v>0</v>
      </c>
      <c r="Y206">
        <v>0</v>
      </c>
      <c r="Z206">
        <v>0</v>
      </c>
      <c r="AA206">
        <v>0</v>
      </c>
      <c r="AM206" t="s">
        <v>90</v>
      </c>
      <c r="AN206" t="s">
        <v>82</v>
      </c>
      <c r="AO206" t="s">
        <v>81</v>
      </c>
      <c r="AP206" t="s">
        <v>81</v>
      </c>
      <c r="AQ206" t="s">
        <v>81</v>
      </c>
      <c r="AR206" t="s">
        <v>90</v>
      </c>
      <c r="AS206" t="s">
        <v>90</v>
      </c>
      <c r="AT206" t="s">
        <v>81</v>
      </c>
      <c r="AU206" t="s">
        <v>135</v>
      </c>
      <c r="AV206" t="s">
        <v>80</v>
      </c>
      <c r="AW206" t="s">
        <v>100</v>
      </c>
      <c r="AZ206" t="s">
        <v>107</v>
      </c>
      <c r="BA206" t="s">
        <v>74</v>
      </c>
      <c r="BF206" t="s">
        <v>101</v>
      </c>
      <c r="BG206" t="s">
        <v>76</v>
      </c>
      <c r="BH206" t="s">
        <v>77</v>
      </c>
      <c r="BI206" t="s">
        <v>107</v>
      </c>
      <c r="BJ206" t="s">
        <v>137</v>
      </c>
      <c r="BK206">
        <v>0</v>
      </c>
      <c r="BL206">
        <v>0</v>
      </c>
      <c r="BM206">
        <v>0</v>
      </c>
      <c r="BN206">
        <v>0</v>
      </c>
      <c r="BO206">
        <v>0</v>
      </c>
      <c r="BP206">
        <v>1</v>
      </c>
      <c r="BQ206">
        <v>0</v>
      </c>
      <c r="BR206">
        <v>0</v>
      </c>
    </row>
    <row r="207" spans="1:70" x14ac:dyDescent="0.2">
      <c r="A207" s="1">
        <v>44580.486111111109</v>
      </c>
      <c r="B207" s="1">
        <v>44580.487500000003</v>
      </c>
      <c r="C207">
        <v>0</v>
      </c>
      <c r="D207">
        <v>1</v>
      </c>
      <c r="E207">
        <v>0</v>
      </c>
      <c r="F207">
        <v>0</v>
      </c>
      <c r="H207">
        <v>0</v>
      </c>
      <c r="I207">
        <v>1</v>
      </c>
      <c r="J207">
        <v>0</v>
      </c>
      <c r="K207">
        <v>0</v>
      </c>
      <c r="L207">
        <v>0</v>
      </c>
      <c r="N207" t="s">
        <v>79</v>
      </c>
      <c r="O207" t="s">
        <v>80</v>
      </c>
      <c r="P207">
        <v>1</v>
      </c>
      <c r="Q207">
        <v>0</v>
      </c>
      <c r="R207">
        <v>0</v>
      </c>
      <c r="S207">
        <v>0</v>
      </c>
      <c r="T207">
        <v>0</v>
      </c>
      <c r="U207">
        <v>0</v>
      </c>
      <c r="V207">
        <v>0</v>
      </c>
      <c r="W207">
        <v>0</v>
      </c>
      <c r="X207">
        <v>0</v>
      </c>
      <c r="Y207">
        <v>0</v>
      </c>
      <c r="Z207">
        <v>0</v>
      </c>
      <c r="AA207">
        <v>0</v>
      </c>
      <c r="AC207">
        <v>1</v>
      </c>
      <c r="AD207">
        <v>0</v>
      </c>
      <c r="AE207">
        <v>0</v>
      </c>
      <c r="AF207">
        <v>0</v>
      </c>
      <c r="AG207">
        <v>0</v>
      </c>
      <c r="AH207">
        <v>0</v>
      </c>
      <c r="AI207">
        <v>0</v>
      </c>
      <c r="AJ207">
        <v>0</v>
      </c>
      <c r="AK207">
        <v>0</v>
      </c>
      <c r="AZ207" t="s">
        <v>107</v>
      </c>
      <c r="BA207" t="s">
        <v>87</v>
      </c>
      <c r="BB207" t="s">
        <v>87</v>
      </c>
      <c r="BC207" t="s">
        <v>87</v>
      </c>
      <c r="BD207" t="s">
        <v>87</v>
      </c>
      <c r="BE207" t="s">
        <v>87</v>
      </c>
      <c r="BF207" t="s">
        <v>101</v>
      </c>
      <c r="BG207" t="s">
        <v>76</v>
      </c>
      <c r="BH207" t="s">
        <v>77</v>
      </c>
      <c r="BI207" t="s">
        <v>107</v>
      </c>
      <c r="BJ207" t="s">
        <v>147</v>
      </c>
      <c r="BK207">
        <v>1</v>
      </c>
      <c r="BL207">
        <v>0</v>
      </c>
      <c r="BM207">
        <v>0</v>
      </c>
      <c r="BN207">
        <v>0</v>
      </c>
      <c r="BO207">
        <v>0</v>
      </c>
      <c r="BP207">
        <v>0</v>
      </c>
      <c r="BQ207">
        <v>0</v>
      </c>
      <c r="BR207">
        <v>0</v>
      </c>
    </row>
    <row r="208" spans="1:70" x14ac:dyDescent="0.2">
      <c r="A208" s="1">
        <v>44589.081250000003</v>
      </c>
      <c r="B208" s="1">
        <v>44589.086111111108</v>
      </c>
      <c r="C208">
        <v>0</v>
      </c>
      <c r="D208">
        <v>1</v>
      </c>
      <c r="E208">
        <v>0</v>
      </c>
      <c r="F208">
        <v>0</v>
      </c>
      <c r="H208">
        <v>0</v>
      </c>
      <c r="I208">
        <v>1</v>
      </c>
      <c r="J208">
        <v>0</v>
      </c>
      <c r="K208">
        <v>0</v>
      </c>
      <c r="L208">
        <v>0</v>
      </c>
      <c r="N208" t="s">
        <v>79</v>
      </c>
      <c r="O208" t="s">
        <v>142</v>
      </c>
      <c r="P208">
        <v>0</v>
      </c>
      <c r="Q208">
        <v>1</v>
      </c>
      <c r="R208">
        <v>0</v>
      </c>
      <c r="S208">
        <v>0</v>
      </c>
      <c r="T208">
        <v>0</v>
      </c>
      <c r="U208">
        <v>0</v>
      </c>
      <c r="V208">
        <v>0</v>
      </c>
      <c r="W208">
        <v>0</v>
      </c>
      <c r="X208">
        <v>0</v>
      </c>
      <c r="Y208">
        <v>0</v>
      </c>
      <c r="Z208">
        <v>0</v>
      </c>
      <c r="AA208">
        <v>0</v>
      </c>
      <c r="AM208" t="s">
        <v>82</v>
      </c>
      <c r="AN208" t="s">
        <v>82</v>
      </c>
      <c r="AO208" t="s">
        <v>90</v>
      </c>
      <c r="AP208" t="s">
        <v>90</v>
      </c>
      <c r="AQ208" t="s">
        <v>82</v>
      </c>
      <c r="AR208" t="s">
        <v>81</v>
      </c>
      <c r="AS208" t="s">
        <v>81</v>
      </c>
      <c r="AT208" t="s">
        <v>83</v>
      </c>
      <c r="AU208" t="s">
        <v>88</v>
      </c>
      <c r="AV208" t="s">
        <v>142</v>
      </c>
      <c r="AW208" t="s">
        <v>85</v>
      </c>
      <c r="AZ208" t="s">
        <v>73</v>
      </c>
      <c r="BA208" t="s">
        <v>87</v>
      </c>
      <c r="BB208" t="s">
        <v>87</v>
      </c>
      <c r="BC208" t="s">
        <v>87</v>
      </c>
      <c r="BD208" t="s">
        <v>87</v>
      </c>
      <c r="BE208" t="s">
        <v>87</v>
      </c>
      <c r="BF208" t="s">
        <v>97</v>
      </c>
      <c r="BG208" t="s">
        <v>76</v>
      </c>
      <c r="BH208" t="s">
        <v>98</v>
      </c>
      <c r="BI208" t="s">
        <v>73</v>
      </c>
      <c r="BJ208" t="s">
        <v>147</v>
      </c>
      <c r="BK208">
        <v>1</v>
      </c>
      <c r="BL208">
        <v>0</v>
      </c>
      <c r="BM208">
        <v>0</v>
      </c>
      <c r="BN208">
        <v>0</v>
      </c>
      <c r="BO208">
        <v>0</v>
      </c>
      <c r="BP208">
        <v>0</v>
      </c>
      <c r="BQ208">
        <v>0</v>
      </c>
      <c r="BR208">
        <v>0</v>
      </c>
    </row>
    <row r="209" spans="1:72" x14ac:dyDescent="0.2">
      <c r="A209" s="1">
        <v>44588.918055555558</v>
      </c>
      <c r="B209" s="1">
        <v>44588.920138888891</v>
      </c>
      <c r="C209">
        <v>0</v>
      </c>
      <c r="D209">
        <v>1</v>
      </c>
      <c r="E209">
        <v>0</v>
      </c>
      <c r="F209">
        <v>0</v>
      </c>
      <c r="H209">
        <v>0</v>
      </c>
      <c r="I209">
        <v>1</v>
      </c>
      <c r="J209">
        <v>0</v>
      </c>
      <c r="K209">
        <v>0</v>
      </c>
      <c r="L209">
        <v>0</v>
      </c>
      <c r="N209" t="s">
        <v>88</v>
      </c>
      <c r="O209" t="s">
        <v>142</v>
      </c>
      <c r="P209">
        <v>0</v>
      </c>
      <c r="Q209">
        <v>0</v>
      </c>
      <c r="R209">
        <v>0</v>
      </c>
      <c r="S209">
        <v>0</v>
      </c>
      <c r="T209">
        <v>1</v>
      </c>
      <c r="U209">
        <v>0</v>
      </c>
      <c r="V209">
        <v>0</v>
      </c>
      <c r="W209">
        <v>0</v>
      </c>
      <c r="X209">
        <v>0</v>
      </c>
      <c r="Y209">
        <v>0</v>
      </c>
      <c r="Z209">
        <v>0</v>
      </c>
      <c r="AA209">
        <v>0</v>
      </c>
      <c r="AM209" t="s">
        <v>83</v>
      </c>
      <c r="AN209" t="s">
        <v>82</v>
      </c>
      <c r="AO209" t="s">
        <v>83</v>
      </c>
      <c r="AP209" t="s">
        <v>81</v>
      </c>
      <c r="AQ209" t="s">
        <v>82</v>
      </c>
      <c r="AR209" t="s">
        <v>81</v>
      </c>
      <c r="AS209" t="s">
        <v>83</v>
      </c>
      <c r="AT209" t="s">
        <v>83</v>
      </c>
      <c r="AU209" t="s">
        <v>135</v>
      </c>
      <c r="AV209" t="s">
        <v>142</v>
      </c>
      <c r="AW209" t="s">
        <v>85</v>
      </c>
      <c r="AX209" t="s">
        <v>106</v>
      </c>
      <c r="AZ209" t="s">
        <v>96</v>
      </c>
      <c r="BA209" t="s">
        <v>87</v>
      </c>
      <c r="BB209" t="s">
        <v>87</v>
      </c>
      <c r="BC209" t="s">
        <v>87</v>
      </c>
      <c r="BD209" t="s">
        <v>87</v>
      </c>
      <c r="BE209" t="s">
        <v>87</v>
      </c>
      <c r="BF209" t="s">
        <v>75</v>
      </c>
      <c r="BG209" t="s">
        <v>76</v>
      </c>
      <c r="BH209" t="s">
        <v>77</v>
      </c>
      <c r="BI209" t="s">
        <v>96</v>
      </c>
      <c r="BJ209" t="s">
        <v>114</v>
      </c>
      <c r="BK209">
        <v>1</v>
      </c>
      <c r="BL209">
        <v>0</v>
      </c>
      <c r="BM209">
        <v>0</v>
      </c>
      <c r="BN209">
        <v>0</v>
      </c>
      <c r="BO209">
        <v>0</v>
      </c>
      <c r="BP209">
        <v>0</v>
      </c>
      <c r="BQ209">
        <v>0</v>
      </c>
      <c r="BR209">
        <v>0</v>
      </c>
    </row>
    <row r="210" spans="1:72" x14ac:dyDescent="0.2">
      <c r="A210" s="1">
        <v>44585.663194444445</v>
      </c>
      <c r="B210" s="1">
        <v>44585.665277777778</v>
      </c>
      <c r="C210">
        <v>1</v>
      </c>
      <c r="D210">
        <v>0</v>
      </c>
      <c r="E210">
        <v>0</v>
      </c>
      <c r="F210">
        <v>0</v>
      </c>
      <c r="H210">
        <v>0</v>
      </c>
      <c r="I210">
        <v>1</v>
      </c>
      <c r="J210">
        <v>0</v>
      </c>
      <c r="K210">
        <v>0</v>
      </c>
      <c r="L210">
        <v>0</v>
      </c>
      <c r="N210" t="s">
        <v>88</v>
      </c>
      <c r="O210" t="s">
        <v>89</v>
      </c>
      <c r="P210">
        <v>0</v>
      </c>
      <c r="Q210">
        <v>1</v>
      </c>
      <c r="R210">
        <v>0</v>
      </c>
      <c r="S210">
        <v>0</v>
      </c>
      <c r="T210">
        <v>0</v>
      </c>
      <c r="U210">
        <v>0</v>
      </c>
      <c r="V210">
        <v>0</v>
      </c>
      <c r="W210">
        <v>0</v>
      </c>
      <c r="X210">
        <v>0</v>
      </c>
      <c r="Y210">
        <v>0</v>
      </c>
      <c r="Z210">
        <v>0</v>
      </c>
      <c r="AA210">
        <v>0</v>
      </c>
      <c r="AM210" t="s">
        <v>81</v>
      </c>
      <c r="AN210" t="s">
        <v>81</v>
      </c>
      <c r="AO210" t="s">
        <v>81</v>
      </c>
      <c r="AP210" t="s">
        <v>90</v>
      </c>
      <c r="AQ210" t="s">
        <v>82</v>
      </c>
      <c r="AR210" t="s">
        <v>82</v>
      </c>
      <c r="AS210" t="s">
        <v>81</v>
      </c>
      <c r="AT210" t="s">
        <v>90</v>
      </c>
      <c r="AU210" t="s">
        <v>88</v>
      </c>
      <c r="AV210" t="s">
        <v>89</v>
      </c>
      <c r="AW210" t="s">
        <v>100</v>
      </c>
      <c r="AX210" t="s">
        <v>191</v>
      </c>
      <c r="AZ210" t="s">
        <v>107</v>
      </c>
      <c r="BA210" t="s">
        <v>86</v>
      </c>
      <c r="BB210" t="s">
        <v>74</v>
      </c>
      <c r="BC210" t="s">
        <v>86</v>
      </c>
      <c r="BD210" t="s">
        <v>86</v>
      </c>
      <c r="BE210" t="s">
        <v>86</v>
      </c>
      <c r="BF210" t="s">
        <v>75</v>
      </c>
      <c r="BG210" t="s">
        <v>76</v>
      </c>
      <c r="BH210" t="s">
        <v>98</v>
      </c>
      <c r="BI210" t="s">
        <v>107</v>
      </c>
      <c r="BK210">
        <v>0</v>
      </c>
      <c r="BL210">
        <v>0</v>
      </c>
      <c r="BM210">
        <v>0</v>
      </c>
      <c r="BN210">
        <v>0</v>
      </c>
      <c r="BO210">
        <v>0</v>
      </c>
      <c r="BP210">
        <v>1</v>
      </c>
      <c r="BQ210">
        <v>0</v>
      </c>
      <c r="BR210">
        <v>0</v>
      </c>
      <c r="BT210" t="s">
        <v>109</v>
      </c>
    </row>
    <row r="211" spans="1:72" x14ac:dyDescent="0.2">
      <c r="A211" s="1">
        <v>44580.051388888889</v>
      </c>
      <c r="B211" s="1">
        <v>44580.054166666669</v>
      </c>
      <c r="C211">
        <v>1</v>
      </c>
      <c r="D211">
        <v>0</v>
      </c>
      <c r="E211">
        <v>0</v>
      </c>
      <c r="F211">
        <v>0</v>
      </c>
      <c r="H211">
        <v>0</v>
      </c>
      <c r="I211">
        <v>0</v>
      </c>
      <c r="J211">
        <v>0</v>
      </c>
      <c r="K211">
        <v>0</v>
      </c>
      <c r="L211">
        <v>1</v>
      </c>
      <c r="M211" t="s">
        <v>214</v>
      </c>
      <c r="N211" t="s">
        <v>88</v>
      </c>
      <c r="O211" t="s">
        <v>89</v>
      </c>
      <c r="P211">
        <v>0</v>
      </c>
      <c r="Q211">
        <v>0</v>
      </c>
      <c r="R211">
        <v>1</v>
      </c>
      <c r="S211">
        <v>0</v>
      </c>
      <c r="T211">
        <v>0</v>
      </c>
      <c r="U211">
        <v>0</v>
      </c>
      <c r="V211">
        <v>0</v>
      </c>
      <c r="W211">
        <v>0</v>
      </c>
      <c r="X211">
        <v>0</v>
      </c>
      <c r="Y211">
        <v>0</v>
      </c>
      <c r="Z211">
        <v>0</v>
      </c>
      <c r="AA211">
        <v>0</v>
      </c>
      <c r="AM211" t="s">
        <v>83</v>
      </c>
      <c r="AN211" t="s">
        <v>83</v>
      </c>
      <c r="AO211" t="s">
        <v>83</v>
      </c>
      <c r="AP211" t="s">
        <v>83</v>
      </c>
      <c r="AQ211" t="s">
        <v>83</v>
      </c>
      <c r="AR211" t="s">
        <v>83</v>
      </c>
      <c r="AS211" t="s">
        <v>83</v>
      </c>
      <c r="AT211" t="s">
        <v>82</v>
      </c>
      <c r="AU211" t="s">
        <v>88</v>
      </c>
      <c r="AV211" t="s">
        <v>89</v>
      </c>
      <c r="AW211" t="s">
        <v>85</v>
      </c>
      <c r="AX211" t="s">
        <v>110</v>
      </c>
      <c r="AY211" t="s">
        <v>215</v>
      </c>
      <c r="AZ211" t="s">
        <v>96</v>
      </c>
      <c r="BA211" t="s">
        <v>86</v>
      </c>
      <c r="BB211" t="s">
        <v>74</v>
      </c>
      <c r="BC211" t="s">
        <v>86</v>
      </c>
      <c r="BD211" t="s">
        <v>74</v>
      </c>
      <c r="BE211" t="s">
        <v>86</v>
      </c>
      <c r="BF211" t="s">
        <v>75</v>
      </c>
      <c r="BG211" t="s">
        <v>76</v>
      </c>
      <c r="BH211" t="s">
        <v>98</v>
      </c>
      <c r="BI211" t="s">
        <v>96</v>
      </c>
      <c r="BJ211" t="s">
        <v>114</v>
      </c>
      <c r="BK211">
        <v>1</v>
      </c>
      <c r="BL211">
        <v>0</v>
      </c>
      <c r="BM211">
        <v>0</v>
      </c>
      <c r="BN211">
        <v>0</v>
      </c>
      <c r="BO211">
        <v>0</v>
      </c>
      <c r="BP211">
        <v>0</v>
      </c>
      <c r="BQ211">
        <v>0</v>
      </c>
      <c r="BR211">
        <v>0</v>
      </c>
    </row>
    <row r="212" spans="1:72" x14ac:dyDescent="0.2">
      <c r="A212" s="1">
        <v>44580.23333333333</v>
      </c>
      <c r="B212" s="1">
        <v>44580.23541666667</v>
      </c>
      <c r="C212">
        <v>1</v>
      </c>
      <c r="D212">
        <v>0</v>
      </c>
      <c r="E212">
        <v>0</v>
      </c>
      <c r="F212">
        <v>0</v>
      </c>
      <c r="H212">
        <v>1</v>
      </c>
      <c r="I212">
        <v>0</v>
      </c>
      <c r="J212">
        <v>0</v>
      </c>
      <c r="K212">
        <v>0</v>
      </c>
      <c r="L212">
        <v>0</v>
      </c>
      <c r="P212">
        <v>0</v>
      </c>
      <c r="Q212">
        <v>0</v>
      </c>
      <c r="R212">
        <v>1</v>
      </c>
      <c r="S212">
        <v>0</v>
      </c>
      <c r="T212">
        <v>0</v>
      </c>
      <c r="U212">
        <v>0</v>
      </c>
      <c r="V212">
        <v>0</v>
      </c>
      <c r="W212">
        <v>0</v>
      </c>
      <c r="X212">
        <v>0</v>
      </c>
      <c r="Y212">
        <v>0</v>
      </c>
      <c r="Z212">
        <v>0</v>
      </c>
      <c r="AA212">
        <v>0</v>
      </c>
      <c r="AM212" t="s">
        <v>81</v>
      </c>
      <c r="AN212" t="s">
        <v>82</v>
      </c>
      <c r="AO212" t="s">
        <v>83</v>
      </c>
      <c r="AP212" t="s">
        <v>82</v>
      </c>
      <c r="AQ212" t="s">
        <v>83</v>
      </c>
      <c r="AR212" t="s">
        <v>83</v>
      </c>
      <c r="AS212" t="s">
        <v>83</v>
      </c>
      <c r="AT212" t="s">
        <v>83</v>
      </c>
      <c r="AU212" t="s">
        <v>88</v>
      </c>
      <c r="AV212" t="s">
        <v>89</v>
      </c>
      <c r="AW212" t="s">
        <v>85</v>
      </c>
      <c r="AZ212" t="s">
        <v>73</v>
      </c>
      <c r="BA212" t="s">
        <v>86</v>
      </c>
      <c r="BB212" t="s">
        <v>87</v>
      </c>
      <c r="BC212" t="s">
        <v>86</v>
      </c>
      <c r="BD212" t="s">
        <v>86</v>
      </c>
      <c r="BE212" t="s">
        <v>86</v>
      </c>
      <c r="BF212" t="s">
        <v>97</v>
      </c>
      <c r="BG212" t="s">
        <v>76</v>
      </c>
      <c r="BH212" t="s">
        <v>98</v>
      </c>
      <c r="BI212" t="s">
        <v>73</v>
      </c>
      <c r="BJ212" t="s">
        <v>176</v>
      </c>
      <c r="BK212">
        <v>1</v>
      </c>
      <c r="BL212">
        <v>0</v>
      </c>
      <c r="BM212">
        <v>0</v>
      </c>
      <c r="BN212">
        <v>0</v>
      </c>
      <c r="BO212">
        <v>0</v>
      </c>
      <c r="BP212">
        <v>0</v>
      </c>
      <c r="BQ212">
        <v>0</v>
      </c>
      <c r="BR212">
        <v>0</v>
      </c>
    </row>
    <row r="213" spans="1:72" x14ac:dyDescent="0.2">
      <c r="A213" s="1">
        <v>44588.884722222225</v>
      </c>
      <c r="B213" s="1">
        <v>44588.890277777777</v>
      </c>
      <c r="C213">
        <v>1</v>
      </c>
      <c r="D213">
        <v>0</v>
      </c>
      <c r="E213">
        <v>0</v>
      </c>
      <c r="F213">
        <v>0</v>
      </c>
      <c r="H213">
        <v>0</v>
      </c>
      <c r="I213">
        <v>1</v>
      </c>
      <c r="J213">
        <v>1</v>
      </c>
      <c r="K213">
        <v>1</v>
      </c>
      <c r="L213">
        <v>0</v>
      </c>
      <c r="N213" t="s">
        <v>88</v>
      </c>
      <c r="O213" t="s">
        <v>80</v>
      </c>
      <c r="P213">
        <v>0</v>
      </c>
      <c r="Q213">
        <v>0</v>
      </c>
      <c r="R213">
        <v>1</v>
      </c>
      <c r="S213">
        <v>0</v>
      </c>
      <c r="T213">
        <v>0</v>
      </c>
      <c r="U213">
        <v>0</v>
      </c>
      <c r="V213">
        <v>0</v>
      </c>
      <c r="W213">
        <v>0</v>
      </c>
      <c r="X213">
        <v>0</v>
      </c>
      <c r="Y213">
        <v>0</v>
      </c>
      <c r="Z213">
        <v>0</v>
      </c>
      <c r="AA213">
        <v>0</v>
      </c>
      <c r="AM213" t="s">
        <v>82</v>
      </c>
      <c r="AN213" t="s">
        <v>82</v>
      </c>
      <c r="AO213" t="s">
        <v>82</v>
      </c>
      <c r="AP213" t="s">
        <v>82</v>
      </c>
      <c r="AQ213" t="s">
        <v>82</v>
      </c>
      <c r="AR213" t="s">
        <v>82</v>
      </c>
      <c r="AS213" t="s">
        <v>82</v>
      </c>
      <c r="AT213" t="s">
        <v>82</v>
      </c>
      <c r="AU213" t="s">
        <v>84</v>
      </c>
      <c r="AV213" t="s">
        <v>89</v>
      </c>
      <c r="AW213" t="s">
        <v>100</v>
      </c>
      <c r="AZ213" t="s">
        <v>96</v>
      </c>
      <c r="BA213" t="s">
        <v>87</v>
      </c>
      <c r="BB213" t="s">
        <v>87</v>
      </c>
      <c r="BC213" t="s">
        <v>87</v>
      </c>
      <c r="BD213" t="s">
        <v>87</v>
      </c>
      <c r="BE213" t="s">
        <v>87</v>
      </c>
      <c r="BF213" t="s">
        <v>101</v>
      </c>
      <c r="BG213" t="s">
        <v>76</v>
      </c>
      <c r="BH213" t="s">
        <v>98</v>
      </c>
      <c r="BI213" t="s">
        <v>96</v>
      </c>
      <c r="BJ213" t="s">
        <v>176</v>
      </c>
      <c r="BK213">
        <v>1</v>
      </c>
      <c r="BL213">
        <v>0</v>
      </c>
      <c r="BM213">
        <v>0</v>
      </c>
      <c r="BN213">
        <v>0</v>
      </c>
      <c r="BO213">
        <v>0</v>
      </c>
      <c r="BP213">
        <v>0</v>
      </c>
      <c r="BQ213">
        <v>0</v>
      </c>
      <c r="BR213">
        <v>0</v>
      </c>
    </row>
    <row r="214" spans="1:72" x14ac:dyDescent="0.2">
      <c r="A214" s="1">
        <v>44579.995833333334</v>
      </c>
      <c r="B214" s="1">
        <v>44580.001388888886</v>
      </c>
      <c r="C214">
        <v>1</v>
      </c>
      <c r="D214">
        <v>0</v>
      </c>
      <c r="E214">
        <v>0</v>
      </c>
      <c r="F214">
        <v>0</v>
      </c>
      <c r="H214">
        <v>0</v>
      </c>
      <c r="I214">
        <v>1</v>
      </c>
      <c r="J214">
        <v>0</v>
      </c>
      <c r="K214">
        <v>0</v>
      </c>
      <c r="L214">
        <v>0</v>
      </c>
      <c r="N214" t="s">
        <v>88</v>
      </c>
      <c r="O214" t="s">
        <v>89</v>
      </c>
      <c r="P214">
        <v>0</v>
      </c>
      <c r="Q214">
        <v>1</v>
      </c>
      <c r="R214">
        <v>0</v>
      </c>
      <c r="S214">
        <v>0</v>
      </c>
      <c r="T214">
        <v>0</v>
      </c>
      <c r="U214">
        <v>0</v>
      </c>
      <c r="V214">
        <v>0</v>
      </c>
      <c r="W214">
        <v>0</v>
      </c>
      <c r="X214">
        <v>0</v>
      </c>
      <c r="Y214">
        <v>0</v>
      </c>
      <c r="Z214">
        <v>0</v>
      </c>
      <c r="AA214">
        <v>0</v>
      </c>
      <c r="AM214" t="s">
        <v>83</v>
      </c>
      <c r="AN214" t="s">
        <v>82</v>
      </c>
      <c r="AO214" t="s">
        <v>81</v>
      </c>
      <c r="AP214" t="s">
        <v>81</v>
      </c>
      <c r="AQ214" t="s">
        <v>83</v>
      </c>
      <c r="AR214" t="s">
        <v>90</v>
      </c>
      <c r="AS214" t="s">
        <v>83</v>
      </c>
      <c r="AT214" t="s">
        <v>83</v>
      </c>
      <c r="AU214" t="s">
        <v>88</v>
      </c>
      <c r="AV214" t="s">
        <v>89</v>
      </c>
      <c r="AW214" t="s">
        <v>85</v>
      </c>
      <c r="AZ214" t="s">
        <v>73</v>
      </c>
      <c r="BA214" t="s">
        <v>87</v>
      </c>
      <c r="BB214" t="s">
        <v>87</v>
      </c>
      <c r="BC214" t="s">
        <v>87</v>
      </c>
      <c r="BD214" t="s">
        <v>87</v>
      </c>
      <c r="BE214" t="s">
        <v>87</v>
      </c>
      <c r="BF214" t="s">
        <v>97</v>
      </c>
      <c r="BG214" t="s">
        <v>76</v>
      </c>
      <c r="BH214" t="s">
        <v>98</v>
      </c>
      <c r="BI214" t="s">
        <v>73</v>
      </c>
      <c r="BJ214" t="s">
        <v>114</v>
      </c>
      <c r="BK214">
        <v>1</v>
      </c>
      <c r="BL214">
        <v>0</v>
      </c>
      <c r="BM214">
        <v>0</v>
      </c>
      <c r="BN214">
        <v>0</v>
      </c>
      <c r="BO214">
        <v>0</v>
      </c>
      <c r="BP214">
        <v>0</v>
      </c>
      <c r="BQ214">
        <v>0</v>
      </c>
      <c r="BR214">
        <v>0</v>
      </c>
    </row>
    <row r="215" spans="1:72" x14ac:dyDescent="0.2">
      <c r="A215" s="1">
        <v>44588.929861111108</v>
      </c>
      <c r="B215" s="1">
        <v>44588.931250000001</v>
      </c>
      <c r="C215">
        <v>1</v>
      </c>
      <c r="D215">
        <v>0</v>
      </c>
      <c r="E215">
        <v>0</v>
      </c>
      <c r="F215">
        <v>0</v>
      </c>
      <c r="H215">
        <v>1</v>
      </c>
      <c r="I215">
        <v>0</v>
      </c>
      <c r="J215">
        <v>0</v>
      </c>
      <c r="K215">
        <v>0</v>
      </c>
      <c r="L215">
        <v>0</v>
      </c>
      <c r="P215">
        <v>1</v>
      </c>
      <c r="Q215">
        <v>0</v>
      </c>
      <c r="R215">
        <v>0</v>
      </c>
      <c r="S215">
        <v>0</v>
      </c>
      <c r="T215">
        <v>0</v>
      </c>
      <c r="U215">
        <v>0</v>
      </c>
      <c r="V215">
        <v>0</v>
      </c>
      <c r="W215">
        <v>0</v>
      </c>
      <c r="X215">
        <v>0</v>
      </c>
      <c r="Y215">
        <v>0</v>
      </c>
      <c r="Z215">
        <v>0</v>
      </c>
      <c r="AA215">
        <v>0</v>
      </c>
      <c r="AC215">
        <v>0</v>
      </c>
      <c r="AD215">
        <v>1</v>
      </c>
      <c r="AE215">
        <v>0</v>
      </c>
      <c r="AF215">
        <v>0</v>
      </c>
      <c r="AG215">
        <v>0</v>
      </c>
      <c r="AH215">
        <v>0</v>
      </c>
      <c r="AI215">
        <v>0</v>
      </c>
      <c r="AJ215">
        <v>0</v>
      </c>
      <c r="AK215">
        <v>0</v>
      </c>
      <c r="AZ215" t="s">
        <v>107</v>
      </c>
      <c r="BA215" t="s">
        <v>86</v>
      </c>
      <c r="BB215" t="s">
        <v>74</v>
      </c>
      <c r="BC215" t="s">
        <v>86</v>
      </c>
      <c r="BD215" t="s">
        <v>74</v>
      </c>
      <c r="BE215" t="s">
        <v>74</v>
      </c>
      <c r="BF215" t="s">
        <v>97</v>
      </c>
      <c r="BG215" t="s">
        <v>76</v>
      </c>
      <c r="BH215" t="s">
        <v>158</v>
      </c>
      <c r="BI215" t="s">
        <v>107</v>
      </c>
      <c r="BJ215" t="s">
        <v>174</v>
      </c>
      <c r="BK215">
        <v>1</v>
      </c>
      <c r="BL215">
        <v>0</v>
      </c>
      <c r="BM215">
        <v>0</v>
      </c>
      <c r="BN215">
        <v>0</v>
      </c>
      <c r="BO215">
        <v>0</v>
      </c>
      <c r="BP215">
        <v>0</v>
      </c>
      <c r="BQ215">
        <v>0</v>
      </c>
      <c r="BR215">
        <v>0</v>
      </c>
    </row>
    <row r="216" spans="1:72" x14ac:dyDescent="0.2">
      <c r="A216" s="1">
        <v>44580.06527777778</v>
      </c>
      <c r="B216" s="1">
        <v>44580.068055555559</v>
      </c>
      <c r="C216">
        <v>0</v>
      </c>
      <c r="D216">
        <v>1</v>
      </c>
      <c r="E216">
        <v>0</v>
      </c>
      <c r="F216">
        <v>0</v>
      </c>
      <c r="H216">
        <v>0</v>
      </c>
      <c r="I216">
        <v>1</v>
      </c>
      <c r="J216">
        <v>0</v>
      </c>
      <c r="K216">
        <v>0</v>
      </c>
      <c r="L216">
        <v>0</v>
      </c>
      <c r="N216" t="s">
        <v>88</v>
      </c>
      <c r="O216" t="s">
        <v>89</v>
      </c>
      <c r="P216">
        <v>0</v>
      </c>
      <c r="Q216">
        <v>1</v>
      </c>
      <c r="R216">
        <v>0</v>
      </c>
      <c r="S216">
        <v>0</v>
      </c>
      <c r="T216">
        <v>0</v>
      </c>
      <c r="U216">
        <v>0</v>
      </c>
      <c r="V216">
        <v>0</v>
      </c>
      <c r="W216">
        <v>0</v>
      </c>
      <c r="X216">
        <v>0</v>
      </c>
      <c r="Y216">
        <v>0</v>
      </c>
      <c r="Z216">
        <v>0</v>
      </c>
      <c r="AA216">
        <v>0</v>
      </c>
      <c r="AM216" t="s">
        <v>90</v>
      </c>
      <c r="AN216" t="s">
        <v>82</v>
      </c>
      <c r="AO216" t="s">
        <v>81</v>
      </c>
      <c r="AP216" t="s">
        <v>90</v>
      </c>
      <c r="AQ216" t="s">
        <v>83</v>
      </c>
      <c r="AR216" t="s">
        <v>81</v>
      </c>
      <c r="AS216" t="s">
        <v>90</v>
      </c>
      <c r="AT216" t="s">
        <v>83</v>
      </c>
      <c r="AU216" t="s">
        <v>88</v>
      </c>
      <c r="AV216" t="s">
        <v>89</v>
      </c>
      <c r="AW216" t="s">
        <v>100</v>
      </c>
      <c r="AZ216" t="s">
        <v>73</v>
      </c>
      <c r="BA216" t="s">
        <v>87</v>
      </c>
      <c r="BB216" t="s">
        <v>74</v>
      </c>
      <c r="BC216" t="s">
        <v>87</v>
      </c>
      <c r="BD216" t="s">
        <v>87</v>
      </c>
      <c r="BE216" t="s">
        <v>74</v>
      </c>
      <c r="BF216" t="s">
        <v>97</v>
      </c>
      <c r="BG216" t="s">
        <v>76</v>
      </c>
      <c r="BH216" t="s">
        <v>98</v>
      </c>
      <c r="BI216" t="s">
        <v>73</v>
      </c>
      <c r="BJ216" t="s">
        <v>114</v>
      </c>
      <c r="BK216">
        <v>1</v>
      </c>
      <c r="BL216">
        <v>0</v>
      </c>
      <c r="BM216">
        <v>0</v>
      </c>
      <c r="BN216">
        <v>0</v>
      </c>
      <c r="BO216">
        <v>0</v>
      </c>
      <c r="BP216">
        <v>0</v>
      </c>
      <c r="BQ216">
        <v>0</v>
      </c>
      <c r="BR216">
        <v>0</v>
      </c>
    </row>
    <row r="217" spans="1:72" x14ac:dyDescent="0.2">
      <c r="A217" s="1">
        <v>44580.619444444441</v>
      </c>
      <c r="B217" s="1">
        <v>44580.620833333334</v>
      </c>
      <c r="C217">
        <v>1</v>
      </c>
      <c r="D217">
        <v>0</v>
      </c>
      <c r="E217">
        <v>0</v>
      </c>
      <c r="F217">
        <v>0</v>
      </c>
      <c r="H217">
        <v>0</v>
      </c>
      <c r="I217">
        <v>0</v>
      </c>
      <c r="J217">
        <v>0</v>
      </c>
      <c r="K217">
        <v>1</v>
      </c>
      <c r="L217">
        <v>0</v>
      </c>
      <c r="N217" t="s">
        <v>88</v>
      </c>
      <c r="O217" t="s">
        <v>89</v>
      </c>
      <c r="P217">
        <v>1</v>
      </c>
      <c r="Q217">
        <v>0</v>
      </c>
      <c r="R217">
        <v>0</v>
      </c>
      <c r="S217">
        <v>0</v>
      </c>
      <c r="T217">
        <v>0</v>
      </c>
      <c r="U217">
        <v>0</v>
      </c>
      <c r="V217">
        <v>0</v>
      </c>
      <c r="W217">
        <v>0</v>
      </c>
      <c r="X217">
        <v>0</v>
      </c>
      <c r="Y217">
        <v>0</v>
      </c>
      <c r="Z217">
        <v>0</v>
      </c>
      <c r="AA217">
        <v>0</v>
      </c>
      <c r="AC217">
        <v>0</v>
      </c>
      <c r="AD217">
        <v>0</v>
      </c>
      <c r="AE217">
        <v>1</v>
      </c>
      <c r="AF217">
        <v>0</v>
      </c>
      <c r="AG217">
        <v>0</v>
      </c>
      <c r="AH217">
        <v>1</v>
      </c>
      <c r="AI217">
        <v>1</v>
      </c>
      <c r="AJ217">
        <v>0</v>
      </c>
      <c r="AK217">
        <v>0</v>
      </c>
      <c r="AX217" t="s">
        <v>199</v>
      </c>
      <c r="AZ217" t="s">
        <v>107</v>
      </c>
      <c r="BA217" t="s">
        <v>87</v>
      </c>
      <c r="BB217" t="s">
        <v>87</v>
      </c>
      <c r="BC217" t="s">
        <v>74</v>
      </c>
      <c r="BD217" t="s">
        <v>87</v>
      </c>
      <c r="BE217" t="s">
        <v>86</v>
      </c>
      <c r="BF217" t="s">
        <v>75</v>
      </c>
      <c r="BG217" t="s">
        <v>76</v>
      </c>
      <c r="BH217" t="s">
        <v>77</v>
      </c>
      <c r="BI217" t="s">
        <v>107</v>
      </c>
      <c r="BJ217" t="s">
        <v>212</v>
      </c>
      <c r="BK217">
        <v>1</v>
      </c>
      <c r="BL217">
        <v>0</v>
      </c>
      <c r="BM217">
        <v>0</v>
      </c>
      <c r="BN217">
        <v>0</v>
      </c>
      <c r="BO217">
        <v>0</v>
      </c>
      <c r="BP217">
        <v>0</v>
      </c>
      <c r="BQ217">
        <v>0</v>
      </c>
      <c r="BR217">
        <v>0</v>
      </c>
    </row>
    <row r="218" spans="1:72" x14ac:dyDescent="0.2">
      <c r="A218" s="1">
        <v>44585.699305555558</v>
      </c>
      <c r="B218" s="1">
        <v>44585.701388888891</v>
      </c>
      <c r="C218">
        <v>0</v>
      </c>
      <c r="D218">
        <v>1</v>
      </c>
      <c r="E218">
        <v>0</v>
      </c>
      <c r="F218">
        <v>0</v>
      </c>
      <c r="H218">
        <v>1</v>
      </c>
      <c r="I218">
        <v>0</v>
      </c>
      <c r="J218">
        <v>0</v>
      </c>
      <c r="K218">
        <v>0</v>
      </c>
      <c r="L218">
        <v>0</v>
      </c>
      <c r="P218">
        <v>1</v>
      </c>
      <c r="Q218">
        <v>0</v>
      </c>
      <c r="R218">
        <v>0</v>
      </c>
      <c r="S218">
        <v>0</v>
      </c>
      <c r="T218">
        <v>0</v>
      </c>
      <c r="U218">
        <v>0</v>
      </c>
      <c r="V218">
        <v>0</v>
      </c>
      <c r="W218">
        <v>0</v>
      </c>
      <c r="X218">
        <v>0</v>
      </c>
      <c r="Y218">
        <v>0</v>
      </c>
      <c r="Z218">
        <v>0</v>
      </c>
      <c r="AA218">
        <v>0</v>
      </c>
      <c r="AC218">
        <v>0</v>
      </c>
      <c r="AD218">
        <v>1</v>
      </c>
      <c r="AE218">
        <v>0</v>
      </c>
      <c r="AF218">
        <v>0</v>
      </c>
      <c r="AG218">
        <v>0</v>
      </c>
      <c r="AH218">
        <v>0</v>
      </c>
      <c r="AI218">
        <v>0</v>
      </c>
      <c r="AJ218">
        <v>0</v>
      </c>
      <c r="AK218">
        <v>0</v>
      </c>
      <c r="AX218" t="s">
        <v>110</v>
      </c>
      <c r="AY218" t="s">
        <v>216</v>
      </c>
      <c r="AZ218" t="s">
        <v>73</v>
      </c>
      <c r="BA218" t="s">
        <v>86</v>
      </c>
      <c r="BB218" t="s">
        <v>86</v>
      </c>
      <c r="BC218" t="s">
        <v>86</v>
      </c>
      <c r="BD218" t="s">
        <v>86</v>
      </c>
      <c r="BE218" t="s">
        <v>86</v>
      </c>
      <c r="BF218" t="s">
        <v>108</v>
      </c>
      <c r="BG218" t="s">
        <v>76</v>
      </c>
      <c r="BH218" t="s">
        <v>98</v>
      </c>
      <c r="BI218" t="s">
        <v>73</v>
      </c>
      <c r="BJ218" t="s">
        <v>102</v>
      </c>
      <c r="BK218">
        <v>1</v>
      </c>
      <c r="BL218">
        <v>0</v>
      </c>
      <c r="BM218">
        <v>0</v>
      </c>
      <c r="BN218">
        <v>0</v>
      </c>
      <c r="BO218">
        <v>0</v>
      </c>
      <c r="BP218">
        <v>0</v>
      </c>
      <c r="BQ218">
        <v>0</v>
      </c>
      <c r="BR218">
        <v>0</v>
      </c>
    </row>
    <row r="219" spans="1:72" x14ac:dyDescent="0.2">
      <c r="A219" s="1">
        <v>44589.536111111112</v>
      </c>
      <c r="B219" s="1">
        <v>44589.540972222225</v>
      </c>
      <c r="C219">
        <v>0</v>
      </c>
      <c r="D219">
        <v>1</v>
      </c>
      <c r="E219">
        <v>0</v>
      </c>
      <c r="F219">
        <v>0</v>
      </c>
      <c r="H219">
        <v>1</v>
      </c>
      <c r="I219">
        <v>0</v>
      </c>
      <c r="J219">
        <v>0</v>
      </c>
      <c r="K219">
        <v>0</v>
      </c>
      <c r="L219">
        <v>0</v>
      </c>
      <c r="P219">
        <v>1</v>
      </c>
      <c r="Q219">
        <v>0</v>
      </c>
      <c r="R219">
        <v>0</v>
      </c>
      <c r="S219">
        <v>0</v>
      </c>
      <c r="T219">
        <v>0</v>
      </c>
      <c r="U219">
        <v>0</v>
      </c>
      <c r="V219">
        <v>0</v>
      </c>
      <c r="W219">
        <v>0</v>
      </c>
      <c r="X219">
        <v>0</v>
      </c>
      <c r="Y219">
        <v>0</v>
      </c>
      <c r="Z219">
        <v>0</v>
      </c>
      <c r="AA219">
        <v>0</v>
      </c>
      <c r="AC219">
        <v>0</v>
      </c>
      <c r="AD219">
        <v>0</v>
      </c>
      <c r="AE219">
        <v>1</v>
      </c>
      <c r="AF219">
        <v>0</v>
      </c>
      <c r="AG219">
        <v>0</v>
      </c>
      <c r="AH219">
        <v>1</v>
      </c>
      <c r="AI219">
        <v>0</v>
      </c>
      <c r="AJ219">
        <v>0</v>
      </c>
      <c r="AK219">
        <v>0</v>
      </c>
      <c r="AZ219" t="s">
        <v>96</v>
      </c>
      <c r="BA219" t="s">
        <v>87</v>
      </c>
      <c r="BB219" t="s">
        <v>86</v>
      </c>
      <c r="BC219" t="s">
        <v>87</v>
      </c>
      <c r="BD219" t="s">
        <v>86</v>
      </c>
      <c r="BE219" t="s">
        <v>86</v>
      </c>
      <c r="BF219" t="s">
        <v>97</v>
      </c>
      <c r="BG219" t="s">
        <v>76</v>
      </c>
      <c r="BH219" t="s">
        <v>158</v>
      </c>
      <c r="BI219" t="s">
        <v>96</v>
      </c>
      <c r="BJ219" t="s">
        <v>114</v>
      </c>
      <c r="BK219">
        <v>1</v>
      </c>
      <c r="BL219">
        <v>0</v>
      </c>
      <c r="BM219">
        <v>0</v>
      </c>
      <c r="BN219">
        <v>0</v>
      </c>
      <c r="BO219">
        <v>0</v>
      </c>
      <c r="BP219">
        <v>0</v>
      </c>
      <c r="BQ219">
        <v>0</v>
      </c>
      <c r="BR219">
        <v>0</v>
      </c>
    </row>
    <row r="220" spans="1:72" x14ac:dyDescent="0.2">
      <c r="A220" s="1">
        <v>44580.029166666667</v>
      </c>
      <c r="B220" s="1">
        <v>44580.034722222219</v>
      </c>
      <c r="C220">
        <v>1</v>
      </c>
      <c r="D220">
        <v>0</v>
      </c>
      <c r="E220">
        <v>0</v>
      </c>
      <c r="F220">
        <v>0</v>
      </c>
      <c r="H220">
        <v>0</v>
      </c>
      <c r="I220">
        <v>0</v>
      </c>
      <c r="J220">
        <v>0</v>
      </c>
      <c r="K220">
        <v>0</v>
      </c>
      <c r="L220">
        <v>1</v>
      </c>
      <c r="M220" t="s">
        <v>217</v>
      </c>
      <c r="N220" t="s">
        <v>88</v>
      </c>
      <c r="O220" t="s">
        <v>89</v>
      </c>
      <c r="P220">
        <v>0</v>
      </c>
      <c r="Q220">
        <v>1</v>
      </c>
      <c r="R220">
        <v>0</v>
      </c>
      <c r="S220">
        <v>0</v>
      </c>
      <c r="T220">
        <v>0</v>
      </c>
      <c r="U220">
        <v>0</v>
      </c>
      <c r="V220">
        <v>0</v>
      </c>
      <c r="W220">
        <v>0</v>
      </c>
      <c r="X220">
        <v>0</v>
      </c>
      <c r="Y220">
        <v>0</v>
      </c>
      <c r="Z220">
        <v>0</v>
      </c>
      <c r="AA220">
        <v>0</v>
      </c>
      <c r="AM220" t="s">
        <v>81</v>
      </c>
      <c r="AN220" t="s">
        <v>83</v>
      </c>
      <c r="AO220" t="s">
        <v>81</v>
      </c>
      <c r="AP220" t="s">
        <v>83</v>
      </c>
      <c r="AQ220" t="s">
        <v>82</v>
      </c>
      <c r="AR220" t="s">
        <v>90</v>
      </c>
      <c r="AS220" t="s">
        <v>81</v>
      </c>
      <c r="AT220" t="s">
        <v>83</v>
      </c>
      <c r="AU220" t="s">
        <v>88</v>
      </c>
      <c r="AV220" t="s">
        <v>89</v>
      </c>
      <c r="AW220" t="s">
        <v>100</v>
      </c>
      <c r="AZ220" t="s">
        <v>107</v>
      </c>
      <c r="BA220" t="s">
        <v>74</v>
      </c>
      <c r="BF220" t="s">
        <v>97</v>
      </c>
      <c r="BG220" t="s">
        <v>76</v>
      </c>
      <c r="BH220" t="s">
        <v>98</v>
      </c>
      <c r="BI220" t="s">
        <v>107</v>
      </c>
      <c r="BJ220" t="s">
        <v>147</v>
      </c>
      <c r="BK220">
        <v>1</v>
      </c>
      <c r="BL220">
        <v>0</v>
      </c>
      <c r="BM220">
        <v>0</v>
      </c>
      <c r="BN220">
        <v>0</v>
      </c>
      <c r="BO220">
        <v>0</v>
      </c>
      <c r="BP220">
        <v>0</v>
      </c>
      <c r="BQ220">
        <v>0</v>
      </c>
      <c r="BR220">
        <v>0</v>
      </c>
    </row>
    <row r="221" spans="1:72" x14ac:dyDescent="0.2">
      <c r="A221" s="1">
        <v>44579.954861111109</v>
      </c>
      <c r="B221" s="1">
        <v>44579.957638888889</v>
      </c>
      <c r="C221">
        <v>0</v>
      </c>
      <c r="D221">
        <v>1</v>
      </c>
      <c r="E221">
        <v>0</v>
      </c>
      <c r="F221">
        <v>0</v>
      </c>
      <c r="H221">
        <v>0</v>
      </c>
      <c r="I221">
        <v>1</v>
      </c>
      <c r="J221">
        <v>0</v>
      </c>
      <c r="K221">
        <v>1</v>
      </c>
      <c r="L221">
        <v>0</v>
      </c>
      <c r="N221" t="s">
        <v>88</v>
      </c>
      <c r="O221" t="s">
        <v>89</v>
      </c>
      <c r="P221">
        <v>0</v>
      </c>
      <c r="Q221">
        <v>1</v>
      </c>
      <c r="R221">
        <v>0</v>
      </c>
      <c r="S221">
        <v>0</v>
      </c>
      <c r="T221">
        <v>0</v>
      </c>
      <c r="U221">
        <v>0</v>
      </c>
      <c r="V221">
        <v>0</v>
      </c>
      <c r="W221">
        <v>0</v>
      </c>
      <c r="X221">
        <v>0</v>
      </c>
      <c r="Y221">
        <v>0</v>
      </c>
      <c r="Z221">
        <v>0</v>
      </c>
      <c r="AA221">
        <v>0</v>
      </c>
      <c r="AM221" t="s">
        <v>83</v>
      </c>
      <c r="AN221" t="s">
        <v>82</v>
      </c>
      <c r="AO221" t="s">
        <v>81</v>
      </c>
      <c r="AP221" t="s">
        <v>83</v>
      </c>
      <c r="AQ221" t="s">
        <v>82</v>
      </c>
      <c r="AR221" t="s">
        <v>82</v>
      </c>
      <c r="AS221" t="s">
        <v>83</v>
      </c>
      <c r="AT221" t="s">
        <v>83</v>
      </c>
      <c r="AU221" t="s">
        <v>88</v>
      </c>
      <c r="AV221" t="s">
        <v>89</v>
      </c>
      <c r="AW221" t="s">
        <v>100</v>
      </c>
      <c r="AX221" t="s">
        <v>72</v>
      </c>
      <c r="AZ221" t="s">
        <v>73</v>
      </c>
      <c r="BA221" t="s">
        <v>87</v>
      </c>
      <c r="BB221" t="s">
        <v>74</v>
      </c>
      <c r="BC221" t="s">
        <v>87</v>
      </c>
      <c r="BD221" t="s">
        <v>87</v>
      </c>
      <c r="BE221" t="s">
        <v>87</v>
      </c>
      <c r="BF221" t="s">
        <v>75</v>
      </c>
      <c r="BG221" t="s">
        <v>76</v>
      </c>
      <c r="BH221" t="s">
        <v>77</v>
      </c>
      <c r="BI221" t="s">
        <v>73</v>
      </c>
      <c r="BJ221" t="s">
        <v>114</v>
      </c>
      <c r="BK221">
        <v>1</v>
      </c>
      <c r="BL221">
        <v>0</v>
      </c>
      <c r="BM221">
        <v>0</v>
      </c>
      <c r="BN221">
        <v>0</v>
      </c>
      <c r="BO221">
        <v>0</v>
      </c>
      <c r="BP221">
        <v>0</v>
      </c>
      <c r="BQ221">
        <v>0</v>
      </c>
      <c r="BR221">
        <v>0</v>
      </c>
    </row>
    <row r="222" spans="1:72" x14ac:dyDescent="0.2">
      <c r="A222" s="1">
        <v>44585.631944444445</v>
      </c>
      <c r="B222" s="1">
        <v>44585.634722222225</v>
      </c>
      <c r="C222">
        <v>1</v>
      </c>
      <c r="D222">
        <v>0</v>
      </c>
      <c r="E222">
        <v>0</v>
      </c>
      <c r="F222">
        <v>0</v>
      </c>
      <c r="H222">
        <v>1</v>
      </c>
      <c r="I222">
        <v>0</v>
      </c>
      <c r="J222">
        <v>0</v>
      </c>
      <c r="K222">
        <v>0</v>
      </c>
      <c r="L222">
        <v>0</v>
      </c>
      <c r="P222">
        <v>0</v>
      </c>
      <c r="Q222">
        <v>1</v>
      </c>
      <c r="R222">
        <v>0</v>
      </c>
      <c r="S222">
        <v>0</v>
      </c>
      <c r="T222">
        <v>0</v>
      </c>
      <c r="U222">
        <v>0</v>
      </c>
      <c r="V222">
        <v>0</v>
      </c>
      <c r="W222">
        <v>0</v>
      </c>
      <c r="X222">
        <v>0</v>
      </c>
      <c r="Y222">
        <v>0</v>
      </c>
      <c r="Z222">
        <v>0</v>
      </c>
      <c r="AA222">
        <v>0</v>
      </c>
      <c r="AM222" t="s">
        <v>83</v>
      </c>
      <c r="AN222" t="s">
        <v>82</v>
      </c>
      <c r="AO222" t="s">
        <v>90</v>
      </c>
      <c r="AP222" t="s">
        <v>90</v>
      </c>
      <c r="AQ222" t="s">
        <v>83</v>
      </c>
      <c r="AR222" t="s">
        <v>83</v>
      </c>
      <c r="AS222" t="s">
        <v>81</v>
      </c>
      <c r="AT222" t="s">
        <v>90</v>
      </c>
      <c r="AU222" t="s">
        <v>84</v>
      </c>
      <c r="AV222" t="s">
        <v>89</v>
      </c>
      <c r="AW222" t="s">
        <v>85</v>
      </c>
      <c r="AZ222" t="s">
        <v>107</v>
      </c>
      <c r="BA222" t="s">
        <v>87</v>
      </c>
      <c r="BB222" t="s">
        <v>87</v>
      </c>
      <c r="BC222" t="s">
        <v>87</v>
      </c>
      <c r="BD222" t="s">
        <v>87</v>
      </c>
      <c r="BE222" t="s">
        <v>87</v>
      </c>
      <c r="BF222" t="s">
        <v>97</v>
      </c>
      <c r="BG222" t="s">
        <v>76</v>
      </c>
      <c r="BH222" t="s">
        <v>98</v>
      </c>
      <c r="BI222" t="s">
        <v>107</v>
      </c>
      <c r="BJ222" t="s">
        <v>114</v>
      </c>
      <c r="BK222">
        <v>1</v>
      </c>
      <c r="BL222">
        <v>0</v>
      </c>
      <c r="BM222">
        <v>0</v>
      </c>
      <c r="BN222">
        <v>0</v>
      </c>
      <c r="BO222">
        <v>0</v>
      </c>
      <c r="BP222">
        <v>0</v>
      </c>
      <c r="BQ222">
        <v>0</v>
      </c>
      <c r="BR222">
        <v>0</v>
      </c>
    </row>
    <row r="223" spans="1:72" x14ac:dyDescent="0.2">
      <c r="A223" s="1">
        <v>44588.993055555555</v>
      </c>
      <c r="B223" s="1">
        <v>44588.995138888888</v>
      </c>
      <c r="C223">
        <v>1</v>
      </c>
      <c r="D223">
        <v>0</v>
      </c>
      <c r="E223">
        <v>0</v>
      </c>
      <c r="F223">
        <v>0</v>
      </c>
      <c r="H223">
        <v>0</v>
      </c>
      <c r="I223">
        <v>0</v>
      </c>
      <c r="J223">
        <v>1</v>
      </c>
      <c r="K223">
        <v>0</v>
      </c>
      <c r="L223">
        <v>1</v>
      </c>
      <c r="M223" t="s">
        <v>218</v>
      </c>
      <c r="N223" t="s">
        <v>135</v>
      </c>
      <c r="O223" t="s">
        <v>80</v>
      </c>
      <c r="P223">
        <v>0</v>
      </c>
      <c r="Q223">
        <v>0</v>
      </c>
      <c r="R223">
        <v>1</v>
      </c>
      <c r="S223">
        <v>0</v>
      </c>
      <c r="T223">
        <v>0</v>
      </c>
      <c r="U223">
        <v>0</v>
      </c>
      <c r="V223">
        <v>0</v>
      </c>
      <c r="W223">
        <v>0</v>
      </c>
      <c r="X223">
        <v>0</v>
      </c>
      <c r="Y223">
        <v>0</v>
      </c>
      <c r="Z223">
        <v>0</v>
      </c>
      <c r="AA223">
        <v>0</v>
      </c>
      <c r="AM223" t="s">
        <v>83</v>
      </c>
      <c r="AN223" t="s">
        <v>81</v>
      </c>
      <c r="AO223" t="s">
        <v>83</v>
      </c>
      <c r="AP223" t="s">
        <v>83</v>
      </c>
      <c r="AQ223" t="s">
        <v>82</v>
      </c>
      <c r="AR223" t="s">
        <v>81</v>
      </c>
      <c r="AS223" t="s">
        <v>83</v>
      </c>
      <c r="AT223" t="s">
        <v>81</v>
      </c>
      <c r="AU223" t="s">
        <v>135</v>
      </c>
      <c r="AV223" t="s">
        <v>80</v>
      </c>
      <c r="AW223" t="s">
        <v>117</v>
      </c>
      <c r="AX223" t="s">
        <v>72</v>
      </c>
      <c r="AZ223" t="s">
        <v>73</v>
      </c>
      <c r="BA223" t="s">
        <v>86</v>
      </c>
      <c r="BB223" t="s">
        <v>86</v>
      </c>
      <c r="BC223" t="s">
        <v>86</v>
      </c>
      <c r="BD223" t="s">
        <v>86</v>
      </c>
      <c r="BE223" t="s">
        <v>86</v>
      </c>
      <c r="BF223" t="s">
        <v>75</v>
      </c>
      <c r="BG223" t="s">
        <v>76</v>
      </c>
      <c r="BH223" t="s">
        <v>93</v>
      </c>
      <c r="BI223" t="s">
        <v>73</v>
      </c>
      <c r="BJ223" t="s">
        <v>114</v>
      </c>
      <c r="BK223">
        <v>1</v>
      </c>
      <c r="BL223">
        <v>0</v>
      </c>
      <c r="BM223">
        <v>0</v>
      </c>
      <c r="BN223">
        <v>0</v>
      </c>
      <c r="BO223">
        <v>0</v>
      </c>
      <c r="BP223">
        <v>0</v>
      </c>
      <c r="BQ223">
        <v>0</v>
      </c>
      <c r="BR223">
        <v>0</v>
      </c>
    </row>
    <row r="224" spans="1:72" x14ac:dyDescent="0.2">
      <c r="A224" s="1">
        <v>44589.038194444445</v>
      </c>
      <c r="B224" s="1">
        <v>44589.040277777778</v>
      </c>
      <c r="C224">
        <v>1</v>
      </c>
      <c r="D224">
        <v>0</v>
      </c>
      <c r="E224">
        <v>0</v>
      </c>
      <c r="F224">
        <v>0</v>
      </c>
      <c r="H224">
        <v>0</v>
      </c>
      <c r="I224">
        <v>0</v>
      </c>
      <c r="J224">
        <v>0</v>
      </c>
      <c r="K224">
        <v>0</v>
      </c>
      <c r="L224">
        <v>1</v>
      </c>
      <c r="M224" t="s">
        <v>219</v>
      </c>
      <c r="N224" t="s">
        <v>88</v>
      </c>
      <c r="O224" t="s">
        <v>89</v>
      </c>
      <c r="P224">
        <v>0</v>
      </c>
      <c r="Q224">
        <v>0</v>
      </c>
      <c r="R224">
        <v>1</v>
      </c>
      <c r="S224">
        <v>0</v>
      </c>
      <c r="T224">
        <v>0</v>
      </c>
      <c r="U224">
        <v>0</v>
      </c>
      <c r="V224">
        <v>0</v>
      </c>
      <c r="W224">
        <v>0</v>
      </c>
      <c r="X224">
        <v>0</v>
      </c>
      <c r="Y224">
        <v>0</v>
      </c>
      <c r="Z224">
        <v>0</v>
      </c>
      <c r="AA224">
        <v>0</v>
      </c>
      <c r="AM224" t="s">
        <v>82</v>
      </c>
      <c r="AN224" t="s">
        <v>82</v>
      </c>
      <c r="AO224" t="s">
        <v>83</v>
      </c>
      <c r="AP224" t="s">
        <v>81</v>
      </c>
      <c r="AQ224" t="s">
        <v>81</v>
      </c>
      <c r="AR224" t="s">
        <v>83</v>
      </c>
      <c r="AS224" t="s">
        <v>83</v>
      </c>
      <c r="AT224" t="s">
        <v>83</v>
      </c>
      <c r="AU224" t="s">
        <v>88</v>
      </c>
      <c r="AV224" t="s">
        <v>89</v>
      </c>
      <c r="AW224" t="s">
        <v>85</v>
      </c>
      <c r="AZ224" t="s">
        <v>73</v>
      </c>
      <c r="BA224" t="s">
        <v>86</v>
      </c>
      <c r="BB224" t="s">
        <v>74</v>
      </c>
      <c r="BC224" t="s">
        <v>74</v>
      </c>
      <c r="BD224" t="s">
        <v>74</v>
      </c>
      <c r="BE224" t="s">
        <v>74</v>
      </c>
      <c r="BF224" t="s">
        <v>97</v>
      </c>
      <c r="BG224" t="s">
        <v>76</v>
      </c>
      <c r="BH224" t="s">
        <v>98</v>
      </c>
      <c r="BI224" t="s">
        <v>73</v>
      </c>
      <c r="BJ224" t="s">
        <v>114</v>
      </c>
      <c r="BK224">
        <v>1</v>
      </c>
      <c r="BL224">
        <v>0</v>
      </c>
      <c r="BM224">
        <v>0</v>
      </c>
      <c r="BN224">
        <v>0</v>
      </c>
      <c r="BO224">
        <v>0</v>
      </c>
      <c r="BP224">
        <v>0</v>
      </c>
      <c r="BQ224">
        <v>0</v>
      </c>
      <c r="BR224">
        <v>0</v>
      </c>
    </row>
    <row r="225" spans="1:70" x14ac:dyDescent="0.2">
      <c r="A225" s="1">
        <v>44585.771527777775</v>
      </c>
      <c r="B225" s="1">
        <v>44585.775000000001</v>
      </c>
      <c r="C225">
        <v>1</v>
      </c>
      <c r="D225">
        <v>0</v>
      </c>
      <c r="E225">
        <v>0</v>
      </c>
      <c r="F225">
        <v>0</v>
      </c>
      <c r="H225">
        <v>1</v>
      </c>
      <c r="I225">
        <v>0</v>
      </c>
      <c r="J225">
        <v>0</v>
      </c>
      <c r="K225">
        <v>0</v>
      </c>
      <c r="L225">
        <v>0</v>
      </c>
      <c r="P225">
        <v>0</v>
      </c>
      <c r="Q225">
        <v>0</v>
      </c>
      <c r="R225">
        <v>1</v>
      </c>
      <c r="S225">
        <v>0</v>
      </c>
      <c r="T225">
        <v>0</v>
      </c>
      <c r="U225">
        <v>0</v>
      </c>
      <c r="V225">
        <v>0</v>
      </c>
      <c r="W225">
        <v>0</v>
      </c>
      <c r="X225">
        <v>0</v>
      </c>
      <c r="Y225">
        <v>0</v>
      </c>
      <c r="Z225">
        <v>0</v>
      </c>
      <c r="AA225">
        <v>0</v>
      </c>
      <c r="AM225" t="s">
        <v>82</v>
      </c>
      <c r="AN225" t="s">
        <v>83</v>
      </c>
      <c r="AO225" t="s">
        <v>83</v>
      </c>
      <c r="AP225" t="s">
        <v>83</v>
      </c>
      <c r="AQ225" t="s">
        <v>82</v>
      </c>
      <c r="AR225" t="s">
        <v>83</v>
      </c>
      <c r="AS225" t="s">
        <v>82</v>
      </c>
      <c r="AT225" t="s">
        <v>82</v>
      </c>
      <c r="AU225" t="s">
        <v>88</v>
      </c>
      <c r="AV225" t="s">
        <v>89</v>
      </c>
      <c r="AW225" t="s">
        <v>169</v>
      </c>
      <c r="AX225" t="s">
        <v>106</v>
      </c>
      <c r="AZ225" t="s">
        <v>96</v>
      </c>
      <c r="BA225" t="s">
        <v>86</v>
      </c>
      <c r="BB225" t="s">
        <v>87</v>
      </c>
      <c r="BC225" t="s">
        <v>86</v>
      </c>
      <c r="BD225" t="s">
        <v>86</v>
      </c>
      <c r="BE225" t="s">
        <v>86</v>
      </c>
      <c r="BF225" t="s">
        <v>75</v>
      </c>
      <c r="BG225" t="s">
        <v>76</v>
      </c>
      <c r="BH225" t="s">
        <v>98</v>
      </c>
      <c r="BI225" t="s">
        <v>96</v>
      </c>
      <c r="BJ225" t="s">
        <v>109</v>
      </c>
      <c r="BK225">
        <v>1</v>
      </c>
      <c r="BL225">
        <v>0</v>
      </c>
      <c r="BM225">
        <v>0</v>
      </c>
      <c r="BN225">
        <v>0</v>
      </c>
      <c r="BO225">
        <v>0</v>
      </c>
      <c r="BP225">
        <v>0</v>
      </c>
      <c r="BQ225">
        <v>0</v>
      </c>
      <c r="BR225">
        <v>0</v>
      </c>
    </row>
    <row r="226" spans="1:70" x14ac:dyDescent="0.2">
      <c r="A226" s="1">
        <v>44585.620138888888</v>
      </c>
      <c r="B226" s="1">
        <v>44585.62222222222</v>
      </c>
      <c r="C226">
        <v>1</v>
      </c>
      <c r="D226">
        <v>0</v>
      </c>
      <c r="E226">
        <v>0</v>
      </c>
      <c r="F226">
        <v>0</v>
      </c>
      <c r="H226">
        <v>1</v>
      </c>
      <c r="I226">
        <v>0</v>
      </c>
      <c r="J226">
        <v>0</v>
      </c>
      <c r="K226">
        <v>0</v>
      </c>
      <c r="L226">
        <v>0</v>
      </c>
      <c r="P226">
        <v>1</v>
      </c>
      <c r="Q226">
        <v>0</v>
      </c>
      <c r="R226">
        <v>0</v>
      </c>
      <c r="S226">
        <v>0</v>
      </c>
      <c r="T226">
        <v>0</v>
      </c>
      <c r="U226">
        <v>0</v>
      </c>
      <c r="V226">
        <v>0</v>
      </c>
      <c r="W226">
        <v>0</v>
      </c>
      <c r="X226">
        <v>0</v>
      </c>
      <c r="Y226">
        <v>0</v>
      </c>
      <c r="Z226">
        <v>0</v>
      </c>
      <c r="AA226">
        <v>0</v>
      </c>
      <c r="AC226">
        <v>0</v>
      </c>
      <c r="AD226">
        <v>0</v>
      </c>
      <c r="AE226">
        <v>1</v>
      </c>
      <c r="AF226">
        <v>0</v>
      </c>
      <c r="AG226">
        <v>0</v>
      </c>
      <c r="AH226">
        <v>0</v>
      </c>
      <c r="AI226">
        <v>0</v>
      </c>
      <c r="AJ226">
        <v>0</v>
      </c>
      <c r="AK226">
        <v>0</v>
      </c>
      <c r="AX226" t="s">
        <v>118</v>
      </c>
      <c r="AZ226" t="s">
        <v>96</v>
      </c>
      <c r="BA226" t="s">
        <v>87</v>
      </c>
      <c r="BB226" t="s">
        <v>87</v>
      </c>
      <c r="BC226" t="s">
        <v>87</v>
      </c>
      <c r="BD226" t="s">
        <v>87</v>
      </c>
      <c r="BE226" t="s">
        <v>87</v>
      </c>
      <c r="BF226" t="s">
        <v>75</v>
      </c>
      <c r="BG226" t="s">
        <v>76</v>
      </c>
      <c r="BH226" t="s">
        <v>98</v>
      </c>
      <c r="BI226" t="s">
        <v>96</v>
      </c>
      <c r="BJ226" t="s">
        <v>114</v>
      </c>
      <c r="BK226">
        <v>1</v>
      </c>
      <c r="BL226">
        <v>0</v>
      </c>
      <c r="BM226">
        <v>0</v>
      </c>
      <c r="BN226">
        <v>0</v>
      </c>
      <c r="BO226">
        <v>0</v>
      </c>
      <c r="BP226">
        <v>0</v>
      </c>
      <c r="BQ226">
        <v>0</v>
      </c>
      <c r="BR226">
        <v>0</v>
      </c>
    </row>
    <row r="227" spans="1:70" x14ac:dyDescent="0.2">
      <c r="A227" s="1">
        <v>44585.587500000001</v>
      </c>
      <c r="B227" s="1">
        <v>44585.635416666664</v>
      </c>
      <c r="C227">
        <v>1</v>
      </c>
      <c r="D227">
        <v>0</v>
      </c>
      <c r="E227">
        <v>0</v>
      </c>
      <c r="F227">
        <v>0</v>
      </c>
      <c r="H227">
        <v>0</v>
      </c>
      <c r="I227">
        <v>1</v>
      </c>
      <c r="J227">
        <v>0</v>
      </c>
      <c r="K227">
        <v>1</v>
      </c>
      <c r="L227">
        <v>0</v>
      </c>
      <c r="N227" t="s">
        <v>88</v>
      </c>
      <c r="O227" t="s">
        <v>89</v>
      </c>
      <c r="P227">
        <v>0</v>
      </c>
      <c r="Q227">
        <v>1</v>
      </c>
      <c r="R227">
        <v>0</v>
      </c>
      <c r="S227">
        <v>0</v>
      </c>
      <c r="T227">
        <v>0</v>
      </c>
      <c r="U227">
        <v>0</v>
      </c>
      <c r="V227">
        <v>0</v>
      </c>
      <c r="W227">
        <v>0</v>
      </c>
      <c r="X227">
        <v>0</v>
      </c>
      <c r="Y227">
        <v>0</v>
      </c>
      <c r="Z227">
        <v>0</v>
      </c>
      <c r="AA227">
        <v>0</v>
      </c>
      <c r="AM227" t="s">
        <v>81</v>
      </c>
      <c r="AN227" t="s">
        <v>82</v>
      </c>
      <c r="AO227" t="s">
        <v>82</v>
      </c>
      <c r="AP227" t="s">
        <v>83</v>
      </c>
      <c r="AQ227" t="s">
        <v>82</v>
      </c>
      <c r="AR227" t="s">
        <v>83</v>
      </c>
      <c r="AS227" t="s">
        <v>81</v>
      </c>
      <c r="AT227" t="s">
        <v>83</v>
      </c>
      <c r="AU227" t="s">
        <v>88</v>
      </c>
      <c r="AV227" t="s">
        <v>89</v>
      </c>
      <c r="AW227" t="s">
        <v>100</v>
      </c>
      <c r="AZ227" t="s">
        <v>107</v>
      </c>
      <c r="BA227" t="s">
        <v>86</v>
      </c>
      <c r="BB227" t="s">
        <v>74</v>
      </c>
      <c r="BC227" t="s">
        <v>87</v>
      </c>
      <c r="BD227" t="s">
        <v>87</v>
      </c>
      <c r="BE227" t="s">
        <v>74</v>
      </c>
      <c r="BF227" t="s">
        <v>97</v>
      </c>
      <c r="BG227" t="s">
        <v>76</v>
      </c>
      <c r="BH227" t="s">
        <v>158</v>
      </c>
      <c r="BI227" t="s">
        <v>107</v>
      </c>
      <c r="BJ227" t="s">
        <v>147</v>
      </c>
      <c r="BK227">
        <v>1</v>
      </c>
      <c r="BL227">
        <v>0</v>
      </c>
      <c r="BM227">
        <v>0</v>
      </c>
      <c r="BN227">
        <v>0</v>
      </c>
      <c r="BO227">
        <v>0</v>
      </c>
      <c r="BP227">
        <v>0</v>
      </c>
      <c r="BQ227">
        <v>0</v>
      </c>
      <c r="BR227">
        <v>0</v>
      </c>
    </row>
    <row r="228" spans="1:70" x14ac:dyDescent="0.2">
      <c r="A228" s="1">
        <v>44590.122916666667</v>
      </c>
      <c r="B228" s="1">
        <v>44590.125</v>
      </c>
      <c r="C228">
        <v>1</v>
      </c>
      <c r="D228">
        <v>0</v>
      </c>
      <c r="E228">
        <v>0</v>
      </c>
      <c r="F228">
        <v>0</v>
      </c>
      <c r="H228">
        <v>0</v>
      </c>
      <c r="I228">
        <v>1</v>
      </c>
      <c r="J228">
        <v>0</v>
      </c>
      <c r="K228">
        <v>0</v>
      </c>
      <c r="L228">
        <v>0</v>
      </c>
      <c r="N228" t="s">
        <v>88</v>
      </c>
      <c r="O228" t="s">
        <v>89</v>
      </c>
      <c r="P228">
        <v>1</v>
      </c>
      <c r="Q228">
        <v>0</v>
      </c>
      <c r="R228">
        <v>0</v>
      </c>
      <c r="S228">
        <v>0</v>
      </c>
      <c r="T228">
        <v>0</v>
      </c>
      <c r="U228">
        <v>0</v>
      </c>
      <c r="V228">
        <v>0</v>
      </c>
      <c r="W228">
        <v>0</v>
      </c>
      <c r="X228">
        <v>0</v>
      </c>
      <c r="Y228">
        <v>0</v>
      </c>
      <c r="Z228">
        <v>0</v>
      </c>
      <c r="AA228">
        <v>0</v>
      </c>
      <c r="AC228">
        <v>0</v>
      </c>
      <c r="AD228">
        <v>0</v>
      </c>
      <c r="AE228">
        <v>1</v>
      </c>
      <c r="AF228">
        <v>0</v>
      </c>
      <c r="AG228">
        <v>0</v>
      </c>
      <c r="AH228">
        <v>0</v>
      </c>
      <c r="AI228">
        <v>0</v>
      </c>
      <c r="AJ228">
        <v>0</v>
      </c>
      <c r="AK228">
        <v>0</v>
      </c>
      <c r="AX228" t="s">
        <v>122</v>
      </c>
      <c r="AZ228" t="s">
        <v>107</v>
      </c>
      <c r="BA228" t="s">
        <v>87</v>
      </c>
      <c r="BB228" t="s">
        <v>87</v>
      </c>
      <c r="BC228" t="s">
        <v>87</v>
      </c>
      <c r="BD228" t="s">
        <v>87</v>
      </c>
      <c r="BE228" t="s">
        <v>87</v>
      </c>
      <c r="BF228" t="s">
        <v>75</v>
      </c>
      <c r="BG228" t="s">
        <v>76</v>
      </c>
      <c r="BH228" t="s">
        <v>98</v>
      </c>
      <c r="BI228" t="s">
        <v>107</v>
      </c>
      <c r="BJ228" t="s">
        <v>78</v>
      </c>
      <c r="BK228">
        <v>1</v>
      </c>
      <c r="BL228">
        <v>0</v>
      </c>
      <c r="BM228">
        <v>0</v>
      </c>
      <c r="BN228">
        <v>0</v>
      </c>
      <c r="BO228">
        <v>0</v>
      </c>
      <c r="BP228">
        <v>0</v>
      </c>
      <c r="BQ228">
        <v>0</v>
      </c>
      <c r="BR228">
        <v>0</v>
      </c>
    </row>
    <row r="229" spans="1:70" x14ac:dyDescent="0.2">
      <c r="A229" s="1">
        <v>44580.04583333333</v>
      </c>
      <c r="B229" s="1">
        <v>44580.048611111109</v>
      </c>
      <c r="C229">
        <v>1</v>
      </c>
      <c r="D229">
        <v>0</v>
      </c>
      <c r="E229">
        <v>0</v>
      </c>
      <c r="F229">
        <v>0</v>
      </c>
      <c r="H229">
        <v>0</v>
      </c>
      <c r="I229">
        <v>1</v>
      </c>
      <c r="J229">
        <v>1</v>
      </c>
      <c r="K229">
        <v>1</v>
      </c>
      <c r="L229">
        <v>0</v>
      </c>
      <c r="N229" t="s">
        <v>88</v>
      </c>
      <c r="O229" t="s">
        <v>89</v>
      </c>
      <c r="P229">
        <v>0</v>
      </c>
      <c r="Q229">
        <v>1</v>
      </c>
      <c r="R229">
        <v>0</v>
      </c>
      <c r="S229">
        <v>0</v>
      </c>
      <c r="T229">
        <v>0</v>
      </c>
      <c r="U229">
        <v>0</v>
      </c>
      <c r="V229">
        <v>0</v>
      </c>
      <c r="W229">
        <v>0</v>
      </c>
      <c r="X229">
        <v>0</v>
      </c>
      <c r="Y229">
        <v>0</v>
      </c>
      <c r="Z229">
        <v>0</v>
      </c>
      <c r="AA229">
        <v>0</v>
      </c>
      <c r="AM229" t="s">
        <v>90</v>
      </c>
      <c r="AN229" t="s">
        <v>82</v>
      </c>
      <c r="AO229" t="s">
        <v>81</v>
      </c>
      <c r="AP229" t="s">
        <v>82</v>
      </c>
      <c r="AQ229" t="s">
        <v>83</v>
      </c>
      <c r="AR229" t="s">
        <v>83</v>
      </c>
      <c r="AS229" t="s">
        <v>90</v>
      </c>
      <c r="AT229" t="s">
        <v>83</v>
      </c>
      <c r="AU229" t="s">
        <v>88</v>
      </c>
      <c r="AV229" t="s">
        <v>80</v>
      </c>
      <c r="AW229" t="s">
        <v>117</v>
      </c>
      <c r="AX229" t="s">
        <v>118</v>
      </c>
      <c r="AZ229" t="s">
        <v>107</v>
      </c>
      <c r="BA229" t="s">
        <v>87</v>
      </c>
      <c r="BB229" t="s">
        <v>87</v>
      </c>
      <c r="BC229" t="s">
        <v>87</v>
      </c>
      <c r="BD229" t="s">
        <v>87</v>
      </c>
      <c r="BE229" t="s">
        <v>87</v>
      </c>
      <c r="BF229" t="s">
        <v>75</v>
      </c>
      <c r="BG229" t="s">
        <v>76</v>
      </c>
      <c r="BH229" t="s">
        <v>77</v>
      </c>
      <c r="BI229" t="s">
        <v>107</v>
      </c>
      <c r="BK229">
        <v>1</v>
      </c>
      <c r="BL229">
        <v>0</v>
      </c>
      <c r="BM229">
        <v>0</v>
      </c>
      <c r="BN229">
        <v>0</v>
      </c>
      <c r="BO229">
        <v>0</v>
      </c>
      <c r="BP229">
        <v>0</v>
      </c>
      <c r="BQ229">
        <v>0</v>
      </c>
      <c r="BR229">
        <v>0</v>
      </c>
    </row>
    <row r="230" spans="1:70" x14ac:dyDescent="0.2">
      <c r="A230" s="1">
        <v>44579.76458333333</v>
      </c>
      <c r="B230" s="1">
        <v>44579.772916666669</v>
      </c>
      <c r="C230">
        <v>1</v>
      </c>
      <c r="D230">
        <v>1</v>
      </c>
      <c r="E230">
        <v>0</v>
      </c>
      <c r="F230">
        <v>0</v>
      </c>
      <c r="H230">
        <v>0</v>
      </c>
      <c r="I230">
        <v>1</v>
      </c>
      <c r="J230">
        <v>1</v>
      </c>
      <c r="K230">
        <v>1</v>
      </c>
      <c r="L230">
        <v>0</v>
      </c>
      <c r="N230" t="s">
        <v>88</v>
      </c>
      <c r="O230" t="s">
        <v>89</v>
      </c>
      <c r="P230">
        <v>0</v>
      </c>
      <c r="Q230">
        <v>1</v>
      </c>
      <c r="R230">
        <v>0</v>
      </c>
      <c r="S230">
        <v>0</v>
      </c>
      <c r="T230">
        <v>0</v>
      </c>
      <c r="U230">
        <v>0</v>
      </c>
      <c r="V230">
        <v>0</v>
      </c>
      <c r="W230">
        <v>0</v>
      </c>
      <c r="X230">
        <v>0</v>
      </c>
      <c r="Y230">
        <v>0</v>
      </c>
      <c r="Z230">
        <v>0</v>
      </c>
      <c r="AA230">
        <v>0</v>
      </c>
      <c r="AM230" t="s">
        <v>83</v>
      </c>
      <c r="AN230" t="s">
        <v>82</v>
      </c>
      <c r="AO230" t="s">
        <v>82</v>
      </c>
      <c r="AP230" t="s">
        <v>82</v>
      </c>
      <c r="AQ230" t="s">
        <v>82</v>
      </c>
      <c r="AR230" t="s">
        <v>83</v>
      </c>
      <c r="AS230" t="s">
        <v>83</v>
      </c>
      <c r="AT230" t="s">
        <v>83</v>
      </c>
      <c r="AU230" t="s">
        <v>88</v>
      </c>
      <c r="AV230" t="s">
        <v>89</v>
      </c>
      <c r="AW230" t="s">
        <v>100</v>
      </c>
      <c r="AX230" t="s">
        <v>110</v>
      </c>
      <c r="AY230" t="s">
        <v>139</v>
      </c>
      <c r="AZ230" t="s">
        <v>96</v>
      </c>
      <c r="BA230" t="s">
        <v>87</v>
      </c>
      <c r="BB230" t="s">
        <v>87</v>
      </c>
      <c r="BC230" t="s">
        <v>74</v>
      </c>
      <c r="BD230" t="s">
        <v>87</v>
      </c>
      <c r="BE230" t="s">
        <v>87</v>
      </c>
      <c r="BF230" t="s">
        <v>113</v>
      </c>
      <c r="BG230" t="s">
        <v>76</v>
      </c>
      <c r="BH230" t="s">
        <v>158</v>
      </c>
      <c r="BI230" t="s">
        <v>96</v>
      </c>
      <c r="BJ230" t="s">
        <v>114</v>
      </c>
      <c r="BK230">
        <v>1</v>
      </c>
      <c r="BL230">
        <v>0</v>
      </c>
      <c r="BM230">
        <v>0</v>
      </c>
      <c r="BN230">
        <v>0</v>
      </c>
      <c r="BO230">
        <v>0</v>
      </c>
      <c r="BP230">
        <v>0</v>
      </c>
      <c r="BQ230">
        <v>0</v>
      </c>
      <c r="BR230">
        <v>0</v>
      </c>
    </row>
    <row r="231" spans="1:70" x14ac:dyDescent="0.2">
      <c r="A231" s="1">
        <v>44589.083333333336</v>
      </c>
      <c r="B231" s="1">
        <v>44589.085416666669</v>
      </c>
      <c r="C231">
        <v>0</v>
      </c>
      <c r="D231">
        <v>1</v>
      </c>
      <c r="E231">
        <v>0</v>
      </c>
      <c r="F231">
        <v>0</v>
      </c>
      <c r="H231">
        <v>1</v>
      </c>
      <c r="I231">
        <v>0</v>
      </c>
      <c r="J231">
        <v>0</v>
      </c>
      <c r="K231">
        <v>0</v>
      </c>
      <c r="L231">
        <v>0</v>
      </c>
      <c r="P231">
        <v>0</v>
      </c>
      <c r="Q231">
        <v>1</v>
      </c>
      <c r="R231">
        <v>0</v>
      </c>
      <c r="S231">
        <v>0</v>
      </c>
      <c r="T231">
        <v>0</v>
      </c>
      <c r="U231">
        <v>0</v>
      </c>
      <c r="V231">
        <v>0</v>
      </c>
      <c r="W231">
        <v>0</v>
      </c>
      <c r="X231">
        <v>0</v>
      </c>
      <c r="Y231">
        <v>0</v>
      </c>
      <c r="Z231">
        <v>0</v>
      </c>
      <c r="AA231">
        <v>0</v>
      </c>
      <c r="AM231" t="s">
        <v>83</v>
      </c>
      <c r="AN231" t="s">
        <v>82</v>
      </c>
      <c r="AO231" t="s">
        <v>83</v>
      </c>
      <c r="AP231" t="s">
        <v>83</v>
      </c>
      <c r="AQ231" t="s">
        <v>83</v>
      </c>
      <c r="AR231" t="s">
        <v>83</v>
      </c>
      <c r="AS231" t="s">
        <v>83</v>
      </c>
      <c r="AT231" t="s">
        <v>83</v>
      </c>
      <c r="AU231" t="s">
        <v>88</v>
      </c>
      <c r="AV231" t="s">
        <v>89</v>
      </c>
      <c r="AW231" t="s">
        <v>85</v>
      </c>
      <c r="AX231" t="s">
        <v>122</v>
      </c>
      <c r="AZ231" t="s">
        <v>107</v>
      </c>
      <c r="BA231" t="s">
        <v>87</v>
      </c>
      <c r="BB231" t="s">
        <v>87</v>
      </c>
      <c r="BC231" t="s">
        <v>87</v>
      </c>
      <c r="BD231" t="s">
        <v>87</v>
      </c>
      <c r="BE231" t="s">
        <v>87</v>
      </c>
      <c r="BF231" t="s">
        <v>108</v>
      </c>
      <c r="BG231" t="s">
        <v>76</v>
      </c>
      <c r="BH231" t="s">
        <v>77</v>
      </c>
      <c r="BI231" t="s">
        <v>107</v>
      </c>
      <c r="BJ231" t="s">
        <v>114</v>
      </c>
      <c r="BK231">
        <v>1</v>
      </c>
      <c r="BL231">
        <v>0</v>
      </c>
      <c r="BM231">
        <v>0</v>
      </c>
      <c r="BN231">
        <v>0</v>
      </c>
      <c r="BO231">
        <v>0</v>
      </c>
      <c r="BP231">
        <v>0</v>
      </c>
      <c r="BQ231">
        <v>0</v>
      </c>
      <c r="BR231">
        <v>0</v>
      </c>
    </row>
    <row r="232" spans="1:70" x14ac:dyDescent="0.2">
      <c r="A232" s="1">
        <v>44585.542361111111</v>
      </c>
      <c r="B232" s="1">
        <v>44585.54583333333</v>
      </c>
      <c r="C232">
        <v>0</v>
      </c>
      <c r="D232">
        <v>1</v>
      </c>
      <c r="E232">
        <v>0</v>
      </c>
      <c r="F232">
        <v>0</v>
      </c>
      <c r="H232">
        <v>0</v>
      </c>
      <c r="I232">
        <v>1</v>
      </c>
      <c r="J232">
        <v>1</v>
      </c>
      <c r="K232">
        <v>1</v>
      </c>
      <c r="L232">
        <v>0</v>
      </c>
      <c r="N232" t="s">
        <v>88</v>
      </c>
      <c r="O232" t="s">
        <v>89</v>
      </c>
      <c r="P232">
        <v>0</v>
      </c>
      <c r="Q232">
        <v>0</v>
      </c>
      <c r="R232">
        <v>0</v>
      </c>
      <c r="S232">
        <v>0</v>
      </c>
      <c r="T232">
        <v>0</v>
      </c>
      <c r="U232">
        <v>0</v>
      </c>
      <c r="V232">
        <v>0</v>
      </c>
      <c r="W232">
        <v>0</v>
      </c>
      <c r="X232">
        <v>0</v>
      </c>
      <c r="Y232">
        <v>0</v>
      </c>
      <c r="Z232">
        <v>0</v>
      </c>
      <c r="AA232">
        <v>1</v>
      </c>
      <c r="AB232" t="s">
        <v>220</v>
      </c>
      <c r="AM232" t="s">
        <v>83</v>
      </c>
      <c r="AN232" t="s">
        <v>82</v>
      </c>
      <c r="AO232" t="s">
        <v>81</v>
      </c>
      <c r="AP232" t="s">
        <v>81</v>
      </c>
      <c r="AQ232" t="s">
        <v>83</v>
      </c>
      <c r="AR232" t="s">
        <v>83</v>
      </c>
      <c r="AS232" t="s">
        <v>83</v>
      </c>
      <c r="AT232" t="s">
        <v>83</v>
      </c>
      <c r="AU232" t="s">
        <v>88</v>
      </c>
      <c r="AV232" t="s">
        <v>89</v>
      </c>
      <c r="AW232" t="s">
        <v>100</v>
      </c>
      <c r="AX232" t="s">
        <v>106</v>
      </c>
      <c r="AZ232" t="s">
        <v>107</v>
      </c>
      <c r="BA232" t="s">
        <v>87</v>
      </c>
      <c r="BB232" t="s">
        <v>87</v>
      </c>
      <c r="BC232" t="s">
        <v>87</v>
      </c>
      <c r="BD232" t="s">
        <v>87</v>
      </c>
      <c r="BE232" t="s">
        <v>87</v>
      </c>
      <c r="BF232" t="s">
        <v>75</v>
      </c>
      <c r="BG232" t="s">
        <v>76</v>
      </c>
      <c r="BH232" t="s">
        <v>98</v>
      </c>
      <c r="BI232" t="s">
        <v>107</v>
      </c>
      <c r="BJ232" t="s">
        <v>114</v>
      </c>
      <c r="BK232">
        <v>1</v>
      </c>
      <c r="BL232">
        <v>0</v>
      </c>
      <c r="BM232">
        <v>0</v>
      </c>
      <c r="BN232">
        <v>0</v>
      </c>
      <c r="BO232">
        <v>0</v>
      </c>
      <c r="BP232">
        <v>0</v>
      </c>
      <c r="BQ232">
        <v>0</v>
      </c>
      <c r="BR232">
        <v>0</v>
      </c>
    </row>
    <row r="233" spans="1:70" x14ac:dyDescent="0.2">
      <c r="A233" s="1">
        <v>44580.181944444441</v>
      </c>
      <c r="B233" s="1">
        <v>44580.183333333334</v>
      </c>
      <c r="C233">
        <v>0</v>
      </c>
      <c r="D233">
        <v>1</v>
      </c>
      <c r="E233">
        <v>0</v>
      </c>
      <c r="F233">
        <v>0</v>
      </c>
      <c r="H233">
        <v>0</v>
      </c>
      <c r="I233">
        <v>1</v>
      </c>
      <c r="J233">
        <v>1</v>
      </c>
      <c r="K233">
        <v>0</v>
      </c>
      <c r="L233">
        <v>0</v>
      </c>
      <c r="N233" t="s">
        <v>88</v>
      </c>
      <c r="O233" t="s">
        <v>80</v>
      </c>
      <c r="P233">
        <v>0</v>
      </c>
      <c r="Q233">
        <v>0</v>
      </c>
      <c r="R233">
        <v>0</v>
      </c>
      <c r="S233">
        <v>0</v>
      </c>
      <c r="T233">
        <v>1</v>
      </c>
      <c r="U233">
        <v>0</v>
      </c>
      <c r="V233">
        <v>0</v>
      </c>
      <c r="W233">
        <v>0</v>
      </c>
      <c r="X233">
        <v>0</v>
      </c>
      <c r="Y233">
        <v>0</v>
      </c>
      <c r="Z233">
        <v>0</v>
      </c>
      <c r="AA233">
        <v>0</v>
      </c>
      <c r="AM233" t="s">
        <v>81</v>
      </c>
      <c r="AN233" t="s">
        <v>81</v>
      </c>
      <c r="AO233" t="s">
        <v>81</v>
      </c>
      <c r="AP233" t="s">
        <v>81</v>
      </c>
      <c r="AQ233" t="s">
        <v>82</v>
      </c>
      <c r="AR233" t="s">
        <v>83</v>
      </c>
      <c r="AS233" t="s">
        <v>81</v>
      </c>
      <c r="AT233" t="s">
        <v>81</v>
      </c>
      <c r="AU233" t="s">
        <v>88</v>
      </c>
      <c r="AV233" t="s">
        <v>80</v>
      </c>
      <c r="AW233" t="s">
        <v>85</v>
      </c>
      <c r="AX233" t="s">
        <v>72</v>
      </c>
      <c r="AZ233" t="s">
        <v>96</v>
      </c>
      <c r="BA233" t="s">
        <v>87</v>
      </c>
      <c r="BB233" t="s">
        <v>87</v>
      </c>
      <c r="BC233" t="s">
        <v>87</v>
      </c>
      <c r="BD233" t="s">
        <v>74</v>
      </c>
      <c r="BE233" t="s">
        <v>87</v>
      </c>
      <c r="BF233" t="s">
        <v>75</v>
      </c>
      <c r="BG233" t="s">
        <v>76</v>
      </c>
      <c r="BH233" t="s">
        <v>93</v>
      </c>
      <c r="BI233" t="s">
        <v>96</v>
      </c>
      <c r="BJ233" t="s">
        <v>114</v>
      </c>
      <c r="BK233">
        <v>1</v>
      </c>
      <c r="BL233">
        <v>0</v>
      </c>
      <c r="BM233">
        <v>0</v>
      </c>
      <c r="BN233">
        <v>0</v>
      </c>
      <c r="BO233">
        <v>0</v>
      </c>
      <c r="BP233">
        <v>0</v>
      </c>
      <c r="BQ233">
        <v>0</v>
      </c>
      <c r="BR233">
        <v>0</v>
      </c>
    </row>
    <row r="234" spans="1:70" x14ac:dyDescent="0.2">
      <c r="A234" s="1">
        <v>44588.96597222222</v>
      </c>
      <c r="B234" s="1">
        <v>44588.967361111114</v>
      </c>
      <c r="C234">
        <v>1</v>
      </c>
      <c r="D234">
        <v>0</v>
      </c>
      <c r="E234">
        <v>0</v>
      </c>
      <c r="F234">
        <v>0</v>
      </c>
      <c r="H234">
        <v>0</v>
      </c>
      <c r="I234">
        <v>0</v>
      </c>
      <c r="J234">
        <v>1</v>
      </c>
      <c r="K234">
        <v>0</v>
      </c>
      <c r="L234">
        <v>0</v>
      </c>
      <c r="N234" t="s">
        <v>88</v>
      </c>
      <c r="O234" t="s">
        <v>89</v>
      </c>
      <c r="P234">
        <v>0</v>
      </c>
      <c r="Q234">
        <v>0</v>
      </c>
      <c r="R234">
        <v>0</v>
      </c>
      <c r="S234">
        <v>1</v>
      </c>
      <c r="T234">
        <v>0</v>
      </c>
      <c r="U234">
        <v>0</v>
      </c>
      <c r="V234">
        <v>0</v>
      </c>
      <c r="W234">
        <v>0</v>
      </c>
      <c r="X234">
        <v>0</v>
      </c>
      <c r="Y234">
        <v>0</v>
      </c>
      <c r="Z234">
        <v>0</v>
      </c>
      <c r="AA234">
        <v>0</v>
      </c>
      <c r="AM234" t="s">
        <v>83</v>
      </c>
      <c r="AN234" t="s">
        <v>82</v>
      </c>
      <c r="AO234" t="s">
        <v>83</v>
      </c>
      <c r="AP234" t="s">
        <v>82</v>
      </c>
      <c r="AQ234" t="s">
        <v>83</v>
      </c>
      <c r="AR234" t="s">
        <v>83</v>
      </c>
      <c r="AS234" t="s">
        <v>81</v>
      </c>
      <c r="AT234" t="s">
        <v>83</v>
      </c>
      <c r="AU234" t="s">
        <v>88</v>
      </c>
      <c r="AV234" t="s">
        <v>89</v>
      </c>
      <c r="AW234" t="s">
        <v>100</v>
      </c>
      <c r="AX234" t="s">
        <v>122</v>
      </c>
      <c r="AZ234" t="s">
        <v>73</v>
      </c>
      <c r="BA234" t="s">
        <v>87</v>
      </c>
      <c r="BB234" t="s">
        <v>87</v>
      </c>
      <c r="BC234" t="s">
        <v>87</v>
      </c>
      <c r="BD234" t="s">
        <v>87</v>
      </c>
      <c r="BE234" t="s">
        <v>87</v>
      </c>
      <c r="BF234" t="s">
        <v>75</v>
      </c>
      <c r="BG234" t="s">
        <v>76</v>
      </c>
      <c r="BH234" t="s">
        <v>93</v>
      </c>
      <c r="BI234" t="s">
        <v>73</v>
      </c>
      <c r="BJ234" t="s">
        <v>114</v>
      </c>
      <c r="BK234">
        <v>1</v>
      </c>
      <c r="BL234">
        <v>0</v>
      </c>
      <c r="BM234">
        <v>0</v>
      </c>
      <c r="BN234">
        <v>0</v>
      </c>
      <c r="BO234">
        <v>0</v>
      </c>
      <c r="BP234">
        <v>0</v>
      </c>
      <c r="BQ234">
        <v>0</v>
      </c>
      <c r="BR234">
        <v>0</v>
      </c>
    </row>
    <row r="235" spans="1:70" x14ac:dyDescent="0.2">
      <c r="A235" s="1">
        <v>44585.566666666666</v>
      </c>
      <c r="B235" s="1">
        <v>44585.568749999999</v>
      </c>
      <c r="C235">
        <v>0</v>
      </c>
      <c r="D235">
        <v>1</v>
      </c>
      <c r="E235">
        <v>0</v>
      </c>
      <c r="F235">
        <v>0</v>
      </c>
      <c r="H235">
        <v>1</v>
      </c>
      <c r="I235">
        <v>0</v>
      </c>
      <c r="J235">
        <v>0</v>
      </c>
      <c r="K235">
        <v>0</v>
      </c>
      <c r="L235">
        <v>0</v>
      </c>
      <c r="P235">
        <v>1</v>
      </c>
      <c r="Q235">
        <v>0</v>
      </c>
      <c r="R235">
        <v>0</v>
      </c>
      <c r="S235">
        <v>0</v>
      </c>
      <c r="T235">
        <v>0</v>
      </c>
      <c r="U235">
        <v>0</v>
      </c>
      <c r="V235">
        <v>0</v>
      </c>
      <c r="W235">
        <v>0</v>
      </c>
      <c r="X235">
        <v>0</v>
      </c>
      <c r="Y235">
        <v>0</v>
      </c>
      <c r="Z235">
        <v>0</v>
      </c>
      <c r="AA235">
        <v>0</v>
      </c>
      <c r="AC235">
        <v>0</v>
      </c>
      <c r="AD235">
        <v>0</v>
      </c>
      <c r="AE235">
        <v>1</v>
      </c>
      <c r="AF235">
        <v>0</v>
      </c>
      <c r="AG235">
        <v>0</v>
      </c>
      <c r="AH235">
        <v>0</v>
      </c>
      <c r="AI235">
        <v>0</v>
      </c>
      <c r="AJ235">
        <v>0</v>
      </c>
      <c r="AK235">
        <v>0</v>
      </c>
      <c r="AX235" t="s">
        <v>119</v>
      </c>
      <c r="AZ235" t="s">
        <v>73</v>
      </c>
      <c r="BA235" t="s">
        <v>87</v>
      </c>
      <c r="BB235" t="s">
        <v>87</v>
      </c>
      <c r="BC235" t="s">
        <v>87</v>
      </c>
      <c r="BD235" t="s">
        <v>87</v>
      </c>
      <c r="BE235" t="s">
        <v>87</v>
      </c>
      <c r="BF235" t="s">
        <v>113</v>
      </c>
      <c r="BG235" t="s">
        <v>76</v>
      </c>
      <c r="BH235" t="s">
        <v>98</v>
      </c>
      <c r="BI235" t="s">
        <v>73</v>
      </c>
      <c r="BJ235" t="s">
        <v>174</v>
      </c>
      <c r="BK235">
        <v>1</v>
      </c>
      <c r="BL235">
        <v>0</v>
      </c>
      <c r="BM235">
        <v>0</v>
      </c>
      <c r="BN235">
        <v>0</v>
      </c>
      <c r="BO235">
        <v>0</v>
      </c>
      <c r="BP235">
        <v>0</v>
      </c>
      <c r="BQ235">
        <v>0</v>
      </c>
      <c r="BR235">
        <v>0</v>
      </c>
    </row>
    <row r="236" spans="1:70" x14ac:dyDescent="0.2">
      <c r="A236" s="1">
        <v>44580.036805555559</v>
      </c>
      <c r="B236" s="1">
        <v>44580.038888888892</v>
      </c>
      <c r="C236">
        <v>1</v>
      </c>
      <c r="D236">
        <v>0</v>
      </c>
      <c r="E236">
        <v>0</v>
      </c>
      <c r="F236">
        <v>0</v>
      </c>
      <c r="H236">
        <v>0</v>
      </c>
      <c r="I236">
        <v>1</v>
      </c>
      <c r="J236">
        <v>1</v>
      </c>
      <c r="K236">
        <v>0</v>
      </c>
      <c r="L236">
        <v>0</v>
      </c>
      <c r="N236" t="s">
        <v>88</v>
      </c>
      <c r="O236" t="s">
        <v>89</v>
      </c>
      <c r="P236">
        <v>0</v>
      </c>
      <c r="Q236">
        <v>0</v>
      </c>
      <c r="R236">
        <v>1</v>
      </c>
      <c r="S236">
        <v>0</v>
      </c>
      <c r="T236">
        <v>0</v>
      </c>
      <c r="U236">
        <v>0</v>
      </c>
      <c r="V236">
        <v>0</v>
      </c>
      <c r="W236">
        <v>0</v>
      </c>
      <c r="X236">
        <v>0</v>
      </c>
      <c r="Y236">
        <v>0</v>
      </c>
      <c r="Z236">
        <v>0</v>
      </c>
      <c r="AA236">
        <v>0</v>
      </c>
      <c r="AM236" t="s">
        <v>83</v>
      </c>
      <c r="AN236" t="s">
        <v>83</v>
      </c>
      <c r="AO236" t="s">
        <v>81</v>
      </c>
      <c r="AP236" t="s">
        <v>81</v>
      </c>
      <c r="AQ236" t="s">
        <v>82</v>
      </c>
      <c r="AR236" t="s">
        <v>83</v>
      </c>
      <c r="AS236" t="s">
        <v>81</v>
      </c>
      <c r="AT236" t="s">
        <v>83</v>
      </c>
      <c r="AU236" t="s">
        <v>88</v>
      </c>
      <c r="AV236" t="s">
        <v>89</v>
      </c>
      <c r="AW236" t="s">
        <v>100</v>
      </c>
      <c r="AZ236" t="s">
        <v>107</v>
      </c>
      <c r="BA236" t="s">
        <v>86</v>
      </c>
      <c r="BB236" t="s">
        <v>87</v>
      </c>
      <c r="BC236" t="s">
        <v>86</v>
      </c>
      <c r="BD236" t="s">
        <v>86</v>
      </c>
      <c r="BE236" t="s">
        <v>74</v>
      </c>
      <c r="BF236" t="s">
        <v>97</v>
      </c>
      <c r="BG236" t="s">
        <v>76</v>
      </c>
      <c r="BH236" t="s">
        <v>98</v>
      </c>
      <c r="BI236" t="s">
        <v>107</v>
      </c>
      <c r="BJ236" t="s">
        <v>114</v>
      </c>
      <c r="BK236">
        <v>1</v>
      </c>
      <c r="BL236">
        <v>0</v>
      </c>
      <c r="BM236">
        <v>0</v>
      </c>
      <c r="BN236">
        <v>0</v>
      </c>
      <c r="BO236">
        <v>0</v>
      </c>
      <c r="BP236">
        <v>0</v>
      </c>
      <c r="BQ236">
        <v>0</v>
      </c>
      <c r="BR236">
        <v>0</v>
      </c>
    </row>
    <row r="237" spans="1:70" x14ac:dyDescent="0.2">
      <c r="A237" s="1">
        <v>44583.069444444445</v>
      </c>
      <c r="B237" s="1">
        <v>44583.072916666664</v>
      </c>
      <c r="C237">
        <v>1</v>
      </c>
      <c r="D237">
        <v>0</v>
      </c>
      <c r="E237">
        <v>0</v>
      </c>
      <c r="F237">
        <v>0</v>
      </c>
      <c r="H237">
        <v>1</v>
      </c>
      <c r="I237">
        <v>0</v>
      </c>
      <c r="J237">
        <v>0</v>
      </c>
      <c r="K237">
        <v>0</v>
      </c>
      <c r="L237">
        <v>0</v>
      </c>
      <c r="P237">
        <v>0</v>
      </c>
      <c r="Q237">
        <v>0</v>
      </c>
      <c r="R237">
        <v>1</v>
      </c>
      <c r="S237">
        <v>0</v>
      </c>
      <c r="T237">
        <v>0</v>
      </c>
      <c r="U237">
        <v>0</v>
      </c>
      <c r="V237">
        <v>0</v>
      </c>
      <c r="W237">
        <v>0</v>
      </c>
      <c r="X237">
        <v>0</v>
      </c>
      <c r="Y237">
        <v>0</v>
      </c>
      <c r="Z237">
        <v>0</v>
      </c>
      <c r="AA237">
        <v>0</v>
      </c>
      <c r="AM237" t="s">
        <v>83</v>
      </c>
      <c r="AN237" t="s">
        <v>83</v>
      </c>
      <c r="AO237" t="s">
        <v>83</v>
      </c>
      <c r="AP237" t="s">
        <v>83</v>
      </c>
      <c r="AQ237" t="s">
        <v>82</v>
      </c>
      <c r="AR237" t="s">
        <v>83</v>
      </c>
      <c r="AS237" t="s">
        <v>83</v>
      </c>
      <c r="AT237" t="s">
        <v>81</v>
      </c>
      <c r="AU237" t="s">
        <v>84</v>
      </c>
      <c r="AV237" t="s">
        <v>89</v>
      </c>
      <c r="AW237" t="s">
        <v>85</v>
      </c>
      <c r="AX237" t="s">
        <v>110</v>
      </c>
      <c r="AY237" t="s">
        <v>221</v>
      </c>
      <c r="AZ237" t="s">
        <v>107</v>
      </c>
      <c r="BA237" t="s">
        <v>87</v>
      </c>
      <c r="BB237" t="s">
        <v>87</v>
      </c>
      <c r="BC237" t="s">
        <v>87</v>
      </c>
      <c r="BD237" t="s">
        <v>87</v>
      </c>
      <c r="BE237" t="s">
        <v>87</v>
      </c>
      <c r="BF237" t="s">
        <v>75</v>
      </c>
      <c r="BG237" t="s">
        <v>76</v>
      </c>
      <c r="BH237" t="s">
        <v>77</v>
      </c>
      <c r="BI237" t="s">
        <v>107</v>
      </c>
      <c r="BJ237" t="s">
        <v>102</v>
      </c>
      <c r="BK237">
        <v>1</v>
      </c>
      <c r="BL237">
        <v>0</v>
      </c>
      <c r="BM237">
        <v>0</v>
      </c>
      <c r="BN237">
        <v>0</v>
      </c>
      <c r="BO237">
        <v>0</v>
      </c>
      <c r="BP237">
        <v>0</v>
      </c>
      <c r="BQ237">
        <v>0</v>
      </c>
      <c r="BR237">
        <v>0</v>
      </c>
    </row>
    <row r="238" spans="1:70" x14ac:dyDescent="0.2">
      <c r="A238" s="1">
        <v>44580.586805555555</v>
      </c>
      <c r="B238" s="1">
        <v>44580.589583333334</v>
      </c>
      <c r="C238">
        <v>0</v>
      </c>
      <c r="D238">
        <v>1</v>
      </c>
      <c r="E238">
        <v>0</v>
      </c>
      <c r="F238">
        <v>0</v>
      </c>
      <c r="H238">
        <v>1</v>
      </c>
      <c r="I238">
        <v>0</v>
      </c>
      <c r="J238">
        <v>0</v>
      </c>
      <c r="K238">
        <v>0</v>
      </c>
      <c r="L238">
        <v>0</v>
      </c>
      <c r="P238">
        <v>0</v>
      </c>
      <c r="Q238">
        <v>1</v>
      </c>
      <c r="R238">
        <v>0</v>
      </c>
      <c r="S238">
        <v>0</v>
      </c>
      <c r="T238">
        <v>0</v>
      </c>
      <c r="U238">
        <v>0</v>
      </c>
      <c r="V238">
        <v>0</v>
      </c>
      <c r="W238">
        <v>0</v>
      </c>
      <c r="X238">
        <v>0</v>
      </c>
      <c r="Y238">
        <v>0</v>
      </c>
      <c r="Z238">
        <v>0</v>
      </c>
      <c r="AA238">
        <v>0</v>
      </c>
      <c r="AM238" t="s">
        <v>83</v>
      </c>
      <c r="AN238" t="s">
        <v>82</v>
      </c>
      <c r="AO238" t="s">
        <v>83</v>
      </c>
      <c r="AP238" t="s">
        <v>83</v>
      </c>
      <c r="AQ238" t="s">
        <v>81</v>
      </c>
      <c r="AR238" t="s">
        <v>83</v>
      </c>
      <c r="AS238" t="s">
        <v>83</v>
      </c>
      <c r="AT238" t="s">
        <v>83</v>
      </c>
      <c r="AU238" t="s">
        <v>88</v>
      </c>
      <c r="AV238" t="s">
        <v>89</v>
      </c>
      <c r="AW238" t="s">
        <v>85</v>
      </c>
      <c r="AZ238" t="s">
        <v>107</v>
      </c>
      <c r="BA238" t="s">
        <v>74</v>
      </c>
      <c r="BF238" t="s">
        <v>97</v>
      </c>
      <c r="BG238" t="s">
        <v>76</v>
      </c>
      <c r="BH238" t="s">
        <v>98</v>
      </c>
      <c r="BI238" t="s">
        <v>107</v>
      </c>
      <c r="BJ238" t="s">
        <v>129</v>
      </c>
      <c r="BK238">
        <v>0</v>
      </c>
      <c r="BL238">
        <v>0</v>
      </c>
      <c r="BM238">
        <v>1</v>
      </c>
      <c r="BN238">
        <v>0</v>
      </c>
      <c r="BO238">
        <v>0</v>
      </c>
      <c r="BP238">
        <v>0</v>
      </c>
      <c r="BQ238">
        <v>0</v>
      </c>
      <c r="BR238">
        <v>0</v>
      </c>
    </row>
    <row r="239" spans="1:70" x14ac:dyDescent="0.2">
      <c r="A239" s="1">
        <v>44580.027083333334</v>
      </c>
      <c r="B239" s="1">
        <v>44580.036111111112</v>
      </c>
      <c r="C239">
        <v>0</v>
      </c>
      <c r="D239">
        <v>1</v>
      </c>
      <c r="E239">
        <v>0</v>
      </c>
      <c r="F239">
        <v>0</v>
      </c>
      <c r="H239">
        <v>1</v>
      </c>
      <c r="I239">
        <v>0</v>
      </c>
      <c r="J239">
        <v>0</v>
      </c>
      <c r="K239">
        <v>0</v>
      </c>
      <c r="L239">
        <v>0</v>
      </c>
      <c r="P239">
        <v>1</v>
      </c>
      <c r="Q239">
        <v>0</v>
      </c>
      <c r="R239">
        <v>0</v>
      </c>
      <c r="S239">
        <v>0</v>
      </c>
      <c r="T239">
        <v>0</v>
      </c>
      <c r="U239">
        <v>0</v>
      </c>
      <c r="V239">
        <v>0</v>
      </c>
      <c r="W239">
        <v>0</v>
      </c>
      <c r="X239">
        <v>0</v>
      </c>
      <c r="Y239">
        <v>0</v>
      </c>
      <c r="Z239">
        <v>0</v>
      </c>
      <c r="AA239">
        <v>0</v>
      </c>
      <c r="AC239">
        <v>0</v>
      </c>
      <c r="AD239">
        <v>0</v>
      </c>
      <c r="AE239">
        <v>1</v>
      </c>
      <c r="AF239">
        <v>0</v>
      </c>
      <c r="AG239">
        <v>0</v>
      </c>
      <c r="AH239">
        <v>0</v>
      </c>
      <c r="AI239">
        <v>0</v>
      </c>
      <c r="AJ239">
        <v>0</v>
      </c>
      <c r="AK239">
        <v>0</v>
      </c>
      <c r="AZ239" t="s">
        <v>73</v>
      </c>
      <c r="BA239" t="s">
        <v>87</v>
      </c>
      <c r="BB239" t="s">
        <v>74</v>
      </c>
      <c r="BC239" t="s">
        <v>74</v>
      </c>
      <c r="BD239" t="s">
        <v>87</v>
      </c>
      <c r="BE239" t="s">
        <v>74</v>
      </c>
      <c r="BF239" t="s">
        <v>97</v>
      </c>
      <c r="BG239" t="s">
        <v>76</v>
      </c>
      <c r="BH239" t="s">
        <v>98</v>
      </c>
      <c r="BI239" t="s">
        <v>73</v>
      </c>
      <c r="BJ239" t="s">
        <v>109</v>
      </c>
      <c r="BK239">
        <v>1</v>
      </c>
      <c r="BL239">
        <v>0</v>
      </c>
      <c r="BM239">
        <v>0</v>
      </c>
      <c r="BN239">
        <v>0</v>
      </c>
      <c r="BO239">
        <v>0</v>
      </c>
      <c r="BP239">
        <v>0</v>
      </c>
      <c r="BQ239">
        <v>0</v>
      </c>
      <c r="BR239">
        <v>0</v>
      </c>
    </row>
    <row r="240" spans="1:70" x14ac:dyDescent="0.2">
      <c r="A240" s="1">
        <v>44579.887499999997</v>
      </c>
      <c r="B240" s="1">
        <v>44579.888888888891</v>
      </c>
      <c r="C240">
        <v>0</v>
      </c>
      <c r="D240">
        <v>0</v>
      </c>
      <c r="E240">
        <v>0</v>
      </c>
      <c r="F240">
        <v>1</v>
      </c>
      <c r="P240">
        <v>1</v>
      </c>
      <c r="Q240">
        <v>0</v>
      </c>
      <c r="R240">
        <v>0</v>
      </c>
      <c r="S240">
        <v>0</v>
      </c>
      <c r="T240">
        <v>0</v>
      </c>
      <c r="U240">
        <v>0</v>
      </c>
      <c r="V240">
        <v>0</v>
      </c>
      <c r="W240">
        <v>0</v>
      </c>
      <c r="X240">
        <v>0</v>
      </c>
      <c r="Y240">
        <v>0</v>
      </c>
      <c r="Z240">
        <v>0</v>
      </c>
      <c r="AA240">
        <v>0</v>
      </c>
      <c r="AC240">
        <v>0</v>
      </c>
      <c r="AD240">
        <v>0</v>
      </c>
      <c r="AE240">
        <v>1</v>
      </c>
      <c r="AF240">
        <v>0</v>
      </c>
      <c r="AG240">
        <v>0</v>
      </c>
      <c r="AH240">
        <v>1</v>
      </c>
      <c r="AI240">
        <v>0</v>
      </c>
      <c r="AJ240">
        <v>1</v>
      </c>
      <c r="AK240">
        <v>1</v>
      </c>
      <c r="AL240" t="s">
        <v>222</v>
      </c>
      <c r="AZ240" t="s">
        <v>73</v>
      </c>
      <c r="BF240" t="s">
        <v>97</v>
      </c>
      <c r="BG240" t="s">
        <v>76</v>
      </c>
      <c r="BH240" t="s">
        <v>98</v>
      </c>
      <c r="BI240" t="s">
        <v>73</v>
      </c>
      <c r="BJ240" t="s">
        <v>78</v>
      </c>
      <c r="BK240">
        <v>1</v>
      </c>
      <c r="BL240">
        <v>0</v>
      </c>
      <c r="BM240">
        <v>0</v>
      </c>
      <c r="BN240">
        <v>0</v>
      </c>
      <c r="BO240">
        <v>0</v>
      </c>
      <c r="BP240">
        <v>0</v>
      </c>
      <c r="BQ240">
        <v>0</v>
      </c>
      <c r="BR240">
        <v>0</v>
      </c>
    </row>
    <row r="241" spans="1:70" x14ac:dyDescent="0.2">
      <c r="A241" s="1">
        <v>44589.140972222223</v>
      </c>
      <c r="B241" s="1">
        <v>44589.144444444442</v>
      </c>
      <c r="C241">
        <v>0</v>
      </c>
      <c r="D241">
        <v>1</v>
      </c>
      <c r="E241">
        <v>0</v>
      </c>
      <c r="F241">
        <v>0</v>
      </c>
      <c r="H241">
        <v>0</v>
      </c>
      <c r="I241">
        <v>1</v>
      </c>
      <c r="J241">
        <v>0</v>
      </c>
      <c r="K241">
        <v>1</v>
      </c>
      <c r="L241">
        <v>0</v>
      </c>
      <c r="N241" t="s">
        <v>88</v>
      </c>
      <c r="O241" t="s">
        <v>89</v>
      </c>
      <c r="P241">
        <v>0</v>
      </c>
      <c r="Q241">
        <v>1</v>
      </c>
      <c r="R241">
        <v>0</v>
      </c>
      <c r="S241">
        <v>0</v>
      </c>
      <c r="T241">
        <v>0</v>
      </c>
      <c r="U241">
        <v>0</v>
      </c>
      <c r="V241">
        <v>0</v>
      </c>
      <c r="W241">
        <v>0</v>
      </c>
      <c r="X241">
        <v>0</v>
      </c>
      <c r="Y241">
        <v>0</v>
      </c>
      <c r="Z241">
        <v>0</v>
      </c>
      <c r="AA241">
        <v>0</v>
      </c>
      <c r="AM241" t="s">
        <v>83</v>
      </c>
      <c r="AN241" t="s">
        <v>82</v>
      </c>
      <c r="AO241" t="s">
        <v>82</v>
      </c>
      <c r="AP241" t="s">
        <v>90</v>
      </c>
      <c r="AQ241" t="s">
        <v>83</v>
      </c>
      <c r="AR241" t="s">
        <v>83</v>
      </c>
      <c r="AS241" t="s">
        <v>81</v>
      </c>
      <c r="AT241" t="s">
        <v>83</v>
      </c>
      <c r="AU241" t="s">
        <v>88</v>
      </c>
      <c r="AV241" t="s">
        <v>89</v>
      </c>
      <c r="AW241" t="s">
        <v>100</v>
      </c>
      <c r="AZ241" t="s">
        <v>96</v>
      </c>
      <c r="BA241" t="s">
        <v>86</v>
      </c>
      <c r="BB241" t="s">
        <v>87</v>
      </c>
      <c r="BC241" t="s">
        <v>87</v>
      </c>
      <c r="BD241" t="s">
        <v>87</v>
      </c>
      <c r="BE241" t="s">
        <v>86</v>
      </c>
      <c r="BF241" t="s">
        <v>101</v>
      </c>
      <c r="BG241" t="s">
        <v>76</v>
      </c>
      <c r="BH241" t="s">
        <v>98</v>
      </c>
      <c r="BI241" t="s">
        <v>96</v>
      </c>
      <c r="BJ241" t="s">
        <v>114</v>
      </c>
      <c r="BK241">
        <v>1</v>
      </c>
      <c r="BL241">
        <v>0</v>
      </c>
      <c r="BM241">
        <v>0</v>
      </c>
      <c r="BN241">
        <v>0</v>
      </c>
      <c r="BO241">
        <v>0</v>
      </c>
      <c r="BP241">
        <v>0</v>
      </c>
      <c r="BQ241">
        <v>0</v>
      </c>
      <c r="BR241">
        <v>0</v>
      </c>
    </row>
    <row r="242" spans="1:70" x14ac:dyDescent="0.2">
      <c r="A242" s="1">
        <v>44579.87777777778</v>
      </c>
      <c r="B242" s="1">
        <v>44579.879861111112</v>
      </c>
      <c r="C242">
        <v>1</v>
      </c>
      <c r="D242">
        <v>0</v>
      </c>
      <c r="E242">
        <v>0</v>
      </c>
      <c r="F242">
        <v>0</v>
      </c>
      <c r="H242">
        <v>0</v>
      </c>
      <c r="I242">
        <v>0</v>
      </c>
      <c r="J242">
        <v>0</v>
      </c>
      <c r="K242">
        <v>1</v>
      </c>
      <c r="L242">
        <v>0</v>
      </c>
      <c r="N242" t="s">
        <v>79</v>
      </c>
      <c r="O242" t="s">
        <v>142</v>
      </c>
      <c r="P242">
        <v>1</v>
      </c>
      <c r="Q242">
        <v>0</v>
      </c>
      <c r="R242">
        <v>0</v>
      </c>
      <c r="S242">
        <v>0</v>
      </c>
      <c r="T242">
        <v>0</v>
      </c>
      <c r="U242">
        <v>0</v>
      </c>
      <c r="V242">
        <v>0</v>
      </c>
      <c r="W242">
        <v>0</v>
      </c>
      <c r="X242">
        <v>0</v>
      </c>
      <c r="Y242">
        <v>0</v>
      </c>
      <c r="Z242">
        <v>0</v>
      </c>
      <c r="AA242">
        <v>0</v>
      </c>
      <c r="AC242">
        <v>0</v>
      </c>
      <c r="AD242">
        <v>0</v>
      </c>
      <c r="AE242">
        <v>1</v>
      </c>
      <c r="AF242">
        <v>0</v>
      </c>
      <c r="AG242">
        <v>0</v>
      </c>
      <c r="AH242">
        <v>0</v>
      </c>
      <c r="AI242">
        <v>0</v>
      </c>
      <c r="AJ242">
        <v>0</v>
      </c>
      <c r="AK242">
        <v>0</v>
      </c>
      <c r="AZ242" t="s">
        <v>96</v>
      </c>
      <c r="BA242" t="s">
        <v>87</v>
      </c>
      <c r="BB242" t="s">
        <v>87</v>
      </c>
      <c r="BC242" t="s">
        <v>87</v>
      </c>
      <c r="BD242" t="s">
        <v>87</v>
      </c>
      <c r="BE242" t="s">
        <v>87</v>
      </c>
      <c r="BF242" t="s">
        <v>101</v>
      </c>
      <c r="BG242" t="s">
        <v>76</v>
      </c>
      <c r="BH242" t="s">
        <v>98</v>
      </c>
      <c r="BI242" t="s">
        <v>96</v>
      </c>
      <c r="BJ242" t="s">
        <v>114</v>
      </c>
      <c r="BK242">
        <v>1</v>
      </c>
      <c r="BL242">
        <v>0</v>
      </c>
      <c r="BM242">
        <v>0</v>
      </c>
      <c r="BN242">
        <v>0</v>
      </c>
      <c r="BO242">
        <v>0</v>
      </c>
      <c r="BP242">
        <v>0</v>
      </c>
      <c r="BQ242">
        <v>0</v>
      </c>
      <c r="BR242">
        <v>0</v>
      </c>
    </row>
    <row r="243" spans="1:70" x14ac:dyDescent="0.2">
      <c r="A243" s="1">
        <v>44579.893750000003</v>
      </c>
      <c r="B243" s="1">
        <v>44579.896527777775</v>
      </c>
      <c r="C243">
        <v>0</v>
      </c>
      <c r="D243">
        <v>1</v>
      </c>
      <c r="E243">
        <v>0</v>
      </c>
      <c r="F243">
        <v>0</v>
      </c>
      <c r="H243">
        <v>0</v>
      </c>
      <c r="I243">
        <v>0</v>
      </c>
      <c r="J243">
        <v>0</v>
      </c>
      <c r="K243">
        <v>1</v>
      </c>
      <c r="L243">
        <v>0</v>
      </c>
      <c r="N243" t="s">
        <v>88</v>
      </c>
      <c r="O243" t="s">
        <v>89</v>
      </c>
      <c r="P243">
        <v>0</v>
      </c>
      <c r="Q243">
        <v>1</v>
      </c>
      <c r="R243">
        <v>0</v>
      </c>
      <c r="S243">
        <v>0</v>
      </c>
      <c r="T243">
        <v>0</v>
      </c>
      <c r="U243">
        <v>0</v>
      </c>
      <c r="V243">
        <v>0</v>
      </c>
      <c r="W243">
        <v>0</v>
      </c>
      <c r="X243">
        <v>0</v>
      </c>
      <c r="Y243">
        <v>0</v>
      </c>
      <c r="Z243">
        <v>0</v>
      </c>
      <c r="AA243">
        <v>0</v>
      </c>
      <c r="AM243" t="s">
        <v>83</v>
      </c>
      <c r="AN243" t="s">
        <v>83</v>
      </c>
      <c r="AO243" t="s">
        <v>82</v>
      </c>
      <c r="AP243" t="s">
        <v>81</v>
      </c>
      <c r="AQ243" t="s">
        <v>83</v>
      </c>
      <c r="AR243" t="s">
        <v>90</v>
      </c>
      <c r="AS243" t="s">
        <v>83</v>
      </c>
      <c r="AT243" t="s">
        <v>83</v>
      </c>
      <c r="AU243" t="s">
        <v>88</v>
      </c>
      <c r="AV243" t="s">
        <v>89</v>
      </c>
      <c r="AW243" t="s">
        <v>100</v>
      </c>
      <c r="AZ243" t="s">
        <v>107</v>
      </c>
      <c r="BA243" t="s">
        <v>87</v>
      </c>
      <c r="BB243" t="s">
        <v>87</v>
      </c>
      <c r="BC243" t="s">
        <v>87</v>
      </c>
      <c r="BD243" t="s">
        <v>87</v>
      </c>
      <c r="BE243" t="s">
        <v>87</v>
      </c>
      <c r="BF243" t="s">
        <v>97</v>
      </c>
      <c r="BG243" t="s">
        <v>76</v>
      </c>
      <c r="BH243" t="s">
        <v>98</v>
      </c>
      <c r="BI243" t="s">
        <v>107</v>
      </c>
      <c r="BJ243" t="s">
        <v>102</v>
      </c>
      <c r="BK243">
        <v>1</v>
      </c>
      <c r="BL243">
        <v>0</v>
      </c>
      <c r="BM243">
        <v>0</v>
      </c>
      <c r="BN243">
        <v>0</v>
      </c>
      <c r="BO243">
        <v>0</v>
      </c>
      <c r="BP243">
        <v>0</v>
      </c>
      <c r="BQ243">
        <v>0</v>
      </c>
      <c r="BR243">
        <v>0</v>
      </c>
    </row>
    <row r="244" spans="1:70" x14ac:dyDescent="0.2">
      <c r="A244" s="1">
        <v>44580.011805555558</v>
      </c>
      <c r="B244" s="1">
        <v>44580.01458333333</v>
      </c>
      <c r="C244">
        <v>0</v>
      </c>
      <c r="D244">
        <v>1</v>
      </c>
      <c r="E244">
        <v>0</v>
      </c>
      <c r="F244">
        <v>0</v>
      </c>
      <c r="H244">
        <v>1</v>
      </c>
      <c r="I244">
        <v>0</v>
      </c>
      <c r="J244">
        <v>0</v>
      </c>
      <c r="K244">
        <v>0</v>
      </c>
      <c r="L244">
        <v>0</v>
      </c>
      <c r="P244">
        <v>1</v>
      </c>
      <c r="Q244">
        <v>0</v>
      </c>
      <c r="R244">
        <v>0</v>
      </c>
      <c r="S244">
        <v>0</v>
      </c>
      <c r="T244">
        <v>0</v>
      </c>
      <c r="U244">
        <v>0</v>
      </c>
      <c r="V244">
        <v>0</v>
      </c>
      <c r="W244">
        <v>0</v>
      </c>
      <c r="X244">
        <v>0</v>
      </c>
      <c r="Y244">
        <v>0</v>
      </c>
      <c r="Z244">
        <v>0</v>
      </c>
      <c r="AA244">
        <v>0</v>
      </c>
      <c r="AC244">
        <v>1</v>
      </c>
      <c r="AD244">
        <v>0</v>
      </c>
      <c r="AE244">
        <v>0</v>
      </c>
      <c r="AF244">
        <v>0</v>
      </c>
      <c r="AG244">
        <v>0</v>
      </c>
      <c r="AH244">
        <v>0</v>
      </c>
      <c r="AI244">
        <v>0</v>
      </c>
      <c r="AJ244">
        <v>0</v>
      </c>
      <c r="AK244">
        <v>0</v>
      </c>
      <c r="AZ244" t="s">
        <v>107</v>
      </c>
      <c r="BA244" t="s">
        <v>87</v>
      </c>
      <c r="BB244" t="s">
        <v>87</v>
      </c>
      <c r="BC244" t="s">
        <v>87</v>
      </c>
      <c r="BD244" t="s">
        <v>87</v>
      </c>
      <c r="BE244" t="s">
        <v>87</v>
      </c>
      <c r="BF244" t="s">
        <v>101</v>
      </c>
      <c r="BG244" t="s">
        <v>76</v>
      </c>
      <c r="BH244" t="s">
        <v>98</v>
      </c>
      <c r="BI244" t="s">
        <v>107</v>
      </c>
      <c r="BJ244" t="s">
        <v>109</v>
      </c>
      <c r="BK244">
        <v>0</v>
      </c>
      <c r="BL244">
        <v>0</v>
      </c>
      <c r="BM244">
        <v>0</v>
      </c>
      <c r="BN244">
        <v>0</v>
      </c>
      <c r="BO244">
        <v>0</v>
      </c>
      <c r="BP244">
        <v>1</v>
      </c>
      <c r="BQ244">
        <v>0</v>
      </c>
      <c r="BR244">
        <v>0</v>
      </c>
    </row>
    <row r="245" spans="1:70" x14ac:dyDescent="0.2">
      <c r="A245" s="1">
        <v>44585.578472222223</v>
      </c>
      <c r="B245" s="1">
        <v>44585.582638888889</v>
      </c>
      <c r="C245">
        <v>1</v>
      </c>
      <c r="D245">
        <v>0</v>
      </c>
      <c r="E245">
        <v>0</v>
      </c>
      <c r="F245">
        <v>0</v>
      </c>
      <c r="H245">
        <v>0</v>
      </c>
      <c r="I245">
        <v>1</v>
      </c>
      <c r="J245">
        <v>1</v>
      </c>
      <c r="K245">
        <v>0</v>
      </c>
      <c r="L245">
        <v>0</v>
      </c>
      <c r="N245" t="s">
        <v>88</v>
      </c>
      <c r="O245" t="s">
        <v>89</v>
      </c>
      <c r="P245">
        <v>0</v>
      </c>
      <c r="Q245">
        <v>0</v>
      </c>
      <c r="R245">
        <v>1</v>
      </c>
      <c r="S245">
        <v>0</v>
      </c>
      <c r="T245">
        <v>0</v>
      </c>
      <c r="U245">
        <v>0</v>
      </c>
      <c r="V245">
        <v>0</v>
      </c>
      <c r="W245">
        <v>0</v>
      </c>
      <c r="X245">
        <v>0</v>
      </c>
      <c r="Y245">
        <v>0</v>
      </c>
      <c r="Z245">
        <v>0</v>
      </c>
      <c r="AA245">
        <v>0</v>
      </c>
      <c r="AM245" t="s">
        <v>90</v>
      </c>
      <c r="AN245" t="s">
        <v>82</v>
      </c>
      <c r="AO245" t="s">
        <v>90</v>
      </c>
      <c r="AP245" t="s">
        <v>81</v>
      </c>
      <c r="AQ245" t="s">
        <v>90</v>
      </c>
      <c r="AR245" t="s">
        <v>90</v>
      </c>
      <c r="AS245" t="s">
        <v>90</v>
      </c>
      <c r="AT245" t="s">
        <v>90</v>
      </c>
      <c r="AU245" t="s">
        <v>88</v>
      </c>
      <c r="AV245" t="s">
        <v>89</v>
      </c>
      <c r="AW245" t="s">
        <v>85</v>
      </c>
      <c r="AZ245" t="s">
        <v>107</v>
      </c>
      <c r="BA245" t="s">
        <v>87</v>
      </c>
      <c r="BB245" t="s">
        <v>87</v>
      </c>
      <c r="BC245" t="s">
        <v>87</v>
      </c>
      <c r="BD245" t="s">
        <v>74</v>
      </c>
      <c r="BE245" t="s">
        <v>87</v>
      </c>
      <c r="BF245" t="s">
        <v>97</v>
      </c>
      <c r="BG245" t="s">
        <v>76</v>
      </c>
      <c r="BH245" t="s">
        <v>98</v>
      </c>
      <c r="BI245" t="s">
        <v>107</v>
      </c>
      <c r="BJ245" t="s">
        <v>114</v>
      </c>
      <c r="BK245">
        <v>1</v>
      </c>
      <c r="BL245">
        <v>0</v>
      </c>
      <c r="BM245">
        <v>0</v>
      </c>
      <c r="BN245">
        <v>0</v>
      </c>
      <c r="BO245">
        <v>0</v>
      </c>
      <c r="BP245">
        <v>0</v>
      </c>
      <c r="BQ245">
        <v>0</v>
      </c>
      <c r="BR245">
        <v>0</v>
      </c>
    </row>
    <row r="246" spans="1:70" x14ac:dyDescent="0.2">
      <c r="A246" s="1">
        <v>44579.959027777775</v>
      </c>
      <c r="B246" s="1">
        <v>44579.962500000001</v>
      </c>
      <c r="C246">
        <v>1</v>
      </c>
      <c r="D246">
        <v>0</v>
      </c>
      <c r="E246">
        <v>0</v>
      </c>
      <c r="F246">
        <v>0</v>
      </c>
      <c r="H246">
        <v>0</v>
      </c>
      <c r="I246">
        <v>1</v>
      </c>
      <c r="J246">
        <v>0</v>
      </c>
      <c r="K246">
        <v>1</v>
      </c>
      <c r="L246">
        <v>0</v>
      </c>
      <c r="N246" t="s">
        <v>88</v>
      </c>
      <c r="O246" t="s">
        <v>80</v>
      </c>
      <c r="P246">
        <v>0</v>
      </c>
      <c r="Q246">
        <v>0</v>
      </c>
      <c r="R246">
        <v>1</v>
      </c>
      <c r="S246">
        <v>0</v>
      </c>
      <c r="T246">
        <v>0</v>
      </c>
      <c r="U246">
        <v>0</v>
      </c>
      <c r="V246">
        <v>0</v>
      </c>
      <c r="W246">
        <v>0</v>
      </c>
      <c r="X246">
        <v>0</v>
      </c>
      <c r="Y246">
        <v>0</v>
      </c>
      <c r="Z246">
        <v>0</v>
      </c>
      <c r="AA246">
        <v>0</v>
      </c>
      <c r="AM246" t="s">
        <v>83</v>
      </c>
      <c r="AN246" t="s">
        <v>81</v>
      </c>
      <c r="AO246" t="s">
        <v>81</v>
      </c>
      <c r="AP246" t="s">
        <v>83</v>
      </c>
      <c r="AQ246" t="s">
        <v>82</v>
      </c>
      <c r="AR246" t="s">
        <v>83</v>
      </c>
      <c r="AS246" t="s">
        <v>82</v>
      </c>
      <c r="AT246" t="s">
        <v>83</v>
      </c>
      <c r="AU246" t="s">
        <v>88</v>
      </c>
      <c r="AV246" t="s">
        <v>89</v>
      </c>
      <c r="AW246" t="s">
        <v>85</v>
      </c>
      <c r="AZ246" t="s">
        <v>107</v>
      </c>
      <c r="BA246" t="s">
        <v>86</v>
      </c>
      <c r="BB246" t="s">
        <v>74</v>
      </c>
      <c r="BC246" t="s">
        <v>87</v>
      </c>
      <c r="BD246" t="s">
        <v>87</v>
      </c>
      <c r="BE246" t="s">
        <v>86</v>
      </c>
      <c r="BF246" t="s">
        <v>97</v>
      </c>
      <c r="BG246" t="s">
        <v>76</v>
      </c>
      <c r="BH246" t="s">
        <v>98</v>
      </c>
      <c r="BI246" t="s">
        <v>107</v>
      </c>
      <c r="BJ246" t="s">
        <v>114</v>
      </c>
      <c r="BK246">
        <v>1</v>
      </c>
      <c r="BL246">
        <v>0</v>
      </c>
      <c r="BM246">
        <v>0</v>
      </c>
      <c r="BN246">
        <v>0</v>
      </c>
      <c r="BO246">
        <v>0</v>
      </c>
      <c r="BP246">
        <v>0</v>
      </c>
      <c r="BQ246">
        <v>0</v>
      </c>
      <c r="BR246">
        <v>0</v>
      </c>
    </row>
    <row r="247" spans="1:70" x14ac:dyDescent="0.2">
      <c r="A247" s="1">
        <v>44581.215277777781</v>
      </c>
      <c r="B247" s="1">
        <v>44581.21597222222</v>
      </c>
      <c r="C247">
        <v>1</v>
      </c>
      <c r="D247">
        <v>0</v>
      </c>
      <c r="E247">
        <v>0</v>
      </c>
      <c r="F247">
        <v>0</v>
      </c>
      <c r="H247">
        <v>1</v>
      </c>
      <c r="I247">
        <v>0</v>
      </c>
      <c r="J247">
        <v>0</v>
      </c>
      <c r="K247">
        <v>0</v>
      </c>
      <c r="L247">
        <v>0</v>
      </c>
      <c r="P247">
        <v>1</v>
      </c>
      <c r="Q247">
        <v>0</v>
      </c>
      <c r="R247">
        <v>0</v>
      </c>
      <c r="S247">
        <v>0</v>
      </c>
      <c r="T247">
        <v>0</v>
      </c>
      <c r="U247">
        <v>0</v>
      </c>
      <c r="V247">
        <v>0</v>
      </c>
      <c r="W247">
        <v>0</v>
      </c>
      <c r="X247">
        <v>0</v>
      </c>
      <c r="Y247">
        <v>0</v>
      </c>
      <c r="Z247">
        <v>0</v>
      </c>
      <c r="AA247">
        <v>0</v>
      </c>
      <c r="AC247">
        <v>1</v>
      </c>
      <c r="AD247">
        <v>0</v>
      </c>
      <c r="AE247">
        <v>0</v>
      </c>
      <c r="AF247">
        <v>0</v>
      </c>
      <c r="AG247">
        <v>0</v>
      </c>
      <c r="AH247">
        <v>0</v>
      </c>
      <c r="AI247">
        <v>0</v>
      </c>
      <c r="AJ247">
        <v>0</v>
      </c>
      <c r="AK247">
        <v>0</v>
      </c>
      <c r="AZ247" t="s">
        <v>107</v>
      </c>
      <c r="BA247" t="s">
        <v>87</v>
      </c>
      <c r="BB247" t="s">
        <v>87</v>
      </c>
      <c r="BC247" t="s">
        <v>87</v>
      </c>
      <c r="BD247" t="s">
        <v>87</v>
      </c>
      <c r="BE247" t="s">
        <v>86</v>
      </c>
      <c r="BF247" t="s">
        <v>159</v>
      </c>
      <c r="BG247" t="s">
        <v>76</v>
      </c>
      <c r="BH247" t="s">
        <v>77</v>
      </c>
      <c r="BI247" t="s">
        <v>107</v>
      </c>
      <c r="BJ247" t="s">
        <v>147</v>
      </c>
      <c r="BK247">
        <v>0</v>
      </c>
      <c r="BL247">
        <v>0</v>
      </c>
      <c r="BM247">
        <v>0</v>
      </c>
      <c r="BN247">
        <v>0</v>
      </c>
      <c r="BO247">
        <v>0</v>
      </c>
      <c r="BP247">
        <v>1</v>
      </c>
      <c r="BQ247">
        <v>0</v>
      </c>
      <c r="BR247">
        <v>0</v>
      </c>
    </row>
    <row r="248" spans="1:70" x14ac:dyDescent="0.2">
      <c r="A248" s="1">
        <v>44579.877083333333</v>
      </c>
      <c r="B248" s="1">
        <v>44579.879861111112</v>
      </c>
      <c r="C248">
        <v>1</v>
      </c>
      <c r="D248">
        <v>0</v>
      </c>
      <c r="E248">
        <v>0</v>
      </c>
      <c r="F248">
        <v>0</v>
      </c>
      <c r="H248">
        <v>1</v>
      </c>
      <c r="I248">
        <v>0</v>
      </c>
      <c r="J248">
        <v>0</v>
      </c>
      <c r="K248">
        <v>0</v>
      </c>
      <c r="L248">
        <v>0</v>
      </c>
      <c r="P248">
        <v>0</v>
      </c>
      <c r="Q248">
        <v>0</v>
      </c>
      <c r="R248">
        <v>1</v>
      </c>
      <c r="S248">
        <v>0</v>
      </c>
      <c r="T248">
        <v>0</v>
      </c>
      <c r="U248">
        <v>0</v>
      </c>
      <c r="V248">
        <v>0</v>
      </c>
      <c r="W248">
        <v>0</v>
      </c>
      <c r="X248">
        <v>0</v>
      </c>
      <c r="Y248">
        <v>0</v>
      </c>
      <c r="Z248">
        <v>0</v>
      </c>
      <c r="AA248">
        <v>0</v>
      </c>
      <c r="AM248" t="s">
        <v>83</v>
      </c>
      <c r="AN248" t="s">
        <v>83</v>
      </c>
      <c r="AO248" t="s">
        <v>90</v>
      </c>
      <c r="AP248" t="s">
        <v>83</v>
      </c>
      <c r="AQ248" t="s">
        <v>81</v>
      </c>
      <c r="AR248" t="s">
        <v>83</v>
      </c>
      <c r="AS248" t="s">
        <v>83</v>
      </c>
      <c r="AT248" t="s">
        <v>82</v>
      </c>
      <c r="AU248" t="s">
        <v>88</v>
      </c>
      <c r="AV248" t="s">
        <v>80</v>
      </c>
      <c r="AW248" t="s">
        <v>85</v>
      </c>
      <c r="AX248" t="s">
        <v>119</v>
      </c>
      <c r="AZ248" t="s">
        <v>107</v>
      </c>
      <c r="BA248" t="s">
        <v>86</v>
      </c>
      <c r="BB248" t="s">
        <v>86</v>
      </c>
      <c r="BC248" t="s">
        <v>86</v>
      </c>
      <c r="BD248" t="s">
        <v>86</v>
      </c>
      <c r="BE248" t="s">
        <v>86</v>
      </c>
      <c r="BF248" t="s">
        <v>75</v>
      </c>
      <c r="BG248" t="s">
        <v>76</v>
      </c>
      <c r="BH248" t="s">
        <v>77</v>
      </c>
      <c r="BI248" t="s">
        <v>107</v>
      </c>
      <c r="BJ248" t="s">
        <v>176</v>
      </c>
      <c r="BK248">
        <v>1</v>
      </c>
      <c r="BL248">
        <v>0</v>
      </c>
      <c r="BM248">
        <v>0</v>
      </c>
      <c r="BN248">
        <v>0</v>
      </c>
      <c r="BO248">
        <v>0</v>
      </c>
      <c r="BP248">
        <v>0</v>
      </c>
      <c r="BQ248">
        <v>0</v>
      </c>
      <c r="BR248">
        <v>0</v>
      </c>
    </row>
    <row r="249" spans="1:70" x14ac:dyDescent="0.2">
      <c r="A249" s="1">
        <v>44580.070138888892</v>
      </c>
      <c r="B249" s="1">
        <v>44580.072222222225</v>
      </c>
      <c r="C249">
        <v>1</v>
      </c>
      <c r="D249">
        <v>0</v>
      </c>
      <c r="E249">
        <v>0</v>
      </c>
      <c r="F249">
        <v>0</v>
      </c>
      <c r="H249">
        <v>1</v>
      </c>
      <c r="I249">
        <v>0</v>
      </c>
      <c r="J249">
        <v>0</v>
      </c>
      <c r="K249">
        <v>0</v>
      </c>
      <c r="L249">
        <v>0</v>
      </c>
      <c r="P249">
        <v>1</v>
      </c>
      <c r="Q249">
        <v>0</v>
      </c>
      <c r="R249">
        <v>0</v>
      </c>
      <c r="S249">
        <v>0</v>
      </c>
      <c r="T249">
        <v>0</v>
      </c>
      <c r="U249">
        <v>0</v>
      </c>
      <c r="V249">
        <v>0</v>
      </c>
      <c r="W249">
        <v>0</v>
      </c>
      <c r="X249">
        <v>0</v>
      </c>
      <c r="Y249">
        <v>0</v>
      </c>
      <c r="Z249">
        <v>0</v>
      </c>
      <c r="AA249">
        <v>0</v>
      </c>
      <c r="AC249">
        <v>0</v>
      </c>
      <c r="AD249">
        <v>0</v>
      </c>
      <c r="AE249">
        <v>1</v>
      </c>
      <c r="AF249">
        <v>0</v>
      </c>
      <c r="AG249">
        <v>0</v>
      </c>
      <c r="AH249">
        <v>0</v>
      </c>
      <c r="AI249">
        <v>1</v>
      </c>
      <c r="AJ249">
        <v>0</v>
      </c>
      <c r="AK249">
        <v>0</v>
      </c>
      <c r="AX249" t="s">
        <v>118</v>
      </c>
      <c r="AZ249" t="s">
        <v>73</v>
      </c>
      <c r="BA249" t="s">
        <v>86</v>
      </c>
      <c r="BB249" t="s">
        <v>86</v>
      </c>
      <c r="BC249" t="s">
        <v>86</v>
      </c>
      <c r="BD249" t="s">
        <v>86</v>
      </c>
      <c r="BE249" t="s">
        <v>86</v>
      </c>
      <c r="BF249" t="s">
        <v>75</v>
      </c>
      <c r="BG249" t="s">
        <v>76</v>
      </c>
      <c r="BH249" t="s">
        <v>98</v>
      </c>
      <c r="BI249" t="s">
        <v>73</v>
      </c>
      <c r="BJ249" t="s">
        <v>114</v>
      </c>
      <c r="BK249">
        <v>1</v>
      </c>
      <c r="BL249">
        <v>0</v>
      </c>
      <c r="BM249">
        <v>0</v>
      </c>
      <c r="BN249">
        <v>0</v>
      </c>
      <c r="BO249">
        <v>0</v>
      </c>
      <c r="BP249">
        <v>0</v>
      </c>
      <c r="BQ249">
        <v>0</v>
      </c>
      <c r="BR249">
        <v>0</v>
      </c>
    </row>
    <row r="250" spans="1:70" x14ac:dyDescent="0.2">
      <c r="A250" s="1">
        <v>44579.897916666669</v>
      </c>
      <c r="B250" s="1">
        <v>44579.9</v>
      </c>
      <c r="C250">
        <v>0</v>
      </c>
      <c r="D250">
        <v>1</v>
      </c>
      <c r="E250">
        <v>0</v>
      </c>
      <c r="F250">
        <v>0</v>
      </c>
      <c r="H250">
        <v>0</v>
      </c>
      <c r="I250">
        <v>1</v>
      </c>
      <c r="J250">
        <v>0</v>
      </c>
      <c r="K250">
        <v>0</v>
      </c>
      <c r="L250">
        <v>0</v>
      </c>
      <c r="N250" t="s">
        <v>88</v>
      </c>
      <c r="O250" t="s">
        <v>223</v>
      </c>
      <c r="P250">
        <v>0</v>
      </c>
      <c r="Q250">
        <v>1</v>
      </c>
      <c r="R250">
        <v>0</v>
      </c>
      <c r="S250">
        <v>0</v>
      </c>
      <c r="T250">
        <v>0</v>
      </c>
      <c r="U250">
        <v>0</v>
      </c>
      <c r="V250">
        <v>0</v>
      </c>
      <c r="W250">
        <v>0</v>
      </c>
      <c r="X250">
        <v>0</v>
      </c>
      <c r="Y250">
        <v>0</v>
      </c>
      <c r="Z250">
        <v>0</v>
      </c>
      <c r="AA250">
        <v>0</v>
      </c>
      <c r="AM250" t="s">
        <v>83</v>
      </c>
      <c r="AN250" t="s">
        <v>82</v>
      </c>
      <c r="AO250" t="s">
        <v>83</v>
      </c>
      <c r="AP250" t="s">
        <v>83</v>
      </c>
      <c r="AQ250" t="s">
        <v>83</v>
      </c>
      <c r="AR250" t="s">
        <v>81</v>
      </c>
      <c r="AS250" t="s">
        <v>83</v>
      </c>
      <c r="AT250" t="s">
        <v>83</v>
      </c>
      <c r="AU250" t="s">
        <v>88</v>
      </c>
      <c r="AV250" t="s">
        <v>223</v>
      </c>
      <c r="AW250" t="s">
        <v>85</v>
      </c>
      <c r="AZ250" t="s">
        <v>73</v>
      </c>
      <c r="BA250" t="s">
        <v>87</v>
      </c>
      <c r="BB250" t="s">
        <v>87</v>
      </c>
      <c r="BC250" t="s">
        <v>87</v>
      </c>
      <c r="BD250" t="s">
        <v>74</v>
      </c>
      <c r="BE250" t="s">
        <v>74</v>
      </c>
      <c r="BF250" t="s">
        <v>97</v>
      </c>
      <c r="BG250" t="s">
        <v>76</v>
      </c>
      <c r="BH250" t="s">
        <v>98</v>
      </c>
      <c r="BI250" t="s">
        <v>73</v>
      </c>
      <c r="BJ250" t="s">
        <v>154</v>
      </c>
      <c r="BK250">
        <v>1</v>
      </c>
      <c r="BL250">
        <v>0</v>
      </c>
      <c r="BM250">
        <v>0</v>
      </c>
      <c r="BN250">
        <v>0</v>
      </c>
      <c r="BO250">
        <v>0</v>
      </c>
      <c r="BP250">
        <v>0</v>
      </c>
      <c r="BQ250">
        <v>0</v>
      </c>
      <c r="BR250">
        <v>0</v>
      </c>
    </row>
    <row r="251" spans="1:70" x14ac:dyDescent="0.2">
      <c r="A251" s="1">
        <v>44579.895138888889</v>
      </c>
      <c r="B251" s="1">
        <v>44579.897916666669</v>
      </c>
      <c r="C251">
        <v>0</v>
      </c>
      <c r="D251">
        <v>1</v>
      </c>
      <c r="E251">
        <v>0</v>
      </c>
      <c r="F251">
        <v>0</v>
      </c>
      <c r="H251">
        <v>1</v>
      </c>
      <c r="I251">
        <v>0</v>
      </c>
      <c r="J251">
        <v>0</v>
      </c>
      <c r="K251">
        <v>0</v>
      </c>
      <c r="L251">
        <v>0</v>
      </c>
      <c r="P251">
        <v>1</v>
      </c>
      <c r="Q251">
        <v>0</v>
      </c>
      <c r="R251">
        <v>0</v>
      </c>
      <c r="S251">
        <v>0</v>
      </c>
      <c r="T251">
        <v>0</v>
      </c>
      <c r="U251">
        <v>0</v>
      </c>
      <c r="V251">
        <v>0</v>
      </c>
      <c r="W251">
        <v>0</v>
      </c>
      <c r="X251">
        <v>0</v>
      </c>
      <c r="Y251">
        <v>0</v>
      </c>
      <c r="Z251">
        <v>0</v>
      </c>
      <c r="AA251">
        <v>0</v>
      </c>
      <c r="AC251">
        <v>0</v>
      </c>
      <c r="AD251">
        <v>0</v>
      </c>
      <c r="AE251">
        <v>1</v>
      </c>
      <c r="AF251">
        <v>0</v>
      </c>
      <c r="AG251">
        <v>0</v>
      </c>
      <c r="AH251">
        <v>0</v>
      </c>
      <c r="AI251">
        <v>0</v>
      </c>
      <c r="AJ251">
        <v>0</v>
      </c>
      <c r="AK251">
        <v>0</v>
      </c>
      <c r="AX251" t="s">
        <v>110</v>
      </c>
      <c r="AY251" t="s">
        <v>224</v>
      </c>
      <c r="AZ251" t="s">
        <v>107</v>
      </c>
      <c r="BA251" t="s">
        <v>86</v>
      </c>
      <c r="BB251" t="s">
        <v>87</v>
      </c>
      <c r="BC251" t="s">
        <v>74</v>
      </c>
      <c r="BD251" t="s">
        <v>87</v>
      </c>
      <c r="BE251" t="s">
        <v>74</v>
      </c>
      <c r="BF251" t="s">
        <v>108</v>
      </c>
      <c r="BG251" t="s">
        <v>76</v>
      </c>
      <c r="BH251" t="s">
        <v>98</v>
      </c>
      <c r="BI251" t="s">
        <v>107</v>
      </c>
      <c r="BJ251" t="s">
        <v>114</v>
      </c>
      <c r="BK251">
        <v>1</v>
      </c>
      <c r="BL251">
        <v>0</v>
      </c>
      <c r="BM251">
        <v>0</v>
      </c>
      <c r="BN251">
        <v>0</v>
      </c>
      <c r="BO251">
        <v>0</v>
      </c>
      <c r="BP251">
        <v>0</v>
      </c>
      <c r="BQ251">
        <v>0</v>
      </c>
      <c r="BR251">
        <v>0</v>
      </c>
    </row>
    <row r="252" spans="1:70" x14ac:dyDescent="0.2">
      <c r="A252" s="1">
        <v>44580.6</v>
      </c>
      <c r="B252" s="1">
        <v>44580.602083333331</v>
      </c>
      <c r="C252">
        <v>1</v>
      </c>
      <c r="D252">
        <v>0</v>
      </c>
      <c r="E252">
        <v>0</v>
      </c>
      <c r="F252">
        <v>0</v>
      </c>
      <c r="H252">
        <v>0</v>
      </c>
      <c r="I252">
        <v>0</v>
      </c>
      <c r="J252">
        <v>1</v>
      </c>
      <c r="K252">
        <v>0</v>
      </c>
      <c r="L252">
        <v>0</v>
      </c>
      <c r="N252" t="s">
        <v>88</v>
      </c>
      <c r="O252" t="s">
        <v>89</v>
      </c>
      <c r="P252">
        <v>0</v>
      </c>
      <c r="Q252">
        <v>1</v>
      </c>
      <c r="R252">
        <v>1</v>
      </c>
      <c r="S252">
        <v>0</v>
      </c>
      <c r="T252">
        <v>0</v>
      </c>
      <c r="U252">
        <v>0</v>
      </c>
      <c r="V252">
        <v>0</v>
      </c>
      <c r="W252">
        <v>0</v>
      </c>
      <c r="X252">
        <v>0</v>
      </c>
      <c r="Y252">
        <v>0</v>
      </c>
      <c r="Z252">
        <v>0</v>
      </c>
      <c r="AA252">
        <v>0</v>
      </c>
      <c r="AM252" t="s">
        <v>82</v>
      </c>
      <c r="AN252" t="s">
        <v>81</v>
      </c>
      <c r="AO252" t="s">
        <v>83</v>
      </c>
      <c r="AP252" t="s">
        <v>81</v>
      </c>
      <c r="AQ252" t="s">
        <v>82</v>
      </c>
      <c r="AR252" t="s">
        <v>83</v>
      </c>
      <c r="AS252" t="s">
        <v>83</v>
      </c>
      <c r="AT252" t="s">
        <v>82</v>
      </c>
      <c r="AU252" t="s">
        <v>88</v>
      </c>
      <c r="AV252" t="s">
        <v>89</v>
      </c>
      <c r="AW252" t="s">
        <v>85</v>
      </c>
      <c r="AX252" t="s">
        <v>118</v>
      </c>
      <c r="AZ252" t="s">
        <v>73</v>
      </c>
      <c r="BA252" t="s">
        <v>87</v>
      </c>
      <c r="BB252" t="s">
        <v>87</v>
      </c>
      <c r="BC252" t="s">
        <v>86</v>
      </c>
      <c r="BD252" t="s">
        <v>86</v>
      </c>
      <c r="BE252" t="s">
        <v>87</v>
      </c>
      <c r="BF252" t="s">
        <v>75</v>
      </c>
      <c r="BG252" t="s">
        <v>76</v>
      </c>
      <c r="BH252" t="s">
        <v>93</v>
      </c>
      <c r="BI252" t="s">
        <v>73</v>
      </c>
      <c r="BJ252" t="s">
        <v>114</v>
      </c>
      <c r="BK252">
        <v>1</v>
      </c>
      <c r="BL252">
        <v>0</v>
      </c>
      <c r="BM252">
        <v>0</v>
      </c>
      <c r="BN252">
        <v>0</v>
      </c>
      <c r="BO252">
        <v>0</v>
      </c>
      <c r="BP252">
        <v>0</v>
      </c>
      <c r="BQ252">
        <v>0</v>
      </c>
      <c r="BR252">
        <v>0</v>
      </c>
    </row>
    <row r="253" spans="1:70" x14ac:dyDescent="0.2">
      <c r="A253" s="1">
        <v>44579.893055555556</v>
      </c>
      <c r="B253" s="1">
        <v>44579.894444444442</v>
      </c>
      <c r="C253">
        <v>0</v>
      </c>
      <c r="D253">
        <v>1</v>
      </c>
      <c r="E253">
        <v>0</v>
      </c>
      <c r="F253">
        <v>0</v>
      </c>
      <c r="H253">
        <v>1</v>
      </c>
      <c r="I253">
        <v>0</v>
      </c>
      <c r="J253">
        <v>0</v>
      </c>
      <c r="K253">
        <v>0</v>
      </c>
      <c r="L253">
        <v>0</v>
      </c>
      <c r="P253">
        <v>1</v>
      </c>
      <c r="Q253">
        <v>0</v>
      </c>
      <c r="R253">
        <v>0</v>
      </c>
      <c r="S253">
        <v>0</v>
      </c>
      <c r="T253">
        <v>0</v>
      </c>
      <c r="U253">
        <v>0</v>
      </c>
      <c r="V253">
        <v>0</v>
      </c>
      <c r="W253">
        <v>0</v>
      </c>
      <c r="X253">
        <v>0</v>
      </c>
      <c r="Y253">
        <v>0</v>
      </c>
      <c r="Z253">
        <v>0</v>
      </c>
      <c r="AA253">
        <v>0</v>
      </c>
      <c r="AC253">
        <v>0</v>
      </c>
      <c r="AD253">
        <v>1</v>
      </c>
      <c r="AE253">
        <v>0</v>
      </c>
      <c r="AF253">
        <v>0</v>
      </c>
      <c r="AG253">
        <v>0</v>
      </c>
      <c r="AH253">
        <v>0</v>
      </c>
      <c r="AI253">
        <v>0</v>
      </c>
      <c r="AJ253">
        <v>0</v>
      </c>
      <c r="AK253">
        <v>0</v>
      </c>
      <c r="AX253" t="s">
        <v>118</v>
      </c>
      <c r="AZ253" t="s">
        <v>107</v>
      </c>
      <c r="BA253" t="s">
        <v>87</v>
      </c>
      <c r="BB253" t="s">
        <v>87</v>
      </c>
      <c r="BC253" t="s">
        <v>87</v>
      </c>
      <c r="BD253" t="s">
        <v>87</v>
      </c>
      <c r="BE253" t="s">
        <v>87</v>
      </c>
      <c r="BF253" t="s">
        <v>108</v>
      </c>
      <c r="BG253" t="s">
        <v>76</v>
      </c>
      <c r="BH253" t="s">
        <v>77</v>
      </c>
      <c r="BI253" t="s">
        <v>107</v>
      </c>
      <c r="BJ253" t="s">
        <v>109</v>
      </c>
      <c r="BK253">
        <v>1</v>
      </c>
      <c r="BL253">
        <v>0</v>
      </c>
      <c r="BM253">
        <v>0</v>
      </c>
      <c r="BN253">
        <v>0</v>
      </c>
      <c r="BO253">
        <v>0</v>
      </c>
      <c r="BP253">
        <v>0</v>
      </c>
      <c r="BQ253">
        <v>0</v>
      </c>
      <c r="BR253">
        <v>0</v>
      </c>
    </row>
    <row r="254" spans="1:70" x14ac:dyDescent="0.2">
      <c r="A254" s="1">
        <v>44588.981249999997</v>
      </c>
      <c r="B254" s="1">
        <v>44588.98333333333</v>
      </c>
      <c r="C254">
        <v>1</v>
      </c>
      <c r="D254">
        <v>0</v>
      </c>
      <c r="E254">
        <v>0</v>
      </c>
      <c r="F254">
        <v>0</v>
      </c>
      <c r="H254">
        <v>1</v>
      </c>
      <c r="I254">
        <v>0</v>
      </c>
      <c r="J254">
        <v>0</v>
      </c>
      <c r="K254">
        <v>0</v>
      </c>
      <c r="L254">
        <v>0</v>
      </c>
      <c r="P254">
        <v>0</v>
      </c>
      <c r="Q254">
        <v>1</v>
      </c>
      <c r="R254">
        <v>0</v>
      </c>
      <c r="S254">
        <v>0</v>
      </c>
      <c r="T254">
        <v>0</v>
      </c>
      <c r="U254">
        <v>0</v>
      </c>
      <c r="V254">
        <v>0</v>
      </c>
      <c r="W254">
        <v>0</v>
      </c>
      <c r="X254">
        <v>0</v>
      </c>
      <c r="Y254">
        <v>0</v>
      </c>
      <c r="Z254">
        <v>0</v>
      </c>
      <c r="AA254">
        <v>0</v>
      </c>
      <c r="AM254" t="s">
        <v>90</v>
      </c>
      <c r="AN254" t="s">
        <v>82</v>
      </c>
      <c r="AO254" t="s">
        <v>90</v>
      </c>
      <c r="AP254" t="s">
        <v>90</v>
      </c>
      <c r="AQ254" t="s">
        <v>90</v>
      </c>
      <c r="AR254" t="s">
        <v>90</v>
      </c>
      <c r="AS254" t="s">
        <v>90</v>
      </c>
      <c r="AT254" t="s">
        <v>90</v>
      </c>
      <c r="AU254" t="s">
        <v>135</v>
      </c>
      <c r="AV254" t="s">
        <v>80</v>
      </c>
      <c r="AW254" t="s">
        <v>85</v>
      </c>
      <c r="AZ254" t="s">
        <v>107</v>
      </c>
      <c r="BA254" t="s">
        <v>87</v>
      </c>
      <c r="BB254" t="s">
        <v>87</v>
      </c>
      <c r="BC254" t="s">
        <v>87</v>
      </c>
      <c r="BD254" t="s">
        <v>87</v>
      </c>
      <c r="BE254" t="s">
        <v>87</v>
      </c>
      <c r="BF254" t="s">
        <v>97</v>
      </c>
      <c r="BG254" t="s">
        <v>76</v>
      </c>
      <c r="BH254" t="s">
        <v>98</v>
      </c>
      <c r="BI254" t="s">
        <v>107</v>
      </c>
      <c r="BJ254" t="s">
        <v>129</v>
      </c>
      <c r="BK254">
        <v>1</v>
      </c>
      <c r="BL254">
        <v>0</v>
      </c>
      <c r="BM254">
        <v>0</v>
      </c>
      <c r="BN254">
        <v>0</v>
      </c>
      <c r="BO254">
        <v>0</v>
      </c>
      <c r="BP254">
        <v>0</v>
      </c>
      <c r="BQ254">
        <v>0</v>
      </c>
      <c r="BR254">
        <v>0</v>
      </c>
    </row>
    <row r="255" spans="1:70" x14ac:dyDescent="0.2">
      <c r="A255" s="1">
        <v>44585.561111111114</v>
      </c>
      <c r="B255" s="1">
        <v>44585.5625</v>
      </c>
      <c r="C255">
        <v>1</v>
      </c>
      <c r="D255">
        <v>0</v>
      </c>
      <c r="E255">
        <v>0</v>
      </c>
      <c r="F255">
        <v>0</v>
      </c>
      <c r="H255">
        <v>1</v>
      </c>
      <c r="I255">
        <v>0</v>
      </c>
      <c r="J255">
        <v>0</v>
      </c>
      <c r="K255">
        <v>0</v>
      </c>
      <c r="L255">
        <v>0</v>
      </c>
      <c r="P255">
        <v>1</v>
      </c>
      <c r="Q255">
        <v>0</v>
      </c>
      <c r="R255">
        <v>0</v>
      </c>
      <c r="S255">
        <v>0</v>
      </c>
      <c r="T255">
        <v>0</v>
      </c>
      <c r="U255">
        <v>0</v>
      </c>
      <c r="V255">
        <v>0</v>
      </c>
      <c r="W255">
        <v>0</v>
      </c>
      <c r="X255">
        <v>0</v>
      </c>
      <c r="Y255">
        <v>0</v>
      </c>
      <c r="Z255">
        <v>0</v>
      </c>
      <c r="AA255">
        <v>0</v>
      </c>
      <c r="AC255">
        <v>1</v>
      </c>
      <c r="AD255">
        <v>0</v>
      </c>
      <c r="AE255">
        <v>0</v>
      </c>
      <c r="AF255">
        <v>0</v>
      </c>
      <c r="AG255">
        <v>0</v>
      </c>
      <c r="AH255">
        <v>0</v>
      </c>
      <c r="AI255">
        <v>0</v>
      </c>
      <c r="AJ255">
        <v>0</v>
      </c>
      <c r="AK255">
        <v>0</v>
      </c>
      <c r="AZ255" t="s">
        <v>73</v>
      </c>
      <c r="BA255" t="s">
        <v>86</v>
      </c>
      <c r="BB255" t="s">
        <v>87</v>
      </c>
      <c r="BC255" t="s">
        <v>87</v>
      </c>
      <c r="BD255" t="s">
        <v>87</v>
      </c>
      <c r="BE255" t="s">
        <v>87</v>
      </c>
      <c r="BF255" t="s">
        <v>97</v>
      </c>
      <c r="BG255" t="s">
        <v>76</v>
      </c>
      <c r="BH255" t="s">
        <v>158</v>
      </c>
      <c r="BI255" t="s">
        <v>73</v>
      </c>
      <c r="BJ255" t="s">
        <v>102</v>
      </c>
      <c r="BK255">
        <v>1</v>
      </c>
      <c r="BL255">
        <v>1</v>
      </c>
      <c r="BM255">
        <v>0</v>
      </c>
      <c r="BN255">
        <v>0</v>
      </c>
      <c r="BO255">
        <v>0</v>
      </c>
      <c r="BP255">
        <v>1</v>
      </c>
      <c r="BQ255">
        <v>0</v>
      </c>
      <c r="BR255">
        <v>0</v>
      </c>
    </row>
    <row r="256" spans="1:70" x14ac:dyDescent="0.2">
      <c r="A256" s="1">
        <v>44588.881249999999</v>
      </c>
      <c r="B256" s="1">
        <v>44588.882638888892</v>
      </c>
      <c r="C256">
        <v>1</v>
      </c>
      <c r="D256">
        <v>0</v>
      </c>
      <c r="E256">
        <v>0</v>
      </c>
      <c r="F256">
        <v>0</v>
      </c>
      <c r="H256">
        <v>0</v>
      </c>
      <c r="I256">
        <v>1</v>
      </c>
      <c r="J256">
        <v>0</v>
      </c>
      <c r="K256">
        <v>0</v>
      </c>
      <c r="L256">
        <v>0</v>
      </c>
      <c r="N256" t="s">
        <v>79</v>
      </c>
      <c r="O256" t="s">
        <v>80</v>
      </c>
      <c r="P256">
        <v>0</v>
      </c>
      <c r="Q256">
        <v>0</v>
      </c>
      <c r="R256">
        <v>1</v>
      </c>
      <c r="S256">
        <v>0</v>
      </c>
      <c r="T256">
        <v>0</v>
      </c>
      <c r="U256">
        <v>0</v>
      </c>
      <c r="V256">
        <v>0</v>
      </c>
      <c r="W256">
        <v>0</v>
      </c>
      <c r="X256">
        <v>0</v>
      </c>
      <c r="Y256">
        <v>0</v>
      </c>
      <c r="Z256">
        <v>0</v>
      </c>
      <c r="AA256">
        <v>0</v>
      </c>
      <c r="AM256" t="s">
        <v>83</v>
      </c>
      <c r="AN256" t="s">
        <v>81</v>
      </c>
      <c r="AO256" t="s">
        <v>83</v>
      </c>
      <c r="AP256" t="s">
        <v>83</v>
      </c>
      <c r="AQ256" t="s">
        <v>82</v>
      </c>
      <c r="AR256" t="s">
        <v>81</v>
      </c>
      <c r="AS256" t="s">
        <v>82</v>
      </c>
      <c r="AT256" t="s">
        <v>83</v>
      </c>
      <c r="AU256" t="s">
        <v>88</v>
      </c>
      <c r="AV256" t="s">
        <v>89</v>
      </c>
      <c r="AW256" t="s">
        <v>85</v>
      </c>
      <c r="AX256" t="s">
        <v>118</v>
      </c>
      <c r="AZ256" t="s">
        <v>73</v>
      </c>
      <c r="BA256" t="s">
        <v>86</v>
      </c>
      <c r="BB256" t="s">
        <v>87</v>
      </c>
      <c r="BC256" t="s">
        <v>87</v>
      </c>
      <c r="BD256" t="s">
        <v>74</v>
      </c>
      <c r="BE256" t="s">
        <v>86</v>
      </c>
      <c r="BF256" t="s">
        <v>75</v>
      </c>
      <c r="BG256" t="s">
        <v>225</v>
      </c>
      <c r="BH256" t="s">
        <v>93</v>
      </c>
      <c r="BI256" t="s">
        <v>73</v>
      </c>
      <c r="BJ256" t="s">
        <v>78</v>
      </c>
      <c r="BK256">
        <v>0</v>
      </c>
      <c r="BL256">
        <v>0</v>
      </c>
      <c r="BM256">
        <v>0</v>
      </c>
      <c r="BN256">
        <v>0</v>
      </c>
      <c r="BO256">
        <v>0</v>
      </c>
      <c r="BP256">
        <v>0</v>
      </c>
      <c r="BQ256">
        <v>0</v>
      </c>
      <c r="BR256">
        <v>1</v>
      </c>
    </row>
    <row r="257" spans="1:72" x14ac:dyDescent="0.2">
      <c r="A257" s="1">
        <v>44579.892361111109</v>
      </c>
      <c r="B257" s="1">
        <v>44579.893750000003</v>
      </c>
      <c r="C257">
        <v>0</v>
      </c>
      <c r="D257">
        <v>1</v>
      </c>
      <c r="E257">
        <v>0</v>
      </c>
      <c r="F257">
        <v>0</v>
      </c>
      <c r="H257">
        <v>1</v>
      </c>
      <c r="I257">
        <v>0</v>
      </c>
      <c r="J257">
        <v>0</v>
      </c>
      <c r="K257">
        <v>0</v>
      </c>
      <c r="L257">
        <v>0</v>
      </c>
      <c r="P257">
        <v>1</v>
      </c>
      <c r="Q257">
        <v>0</v>
      </c>
      <c r="R257">
        <v>0</v>
      </c>
      <c r="S257">
        <v>0</v>
      </c>
      <c r="T257">
        <v>0</v>
      </c>
      <c r="U257">
        <v>0</v>
      </c>
      <c r="V257">
        <v>0</v>
      </c>
      <c r="W257">
        <v>0</v>
      </c>
      <c r="X257">
        <v>0</v>
      </c>
      <c r="Y257">
        <v>0</v>
      </c>
      <c r="Z257">
        <v>0</v>
      </c>
      <c r="AA257">
        <v>0</v>
      </c>
      <c r="AC257">
        <v>0</v>
      </c>
      <c r="AD257">
        <v>0</v>
      </c>
      <c r="AE257">
        <v>0</v>
      </c>
      <c r="AF257">
        <v>0</v>
      </c>
      <c r="AG257">
        <v>0</v>
      </c>
      <c r="AH257">
        <v>1</v>
      </c>
      <c r="AI257">
        <v>0</v>
      </c>
      <c r="AJ257">
        <v>0</v>
      </c>
      <c r="AK257">
        <v>0</v>
      </c>
      <c r="AX257" t="s">
        <v>110</v>
      </c>
      <c r="AY257" t="s">
        <v>226</v>
      </c>
      <c r="AZ257" t="s">
        <v>96</v>
      </c>
      <c r="BA257" t="s">
        <v>87</v>
      </c>
      <c r="BB257" t="s">
        <v>87</v>
      </c>
      <c r="BC257" t="s">
        <v>87</v>
      </c>
      <c r="BD257" t="s">
        <v>87</v>
      </c>
      <c r="BE257" t="s">
        <v>87</v>
      </c>
      <c r="BF257" t="s">
        <v>75</v>
      </c>
      <c r="BG257" t="s">
        <v>76</v>
      </c>
      <c r="BH257" t="s">
        <v>98</v>
      </c>
      <c r="BI257" t="s">
        <v>96</v>
      </c>
      <c r="BJ257" t="s">
        <v>109</v>
      </c>
      <c r="BK257">
        <v>1</v>
      </c>
      <c r="BL257">
        <v>0</v>
      </c>
      <c r="BM257">
        <v>0</v>
      </c>
      <c r="BN257">
        <v>0</v>
      </c>
      <c r="BO257">
        <v>0</v>
      </c>
      <c r="BP257">
        <v>0</v>
      </c>
      <c r="BQ257">
        <v>0</v>
      </c>
      <c r="BR257">
        <v>0</v>
      </c>
    </row>
    <row r="258" spans="1:72" x14ac:dyDescent="0.2">
      <c r="A258" s="1">
        <v>44585.790972222225</v>
      </c>
      <c r="B258" s="1">
        <v>44585.793749999997</v>
      </c>
      <c r="C258">
        <v>1</v>
      </c>
      <c r="D258">
        <v>1</v>
      </c>
      <c r="E258">
        <v>0</v>
      </c>
      <c r="F258">
        <v>0</v>
      </c>
      <c r="H258">
        <v>1</v>
      </c>
      <c r="I258">
        <v>0</v>
      </c>
      <c r="J258">
        <v>0</v>
      </c>
      <c r="K258">
        <v>0</v>
      </c>
      <c r="L258">
        <v>0</v>
      </c>
      <c r="P258">
        <v>1</v>
      </c>
      <c r="Q258">
        <v>0</v>
      </c>
      <c r="R258">
        <v>0</v>
      </c>
      <c r="S258">
        <v>0</v>
      </c>
      <c r="T258">
        <v>0</v>
      </c>
      <c r="U258">
        <v>0</v>
      </c>
      <c r="V258">
        <v>0</v>
      </c>
      <c r="W258">
        <v>0</v>
      </c>
      <c r="X258">
        <v>0</v>
      </c>
      <c r="Y258">
        <v>0</v>
      </c>
      <c r="Z258">
        <v>0</v>
      </c>
      <c r="AA258">
        <v>0</v>
      </c>
      <c r="AC258">
        <v>0</v>
      </c>
      <c r="AD258">
        <v>0</v>
      </c>
      <c r="AE258">
        <v>0</v>
      </c>
      <c r="AF258">
        <v>0</v>
      </c>
      <c r="AG258">
        <v>0</v>
      </c>
      <c r="AH258">
        <v>0</v>
      </c>
      <c r="AI258">
        <v>0</v>
      </c>
      <c r="AJ258">
        <v>0</v>
      </c>
      <c r="AK258">
        <v>1</v>
      </c>
      <c r="AL258" t="s">
        <v>227</v>
      </c>
      <c r="AX258" t="s">
        <v>122</v>
      </c>
      <c r="AZ258" t="s">
        <v>73</v>
      </c>
      <c r="BA258" t="s">
        <v>87</v>
      </c>
      <c r="BB258" t="s">
        <v>87</v>
      </c>
      <c r="BC258" t="s">
        <v>87</v>
      </c>
      <c r="BD258" t="s">
        <v>87</v>
      </c>
      <c r="BE258" t="s">
        <v>87</v>
      </c>
      <c r="BF258" t="s">
        <v>75</v>
      </c>
      <c r="BG258" t="s">
        <v>76</v>
      </c>
      <c r="BH258" t="s">
        <v>98</v>
      </c>
      <c r="BI258" t="s">
        <v>73</v>
      </c>
      <c r="BJ258" t="s">
        <v>114</v>
      </c>
      <c r="BK258">
        <v>1</v>
      </c>
      <c r="BL258">
        <v>0</v>
      </c>
      <c r="BM258">
        <v>0</v>
      </c>
      <c r="BN258">
        <v>0</v>
      </c>
      <c r="BO258">
        <v>0</v>
      </c>
      <c r="BP258">
        <v>0</v>
      </c>
      <c r="BQ258">
        <v>0</v>
      </c>
      <c r="BR258">
        <v>0</v>
      </c>
    </row>
    <row r="259" spans="1:72" x14ac:dyDescent="0.2">
      <c r="A259" s="1">
        <v>44585.500694444447</v>
      </c>
      <c r="B259" s="1">
        <v>44585.502083333333</v>
      </c>
      <c r="C259">
        <v>0</v>
      </c>
      <c r="D259">
        <v>1</v>
      </c>
      <c r="E259">
        <v>0</v>
      </c>
      <c r="F259">
        <v>0</v>
      </c>
      <c r="H259">
        <v>1</v>
      </c>
      <c r="I259">
        <v>0</v>
      </c>
      <c r="J259">
        <v>0</v>
      </c>
      <c r="K259">
        <v>0</v>
      </c>
      <c r="L259">
        <v>0</v>
      </c>
      <c r="P259">
        <v>1</v>
      </c>
      <c r="Q259">
        <v>0</v>
      </c>
      <c r="R259">
        <v>0</v>
      </c>
      <c r="S259">
        <v>0</v>
      </c>
      <c r="T259">
        <v>0</v>
      </c>
      <c r="U259">
        <v>0</v>
      </c>
      <c r="V259">
        <v>0</v>
      </c>
      <c r="W259">
        <v>0</v>
      </c>
      <c r="X259">
        <v>0</v>
      </c>
      <c r="Y259">
        <v>0</v>
      </c>
      <c r="Z259">
        <v>0</v>
      </c>
      <c r="AA259">
        <v>0</v>
      </c>
      <c r="AC259">
        <v>0</v>
      </c>
      <c r="AD259">
        <v>0</v>
      </c>
      <c r="AE259">
        <v>0</v>
      </c>
      <c r="AF259">
        <v>0</v>
      </c>
      <c r="AG259">
        <v>0</v>
      </c>
      <c r="AH259">
        <v>1</v>
      </c>
      <c r="AI259">
        <v>1</v>
      </c>
      <c r="AJ259">
        <v>0</v>
      </c>
      <c r="AK259">
        <v>0</v>
      </c>
      <c r="AX259" t="s">
        <v>118</v>
      </c>
      <c r="AZ259" t="s">
        <v>73</v>
      </c>
      <c r="BA259" t="s">
        <v>74</v>
      </c>
      <c r="BF259" t="s">
        <v>75</v>
      </c>
      <c r="BG259" t="s">
        <v>76</v>
      </c>
      <c r="BH259" t="s">
        <v>98</v>
      </c>
      <c r="BI259" t="s">
        <v>73</v>
      </c>
      <c r="BJ259" t="s">
        <v>114</v>
      </c>
      <c r="BK259">
        <v>1</v>
      </c>
      <c r="BL259">
        <v>0</v>
      </c>
      <c r="BM259">
        <v>0</v>
      </c>
      <c r="BN259">
        <v>0</v>
      </c>
      <c r="BO259">
        <v>0</v>
      </c>
      <c r="BP259">
        <v>0</v>
      </c>
      <c r="BQ259">
        <v>0</v>
      </c>
      <c r="BR259">
        <v>0</v>
      </c>
    </row>
    <row r="260" spans="1:72" x14ac:dyDescent="0.2">
      <c r="A260" s="1">
        <v>44582.332638888889</v>
      </c>
      <c r="B260" s="1">
        <v>44582.337500000001</v>
      </c>
      <c r="C260">
        <v>0</v>
      </c>
      <c r="D260">
        <v>1</v>
      </c>
      <c r="E260">
        <v>0</v>
      </c>
      <c r="F260">
        <v>0</v>
      </c>
      <c r="H260">
        <v>0</v>
      </c>
      <c r="I260">
        <v>1</v>
      </c>
      <c r="J260">
        <v>0</v>
      </c>
      <c r="K260">
        <v>0</v>
      </c>
      <c r="L260">
        <v>0</v>
      </c>
      <c r="N260" t="s">
        <v>88</v>
      </c>
      <c r="O260" t="s">
        <v>89</v>
      </c>
      <c r="P260">
        <v>0</v>
      </c>
      <c r="Q260">
        <v>1</v>
      </c>
      <c r="R260">
        <v>0</v>
      </c>
      <c r="S260">
        <v>0</v>
      </c>
      <c r="T260">
        <v>0</v>
      </c>
      <c r="U260">
        <v>0</v>
      </c>
      <c r="V260">
        <v>0</v>
      </c>
      <c r="W260">
        <v>0</v>
      </c>
      <c r="X260">
        <v>0</v>
      </c>
      <c r="Y260">
        <v>0</v>
      </c>
      <c r="Z260">
        <v>0</v>
      </c>
      <c r="AA260">
        <v>0</v>
      </c>
      <c r="AM260" t="s">
        <v>83</v>
      </c>
      <c r="AN260" t="s">
        <v>82</v>
      </c>
      <c r="AO260" t="s">
        <v>81</v>
      </c>
      <c r="AP260" t="s">
        <v>82</v>
      </c>
      <c r="AQ260" t="s">
        <v>83</v>
      </c>
      <c r="AR260" t="s">
        <v>83</v>
      </c>
      <c r="AS260" t="s">
        <v>83</v>
      </c>
      <c r="AT260" t="s">
        <v>83</v>
      </c>
      <c r="AU260" t="s">
        <v>88</v>
      </c>
      <c r="AV260" t="s">
        <v>89</v>
      </c>
      <c r="AW260" t="s">
        <v>100</v>
      </c>
      <c r="AX260" t="s">
        <v>110</v>
      </c>
      <c r="AY260" t="s">
        <v>139</v>
      </c>
      <c r="AZ260" t="s">
        <v>107</v>
      </c>
      <c r="BA260" t="s">
        <v>87</v>
      </c>
      <c r="BB260" t="s">
        <v>87</v>
      </c>
      <c r="BC260" t="s">
        <v>87</v>
      </c>
      <c r="BD260" t="s">
        <v>74</v>
      </c>
      <c r="BE260" t="s">
        <v>74</v>
      </c>
      <c r="BF260" t="s">
        <v>108</v>
      </c>
      <c r="BG260" t="s">
        <v>76</v>
      </c>
      <c r="BH260" t="s">
        <v>98</v>
      </c>
      <c r="BI260" t="s">
        <v>107</v>
      </c>
      <c r="BJ260" t="s">
        <v>114</v>
      </c>
      <c r="BK260">
        <v>0</v>
      </c>
      <c r="BL260">
        <v>0</v>
      </c>
      <c r="BM260">
        <v>0</v>
      </c>
      <c r="BN260">
        <v>0</v>
      </c>
      <c r="BO260">
        <v>0</v>
      </c>
      <c r="BP260">
        <v>0</v>
      </c>
      <c r="BQ260">
        <v>0</v>
      </c>
      <c r="BR260">
        <v>1</v>
      </c>
    </row>
    <row r="261" spans="1:72" x14ac:dyDescent="0.2">
      <c r="A261" s="1">
        <v>44589.60833333333</v>
      </c>
      <c r="B261" s="1">
        <v>44589.611805555556</v>
      </c>
      <c r="C261">
        <v>1</v>
      </c>
      <c r="D261">
        <v>0</v>
      </c>
      <c r="E261">
        <v>0</v>
      </c>
      <c r="F261">
        <v>0</v>
      </c>
      <c r="H261">
        <v>0</v>
      </c>
      <c r="I261">
        <v>0</v>
      </c>
      <c r="J261">
        <v>0</v>
      </c>
      <c r="K261">
        <v>0</v>
      </c>
      <c r="L261">
        <v>1</v>
      </c>
      <c r="M261" t="s">
        <v>228</v>
      </c>
      <c r="N261" t="s">
        <v>88</v>
      </c>
      <c r="O261" t="s">
        <v>89</v>
      </c>
      <c r="P261">
        <v>0</v>
      </c>
      <c r="Q261">
        <v>1</v>
      </c>
      <c r="R261">
        <v>0</v>
      </c>
      <c r="S261">
        <v>0</v>
      </c>
      <c r="T261">
        <v>0</v>
      </c>
      <c r="U261">
        <v>0</v>
      </c>
      <c r="V261">
        <v>0</v>
      </c>
      <c r="W261">
        <v>0</v>
      </c>
      <c r="X261">
        <v>0</v>
      </c>
      <c r="Y261">
        <v>0</v>
      </c>
      <c r="Z261">
        <v>0</v>
      </c>
      <c r="AA261">
        <v>0</v>
      </c>
      <c r="AM261" t="s">
        <v>83</v>
      </c>
      <c r="AN261" t="s">
        <v>82</v>
      </c>
      <c r="AO261" t="s">
        <v>81</v>
      </c>
      <c r="AP261" t="s">
        <v>81</v>
      </c>
      <c r="AQ261" t="s">
        <v>83</v>
      </c>
      <c r="AR261" t="s">
        <v>83</v>
      </c>
      <c r="AS261" t="s">
        <v>83</v>
      </c>
      <c r="AT261" t="s">
        <v>83</v>
      </c>
      <c r="AU261" t="s">
        <v>88</v>
      </c>
      <c r="AV261" t="s">
        <v>89</v>
      </c>
      <c r="AW261" t="s">
        <v>100</v>
      </c>
      <c r="AX261" t="s">
        <v>110</v>
      </c>
      <c r="AY261" t="s">
        <v>229</v>
      </c>
      <c r="AZ261" t="s">
        <v>73</v>
      </c>
      <c r="BA261" t="s">
        <v>86</v>
      </c>
      <c r="BB261" t="s">
        <v>86</v>
      </c>
      <c r="BC261" t="s">
        <v>86</v>
      </c>
      <c r="BD261" t="s">
        <v>86</v>
      </c>
      <c r="BE261" t="s">
        <v>87</v>
      </c>
      <c r="BF261" t="s">
        <v>75</v>
      </c>
      <c r="BG261" t="s">
        <v>76</v>
      </c>
      <c r="BH261" t="s">
        <v>77</v>
      </c>
      <c r="BI261" t="s">
        <v>73</v>
      </c>
      <c r="BJ261" t="s">
        <v>114</v>
      </c>
      <c r="BK261">
        <v>0</v>
      </c>
      <c r="BL261">
        <v>0</v>
      </c>
      <c r="BM261">
        <v>0</v>
      </c>
      <c r="BN261">
        <v>0</v>
      </c>
      <c r="BO261">
        <v>0</v>
      </c>
      <c r="BP261">
        <v>0</v>
      </c>
      <c r="BQ261">
        <v>0</v>
      </c>
      <c r="BR261">
        <v>1</v>
      </c>
    </row>
    <row r="262" spans="1:72" x14ac:dyDescent="0.2">
      <c r="A262" s="1">
        <v>44589.072916666664</v>
      </c>
      <c r="B262" s="1">
        <v>44589.074999999997</v>
      </c>
      <c r="C262">
        <v>1</v>
      </c>
      <c r="D262">
        <v>0</v>
      </c>
      <c r="E262">
        <v>0</v>
      </c>
      <c r="F262">
        <v>0</v>
      </c>
      <c r="H262">
        <v>0</v>
      </c>
      <c r="I262">
        <v>1</v>
      </c>
      <c r="J262">
        <v>0</v>
      </c>
      <c r="K262">
        <v>0</v>
      </c>
      <c r="L262">
        <v>0</v>
      </c>
      <c r="N262" t="s">
        <v>88</v>
      </c>
      <c r="O262" t="s">
        <v>80</v>
      </c>
      <c r="P262">
        <v>0</v>
      </c>
      <c r="Q262">
        <v>0</v>
      </c>
      <c r="R262">
        <v>1</v>
      </c>
      <c r="S262">
        <v>0</v>
      </c>
      <c r="T262">
        <v>0</v>
      </c>
      <c r="U262">
        <v>0</v>
      </c>
      <c r="V262">
        <v>0</v>
      </c>
      <c r="W262">
        <v>0</v>
      </c>
      <c r="X262">
        <v>0</v>
      </c>
      <c r="Y262">
        <v>0</v>
      </c>
      <c r="Z262">
        <v>0</v>
      </c>
      <c r="AA262">
        <v>0</v>
      </c>
      <c r="AM262" t="s">
        <v>83</v>
      </c>
      <c r="AN262" t="s">
        <v>81</v>
      </c>
      <c r="AO262" t="s">
        <v>83</v>
      </c>
      <c r="AP262" t="s">
        <v>83</v>
      </c>
      <c r="AQ262" t="s">
        <v>82</v>
      </c>
      <c r="AR262" t="s">
        <v>83</v>
      </c>
      <c r="AS262" t="s">
        <v>81</v>
      </c>
      <c r="AT262" t="s">
        <v>83</v>
      </c>
      <c r="AU262" t="s">
        <v>88</v>
      </c>
      <c r="AV262" t="s">
        <v>89</v>
      </c>
      <c r="AW262" t="s">
        <v>85</v>
      </c>
      <c r="AX262" t="s">
        <v>122</v>
      </c>
      <c r="AZ262" t="s">
        <v>73</v>
      </c>
      <c r="BA262" t="s">
        <v>86</v>
      </c>
      <c r="BB262" t="s">
        <v>74</v>
      </c>
      <c r="BC262" t="s">
        <v>87</v>
      </c>
      <c r="BD262" t="s">
        <v>74</v>
      </c>
      <c r="BE262" t="s">
        <v>87</v>
      </c>
      <c r="BF262" t="s">
        <v>75</v>
      </c>
      <c r="BG262" t="s">
        <v>76</v>
      </c>
      <c r="BH262" t="s">
        <v>77</v>
      </c>
      <c r="BI262" t="s">
        <v>73</v>
      </c>
      <c r="BK262">
        <v>1</v>
      </c>
      <c r="BL262">
        <v>0</v>
      </c>
      <c r="BM262">
        <v>0</v>
      </c>
      <c r="BN262">
        <v>0</v>
      </c>
      <c r="BO262">
        <v>0</v>
      </c>
      <c r="BP262">
        <v>0</v>
      </c>
      <c r="BQ262">
        <v>0</v>
      </c>
      <c r="BR262">
        <v>0</v>
      </c>
      <c r="BT262" t="s">
        <v>230</v>
      </c>
    </row>
    <row r="263" spans="1:72" x14ac:dyDescent="0.2">
      <c r="A263" s="1">
        <v>44588.904166666667</v>
      </c>
      <c r="B263" s="1">
        <v>44588.904861111114</v>
      </c>
      <c r="C263">
        <v>0</v>
      </c>
      <c r="D263">
        <v>1</v>
      </c>
      <c r="E263">
        <v>0</v>
      </c>
      <c r="F263">
        <v>0</v>
      </c>
      <c r="H263">
        <v>1</v>
      </c>
      <c r="I263">
        <v>0</v>
      </c>
      <c r="J263">
        <v>0</v>
      </c>
      <c r="K263">
        <v>0</v>
      </c>
      <c r="L263">
        <v>0</v>
      </c>
      <c r="P263">
        <v>1</v>
      </c>
      <c r="Q263">
        <v>0</v>
      </c>
      <c r="R263">
        <v>0</v>
      </c>
      <c r="S263">
        <v>0</v>
      </c>
      <c r="T263">
        <v>0</v>
      </c>
      <c r="U263">
        <v>0</v>
      </c>
      <c r="V263">
        <v>0</v>
      </c>
      <c r="W263">
        <v>0</v>
      </c>
      <c r="X263">
        <v>0</v>
      </c>
      <c r="Y263">
        <v>0</v>
      </c>
      <c r="Z263">
        <v>0</v>
      </c>
      <c r="AA263">
        <v>0</v>
      </c>
      <c r="AC263">
        <v>0</v>
      </c>
      <c r="AD263">
        <v>1</v>
      </c>
      <c r="AE263">
        <v>0</v>
      </c>
      <c r="AF263">
        <v>0</v>
      </c>
      <c r="AG263">
        <v>0</v>
      </c>
      <c r="AH263">
        <v>0</v>
      </c>
      <c r="AI263">
        <v>0</v>
      </c>
      <c r="AJ263">
        <v>0</v>
      </c>
      <c r="AK263">
        <v>0</v>
      </c>
      <c r="AX263" t="s">
        <v>175</v>
      </c>
      <c r="AZ263" t="s">
        <v>73</v>
      </c>
      <c r="BA263" t="s">
        <v>86</v>
      </c>
      <c r="BB263" t="s">
        <v>86</v>
      </c>
      <c r="BC263" t="s">
        <v>87</v>
      </c>
      <c r="BD263" t="s">
        <v>86</v>
      </c>
      <c r="BE263" t="s">
        <v>87</v>
      </c>
      <c r="BF263" t="s">
        <v>75</v>
      </c>
      <c r="BG263" t="s">
        <v>76</v>
      </c>
      <c r="BH263" t="s">
        <v>98</v>
      </c>
      <c r="BI263" t="s">
        <v>73</v>
      </c>
      <c r="BK263">
        <v>1</v>
      </c>
      <c r="BL263">
        <v>0</v>
      </c>
      <c r="BM263">
        <v>0</v>
      </c>
      <c r="BN263">
        <v>0</v>
      </c>
      <c r="BO263">
        <v>0</v>
      </c>
      <c r="BP263">
        <v>0</v>
      </c>
      <c r="BQ263">
        <v>0</v>
      </c>
      <c r="BR263">
        <v>0</v>
      </c>
    </row>
    <row r="264" spans="1:72" x14ac:dyDescent="0.2">
      <c r="A264" s="1">
        <v>44588.881249999999</v>
      </c>
      <c r="B264" s="1">
        <v>44588.881944444445</v>
      </c>
      <c r="C264">
        <v>1</v>
      </c>
      <c r="D264">
        <v>0</v>
      </c>
      <c r="E264">
        <v>0</v>
      </c>
      <c r="F264">
        <v>0</v>
      </c>
      <c r="H264">
        <v>0</v>
      </c>
      <c r="I264">
        <v>1</v>
      </c>
      <c r="J264">
        <v>1</v>
      </c>
      <c r="K264">
        <v>1</v>
      </c>
      <c r="L264">
        <v>0</v>
      </c>
      <c r="N264" t="s">
        <v>135</v>
      </c>
      <c r="O264" t="s">
        <v>80</v>
      </c>
      <c r="P264">
        <v>1</v>
      </c>
      <c r="Q264">
        <v>0</v>
      </c>
      <c r="R264">
        <v>0</v>
      </c>
      <c r="S264">
        <v>0</v>
      </c>
      <c r="T264">
        <v>0</v>
      </c>
      <c r="U264">
        <v>0</v>
      </c>
      <c r="V264">
        <v>0</v>
      </c>
      <c r="W264">
        <v>0</v>
      </c>
      <c r="X264">
        <v>0</v>
      </c>
      <c r="Y264">
        <v>0</v>
      </c>
      <c r="Z264">
        <v>0</v>
      </c>
      <c r="AA264">
        <v>0</v>
      </c>
      <c r="AC264">
        <v>1</v>
      </c>
      <c r="AD264">
        <v>0</v>
      </c>
      <c r="AE264">
        <v>0</v>
      </c>
      <c r="AF264">
        <v>0</v>
      </c>
      <c r="AG264">
        <v>0</v>
      </c>
      <c r="AH264">
        <v>0</v>
      </c>
      <c r="AI264">
        <v>0</v>
      </c>
      <c r="AJ264">
        <v>0</v>
      </c>
      <c r="AK264">
        <v>0</v>
      </c>
      <c r="AX264" t="s">
        <v>122</v>
      </c>
      <c r="AZ264" t="s">
        <v>73</v>
      </c>
      <c r="BA264" t="s">
        <v>86</v>
      </c>
      <c r="BB264" t="s">
        <v>87</v>
      </c>
      <c r="BC264" t="s">
        <v>87</v>
      </c>
      <c r="BD264" t="s">
        <v>86</v>
      </c>
      <c r="BE264" t="s">
        <v>86</v>
      </c>
      <c r="BF264" t="s">
        <v>75</v>
      </c>
      <c r="BG264" t="s">
        <v>76</v>
      </c>
      <c r="BH264" t="s">
        <v>77</v>
      </c>
      <c r="BI264" t="s">
        <v>73</v>
      </c>
      <c r="BJ264" t="s">
        <v>78</v>
      </c>
      <c r="BK264">
        <v>1</v>
      </c>
      <c r="BL264">
        <v>0</v>
      </c>
      <c r="BM264">
        <v>0</v>
      </c>
      <c r="BN264">
        <v>0</v>
      </c>
      <c r="BO264">
        <v>0</v>
      </c>
      <c r="BP264">
        <v>0</v>
      </c>
      <c r="BQ264">
        <v>0</v>
      </c>
      <c r="BR264">
        <v>0</v>
      </c>
    </row>
    <row r="265" spans="1:72" x14ac:dyDescent="0.2">
      <c r="A265" s="1">
        <v>44585.533333333333</v>
      </c>
      <c r="B265" s="1">
        <v>44585.543055555558</v>
      </c>
      <c r="C265">
        <v>1</v>
      </c>
      <c r="D265">
        <v>0</v>
      </c>
      <c r="E265">
        <v>0</v>
      </c>
      <c r="F265">
        <v>0</v>
      </c>
      <c r="H265">
        <v>1</v>
      </c>
      <c r="I265">
        <v>0</v>
      </c>
      <c r="J265">
        <v>0</v>
      </c>
      <c r="K265">
        <v>0</v>
      </c>
      <c r="L265">
        <v>0</v>
      </c>
      <c r="P265">
        <v>1</v>
      </c>
      <c r="Q265">
        <v>0</v>
      </c>
      <c r="R265">
        <v>0</v>
      </c>
      <c r="S265">
        <v>0</v>
      </c>
      <c r="T265">
        <v>0</v>
      </c>
      <c r="U265">
        <v>0</v>
      </c>
      <c r="V265">
        <v>0</v>
      </c>
      <c r="W265">
        <v>0</v>
      </c>
      <c r="X265">
        <v>0</v>
      </c>
      <c r="Y265">
        <v>0</v>
      </c>
      <c r="Z265">
        <v>0</v>
      </c>
      <c r="AA265">
        <v>0</v>
      </c>
      <c r="AC265">
        <v>0</v>
      </c>
      <c r="AD265">
        <v>0</v>
      </c>
      <c r="AE265">
        <v>1</v>
      </c>
      <c r="AF265">
        <v>0</v>
      </c>
      <c r="AG265">
        <v>0</v>
      </c>
      <c r="AH265">
        <v>1</v>
      </c>
      <c r="AI265">
        <v>0</v>
      </c>
      <c r="AJ265">
        <v>0</v>
      </c>
      <c r="AK265">
        <v>0</v>
      </c>
      <c r="AX265" t="s">
        <v>72</v>
      </c>
      <c r="AZ265" t="s">
        <v>96</v>
      </c>
      <c r="BA265" t="s">
        <v>86</v>
      </c>
      <c r="BB265" t="s">
        <v>74</v>
      </c>
      <c r="BC265" t="s">
        <v>87</v>
      </c>
      <c r="BD265" t="s">
        <v>87</v>
      </c>
      <c r="BE265" t="s">
        <v>87</v>
      </c>
      <c r="BF265" t="s">
        <v>75</v>
      </c>
      <c r="BG265" t="s">
        <v>76</v>
      </c>
      <c r="BH265" t="s">
        <v>98</v>
      </c>
      <c r="BI265" t="s">
        <v>96</v>
      </c>
      <c r="BJ265" t="s">
        <v>114</v>
      </c>
      <c r="BK265">
        <v>1</v>
      </c>
      <c r="BL265">
        <v>1</v>
      </c>
      <c r="BM265">
        <v>0</v>
      </c>
      <c r="BN265">
        <v>0</v>
      </c>
      <c r="BO265">
        <v>0</v>
      </c>
      <c r="BP265">
        <v>0</v>
      </c>
      <c r="BQ265">
        <v>0</v>
      </c>
      <c r="BR265">
        <v>0</v>
      </c>
    </row>
    <row r="266" spans="1:72" x14ac:dyDescent="0.2">
      <c r="A266" s="1">
        <v>44579.879861111112</v>
      </c>
      <c r="B266" s="1">
        <v>44579.884027777778</v>
      </c>
      <c r="C266">
        <v>1</v>
      </c>
      <c r="D266">
        <v>0</v>
      </c>
      <c r="E266">
        <v>0</v>
      </c>
      <c r="F266">
        <v>0</v>
      </c>
      <c r="H266">
        <v>0</v>
      </c>
      <c r="I266">
        <v>1</v>
      </c>
      <c r="J266">
        <v>0</v>
      </c>
      <c r="K266">
        <v>0</v>
      </c>
      <c r="L266">
        <v>0</v>
      </c>
      <c r="N266" t="s">
        <v>79</v>
      </c>
      <c r="O266" t="s">
        <v>80</v>
      </c>
      <c r="P266">
        <v>0</v>
      </c>
      <c r="Q266">
        <v>0</v>
      </c>
      <c r="R266">
        <v>1</v>
      </c>
      <c r="S266">
        <v>0</v>
      </c>
      <c r="T266">
        <v>0</v>
      </c>
      <c r="U266">
        <v>0</v>
      </c>
      <c r="V266">
        <v>0</v>
      </c>
      <c r="W266">
        <v>0</v>
      </c>
      <c r="X266">
        <v>0</v>
      </c>
      <c r="Y266">
        <v>0</v>
      </c>
      <c r="Z266">
        <v>0</v>
      </c>
      <c r="AA266">
        <v>0</v>
      </c>
      <c r="AM266" t="s">
        <v>81</v>
      </c>
      <c r="AN266" t="s">
        <v>81</v>
      </c>
      <c r="AO266" t="s">
        <v>83</v>
      </c>
      <c r="AP266" t="s">
        <v>83</v>
      </c>
      <c r="AQ266" t="s">
        <v>81</v>
      </c>
      <c r="AR266" t="s">
        <v>83</v>
      </c>
      <c r="AS266" t="s">
        <v>81</v>
      </c>
      <c r="AT266" t="s">
        <v>81</v>
      </c>
      <c r="AU266" t="s">
        <v>84</v>
      </c>
      <c r="AV266" t="s">
        <v>80</v>
      </c>
      <c r="AW266" t="s">
        <v>85</v>
      </c>
      <c r="AZ266" t="s">
        <v>107</v>
      </c>
      <c r="BA266" t="s">
        <v>74</v>
      </c>
      <c r="BF266" t="s">
        <v>97</v>
      </c>
      <c r="BG266" t="s">
        <v>76</v>
      </c>
      <c r="BH266" t="s">
        <v>98</v>
      </c>
      <c r="BI266" t="s">
        <v>107</v>
      </c>
      <c r="BJ266" t="s">
        <v>109</v>
      </c>
      <c r="BK266">
        <v>1</v>
      </c>
      <c r="BL266">
        <v>0</v>
      </c>
      <c r="BM266">
        <v>0</v>
      </c>
      <c r="BN266">
        <v>0</v>
      </c>
      <c r="BO266">
        <v>0</v>
      </c>
      <c r="BP266">
        <v>0</v>
      </c>
      <c r="BQ266">
        <v>0</v>
      </c>
      <c r="BR266">
        <v>0</v>
      </c>
    </row>
    <row r="267" spans="1:72" x14ac:dyDescent="0.2">
      <c r="A267" s="1">
        <v>44580.478472222225</v>
      </c>
      <c r="B267" s="1">
        <v>44580.48333333333</v>
      </c>
      <c r="C267">
        <v>1</v>
      </c>
      <c r="D267">
        <v>0</v>
      </c>
      <c r="E267">
        <v>0</v>
      </c>
      <c r="F267">
        <v>0</v>
      </c>
      <c r="H267">
        <v>0</v>
      </c>
      <c r="I267">
        <v>1</v>
      </c>
      <c r="J267">
        <v>1</v>
      </c>
      <c r="K267">
        <v>1</v>
      </c>
      <c r="L267">
        <v>0</v>
      </c>
      <c r="N267" t="s">
        <v>88</v>
      </c>
      <c r="O267" t="s">
        <v>89</v>
      </c>
      <c r="P267">
        <v>0</v>
      </c>
      <c r="Q267">
        <v>0</v>
      </c>
      <c r="R267">
        <v>1</v>
      </c>
      <c r="S267">
        <v>0</v>
      </c>
      <c r="T267">
        <v>0</v>
      </c>
      <c r="U267">
        <v>0</v>
      </c>
      <c r="V267">
        <v>0</v>
      </c>
      <c r="W267">
        <v>0</v>
      </c>
      <c r="X267">
        <v>0</v>
      </c>
      <c r="Y267">
        <v>0</v>
      </c>
      <c r="Z267">
        <v>0</v>
      </c>
      <c r="AA267">
        <v>0</v>
      </c>
      <c r="AM267" t="s">
        <v>82</v>
      </c>
      <c r="AN267" t="s">
        <v>82</v>
      </c>
      <c r="AO267" t="s">
        <v>82</v>
      </c>
      <c r="AP267" t="s">
        <v>82</v>
      </c>
      <c r="AQ267" t="s">
        <v>82</v>
      </c>
      <c r="AR267" t="s">
        <v>82</v>
      </c>
      <c r="AS267" t="s">
        <v>82</v>
      </c>
      <c r="AT267" t="s">
        <v>82</v>
      </c>
      <c r="AU267" t="s">
        <v>88</v>
      </c>
      <c r="AV267" t="s">
        <v>89</v>
      </c>
      <c r="AW267" t="s">
        <v>100</v>
      </c>
      <c r="AX267" t="s">
        <v>146</v>
      </c>
      <c r="AZ267" t="s">
        <v>107</v>
      </c>
      <c r="BA267" t="s">
        <v>87</v>
      </c>
      <c r="BB267" t="s">
        <v>87</v>
      </c>
      <c r="BC267" t="s">
        <v>87</v>
      </c>
      <c r="BD267" t="s">
        <v>87</v>
      </c>
      <c r="BE267" t="s">
        <v>87</v>
      </c>
      <c r="BF267" t="s">
        <v>75</v>
      </c>
      <c r="BG267" t="s">
        <v>92</v>
      </c>
      <c r="BH267" t="s">
        <v>77</v>
      </c>
      <c r="BI267" t="s">
        <v>107</v>
      </c>
      <c r="BJ267" t="s">
        <v>78</v>
      </c>
      <c r="BK267">
        <v>1</v>
      </c>
      <c r="BL267">
        <v>0</v>
      </c>
      <c r="BM267">
        <v>0</v>
      </c>
      <c r="BN267">
        <v>0</v>
      </c>
      <c r="BO267">
        <v>0</v>
      </c>
      <c r="BP267">
        <v>0</v>
      </c>
      <c r="BQ267">
        <v>0</v>
      </c>
      <c r="BR267">
        <v>0</v>
      </c>
    </row>
    <row r="268" spans="1:72" x14ac:dyDescent="0.2">
      <c r="A268" s="1">
        <v>44580.622916666667</v>
      </c>
      <c r="B268" s="1">
        <v>44580.628472222219</v>
      </c>
      <c r="C268">
        <v>1</v>
      </c>
      <c r="D268">
        <v>0</v>
      </c>
      <c r="E268">
        <v>0</v>
      </c>
      <c r="F268">
        <v>0</v>
      </c>
      <c r="H268">
        <v>0</v>
      </c>
      <c r="I268">
        <v>1</v>
      </c>
      <c r="J268">
        <v>0</v>
      </c>
      <c r="K268">
        <v>0</v>
      </c>
      <c r="L268">
        <v>0</v>
      </c>
      <c r="N268" t="s">
        <v>79</v>
      </c>
      <c r="O268" t="s">
        <v>80</v>
      </c>
      <c r="P268">
        <v>1</v>
      </c>
      <c r="Q268">
        <v>0</v>
      </c>
      <c r="R268">
        <v>0</v>
      </c>
      <c r="S268">
        <v>0</v>
      </c>
      <c r="T268">
        <v>0</v>
      </c>
      <c r="U268">
        <v>0</v>
      </c>
      <c r="V268">
        <v>0</v>
      </c>
      <c r="W268">
        <v>0</v>
      </c>
      <c r="X268">
        <v>0</v>
      </c>
      <c r="Y268">
        <v>0</v>
      </c>
      <c r="Z268">
        <v>0</v>
      </c>
      <c r="AA268">
        <v>0</v>
      </c>
      <c r="AC268">
        <v>1</v>
      </c>
      <c r="AD268">
        <v>0</v>
      </c>
      <c r="AE268">
        <v>0</v>
      </c>
      <c r="AF268">
        <v>0</v>
      </c>
      <c r="AG268">
        <v>0</v>
      </c>
      <c r="AH268">
        <v>0</v>
      </c>
      <c r="AI268">
        <v>0</v>
      </c>
      <c r="AJ268">
        <v>0</v>
      </c>
      <c r="AK268">
        <v>0</v>
      </c>
      <c r="AX268" t="s">
        <v>106</v>
      </c>
      <c r="AZ268" t="s">
        <v>96</v>
      </c>
      <c r="BA268" t="s">
        <v>86</v>
      </c>
      <c r="BB268" t="s">
        <v>86</v>
      </c>
      <c r="BC268" t="s">
        <v>87</v>
      </c>
      <c r="BD268" t="s">
        <v>86</v>
      </c>
      <c r="BE268" t="s">
        <v>87</v>
      </c>
      <c r="BF268" t="s">
        <v>75</v>
      </c>
      <c r="BG268" t="s">
        <v>76</v>
      </c>
      <c r="BH268" t="s">
        <v>98</v>
      </c>
      <c r="BI268" t="s">
        <v>96</v>
      </c>
      <c r="BJ268" t="s">
        <v>78</v>
      </c>
      <c r="BK268">
        <v>1</v>
      </c>
      <c r="BL268">
        <v>0</v>
      </c>
      <c r="BM268">
        <v>0</v>
      </c>
      <c r="BN268">
        <v>0</v>
      </c>
      <c r="BO268">
        <v>0</v>
      </c>
      <c r="BP268">
        <v>0</v>
      </c>
      <c r="BQ268">
        <v>0</v>
      </c>
      <c r="BR268">
        <v>0</v>
      </c>
    </row>
    <row r="269" spans="1:72" x14ac:dyDescent="0.2">
      <c r="A269" s="1">
        <v>44579.892361111109</v>
      </c>
      <c r="B269" s="1">
        <v>44579.895138888889</v>
      </c>
      <c r="C269">
        <v>1</v>
      </c>
      <c r="D269">
        <v>0</v>
      </c>
      <c r="E269">
        <v>0</v>
      </c>
      <c r="F269">
        <v>0</v>
      </c>
      <c r="H269">
        <v>0</v>
      </c>
      <c r="I269">
        <v>1</v>
      </c>
      <c r="J269">
        <v>0</v>
      </c>
      <c r="K269">
        <v>0</v>
      </c>
      <c r="L269">
        <v>0</v>
      </c>
      <c r="N269" t="s">
        <v>79</v>
      </c>
      <c r="O269" t="s">
        <v>89</v>
      </c>
      <c r="P269">
        <v>0</v>
      </c>
      <c r="Q269">
        <v>1</v>
      </c>
      <c r="R269">
        <v>0</v>
      </c>
      <c r="S269">
        <v>0</v>
      </c>
      <c r="T269">
        <v>0</v>
      </c>
      <c r="U269">
        <v>0</v>
      </c>
      <c r="V269">
        <v>0</v>
      </c>
      <c r="W269">
        <v>0</v>
      </c>
      <c r="X269">
        <v>0</v>
      </c>
      <c r="Y269">
        <v>0</v>
      </c>
      <c r="Z269">
        <v>0</v>
      </c>
      <c r="AA269">
        <v>0</v>
      </c>
      <c r="AM269" t="s">
        <v>83</v>
      </c>
      <c r="AN269" t="s">
        <v>82</v>
      </c>
      <c r="AO269" t="s">
        <v>81</v>
      </c>
      <c r="AP269" t="s">
        <v>83</v>
      </c>
      <c r="AQ269" t="s">
        <v>83</v>
      </c>
      <c r="AR269" t="s">
        <v>83</v>
      </c>
      <c r="AS269" t="s">
        <v>83</v>
      </c>
      <c r="AT269" t="s">
        <v>83</v>
      </c>
      <c r="AU269" t="s">
        <v>84</v>
      </c>
      <c r="AV269" t="s">
        <v>80</v>
      </c>
      <c r="AW269" t="s">
        <v>85</v>
      </c>
      <c r="AX269" t="s">
        <v>91</v>
      </c>
      <c r="AZ269" t="s">
        <v>73</v>
      </c>
      <c r="BA269" t="s">
        <v>87</v>
      </c>
      <c r="BB269" t="s">
        <v>87</v>
      </c>
      <c r="BC269" t="s">
        <v>87</v>
      </c>
      <c r="BD269" t="s">
        <v>87</v>
      </c>
      <c r="BE269" t="s">
        <v>87</v>
      </c>
      <c r="BF269" t="s">
        <v>75</v>
      </c>
      <c r="BG269" t="s">
        <v>76</v>
      </c>
      <c r="BH269" t="s">
        <v>77</v>
      </c>
      <c r="BI269" t="s">
        <v>73</v>
      </c>
      <c r="BJ269" t="s">
        <v>78</v>
      </c>
      <c r="BK269">
        <v>1</v>
      </c>
      <c r="BL269">
        <v>0</v>
      </c>
      <c r="BM269">
        <v>0</v>
      </c>
      <c r="BN269">
        <v>0</v>
      </c>
      <c r="BO269">
        <v>0</v>
      </c>
      <c r="BP269">
        <v>0</v>
      </c>
      <c r="BQ269">
        <v>0</v>
      </c>
      <c r="BR269">
        <v>0</v>
      </c>
    </row>
    <row r="270" spans="1:72" x14ac:dyDescent="0.2">
      <c r="A270" s="1">
        <v>44580.675694444442</v>
      </c>
      <c r="B270" s="1">
        <v>44580.679861111108</v>
      </c>
      <c r="C270">
        <v>1</v>
      </c>
      <c r="D270">
        <v>0</v>
      </c>
      <c r="E270">
        <v>0</v>
      </c>
      <c r="F270">
        <v>0</v>
      </c>
      <c r="H270">
        <v>0</v>
      </c>
      <c r="I270">
        <v>1</v>
      </c>
      <c r="J270">
        <v>0</v>
      </c>
      <c r="K270">
        <v>1</v>
      </c>
      <c r="L270">
        <v>0</v>
      </c>
      <c r="N270" t="s">
        <v>88</v>
      </c>
      <c r="O270" t="s">
        <v>89</v>
      </c>
      <c r="P270">
        <v>0</v>
      </c>
      <c r="Q270">
        <v>1</v>
      </c>
      <c r="R270">
        <v>0</v>
      </c>
      <c r="S270">
        <v>0</v>
      </c>
      <c r="T270">
        <v>0</v>
      </c>
      <c r="U270">
        <v>0</v>
      </c>
      <c r="V270">
        <v>0</v>
      </c>
      <c r="W270">
        <v>0</v>
      </c>
      <c r="X270">
        <v>0</v>
      </c>
      <c r="Y270">
        <v>0</v>
      </c>
      <c r="Z270">
        <v>0</v>
      </c>
      <c r="AA270">
        <v>0</v>
      </c>
      <c r="AM270" t="s">
        <v>83</v>
      </c>
      <c r="AN270" t="s">
        <v>82</v>
      </c>
      <c r="AO270" t="s">
        <v>81</v>
      </c>
      <c r="AP270" t="s">
        <v>90</v>
      </c>
      <c r="AQ270" t="s">
        <v>81</v>
      </c>
      <c r="AR270" t="s">
        <v>83</v>
      </c>
      <c r="AS270" t="s">
        <v>83</v>
      </c>
      <c r="AT270" t="s">
        <v>82</v>
      </c>
      <c r="AU270" t="s">
        <v>88</v>
      </c>
      <c r="AV270" t="s">
        <v>89</v>
      </c>
      <c r="AW270" t="s">
        <v>100</v>
      </c>
      <c r="AZ270" t="s">
        <v>107</v>
      </c>
      <c r="BA270" t="s">
        <v>86</v>
      </c>
      <c r="BB270" t="s">
        <v>87</v>
      </c>
      <c r="BC270" t="s">
        <v>87</v>
      </c>
      <c r="BD270" t="s">
        <v>87</v>
      </c>
      <c r="BE270" t="s">
        <v>86</v>
      </c>
      <c r="BF270" t="s">
        <v>97</v>
      </c>
      <c r="BG270" t="s">
        <v>76</v>
      </c>
      <c r="BH270" t="s">
        <v>98</v>
      </c>
      <c r="BI270" t="s">
        <v>107</v>
      </c>
      <c r="BJ270" t="s">
        <v>114</v>
      </c>
      <c r="BK270">
        <v>1</v>
      </c>
      <c r="BL270">
        <v>0</v>
      </c>
      <c r="BM270">
        <v>0</v>
      </c>
      <c r="BN270">
        <v>0</v>
      </c>
      <c r="BO270">
        <v>0</v>
      </c>
      <c r="BP270">
        <v>0</v>
      </c>
      <c r="BQ270">
        <v>0</v>
      </c>
      <c r="BR270">
        <v>0</v>
      </c>
    </row>
    <row r="271" spans="1:72" x14ac:dyDescent="0.2">
      <c r="A271" s="1">
        <v>44579.886805555558</v>
      </c>
      <c r="B271" s="1">
        <v>44579.88958333333</v>
      </c>
      <c r="C271">
        <v>1</v>
      </c>
      <c r="D271">
        <v>0</v>
      </c>
      <c r="E271">
        <v>0</v>
      </c>
      <c r="F271">
        <v>0</v>
      </c>
      <c r="H271">
        <v>0</v>
      </c>
      <c r="I271">
        <v>0</v>
      </c>
      <c r="J271">
        <v>1</v>
      </c>
      <c r="K271">
        <v>0</v>
      </c>
      <c r="L271">
        <v>0</v>
      </c>
      <c r="N271" t="s">
        <v>79</v>
      </c>
      <c r="O271" t="s">
        <v>80</v>
      </c>
      <c r="P271">
        <v>0</v>
      </c>
      <c r="Q271">
        <v>0</v>
      </c>
      <c r="R271">
        <v>1</v>
      </c>
      <c r="S271">
        <v>0</v>
      </c>
      <c r="T271">
        <v>0</v>
      </c>
      <c r="U271">
        <v>0</v>
      </c>
      <c r="V271">
        <v>0</v>
      </c>
      <c r="W271">
        <v>0</v>
      </c>
      <c r="X271">
        <v>0</v>
      </c>
      <c r="Y271">
        <v>0</v>
      </c>
      <c r="Z271">
        <v>0</v>
      </c>
      <c r="AA271">
        <v>0</v>
      </c>
      <c r="AM271" t="s">
        <v>81</v>
      </c>
      <c r="AN271" t="s">
        <v>81</v>
      </c>
      <c r="AO271" t="s">
        <v>83</v>
      </c>
      <c r="AP271" t="s">
        <v>81</v>
      </c>
      <c r="AQ271" t="s">
        <v>82</v>
      </c>
      <c r="AR271" t="s">
        <v>83</v>
      </c>
      <c r="AS271" t="s">
        <v>81</v>
      </c>
      <c r="AT271" t="s">
        <v>83</v>
      </c>
      <c r="AU271" t="s">
        <v>88</v>
      </c>
      <c r="AV271" t="s">
        <v>89</v>
      </c>
      <c r="AW271" t="s">
        <v>100</v>
      </c>
      <c r="AX271" t="s">
        <v>118</v>
      </c>
      <c r="AZ271" t="s">
        <v>73</v>
      </c>
      <c r="BA271" t="s">
        <v>87</v>
      </c>
      <c r="BB271" t="s">
        <v>87</v>
      </c>
      <c r="BC271" t="s">
        <v>86</v>
      </c>
      <c r="BD271" t="s">
        <v>86</v>
      </c>
      <c r="BE271" t="s">
        <v>86</v>
      </c>
      <c r="BF271" t="s">
        <v>108</v>
      </c>
      <c r="BG271" t="s">
        <v>76</v>
      </c>
      <c r="BH271" t="s">
        <v>98</v>
      </c>
      <c r="BI271" t="s">
        <v>73</v>
      </c>
      <c r="BJ271" t="s">
        <v>109</v>
      </c>
      <c r="BK271">
        <v>0</v>
      </c>
      <c r="BL271">
        <v>0</v>
      </c>
      <c r="BM271">
        <v>0</v>
      </c>
      <c r="BN271">
        <v>0</v>
      </c>
      <c r="BO271">
        <v>0</v>
      </c>
      <c r="BP271">
        <v>1</v>
      </c>
      <c r="BQ271">
        <v>0</v>
      </c>
      <c r="BR271">
        <v>0</v>
      </c>
    </row>
    <row r="272" spans="1:72" x14ac:dyDescent="0.2">
      <c r="A272" s="1">
        <v>44580.010416666664</v>
      </c>
      <c r="B272" s="1">
        <v>44580.012499999997</v>
      </c>
      <c r="C272">
        <v>0</v>
      </c>
      <c r="D272">
        <v>1</v>
      </c>
      <c r="E272">
        <v>0</v>
      </c>
      <c r="F272">
        <v>0</v>
      </c>
      <c r="H272">
        <v>1</v>
      </c>
      <c r="I272">
        <v>0</v>
      </c>
      <c r="J272">
        <v>0</v>
      </c>
      <c r="K272">
        <v>0</v>
      </c>
      <c r="L272">
        <v>0</v>
      </c>
      <c r="P272">
        <v>0</v>
      </c>
      <c r="Q272">
        <v>1</v>
      </c>
      <c r="R272">
        <v>0</v>
      </c>
      <c r="S272">
        <v>0</v>
      </c>
      <c r="T272">
        <v>0</v>
      </c>
      <c r="U272">
        <v>0</v>
      </c>
      <c r="V272">
        <v>0</v>
      </c>
      <c r="W272">
        <v>0</v>
      </c>
      <c r="X272">
        <v>0</v>
      </c>
      <c r="Y272">
        <v>0</v>
      </c>
      <c r="Z272">
        <v>0</v>
      </c>
      <c r="AA272">
        <v>0</v>
      </c>
      <c r="AM272" t="s">
        <v>90</v>
      </c>
      <c r="AN272" t="s">
        <v>82</v>
      </c>
      <c r="AO272" t="s">
        <v>83</v>
      </c>
      <c r="AP272" t="s">
        <v>81</v>
      </c>
      <c r="AQ272" t="s">
        <v>90</v>
      </c>
      <c r="AR272" t="s">
        <v>90</v>
      </c>
      <c r="AS272" t="s">
        <v>90</v>
      </c>
      <c r="AT272" t="s">
        <v>83</v>
      </c>
      <c r="AU272" t="s">
        <v>84</v>
      </c>
      <c r="AV272" t="s">
        <v>80</v>
      </c>
      <c r="AW272" t="s">
        <v>85</v>
      </c>
      <c r="AZ272" t="s">
        <v>107</v>
      </c>
      <c r="BA272" t="s">
        <v>86</v>
      </c>
      <c r="BB272" t="s">
        <v>74</v>
      </c>
      <c r="BC272" t="s">
        <v>86</v>
      </c>
      <c r="BD272" t="s">
        <v>74</v>
      </c>
      <c r="BE272" t="s">
        <v>74</v>
      </c>
      <c r="BF272" t="s">
        <v>159</v>
      </c>
      <c r="BG272" t="s">
        <v>76</v>
      </c>
      <c r="BH272" t="s">
        <v>98</v>
      </c>
      <c r="BI272" t="s">
        <v>107</v>
      </c>
      <c r="BJ272" t="s">
        <v>78</v>
      </c>
      <c r="BK272">
        <v>0</v>
      </c>
      <c r="BL272">
        <v>0</v>
      </c>
      <c r="BM272">
        <v>0</v>
      </c>
      <c r="BN272">
        <v>0</v>
      </c>
      <c r="BO272">
        <v>0</v>
      </c>
      <c r="BP272">
        <v>1</v>
      </c>
      <c r="BQ272">
        <v>0</v>
      </c>
      <c r="BR272">
        <v>0</v>
      </c>
    </row>
    <row r="273" spans="1:70" x14ac:dyDescent="0.2">
      <c r="A273" s="1">
        <v>44580.658333333333</v>
      </c>
      <c r="B273" s="1">
        <v>44581.050694444442</v>
      </c>
      <c r="C273">
        <v>1</v>
      </c>
      <c r="D273">
        <v>0</v>
      </c>
      <c r="E273">
        <v>0</v>
      </c>
      <c r="F273">
        <v>0</v>
      </c>
      <c r="H273">
        <v>1</v>
      </c>
      <c r="I273">
        <v>0</v>
      </c>
      <c r="J273">
        <v>0</v>
      </c>
      <c r="K273">
        <v>0</v>
      </c>
      <c r="L273">
        <v>0</v>
      </c>
      <c r="P273">
        <v>1</v>
      </c>
      <c r="Q273">
        <v>0</v>
      </c>
      <c r="R273">
        <v>0</v>
      </c>
      <c r="S273">
        <v>0</v>
      </c>
      <c r="T273">
        <v>0</v>
      </c>
      <c r="U273">
        <v>0</v>
      </c>
      <c r="V273">
        <v>0</v>
      </c>
      <c r="W273">
        <v>0</v>
      </c>
      <c r="X273">
        <v>0</v>
      </c>
      <c r="Y273">
        <v>0</v>
      </c>
      <c r="Z273">
        <v>0</v>
      </c>
      <c r="AA273">
        <v>0</v>
      </c>
      <c r="AC273">
        <v>0</v>
      </c>
      <c r="AD273">
        <v>1</v>
      </c>
      <c r="AE273">
        <v>0</v>
      </c>
      <c r="AF273">
        <v>0</v>
      </c>
      <c r="AG273">
        <v>0</v>
      </c>
      <c r="AH273">
        <v>0</v>
      </c>
      <c r="AI273">
        <v>0</v>
      </c>
      <c r="AJ273">
        <v>0</v>
      </c>
      <c r="AK273">
        <v>0</v>
      </c>
      <c r="AZ273" t="s">
        <v>107</v>
      </c>
      <c r="BA273" t="s">
        <v>86</v>
      </c>
      <c r="BB273" t="s">
        <v>74</v>
      </c>
      <c r="BC273" t="s">
        <v>86</v>
      </c>
      <c r="BD273" t="s">
        <v>74</v>
      </c>
      <c r="BE273" t="s">
        <v>87</v>
      </c>
      <c r="BF273" t="s">
        <v>97</v>
      </c>
      <c r="BG273" t="s">
        <v>76</v>
      </c>
      <c r="BH273" t="s">
        <v>98</v>
      </c>
      <c r="BI273" t="s">
        <v>107</v>
      </c>
      <c r="BJ273" t="s">
        <v>114</v>
      </c>
      <c r="BK273">
        <v>1</v>
      </c>
      <c r="BL273">
        <v>0</v>
      </c>
      <c r="BM273">
        <v>0</v>
      </c>
      <c r="BN273">
        <v>0</v>
      </c>
      <c r="BO273">
        <v>0</v>
      </c>
      <c r="BP273">
        <v>0</v>
      </c>
      <c r="BQ273">
        <v>0</v>
      </c>
      <c r="BR273">
        <v>0</v>
      </c>
    </row>
    <row r="274" spans="1:70" x14ac:dyDescent="0.2">
      <c r="A274" s="1">
        <v>44585.518750000003</v>
      </c>
      <c r="B274" s="1">
        <v>44585.523611111108</v>
      </c>
      <c r="C274">
        <v>0</v>
      </c>
      <c r="D274">
        <v>1</v>
      </c>
      <c r="E274">
        <v>0</v>
      </c>
      <c r="F274">
        <v>0</v>
      </c>
      <c r="H274">
        <v>1</v>
      </c>
      <c r="I274">
        <v>0</v>
      </c>
      <c r="J274">
        <v>0</v>
      </c>
      <c r="K274">
        <v>0</v>
      </c>
      <c r="L274">
        <v>0</v>
      </c>
      <c r="P274">
        <v>1</v>
      </c>
      <c r="Q274">
        <v>0</v>
      </c>
      <c r="R274">
        <v>0</v>
      </c>
      <c r="S274">
        <v>0</v>
      </c>
      <c r="T274">
        <v>0</v>
      </c>
      <c r="U274">
        <v>0</v>
      </c>
      <c r="V274">
        <v>0</v>
      </c>
      <c r="W274">
        <v>0</v>
      </c>
      <c r="X274">
        <v>0</v>
      </c>
      <c r="Y274">
        <v>0</v>
      </c>
      <c r="Z274">
        <v>0</v>
      </c>
      <c r="AA274">
        <v>0</v>
      </c>
      <c r="AC274">
        <v>0</v>
      </c>
      <c r="AD274">
        <v>0</v>
      </c>
      <c r="AE274">
        <v>1</v>
      </c>
      <c r="AF274">
        <v>0</v>
      </c>
      <c r="AG274">
        <v>1</v>
      </c>
      <c r="AH274">
        <v>1</v>
      </c>
      <c r="AI274">
        <v>0</v>
      </c>
      <c r="AJ274">
        <v>0</v>
      </c>
      <c r="AK274">
        <v>0</v>
      </c>
      <c r="AX274" t="s">
        <v>106</v>
      </c>
      <c r="AZ274" t="s">
        <v>96</v>
      </c>
      <c r="BA274" t="s">
        <v>74</v>
      </c>
      <c r="BF274" t="s">
        <v>75</v>
      </c>
      <c r="BG274" t="s">
        <v>76</v>
      </c>
      <c r="BH274" t="s">
        <v>77</v>
      </c>
      <c r="BI274" t="s">
        <v>96</v>
      </c>
      <c r="BJ274" t="s">
        <v>147</v>
      </c>
      <c r="BK274">
        <v>1</v>
      </c>
      <c r="BL274">
        <v>0</v>
      </c>
      <c r="BM274">
        <v>0</v>
      </c>
      <c r="BN274">
        <v>0</v>
      </c>
      <c r="BO274">
        <v>0</v>
      </c>
      <c r="BP274">
        <v>0</v>
      </c>
      <c r="BQ274">
        <v>0</v>
      </c>
      <c r="BR274">
        <v>0</v>
      </c>
    </row>
    <row r="275" spans="1:70" x14ac:dyDescent="0.2">
      <c r="A275" s="1">
        <v>44589.475694444445</v>
      </c>
      <c r="B275" s="1">
        <v>44589.479861111111</v>
      </c>
      <c r="C275">
        <v>0</v>
      </c>
      <c r="D275">
        <v>1</v>
      </c>
      <c r="E275">
        <v>0</v>
      </c>
      <c r="F275">
        <v>0</v>
      </c>
      <c r="H275">
        <v>1</v>
      </c>
      <c r="I275">
        <v>0</v>
      </c>
      <c r="J275">
        <v>0</v>
      </c>
      <c r="K275">
        <v>0</v>
      </c>
      <c r="L275">
        <v>0</v>
      </c>
      <c r="P275">
        <v>0</v>
      </c>
      <c r="Q275">
        <v>1</v>
      </c>
      <c r="R275">
        <v>0</v>
      </c>
      <c r="S275">
        <v>0</v>
      </c>
      <c r="T275">
        <v>0</v>
      </c>
      <c r="U275">
        <v>0</v>
      </c>
      <c r="V275">
        <v>0</v>
      </c>
      <c r="W275">
        <v>0</v>
      </c>
      <c r="X275">
        <v>0</v>
      </c>
      <c r="Y275">
        <v>0</v>
      </c>
      <c r="Z275">
        <v>0</v>
      </c>
      <c r="AA275">
        <v>0</v>
      </c>
      <c r="AM275" t="s">
        <v>83</v>
      </c>
      <c r="AN275" t="s">
        <v>82</v>
      </c>
      <c r="AO275" t="s">
        <v>90</v>
      </c>
      <c r="AP275" t="s">
        <v>81</v>
      </c>
      <c r="AQ275" t="s">
        <v>90</v>
      </c>
      <c r="AR275" t="s">
        <v>90</v>
      </c>
      <c r="AS275" t="s">
        <v>83</v>
      </c>
      <c r="AT275" t="s">
        <v>83</v>
      </c>
      <c r="AU275" t="s">
        <v>135</v>
      </c>
      <c r="AV275" t="s">
        <v>127</v>
      </c>
      <c r="AW275" t="s">
        <v>85</v>
      </c>
      <c r="AZ275" t="s">
        <v>73</v>
      </c>
      <c r="BA275" t="s">
        <v>86</v>
      </c>
      <c r="BB275" t="s">
        <v>86</v>
      </c>
      <c r="BC275" t="s">
        <v>86</v>
      </c>
      <c r="BD275" t="s">
        <v>74</v>
      </c>
      <c r="BE275" t="s">
        <v>86</v>
      </c>
      <c r="BF275" t="s">
        <v>97</v>
      </c>
      <c r="BG275" t="s">
        <v>76</v>
      </c>
      <c r="BH275" t="s">
        <v>98</v>
      </c>
      <c r="BI275" t="s">
        <v>73</v>
      </c>
      <c r="BJ275" t="s">
        <v>147</v>
      </c>
      <c r="BK275">
        <v>0</v>
      </c>
      <c r="BL275">
        <v>0</v>
      </c>
      <c r="BM275">
        <v>0</v>
      </c>
      <c r="BN275">
        <v>0</v>
      </c>
      <c r="BO275">
        <v>0</v>
      </c>
      <c r="BP275">
        <v>0</v>
      </c>
      <c r="BQ275">
        <v>0</v>
      </c>
      <c r="BR275">
        <v>1</v>
      </c>
    </row>
    <row r="276" spans="1:70" x14ac:dyDescent="0.2">
      <c r="A276" s="1">
        <v>44580.574305555558</v>
      </c>
      <c r="B276" s="1">
        <v>44580.599305555559</v>
      </c>
      <c r="C276">
        <v>0</v>
      </c>
      <c r="D276">
        <v>1</v>
      </c>
      <c r="E276">
        <v>0</v>
      </c>
      <c r="F276">
        <v>0</v>
      </c>
      <c r="H276">
        <v>1</v>
      </c>
      <c r="I276">
        <v>0</v>
      </c>
      <c r="J276">
        <v>0</v>
      </c>
      <c r="K276">
        <v>0</v>
      </c>
      <c r="L276">
        <v>0</v>
      </c>
      <c r="P276">
        <v>0</v>
      </c>
      <c r="Q276">
        <v>0</v>
      </c>
      <c r="R276">
        <v>0</v>
      </c>
      <c r="S276">
        <v>0</v>
      </c>
      <c r="T276">
        <v>1</v>
      </c>
      <c r="U276">
        <v>0</v>
      </c>
      <c r="V276">
        <v>0</v>
      </c>
      <c r="W276">
        <v>0</v>
      </c>
      <c r="X276">
        <v>0</v>
      </c>
      <c r="Y276">
        <v>0</v>
      </c>
      <c r="Z276">
        <v>0</v>
      </c>
      <c r="AA276">
        <v>0</v>
      </c>
      <c r="AM276" t="s">
        <v>90</v>
      </c>
      <c r="AN276" t="s">
        <v>90</v>
      </c>
      <c r="AO276" t="s">
        <v>90</v>
      </c>
      <c r="AP276" t="s">
        <v>90</v>
      </c>
      <c r="AQ276" t="s">
        <v>82</v>
      </c>
      <c r="AR276" t="s">
        <v>90</v>
      </c>
      <c r="AS276" t="s">
        <v>90</v>
      </c>
      <c r="AT276" t="s">
        <v>90</v>
      </c>
      <c r="AU276" t="s">
        <v>88</v>
      </c>
      <c r="AV276" t="s">
        <v>89</v>
      </c>
      <c r="AW276" t="s">
        <v>117</v>
      </c>
      <c r="AX276" t="s">
        <v>118</v>
      </c>
      <c r="AZ276" t="s">
        <v>96</v>
      </c>
      <c r="BA276" t="s">
        <v>86</v>
      </c>
      <c r="BB276" t="s">
        <v>87</v>
      </c>
      <c r="BC276" t="s">
        <v>74</v>
      </c>
      <c r="BD276" t="s">
        <v>87</v>
      </c>
      <c r="BE276" t="s">
        <v>74</v>
      </c>
      <c r="BF276" t="s">
        <v>75</v>
      </c>
      <c r="BG276" t="s">
        <v>76</v>
      </c>
      <c r="BH276" t="s">
        <v>98</v>
      </c>
      <c r="BI276" t="s">
        <v>96</v>
      </c>
      <c r="BJ276" t="s">
        <v>114</v>
      </c>
      <c r="BK276">
        <v>1</v>
      </c>
      <c r="BL276">
        <v>0</v>
      </c>
      <c r="BM276">
        <v>0</v>
      </c>
      <c r="BN276">
        <v>0</v>
      </c>
      <c r="BO276">
        <v>0</v>
      </c>
      <c r="BP276">
        <v>0</v>
      </c>
      <c r="BQ276">
        <v>0</v>
      </c>
      <c r="BR276">
        <v>0</v>
      </c>
    </row>
    <row r="277" spans="1:70" x14ac:dyDescent="0.2">
      <c r="A277" s="1">
        <v>44581.738888888889</v>
      </c>
      <c r="B277" s="1">
        <v>44581.740277777775</v>
      </c>
      <c r="C277">
        <v>1</v>
      </c>
      <c r="D277">
        <v>0</v>
      </c>
      <c r="E277">
        <v>0</v>
      </c>
      <c r="F277">
        <v>0</v>
      </c>
      <c r="H277">
        <v>0</v>
      </c>
      <c r="I277">
        <v>1</v>
      </c>
      <c r="J277">
        <v>0</v>
      </c>
      <c r="K277">
        <v>0</v>
      </c>
      <c r="L277">
        <v>0</v>
      </c>
      <c r="N277" t="s">
        <v>135</v>
      </c>
      <c r="O277" t="s">
        <v>80</v>
      </c>
      <c r="P277">
        <v>0</v>
      </c>
      <c r="Q277">
        <v>0</v>
      </c>
      <c r="R277">
        <v>1</v>
      </c>
      <c r="S277">
        <v>0</v>
      </c>
      <c r="T277">
        <v>0</v>
      </c>
      <c r="U277">
        <v>0</v>
      </c>
      <c r="V277">
        <v>0</v>
      </c>
      <c r="W277">
        <v>0</v>
      </c>
      <c r="X277">
        <v>0</v>
      </c>
      <c r="Y277">
        <v>0</v>
      </c>
      <c r="Z277">
        <v>0</v>
      </c>
      <c r="AA277">
        <v>0</v>
      </c>
      <c r="AM277" t="s">
        <v>81</v>
      </c>
      <c r="AN277" t="s">
        <v>82</v>
      </c>
      <c r="AO277" t="s">
        <v>83</v>
      </c>
      <c r="AP277" t="s">
        <v>83</v>
      </c>
      <c r="AQ277" t="s">
        <v>82</v>
      </c>
      <c r="AR277" t="s">
        <v>81</v>
      </c>
      <c r="AS277" t="s">
        <v>81</v>
      </c>
      <c r="AT277" t="s">
        <v>81</v>
      </c>
      <c r="AU277" t="s">
        <v>88</v>
      </c>
      <c r="AV277" t="s">
        <v>89</v>
      </c>
      <c r="AW277" t="s">
        <v>85</v>
      </c>
      <c r="AX277" t="s">
        <v>72</v>
      </c>
      <c r="AZ277" t="s">
        <v>73</v>
      </c>
      <c r="BA277" t="s">
        <v>87</v>
      </c>
      <c r="BB277" t="s">
        <v>74</v>
      </c>
      <c r="BC277" t="s">
        <v>87</v>
      </c>
      <c r="BD277" t="s">
        <v>74</v>
      </c>
      <c r="BE277" t="s">
        <v>74</v>
      </c>
      <c r="BF277" t="s">
        <v>75</v>
      </c>
      <c r="BG277" t="s">
        <v>76</v>
      </c>
      <c r="BH277" t="s">
        <v>98</v>
      </c>
      <c r="BI277" t="s">
        <v>73</v>
      </c>
      <c r="BJ277" t="s">
        <v>114</v>
      </c>
      <c r="BK277">
        <v>1</v>
      </c>
      <c r="BL277">
        <v>0</v>
      </c>
      <c r="BM277">
        <v>0</v>
      </c>
      <c r="BN277">
        <v>0</v>
      </c>
      <c r="BO277">
        <v>0</v>
      </c>
      <c r="BP277">
        <v>0</v>
      </c>
      <c r="BQ277">
        <v>0</v>
      </c>
      <c r="BR277">
        <v>0</v>
      </c>
    </row>
    <row r="278" spans="1:70" x14ac:dyDescent="0.2">
      <c r="A278" s="1">
        <v>44586.037499999999</v>
      </c>
      <c r="B278" s="1">
        <v>44586.039583333331</v>
      </c>
      <c r="C278">
        <v>0</v>
      </c>
      <c r="D278">
        <v>1</v>
      </c>
      <c r="E278">
        <v>0</v>
      </c>
      <c r="F278">
        <v>0</v>
      </c>
      <c r="H278">
        <v>1</v>
      </c>
      <c r="I278">
        <v>0</v>
      </c>
      <c r="J278">
        <v>0</v>
      </c>
      <c r="K278">
        <v>0</v>
      </c>
      <c r="L278">
        <v>0</v>
      </c>
      <c r="P278">
        <v>1</v>
      </c>
      <c r="Q278">
        <v>0</v>
      </c>
      <c r="R278">
        <v>0</v>
      </c>
      <c r="S278">
        <v>0</v>
      </c>
      <c r="T278">
        <v>0</v>
      </c>
      <c r="U278">
        <v>0</v>
      </c>
      <c r="V278">
        <v>0</v>
      </c>
      <c r="W278">
        <v>0</v>
      </c>
      <c r="X278">
        <v>0</v>
      </c>
      <c r="Y278">
        <v>0</v>
      </c>
      <c r="Z278">
        <v>0</v>
      </c>
      <c r="AA278">
        <v>0</v>
      </c>
      <c r="AC278">
        <v>0</v>
      </c>
      <c r="AD278">
        <v>0</v>
      </c>
      <c r="AE278">
        <v>1</v>
      </c>
      <c r="AF278">
        <v>0</v>
      </c>
      <c r="AG278">
        <v>0</v>
      </c>
      <c r="AH278">
        <v>0</v>
      </c>
      <c r="AI278">
        <v>1</v>
      </c>
      <c r="AJ278">
        <v>0</v>
      </c>
      <c r="AK278">
        <v>0</v>
      </c>
      <c r="AX278" t="s">
        <v>122</v>
      </c>
      <c r="AZ278" t="s">
        <v>73</v>
      </c>
      <c r="BA278" t="s">
        <v>74</v>
      </c>
      <c r="BF278" t="s">
        <v>75</v>
      </c>
      <c r="BG278" t="s">
        <v>76</v>
      </c>
      <c r="BH278" t="s">
        <v>77</v>
      </c>
      <c r="BI278" t="s">
        <v>73</v>
      </c>
      <c r="BJ278" t="s">
        <v>114</v>
      </c>
      <c r="BK278">
        <v>1</v>
      </c>
      <c r="BL278">
        <v>0</v>
      </c>
      <c r="BM278">
        <v>0</v>
      </c>
      <c r="BN278">
        <v>0</v>
      </c>
      <c r="BO278">
        <v>0</v>
      </c>
      <c r="BP278">
        <v>0</v>
      </c>
      <c r="BQ278">
        <v>0</v>
      </c>
      <c r="BR278">
        <v>0</v>
      </c>
    </row>
    <row r="279" spans="1:70" x14ac:dyDescent="0.2">
      <c r="A279" s="1">
        <v>44580.827777777777</v>
      </c>
      <c r="B279" s="1">
        <v>44580.831944444442</v>
      </c>
      <c r="C279">
        <v>1</v>
      </c>
      <c r="D279">
        <v>0</v>
      </c>
      <c r="E279">
        <v>0</v>
      </c>
      <c r="F279">
        <v>0</v>
      </c>
      <c r="H279">
        <v>0</v>
      </c>
      <c r="I279">
        <v>1</v>
      </c>
      <c r="J279">
        <v>1</v>
      </c>
      <c r="K279">
        <v>1</v>
      </c>
      <c r="L279">
        <v>1</v>
      </c>
      <c r="M279" t="s">
        <v>231</v>
      </c>
      <c r="N279" t="s">
        <v>88</v>
      </c>
      <c r="O279" t="s">
        <v>80</v>
      </c>
      <c r="P279">
        <v>0</v>
      </c>
      <c r="Q279">
        <v>1</v>
      </c>
      <c r="R279">
        <v>0</v>
      </c>
      <c r="S279">
        <v>0</v>
      </c>
      <c r="T279">
        <v>0</v>
      </c>
      <c r="U279">
        <v>0</v>
      </c>
      <c r="V279">
        <v>0</v>
      </c>
      <c r="W279">
        <v>0</v>
      </c>
      <c r="X279">
        <v>0</v>
      </c>
      <c r="Y279">
        <v>0</v>
      </c>
      <c r="Z279">
        <v>0</v>
      </c>
      <c r="AA279">
        <v>0</v>
      </c>
      <c r="AM279" t="s">
        <v>83</v>
      </c>
      <c r="AN279" t="s">
        <v>82</v>
      </c>
      <c r="AO279" t="s">
        <v>81</v>
      </c>
      <c r="AP279" t="s">
        <v>81</v>
      </c>
      <c r="AQ279" t="s">
        <v>83</v>
      </c>
      <c r="AR279" t="s">
        <v>83</v>
      </c>
      <c r="AS279" t="s">
        <v>83</v>
      </c>
      <c r="AT279" t="s">
        <v>83</v>
      </c>
      <c r="AU279" t="s">
        <v>88</v>
      </c>
      <c r="AV279" t="s">
        <v>89</v>
      </c>
      <c r="AW279" t="s">
        <v>100</v>
      </c>
      <c r="AX279" t="s">
        <v>91</v>
      </c>
      <c r="AZ279" t="s">
        <v>107</v>
      </c>
      <c r="BA279" t="s">
        <v>74</v>
      </c>
      <c r="BF279" t="s">
        <v>75</v>
      </c>
      <c r="BG279" t="s">
        <v>76</v>
      </c>
      <c r="BH279" t="s">
        <v>77</v>
      </c>
      <c r="BI279" t="s">
        <v>107</v>
      </c>
      <c r="BJ279" t="s">
        <v>114</v>
      </c>
      <c r="BK279">
        <v>1</v>
      </c>
      <c r="BL279">
        <v>0</v>
      </c>
      <c r="BM279">
        <v>0</v>
      </c>
      <c r="BN279">
        <v>0</v>
      </c>
      <c r="BO279">
        <v>0</v>
      </c>
      <c r="BP279">
        <v>0</v>
      </c>
      <c r="BQ279">
        <v>0</v>
      </c>
      <c r="BR279">
        <v>0</v>
      </c>
    </row>
    <row r="280" spans="1:70" x14ac:dyDescent="0.2">
      <c r="A280" s="1">
        <v>44590.459027777775</v>
      </c>
      <c r="B280" s="1">
        <v>44590.461805555555</v>
      </c>
      <c r="C280">
        <v>1</v>
      </c>
      <c r="D280">
        <v>0</v>
      </c>
      <c r="E280">
        <v>0</v>
      </c>
      <c r="F280">
        <v>0</v>
      </c>
      <c r="H280">
        <v>0</v>
      </c>
      <c r="I280">
        <v>1</v>
      </c>
      <c r="J280">
        <v>0</v>
      </c>
      <c r="K280">
        <v>0</v>
      </c>
      <c r="L280">
        <v>1</v>
      </c>
      <c r="M280" t="s">
        <v>232</v>
      </c>
      <c r="N280" t="s">
        <v>79</v>
      </c>
      <c r="O280" t="s">
        <v>80</v>
      </c>
      <c r="P280">
        <v>1</v>
      </c>
      <c r="Q280">
        <v>0</v>
      </c>
      <c r="R280">
        <v>0</v>
      </c>
      <c r="S280">
        <v>0</v>
      </c>
      <c r="T280">
        <v>0</v>
      </c>
      <c r="U280">
        <v>0</v>
      </c>
      <c r="V280">
        <v>0</v>
      </c>
      <c r="W280">
        <v>0</v>
      </c>
      <c r="X280">
        <v>0</v>
      </c>
      <c r="Y280">
        <v>0</v>
      </c>
      <c r="Z280">
        <v>0</v>
      </c>
      <c r="AA280">
        <v>0</v>
      </c>
      <c r="AC280">
        <v>0</v>
      </c>
      <c r="AD280">
        <v>0</v>
      </c>
      <c r="AE280">
        <v>1</v>
      </c>
      <c r="AF280">
        <v>0</v>
      </c>
      <c r="AG280">
        <v>0</v>
      </c>
      <c r="AH280">
        <v>0</v>
      </c>
      <c r="AI280">
        <v>0</v>
      </c>
      <c r="AJ280">
        <v>0</v>
      </c>
      <c r="AK280">
        <v>0</v>
      </c>
      <c r="AX280" t="s">
        <v>72</v>
      </c>
      <c r="AZ280" t="s">
        <v>96</v>
      </c>
      <c r="BA280" t="s">
        <v>87</v>
      </c>
      <c r="BB280" t="s">
        <v>86</v>
      </c>
      <c r="BC280" t="s">
        <v>87</v>
      </c>
      <c r="BD280" t="s">
        <v>87</v>
      </c>
      <c r="BE280" t="s">
        <v>87</v>
      </c>
      <c r="BF280" t="s">
        <v>75</v>
      </c>
      <c r="BG280" t="s">
        <v>76</v>
      </c>
      <c r="BH280" t="s">
        <v>77</v>
      </c>
      <c r="BI280" t="s">
        <v>96</v>
      </c>
      <c r="BJ280" t="s">
        <v>114</v>
      </c>
      <c r="BK280">
        <v>1</v>
      </c>
      <c r="BL280">
        <v>0</v>
      </c>
      <c r="BM280">
        <v>0</v>
      </c>
      <c r="BN280">
        <v>0</v>
      </c>
      <c r="BO280">
        <v>0</v>
      </c>
      <c r="BP280">
        <v>0</v>
      </c>
      <c r="BQ280">
        <v>0</v>
      </c>
      <c r="BR280">
        <v>0</v>
      </c>
    </row>
    <row r="281" spans="1:70" x14ac:dyDescent="0.2">
      <c r="A281" s="1">
        <v>44580.567361111112</v>
      </c>
      <c r="B281" s="1">
        <v>44580.570138888892</v>
      </c>
      <c r="C281">
        <v>1</v>
      </c>
      <c r="D281">
        <v>0</v>
      </c>
      <c r="E281">
        <v>0</v>
      </c>
      <c r="F281">
        <v>0</v>
      </c>
      <c r="H281">
        <v>0</v>
      </c>
      <c r="I281">
        <v>1</v>
      </c>
      <c r="J281">
        <v>1</v>
      </c>
      <c r="K281">
        <v>1</v>
      </c>
      <c r="L281">
        <v>1</v>
      </c>
      <c r="M281" t="s">
        <v>233</v>
      </c>
      <c r="N281" t="s">
        <v>88</v>
      </c>
      <c r="O281" t="s">
        <v>89</v>
      </c>
      <c r="P281">
        <v>0</v>
      </c>
      <c r="Q281">
        <v>0</v>
      </c>
      <c r="R281">
        <v>1</v>
      </c>
      <c r="S281">
        <v>0</v>
      </c>
      <c r="T281">
        <v>0</v>
      </c>
      <c r="U281">
        <v>0</v>
      </c>
      <c r="V281">
        <v>0</v>
      </c>
      <c r="W281">
        <v>0</v>
      </c>
      <c r="X281">
        <v>0</v>
      </c>
      <c r="Y281">
        <v>0</v>
      </c>
      <c r="Z281">
        <v>0</v>
      </c>
      <c r="AA281">
        <v>0</v>
      </c>
      <c r="AM281" t="s">
        <v>90</v>
      </c>
      <c r="AN281" t="s">
        <v>82</v>
      </c>
      <c r="AO281" t="s">
        <v>81</v>
      </c>
      <c r="AP281" t="s">
        <v>82</v>
      </c>
      <c r="AQ281" t="s">
        <v>82</v>
      </c>
      <c r="AR281" t="s">
        <v>90</v>
      </c>
      <c r="AS281" t="s">
        <v>82</v>
      </c>
      <c r="AT281" t="s">
        <v>90</v>
      </c>
      <c r="AU281" t="s">
        <v>88</v>
      </c>
      <c r="AV281" t="s">
        <v>89</v>
      </c>
      <c r="AW281" t="s">
        <v>85</v>
      </c>
      <c r="AZ281" t="s">
        <v>73</v>
      </c>
      <c r="BA281" t="s">
        <v>87</v>
      </c>
      <c r="BB281" t="s">
        <v>87</v>
      </c>
      <c r="BC281" t="s">
        <v>87</v>
      </c>
      <c r="BD281" t="s">
        <v>87</v>
      </c>
      <c r="BE281" t="s">
        <v>87</v>
      </c>
      <c r="BF281" t="s">
        <v>97</v>
      </c>
      <c r="BG281" t="s">
        <v>76</v>
      </c>
      <c r="BH281" t="s">
        <v>98</v>
      </c>
      <c r="BI281" t="s">
        <v>73</v>
      </c>
      <c r="BJ281" t="s">
        <v>114</v>
      </c>
      <c r="BK281">
        <v>1</v>
      </c>
      <c r="BL281">
        <v>0</v>
      </c>
      <c r="BM281">
        <v>0</v>
      </c>
      <c r="BN281">
        <v>0</v>
      </c>
      <c r="BO281">
        <v>0</v>
      </c>
      <c r="BP281">
        <v>0</v>
      </c>
      <c r="BQ281">
        <v>0</v>
      </c>
      <c r="BR281">
        <v>0</v>
      </c>
    </row>
    <row r="282" spans="1:70" x14ac:dyDescent="0.2">
      <c r="A282" s="1">
        <v>44586.879166666666</v>
      </c>
      <c r="B282" s="1">
        <v>44586.881249999999</v>
      </c>
      <c r="C282">
        <v>0</v>
      </c>
      <c r="D282">
        <v>0</v>
      </c>
      <c r="E282">
        <v>0</v>
      </c>
      <c r="F282">
        <v>1</v>
      </c>
      <c r="P282">
        <v>1</v>
      </c>
      <c r="Q282">
        <v>0</v>
      </c>
      <c r="R282">
        <v>0</v>
      </c>
      <c r="S282">
        <v>0</v>
      </c>
      <c r="T282">
        <v>0</v>
      </c>
      <c r="U282">
        <v>0</v>
      </c>
      <c r="V282">
        <v>0</v>
      </c>
      <c r="W282">
        <v>0</v>
      </c>
      <c r="X282">
        <v>0</v>
      </c>
      <c r="Y282">
        <v>0</v>
      </c>
      <c r="Z282">
        <v>0</v>
      </c>
      <c r="AA282">
        <v>0</v>
      </c>
      <c r="AC282">
        <v>0</v>
      </c>
      <c r="AD282">
        <v>0</v>
      </c>
      <c r="AE282">
        <v>1</v>
      </c>
      <c r="AF282">
        <v>0</v>
      </c>
      <c r="AG282">
        <v>0</v>
      </c>
      <c r="AH282">
        <v>0</v>
      </c>
      <c r="AI282">
        <v>0</v>
      </c>
      <c r="AJ282">
        <v>0</v>
      </c>
      <c r="AK282">
        <v>0</v>
      </c>
      <c r="AZ282" t="s">
        <v>96</v>
      </c>
      <c r="BF282" t="s">
        <v>101</v>
      </c>
      <c r="BG282" t="s">
        <v>76</v>
      </c>
      <c r="BH282" t="s">
        <v>98</v>
      </c>
      <c r="BI282" t="s">
        <v>96</v>
      </c>
      <c r="BJ282" t="s">
        <v>114</v>
      </c>
      <c r="BK282">
        <v>1</v>
      </c>
      <c r="BL282">
        <v>0</v>
      </c>
      <c r="BM282">
        <v>0</v>
      </c>
      <c r="BN282">
        <v>0</v>
      </c>
      <c r="BO282">
        <v>0</v>
      </c>
      <c r="BP282">
        <v>0</v>
      </c>
      <c r="BQ282">
        <v>0</v>
      </c>
      <c r="BR282">
        <v>0</v>
      </c>
    </row>
    <row r="283" spans="1:70" x14ac:dyDescent="0.2">
      <c r="A283" s="1">
        <v>44579.876388888886</v>
      </c>
      <c r="B283" s="1">
        <v>44579.87777777778</v>
      </c>
      <c r="C283">
        <v>1</v>
      </c>
      <c r="D283">
        <v>0</v>
      </c>
      <c r="E283">
        <v>0</v>
      </c>
      <c r="F283">
        <v>0</v>
      </c>
      <c r="H283">
        <v>0</v>
      </c>
      <c r="I283">
        <v>1</v>
      </c>
      <c r="J283">
        <v>0</v>
      </c>
      <c r="K283">
        <v>1</v>
      </c>
      <c r="L283">
        <v>0</v>
      </c>
      <c r="N283" t="s">
        <v>135</v>
      </c>
      <c r="O283" t="s">
        <v>80</v>
      </c>
      <c r="P283">
        <v>1</v>
      </c>
      <c r="Q283">
        <v>0</v>
      </c>
      <c r="R283">
        <v>0</v>
      </c>
      <c r="S283">
        <v>0</v>
      </c>
      <c r="T283">
        <v>0</v>
      </c>
      <c r="U283">
        <v>0</v>
      </c>
      <c r="V283">
        <v>0</v>
      </c>
      <c r="W283">
        <v>0</v>
      </c>
      <c r="X283">
        <v>0</v>
      </c>
      <c r="Y283">
        <v>0</v>
      </c>
      <c r="Z283">
        <v>0</v>
      </c>
      <c r="AA283">
        <v>0</v>
      </c>
      <c r="AC283">
        <v>0</v>
      </c>
      <c r="AD283">
        <v>0</v>
      </c>
      <c r="AE283">
        <v>1</v>
      </c>
      <c r="AF283">
        <v>0</v>
      </c>
      <c r="AG283">
        <v>0</v>
      </c>
      <c r="AH283">
        <v>0</v>
      </c>
      <c r="AI283">
        <v>0</v>
      </c>
      <c r="AJ283">
        <v>0</v>
      </c>
      <c r="AK283">
        <v>0</v>
      </c>
      <c r="AX283" t="s">
        <v>91</v>
      </c>
      <c r="AZ283" t="s">
        <v>107</v>
      </c>
      <c r="BA283" t="s">
        <v>74</v>
      </c>
      <c r="BF283" t="s">
        <v>75</v>
      </c>
      <c r="BG283" t="s">
        <v>92</v>
      </c>
      <c r="BH283" t="s">
        <v>77</v>
      </c>
      <c r="BI283" t="s">
        <v>107</v>
      </c>
      <c r="BJ283" t="s">
        <v>78</v>
      </c>
      <c r="BK283">
        <v>0</v>
      </c>
      <c r="BL283">
        <v>0</v>
      </c>
      <c r="BM283">
        <v>0</v>
      </c>
      <c r="BN283">
        <v>1</v>
      </c>
      <c r="BO283">
        <v>0</v>
      </c>
      <c r="BP283">
        <v>1</v>
      </c>
      <c r="BQ283">
        <v>0</v>
      </c>
      <c r="BR283">
        <v>0</v>
      </c>
    </row>
    <row r="284" spans="1:70" x14ac:dyDescent="0.2">
      <c r="A284" s="1">
        <v>44579.918055555558</v>
      </c>
      <c r="B284" s="1">
        <v>44579.92083333333</v>
      </c>
      <c r="C284">
        <v>0</v>
      </c>
      <c r="D284">
        <v>1</v>
      </c>
      <c r="E284">
        <v>0</v>
      </c>
      <c r="F284">
        <v>0</v>
      </c>
      <c r="H284">
        <v>1</v>
      </c>
      <c r="I284">
        <v>0</v>
      </c>
      <c r="J284">
        <v>0</v>
      </c>
      <c r="K284">
        <v>0</v>
      </c>
      <c r="L284">
        <v>0</v>
      </c>
      <c r="P284">
        <v>1</v>
      </c>
      <c r="Q284">
        <v>0</v>
      </c>
      <c r="R284">
        <v>0</v>
      </c>
      <c r="S284">
        <v>0</v>
      </c>
      <c r="T284">
        <v>0</v>
      </c>
      <c r="U284">
        <v>0</v>
      </c>
      <c r="V284">
        <v>0</v>
      </c>
      <c r="W284">
        <v>0</v>
      </c>
      <c r="X284">
        <v>0</v>
      </c>
      <c r="Y284">
        <v>0</v>
      </c>
      <c r="Z284">
        <v>0</v>
      </c>
      <c r="AA284">
        <v>0</v>
      </c>
      <c r="AC284">
        <v>1</v>
      </c>
      <c r="AD284">
        <v>0</v>
      </c>
      <c r="AE284">
        <v>0</v>
      </c>
      <c r="AF284">
        <v>0</v>
      </c>
      <c r="AG284">
        <v>0</v>
      </c>
      <c r="AH284">
        <v>0</v>
      </c>
      <c r="AI284">
        <v>0</v>
      </c>
      <c r="AJ284">
        <v>0</v>
      </c>
      <c r="AK284">
        <v>0</v>
      </c>
      <c r="AZ284" t="s">
        <v>96</v>
      </c>
      <c r="BA284" t="s">
        <v>87</v>
      </c>
      <c r="BB284" t="s">
        <v>87</v>
      </c>
      <c r="BC284" t="s">
        <v>87</v>
      </c>
      <c r="BD284" t="s">
        <v>86</v>
      </c>
      <c r="BE284" t="s">
        <v>87</v>
      </c>
      <c r="BF284" t="s">
        <v>101</v>
      </c>
      <c r="BG284" t="s">
        <v>92</v>
      </c>
      <c r="BH284" t="s">
        <v>98</v>
      </c>
      <c r="BI284" t="s">
        <v>96</v>
      </c>
      <c r="BJ284" t="s">
        <v>78</v>
      </c>
      <c r="BK284">
        <v>1</v>
      </c>
      <c r="BL284">
        <v>0</v>
      </c>
      <c r="BM284">
        <v>0</v>
      </c>
      <c r="BN284">
        <v>0</v>
      </c>
      <c r="BO284">
        <v>0</v>
      </c>
      <c r="BP284">
        <v>0</v>
      </c>
      <c r="BQ284">
        <v>0</v>
      </c>
      <c r="BR284">
        <v>0</v>
      </c>
    </row>
    <row r="285" spans="1:70" x14ac:dyDescent="0.2">
      <c r="A285" s="1">
        <v>44585.709722222222</v>
      </c>
      <c r="B285" s="1">
        <v>44585.711111111108</v>
      </c>
      <c r="C285">
        <v>1</v>
      </c>
      <c r="D285">
        <v>1</v>
      </c>
      <c r="E285">
        <v>0</v>
      </c>
      <c r="F285">
        <v>0</v>
      </c>
      <c r="H285">
        <v>1</v>
      </c>
      <c r="I285">
        <v>0</v>
      </c>
      <c r="J285">
        <v>0</v>
      </c>
      <c r="K285">
        <v>0</v>
      </c>
      <c r="L285">
        <v>0</v>
      </c>
      <c r="P285">
        <v>1</v>
      </c>
      <c r="Q285">
        <v>0</v>
      </c>
      <c r="R285">
        <v>0</v>
      </c>
      <c r="S285">
        <v>0</v>
      </c>
      <c r="T285">
        <v>0</v>
      </c>
      <c r="U285">
        <v>0</v>
      </c>
      <c r="V285">
        <v>0</v>
      </c>
      <c r="W285">
        <v>0</v>
      </c>
      <c r="X285">
        <v>0</v>
      </c>
      <c r="Y285">
        <v>0</v>
      </c>
      <c r="Z285">
        <v>0</v>
      </c>
      <c r="AA285">
        <v>0</v>
      </c>
      <c r="AC285">
        <v>0</v>
      </c>
      <c r="AD285">
        <v>0</v>
      </c>
      <c r="AE285">
        <v>1</v>
      </c>
      <c r="AF285">
        <v>0</v>
      </c>
      <c r="AG285">
        <v>0</v>
      </c>
      <c r="AH285">
        <v>0</v>
      </c>
      <c r="AI285">
        <v>0</v>
      </c>
      <c r="AJ285">
        <v>0</v>
      </c>
      <c r="AK285">
        <v>0</v>
      </c>
      <c r="AZ285" t="s">
        <v>107</v>
      </c>
      <c r="BA285" t="s">
        <v>87</v>
      </c>
      <c r="BB285" t="s">
        <v>87</v>
      </c>
      <c r="BC285" t="s">
        <v>87</v>
      </c>
      <c r="BD285" t="s">
        <v>87</v>
      </c>
      <c r="BE285" t="s">
        <v>87</v>
      </c>
      <c r="BF285" t="s">
        <v>97</v>
      </c>
      <c r="BG285" t="s">
        <v>92</v>
      </c>
      <c r="BH285" t="s">
        <v>98</v>
      </c>
      <c r="BI285" t="s">
        <v>107</v>
      </c>
      <c r="BK285">
        <v>1</v>
      </c>
      <c r="BL285">
        <v>0</v>
      </c>
      <c r="BM285">
        <v>0</v>
      </c>
      <c r="BN285">
        <v>0</v>
      </c>
      <c r="BO285">
        <v>0</v>
      </c>
      <c r="BP285">
        <v>0</v>
      </c>
      <c r="BQ285">
        <v>0</v>
      </c>
      <c r="BR285">
        <v>0</v>
      </c>
    </row>
    <row r="286" spans="1:70" x14ac:dyDescent="0.2">
      <c r="A286" s="1">
        <v>44580.041666666664</v>
      </c>
      <c r="B286" s="1">
        <v>44580.043749999997</v>
      </c>
      <c r="C286">
        <v>0</v>
      </c>
      <c r="D286">
        <v>0</v>
      </c>
      <c r="E286">
        <v>0</v>
      </c>
      <c r="F286">
        <v>1</v>
      </c>
      <c r="P286">
        <v>1</v>
      </c>
      <c r="Q286">
        <v>0</v>
      </c>
      <c r="R286">
        <v>0</v>
      </c>
      <c r="S286">
        <v>0</v>
      </c>
      <c r="T286">
        <v>0</v>
      </c>
      <c r="U286">
        <v>0</v>
      </c>
      <c r="V286">
        <v>0</v>
      </c>
      <c r="W286">
        <v>0</v>
      </c>
      <c r="X286">
        <v>0</v>
      </c>
      <c r="Y286">
        <v>0</v>
      </c>
      <c r="Z286">
        <v>0</v>
      </c>
      <c r="AA286">
        <v>0</v>
      </c>
      <c r="AC286">
        <v>0</v>
      </c>
      <c r="AD286">
        <v>0</v>
      </c>
      <c r="AE286">
        <v>1</v>
      </c>
      <c r="AF286">
        <v>0</v>
      </c>
      <c r="AG286">
        <v>0</v>
      </c>
      <c r="AH286">
        <v>1</v>
      </c>
      <c r="AI286">
        <v>1</v>
      </c>
      <c r="AJ286">
        <v>0</v>
      </c>
      <c r="AK286">
        <v>0</v>
      </c>
      <c r="AZ286" t="s">
        <v>96</v>
      </c>
      <c r="BF286" t="s">
        <v>97</v>
      </c>
      <c r="BG286" t="s">
        <v>76</v>
      </c>
      <c r="BH286" t="s">
        <v>158</v>
      </c>
      <c r="BI286" t="s">
        <v>96</v>
      </c>
      <c r="BJ286" t="s">
        <v>114</v>
      </c>
      <c r="BK286">
        <v>1</v>
      </c>
      <c r="BL286">
        <v>0</v>
      </c>
      <c r="BM286">
        <v>0</v>
      </c>
      <c r="BN286">
        <v>0</v>
      </c>
      <c r="BO286">
        <v>0</v>
      </c>
      <c r="BP286">
        <v>0</v>
      </c>
      <c r="BQ286">
        <v>0</v>
      </c>
      <c r="BR286">
        <v>0</v>
      </c>
    </row>
    <row r="287" spans="1:70" x14ac:dyDescent="0.2">
      <c r="A287" s="1">
        <v>44588.902777777781</v>
      </c>
      <c r="B287" s="1">
        <v>44588.907638888886</v>
      </c>
      <c r="C287">
        <v>0</v>
      </c>
      <c r="D287">
        <v>1</v>
      </c>
      <c r="E287">
        <v>0</v>
      </c>
      <c r="F287">
        <v>0</v>
      </c>
      <c r="H287">
        <v>0</v>
      </c>
      <c r="I287">
        <v>1</v>
      </c>
      <c r="J287">
        <v>0</v>
      </c>
      <c r="K287">
        <v>0</v>
      </c>
      <c r="L287">
        <v>1</v>
      </c>
      <c r="M287" t="s">
        <v>234</v>
      </c>
      <c r="N287" t="s">
        <v>88</v>
      </c>
      <c r="O287" t="s">
        <v>127</v>
      </c>
      <c r="P287">
        <v>0</v>
      </c>
      <c r="Q287">
        <v>1</v>
      </c>
      <c r="R287">
        <v>0</v>
      </c>
      <c r="S287">
        <v>0</v>
      </c>
      <c r="T287">
        <v>0</v>
      </c>
      <c r="U287">
        <v>0</v>
      </c>
      <c r="V287">
        <v>0</v>
      </c>
      <c r="W287">
        <v>0</v>
      </c>
      <c r="X287">
        <v>0</v>
      </c>
      <c r="Y287">
        <v>0</v>
      </c>
      <c r="Z287">
        <v>0</v>
      </c>
      <c r="AA287">
        <v>0</v>
      </c>
      <c r="AM287" t="s">
        <v>81</v>
      </c>
      <c r="AN287" t="s">
        <v>82</v>
      </c>
      <c r="AO287" t="s">
        <v>82</v>
      </c>
      <c r="AP287" t="s">
        <v>81</v>
      </c>
      <c r="AQ287" t="s">
        <v>81</v>
      </c>
      <c r="AR287" t="s">
        <v>90</v>
      </c>
      <c r="AS287" t="s">
        <v>83</v>
      </c>
      <c r="AT287" t="s">
        <v>82</v>
      </c>
      <c r="AU287" t="s">
        <v>88</v>
      </c>
      <c r="AV287" t="s">
        <v>89</v>
      </c>
      <c r="AW287" t="s">
        <v>100</v>
      </c>
      <c r="AZ287" t="s">
        <v>107</v>
      </c>
      <c r="BA287" t="s">
        <v>87</v>
      </c>
      <c r="BB287" t="s">
        <v>87</v>
      </c>
      <c r="BC287" t="s">
        <v>87</v>
      </c>
      <c r="BD287" t="s">
        <v>87</v>
      </c>
      <c r="BE287" t="s">
        <v>86</v>
      </c>
      <c r="BF287" t="s">
        <v>97</v>
      </c>
      <c r="BG287" t="s">
        <v>92</v>
      </c>
      <c r="BH287" t="s">
        <v>98</v>
      </c>
      <c r="BI287" t="s">
        <v>107</v>
      </c>
      <c r="BJ287" t="s">
        <v>114</v>
      </c>
      <c r="BK287">
        <v>1</v>
      </c>
      <c r="BL287">
        <v>0</v>
      </c>
      <c r="BM287">
        <v>0</v>
      </c>
      <c r="BN287">
        <v>0</v>
      </c>
      <c r="BO287">
        <v>0</v>
      </c>
      <c r="BP287">
        <v>0</v>
      </c>
      <c r="BQ287">
        <v>0</v>
      </c>
      <c r="BR287">
        <v>0</v>
      </c>
    </row>
    <row r="288" spans="1:70" x14ac:dyDescent="0.2">
      <c r="A288" s="1">
        <v>44588.876388888886</v>
      </c>
      <c r="B288" s="1">
        <v>44588.886111111111</v>
      </c>
      <c r="C288">
        <v>0</v>
      </c>
      <c r="D288">
        <v>1</v>
      </c>
      <c r="E288">
        <v>0</v>
      </c>
      <c r="F288">
        <v>0</v>
      </c>
      <c r="H288">
        <v>0</v>
      </c>
      <c r="I288">
        <v>1</v>
      </c>
      <c r="J288">
        <v>0</v>
      </c>
      <c r="K288">
        <v>0</v>
      </c>
      <c r="L288">
        <v>0</v>
      </c>
      <c r="N288" t="s">
        <v>135</v>
      </c>
      <c r="O288" t="s">
        <v>80</v>
      </c>
      <c r="P288">
        <v>0</v>
      </c>
      <c r="Q288">
        <v>0</v>
      </c>
      <c r="R288">
        <v>0</v>
      </c>
      <c r="S288">
        <v>0</v>
      </c>
      <c r="T288">
        <v>1</v>
      </c>
      <c r="U288">
        <v>0</v>
      </c>
      <c r="V288">
        <v>0</v>
      </c>
      <c r="W288">
        <v>0</v>
      </c>
      <c r="X288">
        <v>0</v>
      </c>
      <c r="Y288">
        <v>0</v>
      </c>
      <c r="Z288">
        <v>0</v>
      </c>
      <c r="AA288">
        <v>0</v>
      </c>
      <c r="AM288" t="s">
        <v>83</v>
      </c>
      <c r="AN288" t="s">
        <v>83</v>
      </c>
      <c r="AO288" t="s">
        <v>83</v>
      </c>
      <c r="AP288" t="s">
        <v>83</v>
      </c>
      <c r="AQ288" t="s">
        <v>81</v>
      </c>
      <c r="AR288" t="s">
        <v>83</v>
      </c>
      <c r="AS288" t="s">
        <v>81</v>
      </c>
      <c r="AT288" t="s">
        <v>82</v>
      </c>
      <c r="AU288" t="s">
        <v>84</v>
      </c>
      <c r="AV288" t="s">
        <v>80</v>
      </c>
      <c r="AW288" t="s">
        <v>117</v>
      </c>
      <c r="AX288" t="s">
        <v>91</v>
      </c>
      <c r="AZ288" t="s">
        <v>107</v>
      </c>
      <c r="BA288" t="s">
        <v>74</v>
      </c>
      <c r="BF288" t="s">
        <v>108</v>
      </c>
      <c r="BG288" t="s">
        <v>92</v>
      </c>
      <c r="BH288" t="s">
        <v>98</v>
      </c>
      <c r="BI288" t="s">
        <v>107</v>
      </c>
      <c r="BJ288" t="s">
        <v>99</v>
      </c>
      <c r="BK288">
        <v>1</v>
      </c>
      <c r="BL288">
        <v>0</v>
      </c>
      <c r="BM288">
        <v>0</v>
      </c>
      <c r="BN288">
        <v>0</v>
      </c>
      <c r="BO288">
        <v>0</v>
      </c>
      <c r="BP288">
        <v>0</v>
      </c>
      <c r="BQ288">
        <v>0</v>
      </c>
      <c r="BR288">
        <v>0</v>
      </c>
    </row>
    <row r="289" spans="1:72" x14ac:dyDescent="0.2">
      <c r="A289" s="1">
        <v>44585.532638888886</v>
      </c>
      <c r="B289" s="1">
        <v>44585.535416666666</v>
      </c>
      <c r="C289">
        <v>1</v>
      </c>
      <c r="D289">
        <v>0</v>
      </c>
      <c r="E289">
        <v>0</v>
      </c>
      <c r="F289">
        <v>0</v>
      </c>
      <c r="H289">
        <v>1</v>
      </c>
      <c r="I289">
        <v>0</v>
      </c>
      <c r="J289">
        <v>0</v>
      </c>
      <c r="K289">
        <v>0</v>
      </c>
      <c r="L289">
        <v>0</v>
      </c>
      <c r="P289">
        <v>1</v>
      </c>
      <c r="Q289">
        <v>0</v>
      </c>
      <c r="R289">
        <v>0</v>
      </c>
      <c r="S289">
        <v>0</v>
      </c>
      <c r="T289">
        <v>0</v>
      </c>
      <c r="U289">
        <v>0</v>
      </c>
      <c r="V289">
        <v>0</v>
      </c>
      <c r="W289">
        <v>0</v>
      </c>
      <c r="X289">
        <v>0</v>
      </c>
      <c r="Y289">
        <v>0</v>
      </c>
      <c r="Z289">
        <v>0</v>
      </c>
      <c r="AA289">
        <v>0</v>
      </c>
      <c r="AC289">
        <v>1</v>
      </c>
      <c r="AD289">
        <v>0</v>
      </c>
      <c r="AE289">
        <v>0</v>
      </c>
      <c r="AF289">
        <v>0</v>
      </c>
      <c r="AG289">
        <v>0</v>
      </c>
      <c r="AH289">
        <v>0</v>
      </c>
      <c r="AI289">
        <v>0</v>
      </c>
      <c r="AJ289">
        <v>0</v>
      </c>
      <c r="AK289">
        <v>0</v>
      </c>
      <c r="AX289" t="s">
        <v>110</v>
      </c>
      <c r="AY289" t="s">
        <v>208</v>
      </c>
      <c r="AZ289" t="s">
        <v>107</v>
      </c>
      <c r="BA289" t="s">
        <v>86</v>
      </c>
      <c r="BB289" t="s">
        <v>74</v>
      </c>
      <c r="BC289" t="s">
        <v>87</v>
      </c>
      <c r="BD289" t="s">
        <v>74</v>
      </c>
      <c r="BE289" t="s">
        <v>86</v>
      </c>
      <c r="BF289" t="s">
        <v>108</v>
      </c>
      <c r="BG289" t="s">
        <v>92</v>
      </c>
      <c r="BH289" t="s">
        <v>98</v>
      </c>
      <c r="BI289" t="s">
        <v>107</v>
      </c>
      <c r="BJ289" t="s">
        <v>212</v>
      </c>
      <c r="BK289">
        <v>1</v>
      </c>
      <c r="BL289">
        <v>0</v>
      </c>
      <c r="BM289">
        <v>0</v>
      </c>
      <c r="BN289">
        <v>0</v>
      </c>
      <c r="BO289">
        <v>0</v>
      </c>
      <c r="BP289">
        <v>0</v>
      </c>
      <c r="BQ289">
        <v>0</v>
      </c>
      <c r="BR289">
        <v>0</v>
      </c>
    </row>
    <row r="290" spans="1:72" x14ac:dyDescent="0.2">
      <c r="A290" s="1">
        <v>44580.644444444442</v>
      </c>
      <c r="B290" s="1">
        <v>44580.652083333334</v>
      </c>
      <c r="C290">
        <v>1</v>
      </c>
      <c r="D290">
        <v>0</v>
      </c>
      <c r="E290">
        <v>0</v>
      </c>
      <c r="F290">
        <v>0</v>
      </c>
      <c r="H290">
        <v>0</v>
      </c>
      <c r="I290">
        <v>0</v>
      </c>
      <c r="J290">
        <v>0</v>
      </c>
      <c r="K290">
        <v>0</v>
      </c>
      <c r="L290">
        <v>1</v>
      </c>
      <c r="M290" t="s">
        <v>235</v>
      </c>
      <c r="N290" t="s">
        <v>88</v>
      </c>
      <c r="O290" t="s">
        <v>89</v>
      </c>
      <c r="P290">
        <v>0</v>
      </c>
      <c r="Q290">
        <v>1</v>
      </c>
      <c r="R290">
        <v>0</v>
      </c>
      <c r="S290">
        <v>0</v>
      </c>
      <c r="T290">
        <v>0</v>
      </c>
      <c r="U290">
        <v>0</v>
      </c>
      <c r="V290">
        <v>0</v>
      </c>
      <c r="W290">
        <v>0</v>
      </c>
      <c r="X290">
        <v>0</v>
      </c>
      <c r="Y290">
        <v>0</v>
      </c>
      <c r="Z290">
        <v>0</v>
      </c>
      <c r="AA290">
        <v>0</v>
      </c>
      <c r="AM290" t="s">
        <v>83</v>
      </c>
      <c r="AN290" t="s">
        <v>82</v>
      </c>
      <c r="AO290" t="s">
        <v>83</v>
      </c>
      <c r="AP290" t="s">
        <v>83</v>
      </c>
      <c r="AQ290" t="s">
        <v>83</v>
      </c>
      <c r="AR290" t="s">
        <v>83</v>
      </c>
      <c r="AS290" t="s">
        <v>83</v>
      </c>
      <c r="AT290" t="s">
        <v>83</v>
      </c>
      <c r="AU290" t="s">
        <v>127</v>
      </c>
      <c r="AV290" t="s">
        <v>127</v>
      </c>
      <c r="AZ290" t="s">
        <v>73</v>
      </c>
      <c r="BA290" t="s">
        <v>86</v>
      </c>
      <c r="BB290" t="s">
        <v>74</v>
      </c>
      <c r="BC290" t="s">
        <v>86</v>
      </c>
      <c r="BD290" t="s">
        <v>74</v>
      </c>
      <c r="BE290" t="s">
        <v>74</v>
      </c>
      <c r="BF290" t="s">
        <v>97</v>
      </c>
      <c r="BG290" t="s">
        <v>76</v>
      </c>
      <c r="BH290" t="s">
        <v>158</v>
      </c>
      <c r="BI290" t="s">
        <v>73</v>
      </c>
      <c r="BJ290" t="s">
        <v>114</v>
      </c>
      <c r="BK290">
        <v>1</v>
      </c>
      <c r="BL290">
        <v>0</v>
      </c>
      <c r="BM290">
        <v>0</v>
      </c>
      <c r="BN290">
        <v>0</v>
      </c>
      <c r="BO290">
        <v>0</v>
      </c>
      <c r="BP290">
        <v>0</v>
      </c>
      <c r="BQ290">
        <v>0</v>
      </c>
      <c r="BR290">
        <v>0</v>
      </c>
    </row>
    <row r="291" spans="1:72" x14ac:dyDescent="0.2">
      <c r="A291" s="1">
        <v>44585.771527777775</v>
      </c>
      <c r="B291" s="1">
        <v>44585.775000000001</v>
      </c>
      <c r="C291">
        <v>1</v>
      </c>
      <c r="D291">
        <v>0</v>
      </c>
      <c r="E291">
        <v>0</v>
      </c>
      <c r="F291">
        <v>0</v>
      </c>
      <c r="H291">
        <v>0</v>
      </c>
      <c r="I291">
        <v>1</v>
      </c>
      <c r="J291">
        <v>0</v>
      </c>
      <c r="K291">
        <v>1</v>
      </c>
      <c r="L291">
        <v>1</v>
      </c>
      <c r="M291" t="s">
        <v>95</v>
      </c>
      <c r="N291" t="s">
        <v>88</v>
      </c>
      <c r="O291" t="s">
        <v>89</v>
      </c>
      <c r="P291">
        <v>0</v>
      </c>
      <c r="Q291">
        <v>0</v>
      </c>
      <c r="R291">
        <v>1</v>
      </c>
      <c r="S291">
        <v>0</v>
      </c>
      <c r="T291">
        <v>0</v>
      </c>
      <c r="U291">
        <v>0</v>
      </c>
      <c r="V291">
        <v>0</v>
      </c>
      <c r="W291">
        <v>0</v>
      </c>
      <c r="X291">
        <v>0</v>
      </c>
      <c r="Y291">
        <v>0</v>
      </c>
      <c r="Z291">
        <v>0</v>
      </c>
      <c r="AA291">
        <v>0</v>
      </c>
      <c r="AM291" t="s">
        <v>83</v>
      </c>
      <c r="AN291" t="s">
        <v>81</v>
      </c>
      <c r="AO291" t="s">
        <v>83</v>
      </c>
      <c r="AP291" t="s">
        <v>83</v>
      </c>
      <c r="AQ291" t="s">
        <v>82</v>
      </c>
      <c r="AR291" t="s">
        <v>83</v>
      </c>
      <c r="AS291" t="s">
        <v>83</v>
      </c>
      <c r="AT291" t="s">
        <v>83</v>
      </c>
      <c r="AU291" t="s">
        <v>88</v>
      </c>
      <c r="AV291" t="s">
        <v>89</v>
      </c>
      <c r="AW291" t="s">
        <v>85</v>
      </c>
      <c r="AX291" t="s">
        <v>72</v>
      </c>
      <c r="AZ291" t="s">
        <v>96</v>
      </c>
      <c r="BA291" t="s">
        <v>87</v>
      </c>
      <c r="BB291" t="s">
        <v>87</v>
      </c>
      <c r="BC291" t="s">
        <v>87</v>
      </c>
      <c r="BD291" t="s">
        <v>87</v>
      </c>
      <c r="BE291" t="s">
        <v>87</v>
      </c>
      <c r="BF291" t="s">
        <v>75</v>
      </c>
      <c r="BG291" t="s">
        <v>92</v>
      </c>
      <c r="BH291" t="s">
        <v>98</v>
      </c>
      <c r="BI291" t="s">
        <v>96</v>
      </c>
      <c r="BJ291" t="s">
        <v>114</v>
      </c>
      <c r="BK291">
        <v>1</v>
      </c>
      <c r="BL291">
        <v>0</v>
      </c>
      <c r="BM291">
        <v>0</v>
      </c>
      <c r="BN291">
        <v>0</v>
      </c>
      <c r="BO291">
        <v>0</v>
      </c>
      <c r="BP291">
        <v>0</v>
      </c>
      <c r="BQ291">
        <v>0</v>
      </c>
      <c r="BR291">
        <v>0</v>
      </c>
    </row>
    <row r="292" spans="1:72" x14ac:dyDescent="0.2">
      <c r="A292" s="1">
        <v>44590.740277777775</v>
      </c>
      <c r="B292" s="1">
        <v>44590.741666666669</v>
      </c>
      <c r="C292">
        <v>1</v>
      </c>
      <c r="D292">
        <v>0</v>
      </c>
      <c r="E292">
        <v>0</v>
      </c>
      <c r="F292">
        <v>0</v>
      </c>
      <c r="H292">
        <v>1</v>
      </c>
      <c r="I292">
        <v>0</v>
      </c>
      <c r="J292">
        <v>0</v>
      </c>
      <c r="K292">
        <v>0</v>
      </c>
      <c r="L292">
        <v>0</v>
      </c>
      <c r="P292">
        <v>1</v>
      </c>
      <c r="Q292">
        <v>0</v>
      </c>
      <c r="R292">
        <v>0</v>
      </c>
      <c r="S292">
        <v>0</v>
      </c>
      <c r="T292">
        <v>0</v>
      </c>
      <c r="U292">
        <v>0</v>
      </c>
      <c r="V292">
        <v>0</v>
      </c>
      <c r="W292">
        <v>0</v>
      </c>
      <c r="X292">
        <v>0</v>
      </c>
      <c r="Y292">
        <v>0</v>
      </c>
      <c r="Z292">
        <v>0</v>
      </c>
      <c r="AA292">
        <v>0</v>
      </c>
      <c r="AC292">
        <v>0</v>
      </c>
      <c r="AD292">
        <v>1</v>
      </c>
      <c r="AE292">
        <v>0</v>
      </c>
      <c r="AF292">
        <v>0</v>
      </c>
      <c r="AG292">
        <v>0</v>
      </c>
      <c r="AH292">
        <v>0</v>
      </c>
      <c r="AI292">
        <v>0</v>
      </c>
      <c r="AJ292">
        <v>0</v>
      </c>
      <c r="AK292">
        <v>0</v>
      </c>
      <c r="AZ292" t="s">
        <v>107</v>
      </c>
      <c r="BA292" t="s">
        <v>87</v>
      </c>
      <c r="BB292" t="s">
        <v>87</v>
      </c>
      <c r="BC292" t="s">
        <v>87</v>
      </c>
      <c r="BD292" t="s">
        <v>87</v>
      </c>
      <c r="BE292" t="s">
        <v>87</v>
      </c>
      <c r="BF292" t="s">
        <v>97</v>
      </c>
      <c r="BG292" t="s">
        <v>92</v>
      </c>
      <c r="BH292" t="s">
        <v>158</v>
      </c>
      <c r="BI292" t="s">
        <v>107</v>
      </c>
      <c r="BJ292" t="s">
        <v>78</v>
      </c>
      <c r="BK292">
        <v>1</v>
      </c>
      <c r="BL292">
        <v>0</v>
      </c>
      <c r="BM292">
        <v>0</v>
      </c>
      <c r="BN292">
        <v>0</v>
      </c>
      <c r="BO292">
        <v>0</v>
      </c>
      <c r="BP292">
        <v>0</v>
      </c>
      <c r="BQ292">
        <v>0</v>
      </c>
      <c r="BR292">
        <v>0</v>
      </c>
    </row>
    <row r="293" spans="1:72" x14ac:dyDescent="0.2">
      <c r="A293" s="1">
        <v>44580.113888888889</v>
      </c>
      <c r="B293" s="1">
        <v>44580.115277777775</v>
      </c>
      <c r="C293">
        <v>1</v>
      </c>
      <c r="D293">
        <v>0</v>
      </c>
      <c r="E293">
        <v>0</v>
      </c>
      <c r="F293">
        <v>0</v>
      </c>
      <c r="H293">
        <v>0</v>
      </c>
      <c r="I293">
        <v>0</v>
      </c>
      <c r="J293">
        <v>0</v>
      </c>
      <c r="K293">
        <v>1</v>
      </c>
      <c r="L293">
        <v>0</v>
      </c>
      <c r="N293" t="s">
        <v>135</v>
      </c>
      <c r="O293" t="s">
        <v>127</v>
      </c>
      <c r="P293">
        <v>1</v>
      </c>
      <c r="Q293">
        <v>0</v>
      </c>
      <c r="R293">
        <v>0</v>
      </c>
      <c r="S293">
        <v>0</v>
      </c>
      <c r="T293">
        <v>0</v>
      </c>
      <c r="U293">
        <v>0</v>
      </c>
      <c r="V293">
        <v>0</v>
      </c>
      <c r="W293">
        <v>0</v>
      </c>
      <c r="X293">
        <v>0</v>
      </c>
      <c r="Y293">
        <v>0</v>
      </c>
      <c r="Z293">
        <v>0</v>
      </c>
      <c r="AA293">
        <v>0</v>
      </c>
      <c r="AC293">
        <v>0</v>
      </c>
      <c r="AD293">
        <v>1</v>
      </c>
      <c r="AE293">
        <v>0</v>
      </c>
      <c r="AF293">
        <v>0</v>
      </c>
      <c r="AG293">
        <v>0</v>
      </c>
      <c r="AH293">
        <v>0</v>
      </c>
      <c r="AI293">
        <v>0</v>
      </c>
      <c r="AJ293">
        <v>0</v>
      </c>
      <c r="AK293">
        <v>0</v>
      </c>
      <c r="AZ293" t="s">
        <v>73</v>
      </c>
      <c r="BA293" t="s">
        <v>74</v>
      </c>
      <c r="BF293" t="s">
        <v>97</v>
      </c>
      <c r="BG293" t="s">
        <v>92</v>
      </c>
      <c r="BH293" t="s">
        <v>158</v>
      </c>
      <c r="BI293" t="s">
        <v>73</v>
      </c>
      <c r="BJ293" t="s">
        <v>114</v>
      </c>
      <c r="BK293">
        <v>1</v>
      </c>
      <c r="BL293">
        <v>0</v>
      </c>
      <c r="BM293">
        <v>0</v>
      </c>
      <c r="BN293">
        <v>0</v>
      </c>
      <c r="BO293">
        <v>0</v>
      </c>
      <c r="BP293">
        <v>0</v>
      </c>
      <c r="BQ293">
        <v>0</v>
      </c>
      <c r="BR293">
        <v>0</v>
      </c>
    </row>
    <row r="294" spans="1:72" x14ac:dyDescent="0.2">
      <c r="A294" s="1">
        <v>44579.909722222219</v>
      </c>
      <c r="B294" s="1">
        <v>44579.913888888892</v>
      </c>
      <c r="C294">
        <v>1</v>
      </c>
      <c r="D294">
        <v>0</v>
      </c>
      <c r="E294">
        <v>0</v>
      </c>
      <c r="F294">
        <v>0</v>
      </c>
      <c r="H294">
        <v>0</v>
      </c>
      <c r="I294">
        <v>1</v>
      </c>
      <c r="J294">
        <v>1</v>
      </c>
      <c r="K294">
        <v>1</v>
      </c>
      <c r="L294">
        <v>0</v>
      </c>
      <c r="N294" t="s">
        <v>88</v>
      </c>
      <c r="O294" t="s">
        <v>89</v>
      </c>
      <c r="P294">
        <v>0</v>
      </c>
      <c r="Q294">
        <v>1</v>
      </c>
      <c r="R294">
        <v>1</v>
      </c>
      <c r="S294">
        <v>0</v>
      </c>
      <c r="T294">
        <v>0</v>
      </c>
      <c r="U294">
        <v>0</v>
      </c>
      <c r="V294">
        <v>0</v>
      </c>
      <c r="W294">
        <v>0</v>
      </c>
      <c r="X294">
        <v>0</v>
      </c>
      <c r="Y294">
        <v>0</v>
      </c>
      <c r="Z294">
        <v>0</v>
      </c>
      <c r="AA294">
        <v>0</v>
      </c>
      <c r="AM294" t="s">
        <v>81</v>
      </c>
      <c r="AN294" t="s">
        <v>81</v>
      </c>
      <c r="AO294" t="s">
        <v>81</v>
      </c>
      <c r="AP294" t="s">
        <v>81</v>
      </c>
      <c r="AQ294" t="s">
        <v>82</v>
      </c>
      <c r="AR294" t="s">
        <v>81</v>
      </c>
      <c r="AS294" t="s">
        <v>81</v>
      </c>
      <c r="AT294" t="s">
        <v>83</v>
      </c>
      <c r="AU294" t="s">
        <v>88</v>
      </c>
      <c r="AV294" t="s">
        <v>89</v>
      </c>
      <c r="AW294" t="s">
        <v>100</v>
      </c>
      <c r="AZ294" t="s">
        <v>73</v>
      </c>
      <c r="BA294" t="s">
        <v>87</v>
      </c>
      <c r="BB294" t="s">
        <v>87</v>
      </c>
      <c r="BC294" t="s">
        <v>87</v>
      </c>
      <c r="BD294" t="s">
        <v>87</v>
      </c>
      <c r="BE294" t="s">
        <v>87</v>
      </c>
      <c r="BF294" t="s">
        <v>97</v>
      </c>
      <c r="BG294" t="s">
        <v>92</v>
      </c>
      <c r="BH294" t="s">
        <v>98</v>
      </c>
      <c r="BI294" t="s">
        <v>73</v>
      </c>
      <c r="BK294">
        <v>1</v>
      </c>
      <c r="BL294">
        <v>0</v>
      </c>
      <c r="BM294">
        <v>0</v>
      </c>
      <c r="BN294">
        <v>0</v>
      </c>
      <c r="BO294">
        <v>0</v>
      </c>
      <c r="BP294">
        <v>0</v>
      </c>
      <c r="BQ294">
        <v>0</v>
      </c>
      <c r="BR294">
        <v>0</v>
      </c>
    </row>
    <row r="295" spans="1:72" x14ac:dyDescent="0.2">
      <c r="A295" s="1">
        <v>44590.850694444445</v>
      </c>
      <c r="B295" s="1">
        <v>44590.855555555558</v>
      </c>
      <c r="C295">
        <v>1</v>
      </c>
      <c r="D295">
        <v>0</v>
      </c>
      <c r="E295">
        <v>0</v>
      </c>
      <c r="F295">
        <v>0</v>
      </c>
      <c r="H295">
        <v>0</v>
      </c>
      <c r="I295">
        <v>1</v>
      </c>
      <c r="J295">
        <v>0</v>
      </c>
      <c r="K295">
        <v>0</v>
      </c>
      <c r="L295">
        <v>0</v>
      </c>
      <c r="N295" t="s">
        <v>88</v>
      </c>
      <c r="O295" t="s">
        <v>80</v>
      </c>
      <c r="P295">
        <v>0</v>
      </c>
      <c r="Q295">
        <v>1</v>
      </c>
      <c r="R295">
        <v>0</v>
      </c>
      <c r="S295">
        <v>0</v>
      </c>
      <c r="T295">
        <v>0</v>
      </c>
      <c r="U295">
        <v>0</v>
      </c>
      <c r="V295">
        <v>0</v>
      </c>
      <c r="W295">
        <v>0</v>
      </c>
      <c r="X295">
        <v>0</v>
      </c>
      <c r="Y295">
        <v>0</v>
      </c>
      <c r="Z295">
        <v>0</v>
      </c>
      <c r="AA295">
        <v>0</v>
      </c>
      <c r="AM295" t="s">
        <v>83</v>
      </c>
      <c r="AN295" t="s">
        <v>82</v>
      </c>
      <c r="AO295" t="s">
        <v>81</v>
      </c>
      <c r="AP295" t="s">
        <v>82</v>
      </c>
      <c r="AQ295" t="s">
        <v>81</v>
      </c>
      <c r="AR295" t="s">
        <v>83</v>
      </c>
      <c r="AS295" t="s">
        <v>83</v>
      </c>
      <c r="AT295" t="s">
        <v>81</v>
      </c>
      <c r="AU295" t="s">
        <v>88</v>
      </c>
      <c r="AV295" t="s">
        <v>89</v>
      </c>
      <c r="AW295" t="s">
        <v>117</v>
      </c>
      <c r="AX295" t="s">
        <v>236</v>
      </c>
      <c r="AZ295" t="s">
        <v>107</v>
      </c>
      <c r="BA295" t="s">
        <v>86</v>
      </c>
      <c r="BB295" t="s">
        <v>87</v>
      </c>
      <c r="BC295" t="s">
        <v>86</v>
      </c>
      <c r="BD295" t="s">
        <v>86</v>
      </c>
      <c r="BE295" t="s">
        <v>87</v>
      </c>
      <c r="BF295" t="s">
        <v>108</v>
      </c>
      <c r="BG295" t="s">
        <v>92</v>
      </c>
      <c r="BH295" t="s">
        <v>98</v>
      </c>
      <c r="BI295" t="s">
        <v>107</v>
      </c>
      <c r="BJ295" t="s">
        <v>78</v>
      </c>
      <c r="BK295">
        <v>1</v>
      </c>
      <c r="BL295">
        <v>0</v>
      </c>
      <c r="BM295">
        <v>0</v>
      </c>
      <c r="BN295">
        <v>0</v>
      </c>
      <c r="BO295">
        <v>0</v>
      </c>
      <c r="BP295">
        <v>0</v>
      </c>
      <c r="BQ295">
        <v>0</v>
      </c>
      <c r="BR295">
        <v>0</v>
      </c>
    </row>
    <row r="296" spans="1:72" x14ac:dyDescent="0.2">
      <c r="A296" s="1">
        <v>44579.930555555555</v>
      </c>
      <c r="B296" s="1">
        <v>44579.932638888888</v>
      </c>
      <c r="C296">
        <v>1</v>
      </c>
      <c r="D296">
        <v>0</v>
      </c>
      <c r="E296">
        <v>0</v>
      </c>
      <c r="F296">
        <v>0</v>
      </c>
      <c r="H296">
        <v>1</v>
      </c>
      <c r="I296">
        <v>0</v>
      </c>
      <c r="J296">
        <v>0</v>
      </c>
      <c r="K296">
        <v>0</v>
      </c>
      <c r="L296">
        <v>0</v>
      </c>
      <c r="P296">
        <v>1</v>
      </c>
      <c r="Q296">
        <v>0</v>
      </c>
      <c r="R296">
        <v>0</v>
      </c>
      <c r="S296">
        <v>0</v>
      </c>
      <c r="T296">
        <v>0</v>
      </c>
      <c r="U296">
        <v>0</v>
      </c>
      <c r="V296">
        <v>0</v>
      </c>
      <c r="W296">
        <v>0</v>
      </c>
      <c r="X296">
        <v>0</v>
      </c>
      <c r="Y296">
        <v>0</v>
      </c>
      <c r="Z296">
        <v>0</v>
      </c>
      <c r="AA296">
        <v>0</v>
      </c>
      <c r="AC296">
        <v>0</v>
      </c>
      <c r="AD296">
        <v>0</v>
      </c>
      <c r="AE296">
        <v>0</v>
      </c>
      <c r="AF296">
        <v>0</v>
      </c>
      <c r="AG296">
        <v>0</v>
      </c>
      <c r="AH296">
        <v>0</v>
      </c>
      <c r="AI296">
        <v>0</v>
      </c>
      <c r="AJ296">
        <v>0</v>
      </c>
      <c r="AK296">
        <v>1</v>
      </c>
      <c r="AL296" t="s">
        <v>237</v>
      </c>
      <c r="AZ296" t="s">
        <v>73</v>
      </c>
      <c r="BA296" t="s">
        <v>87</v>
      </c>
      <c r="BB296" t="s">
        <v>74</v>
      </c>
      <c r="BC296" t="s">
        <v>74</v>
      </c>
      <c r="BD296" t="s">
        <v>87</v>
      </c>
      <c r="BE296" t="s">
        <v>87</v>
      </c>
      <c r="BF296" t="s">
        <v>97</v>
      </c>
      <c r="BG296" t="s">
        <v>92</v>
      </c>
      <c r="BH296" t="s">
        <v>158</v>
      </c>
      <c r="BI296" t="s">
        <v>73</v>
      </c>
      <c r="BJ296" t="s">
        <v>167</v>
      </c>
      <c r="BK296">
        <v>1</v>
      </c>
      <c r="BL296">
        <v>0</v>
      </c>
      <c r="BM296">
        <v>0</v>
      </c>
      <c r="BN296">
        <v>0</v>
      </c>
      <c r="BO296">
        <v>0</v>
      </c>
      <c r="BP296">
        <v>0</v>
      </c>
      <c r="BQ296">
        <v>0</v>
      </c>
      <c r="BR296">
        <v>0</v>
      </c>
    </row>
    <row r="297" spans="1:72" x14ac:dyDescent="0.2">
      <c r="A297" s="1">
        <v>44579.888888888891</v>
      </c>
      <c r="B297" s="1">
        <v>44579.890277777777</v>
      </c>
      <c r="C297">
        <v>1</v>
      </c>
      <c r="D297">
        <v>0</v>
      </c>
      <c r="E297">
        <v>0</v>
      </c>
      <c r="F297">
        <v>0</v>
      </c>
      <c r="H297">
        <v>1</v>
      </c>
      <c r="I297">
        <v>0</v>
      </c>
      <c r="J297">
        <v>0</v>
      </c>
      <c r="K297">
        <v>0</v>
      </c>
      <c r="L297">
        <v>0</v>
      </c>
      <c r="P297">
        <v>1</v>
      </c>
      <c r="Q297">
        <v>0</v>
      </c>
      <c r="R297">
        <v>0</v>
      </c>
      <c r="S297">
        <v>0</v>
      </c>
      <c r="T297">
        <v>0</v>
      </c>
      <c r="U297">
        <v>0</v>
      </c>
      <c r="V297">
        <v>0</v>
      </c>
      <c r="W297">
        <v>0</v>
      </c>
      <c r="X297">
        <v>0</v>
      </c>
      <c r="Y297">
        <v>0</v>
      </c>
      <c r="Z297">
        <v>0</v>
      </c>
      <c r="AA297">
        <v>0</v>
      </c>
      <c r="AC297">
        <v>0</v>
      </c>
      <c r="AD297">
        <v>1</v>
      </c>
      <c r="AE297">
        <v>0</v>
      </c>
      <c r="AF297">
        <v>0</v>
      </c>
      <c r="AG297">
        <v>0</v>
      </c>
      <c r="AH297">
        <v>0</v>
      </c>
      <c r="AI297">
        <v>0</v>
      </c>
      <c r="AJ297">
        <v>0</v>
      </c>
      <c r="AK297">
        <v>0</v>
      </c>
      <c r="AZ297" t="s">
        <v>73</v>
      </c>
      <c r="BA297" t="s">
        <v>74</v>
      </c>
      <c r="BF297" t="s">
        <v>97</v>
      </c>
      <c r="BG297" t="s">
        <v>92</v>
      </c>
      <c r="BH297" t="s">
        <v>158</v>
      </c>
      <c r="BI297" t="s">
        <v>73</v>
      </c>
      <c r="BJ297" t="s">
        <v>105</v>
      </c>
      <c r="BK297">
        <v>1</v>
      </c>
      <c r="BL297">
        <v>0</v>
      </c>
      <c r="BM297">
        <v>0</v>
      </c>
      <c r="BN297">
        <v>0</v>
      </c>
      <c r="BO297">
        <v>0</v>
      </c>
      <c r="BP297">
        <v>0</v>
      </c>
      <c r="BQ297">
        <v>0</v>
      </c>
      <c r="BR297">
        <v>0</v>
      </c>
    </row>
    <row r="298" spans="1:72" x14ac:dyDescent="0.2">
      <c r="A298" s="1">
        <v>44589.32916666667</v>
      </c>
      <c r="B298" s="1">
        <v>44589.333333333336</v>
      </c>
      <c r="C298">
        <v>1</v>
      </c>
      <c r="D298">
        <v>0</v>
      </c>
      <c r="E298">
        <v>0</v>
      </c>
      <c r="F298">
        <v>0</v>
      </c>
      <c r="H298">
        <v>0</v>
      </c>
      <c r="I298">
        <v>1</v>
      </c>
      <c r="J298">
        <v>1</v>
      </c>
      <c r="K298">
        <v>0</v>
      </c>
      <c r="L298">
        <v>0</v>
      </c>
      <c r="N298" t="s">
        <v>88</v>
      </c>
      <c r="O298" t="s">
        <v>80</v>
      </c>
      <c r="P298">
        <v>0</v>
      </c>
      <c r="Q298">
        <v>0</v>
      </c>
      <c r="R298">
        <v>1</v>
      </c>
      <c r="S298">
        <v>0</v>
      </c>
      <c r="T298">
        <v>0</v>
      </c>
      <c r="U298">
        <v>0</v>
      </c>
      <c r="V298">
        <v>0</v>
      </c>
      <c r="W298">
        <v>0</v>
      </c>
      <c r="X298">
        <v>0</v>
      </c>
      <c r="Y298">
        <v>0</v>
      </c>
      <c r="Z298">
        <v>0</v>
      </c>
      <c r="AA298">
        <v>0</v>
      </c>
      <c r="AM298" t="s">
        <v>81</v>
      </c>
      <c r="AN298" t="s">
        <v>81</v>
      </c>
      <c r="AO298" t="s">
        <v>83</v>
      </c>
      <c r="AP298" t="s">
        <v>81</v>
      </c>
      <c r="AQ298" t="s">
        <v>82</v>
      </c>
      <c r="AR298" t="s">
        <v>83</v>
      </c>
      <c r="AS298" t="s">
        <v>83</v>
      </c>
      <c r="AT298" t="s">
        <v>83</v>
      </c>
      <c r="AU298" t="s">
        <v>88</v>
      </c>
      <c r="AV298" t="s">
        <v>80</v>
      </c>
      <c r="AW298" t="s">
        <v>85</v>
      </c>
      <c r="AZ298" t="s">
        <v>96</v>
      </c>
      <c r="BA298" t="s">
        <v>87</v>
      </c>
      <c r="BB298" t="s">
        <v>87</v>
      </c>
      <c r="BC298" t="s">
        <v>87</v>
      </c>
      <c r="BD298" t="s">
        <v>74</v>
      </c>
      <c r="BE298" t="s">
        <v>87</v>
      </c>
      <c r="BF298" t="s">
        <v>159</v>
      </c>
      <c r="BG298" t="s">
        <v>92</v>
      </c>
      <c r="BH298" t="s">
        <v>98</v>
      </c>
      <c r="BI298" t="s">
        <v>96</v>
      </c>
      <c r="BK298">
        <v>1</v>
      </c>
      <c r="BL298">
        <v>0</v>
      </c>
      <c r="BM298">
        <v>0</v>
      </c>
      <c r="BN298">
        <v>0</v>
      </c>
      <c r="BO298">
        <v>0</v>
      </c>
      <c r="BP298">
        <v>0</v>
      </c>
      <c r="BQ298">
        <v>0</v>
      </c>
      <c r="BR298">
        <v>0</v>
      </c>
      <c r="BT298" t="s">
        <v>230</v>
      </c>
    </row>
    <row r="299" spans="1:72" x14ac:dyDescent="0.2">
      <c r="A299" s="1">
        <v>44580.000694444447</v>
      </c>
      <c r="B299" s="1">
        <v>44580.004861111112</v>
      </c>
      <c r="C299">
        <v>1</v>
      </c>
      <c r="D299">
        <v>0</v>
      </c>
      <c r="E299">
        <v>0</v>
      </c>
      <c r="F299">
        <v>0</v>
      </c>
      <c r="H299">
        <v>1</v>
      </c>
      <c r="I299">
        <v>0</v>
      </c>
      <c r="J299">
        <v>0</v>
      </c>
      <c r="K299">
        <v>0</v>
      </c>
      <c r="L299">
        <v>0</v>
      </c>
      <c r="P299">
        <v>1</v>
      </c>
      <c r="Q299">
        <v>0</v>
      </c>
      <c r="R299">
        <v>0</v>
      </c>
      <c r="S299">
        <v>0</v>
      </c>
      <c r="T299">
        <v>0</v>
      </c>
      <c r="U299">
        <v>0</v>
      </c>
      <c r="V299">
        <v>0</v>
      </c>
      <c r="W299">
        <v>0</v>
      </c>
      <c r="X299">
        <v>0</v>
      </c>
      <c r="Y299">
        <v>0</v>
      </c>
      <c r="Z299">
        <v>0</v>
      </c>
      <c r="AA299">
        <v>0</v>
      </c>
      <c r="AC299">
        <v>0</v>
      </c>
      <c r="AD299">
        <v>0</v>
      </c>
      <c r="AE299">
        <v>1</v>
      </c>
      <c r="AF299">
        <v>0</v>
      </c>
      <c r="AG299">
        <v>0</v>
      </c>
      <c r="AH299">
        <v>0</v>
      </c>
      <c r="AI299">
        <v>0</v>
      </c>
      <c r="AJ299">
        <v>0</v>
      </c>
      <c r="AK299">
        <v>0</v>
      </c>
      <c r="AX299" t="s">
        <v>122</v>
      </c>
      <c r="AZ299" t="s">
        <v>73</v>
      </c>
      <c r="BA299" t="s">
        <v>87</v>
      </c>
      <c r="BB299" t="s">
        <v>86</v>
      </c>
      <c r="BC299" t="s">
        <v>74</v>
      </c>
      <c r="BD299" t="s">
        <v>74</v>
      </c>
      <c r="BE299" t="s">
        <v>86</v>
      </c>
      <c r="BF299" t="s">
        <v>75</v>
      </c>
      <c r="BG299" t="s">
        <v>92</v>
      </c>
      <c r="BH299" t="s">
        <v>98</v>
      </c>
      <c r="BI299" t="s">
        <v>73</v>
      </c>
      <c r="BJ299" t="s">
        <v>78</v>
      </c>
      <c r="BK299">
        <v>1</v>
      </c>
      <c r="BL299">
        <v>0</v>
      </c>
      <c r="BM299">
        <v>0</v>
      </c>
      <c r="BN299">
        <v>0</v>
      </c>
      <c r="BO299">
        <v>0</v>
      </c>
      <c r="BP299">
        <v>0</v>
      </c>
      <c r="BQ299">
        <v>0</v>
      </c>
      <c r="BR299">
        <v>0</v>
      </c>
    </row>
    <row r="300" spans="1:72" x14ac:dyDescent="0.2">
      <c r="A300" s="1">
        <v>44588.919444444444</v>
      </c>
      <c r="B300" s="1">
        <v>44588.921527777777</v>
      </c>
      <c r="C300">
        <v>1</v>
      </c>
      <c r="D300">
        <v>0</v>
      </c>
      <c r="E300">
        <v>0</v>
      </c>
      <c r="F300">
        <v>0</v>
      </c>
      <c r="H300">
        <v>0</v>
      </c>
      <c r="I300">
        <v>1</v>
      </c>
      <c r="J300">
        <v>1</v>
      </c>
      <c r="K300">
        <v>0</v>
      </c>
      <c r="L300">
        <v>0</v>
      </c>
      <c r="N300" t="s">
        <v>88</v>
      </c>
      <c r="O300" t="s">
        <v>89</v>
      </c>
      <c r="P300">
        <v>1</v>
      </c>
      <c r="Q300">
        <v>0</v>
      </c>
      <c r="R300">
        <v>0</v>
      </c>
      <c r="S300">
        <v>0</v>
      </c>
      <c r="T300">
        <v>0</v>
      </c>
      <c r="U300">
        <v>0</v>
      </c>
      <c r="V300">
        <v>0</v>
      </c>
      <c r="W300">
        <v>0</v>
      </c>
      <c r="X300">
        <v>0</v>
      </c>
      <c r="Y300">
        <v>0</v>
      </c>
      <c r="Z300">
        <v>0</v>
      </c>
      <c r="AA300">
        <v>0</v>
      </c>
      <c r="AC300">
        <v>0</v>
      </c>
      <c r="AD300">
        <v>0</v>
      </c>
      <c r="AE300">
        <v>0</v>
      </c>
      <c r="AF300">
        <v>0</v>
      </c>
      <c r="AG300">
        <v>0</v>
      </c>
      <c r="AH300">
        <v>0</v>
      </c>
      <c r="AI300">
        <v>0</v>
      </c>
      <c r="AJ300">
        <v>0</v>
      </c>
      <c r="AK300">
        <v>1</v>
      </c>
      <c r="AL300" t="s">
        <v>238</v>
      </c>
      <c r="AZ300" t="s">
        <v>73</v>
      </c>
      <c r="BA300" t="s">
        <v>87</v>
      </c>
      <c r="BB300" t="s">
        <v>87</v>
      </c>
      <c r="BC300" t="s">
        <v>87</v>
      </c>
      <c r="BD300" t="s">
        <v>86</v>
      </c>
      <c r="BE300" t="s">
        <v>86</v>
      </c>
      <c r="BF300" t="s">
        <v>97</v>
      </c>
      <c r="BG300" t="s">
        <v>92</v>
      </c>
      <c r="BH300" t="s">
        <v>98</v>
      </c>
      <c r="BI300" t="s">
        <v>73</v>
      </c>
      <c r="BJ300" t="s">
        <v>114</v>
      </c>
      <c r="BK300">
        <v>1</v>
      </c>
      <c r="BL300">
        <v>0</v>
      </c>
      <c r="BM300">
        <v>0</v>
      </c>
      <c r="BN300">
        <v>0</v>
      </c>
      <c r="BO300">
        <v>0</v>
      </c>
      <c r="BP300">
        <v>0</v>
      </c>
      <c r="BQ300">
        <v>0</v>
      </c>
      <c r="BR300">
        <v>0</v>
      </c>
    </row>
    <row r="301" spans="1:72" x14ac:dyDescent="0.2">
      <c r="A301" s="1">
        <v>44579.95</v>
      </c>
      <c r="B301" s="1">
        <v>44579.958333333336</v>
      </c>
      <c r="C301">
        <v>1</v>
      </c>
      <c r="D301">
        <v>0</v>
      </c>
      <c r="E301">
        <v>0</v>
      </c>
      <c r="F301">
        <v>0</v>
      </c>
      <c r="H301">
        <v>0</v>
      </c>
      <c r="I301">
        <v>0</v>
      </c>
      <c r="J301">
        <v>1</v>
      </c>
      <c r="K301">
        <v>1</v>
      </c>
      <c r="L301">
        <v>0</v>
      </c>
      <c r="N301" t="s">
        <v>88</v>
      </c>
      <c r="O301" t="s">
        <v>89</v>
      </c>
      <c r="P301">
        <v>0</v>
      </c>
      <c r="Q301">
        <v>0</v>
      </c>
      <c r="R301">
        <v>1</v>
      </c>
      <c r="S301">
        <v>0</v>
      </c>
      <c r="T301">
        <v>0</v>
      </c>
      <c r="U301">
        <v>0</v>
      </c>
      <c r="V301">
        <v>0</v>
      </c>
      <c r="W301">
        <v>0</v>
      </c>
      <c r="X301">
        <v>0</v>
      </c>
      <c r="Y301">
        <v>0</v>
      </c>
      <c r="Z301">
        <v>0</v>
      </c>
      <c r="AA301">
        <v>0</v>
      </c>
      <c r="AM301" t="s">
        <v>83</v>
      </c>
      <c r="AN301" t="s">
        <v>81</v>
      </c>
      <c r="AO301" t="s">
        <v>82</v>
      </c>
      <c r="AP301" t="s">
        <v>82</v>
      </c>
      <c r="AQ301" t="s">
        <v>83</v>
      </c>
      <c r="AR301" t="s">
        <v>83</v>
      </c>
      <c r="AS301" t="s">
        <v>83</v>
      </c>
      <c r="AT301" t="s">
        <v>83</v>
      </c>
      <c r="AU301" t="s">
        <v>88</v>
      </c>
      <c r="AV301" t="s">
        <v>89</v>
      </c>
      <c r="AW301" t="s">
        <v>100</v>
      </c>
      <c r="AZ301" t="s">
        <v>107</v>
      </c>
      <c r="BA301" t="s">
        <v>87</v>
      </c>
      <c r="BB301" t="s">
        <v>74</v>
      </c>
      <c r="BC301" t="s">
        <v>74</v>
      </c>
      <c r="BD301" t="s">
        <v>87</v>
      </c>
      <c r="BE301" t="s">
        <v>74</v>
      </c>
      <c r="BF301" t="s">
        <v>97</v>
      </c>
      <c r="BG301" t="s">
        <v>92</v>
      </c>
      <c r="BH301" t="s">
        <v>158</v>
      </c>
      <c r="BI301" t="s">
        <v>107</v>
      </c>
      <c r="BJ301" t="s">
        <v>102</v>
      </c>
      <c r="BK301">
        <v>1</v>
      </c>
      <c r="BL301">
        <v>0</v>
      </c>
      <c r="BM301">
        <v>0</v>
      </c>
      <c r="BN301">
        <v>0</v>
      </c>
      <c r="BO301">
        <v>0</v>
      </c>
      <c r="BP301">
        <v>0</v>
      </c>
      <c r="BQ301">
        <v>0</v>
      </c>
      <c r="BR301">
        <v>0</v>
      </c>
    </row>
    <row r="302" spans="1:72" x14ac:dyDescent="0.2">
      <c r="A302" s="1">
        <v>44588.88958333333</v>
      </c>
      <c r="B302" s="1">
        <v>44588.893055555556</v>
      </c>
      <c r="C302">
        <v>1</v>
      </c>
      <c r="D302">
        <v>0</v>
      </c>
      <c r="E302">
        <v>0</v>
      </c>
      <c r="F302">
        <v>0</v>
      </c>
      <c r="H302">
        <v>1</v>
      </c>
      <c r="I302">
        <v>0</v>
      </c>
      <c r="J302">
        <v>0</v>
      </c>
      <c r="K302">
        <v>0</v>
      </c>
      <c r="L302">
        <v>0</v>
      </c>
      <c r="P302">
        <v>0</v>
      </c>
      <c r="Q302">
        <v>0</v>
      </c>
      <c r="R302">
        <v>1</v>
      </c>
      <c r="S302">
        <v>0</v>
      </c>
      <c r="T302">
        <v>0</v>
      </c>
      <c r="U302">
        <v>0</v>
      </c>
      <c r="V302">
        <v>0</v>
      </c>
      <c r="W302">
        <v>0</v>
      </c>
      <c r="X302">
        <v>0</v>
      </c>
      <c r="Y302">
        <v>0</v>
      </c>
      <c r="Z302">
        <v>0</v>
      </c>
      <c r="AA302">
        <v>0</v>
      </c>
      <c r="AM302" t="s">
        <v>90</v>
      </c>
      <c r="AN302" t="s">
        <v>82</v>
      </c>
      <c r="AO302" t="s">
        <v>90</v>
      </c>
      <c r="AP302" t="s">
        <v>90</v>
      </c>
      <c r="AQ302" t="s">
        <v>90</v>
      </c>
      <c r="AR302" t="s">
        <v>90</v>
      </c>
      <c r="AS302" t="s">
        <v>90</v>
      </c>
      <c r="AT302" t="s">
        <v>90</v>
      </c>
      <c r="AU302" t="s">
        <v>88</v>
      </c>
      <c r="AV302" t="s">
        <v>142</v>
      </c>
      <c r="AW302" t="s">
        <v>153</v>
      </c>
      <c r="AX302" t="s">
        <v>122</v>
      </c>
      <c r="AZ302" t="s">
        <v>73</v>
      </c>
      <c r="BA302" t="s">
        <v>87</v>
      </c>
      <c r="BB302" t="s">
        <v>74</v>
      </c>
      <c r="BC302" t="s">
        <v>87</v>
      </c>
      <c r="BD302" t="s">
        <v>74</v>
      </c>
      <c r="BE302" t="s">
        <v>74</v>
      </c>
      <c r="BF302" t="s">
        <v>75</v>
      </c>
      <c r="BG302" t="s">
        <v>92</v>
      </c>
      <c r="BH302" t="s">
        <v>98</v>
      </c>
      <c r="BI302" t="s">
        <v>73</v>
      </c>
      <c r="BK302">
        <v>1</v>
      </c>
      <c r="BL302">
        <v>0</v>
      </c>
      <c r="BM302">
        <v>0</v>
      </c>
      <c r="BN302">
        <v>0</v>
      </c>
      <c r="BO302">
        <v>0</v>
      </c>
      <c r="BP302">
        <v>0</v>
      </c>
      <c r="BQ302">
        <v>0</v>
      </c>
      <c r="BR302">
        <v>0</v>
      </c>
    </row>
    <row r="303" spans="1:72" x14ac:dyDescent="0.2">
      <c r="A303" s="1">
        <v>44579.97152777778</v>
      </c>
      <c r="B303" s="1">
        <v>44579.974305555559</v>
      </c>
      <c r="C303">
        <v>1</v>
      </c>
      <c r="D303">
        <v>0</v>
      </c>
      <c r="E303">
        <v>0</v>
      </c>
      <c r="F303">
        <v>0</v>
      </c>
      <c r="H303">
        <v>1</v>
      </c>
      <c r="I303">
        <v>0</v>
      </c>
      <c r="J303">
        <v>0</v>
      </c>
      <c r="K303">
        <v>0</v>
      </c>
      <c r="L303">
        <v>0</v>
      </c>
      <c r="P303">
        <v>0</v>
      </c>
      <c r="Q303">
        <v>1</v>
      </c>
      <c r="R303">
        <v>0</v>
      </c>
      <c r="S303">
        <v>0</v>
      </c>
      <c r="T303">
        <v>0</v>
      </c>
      <c r="U303">
        <v>0</v>
      </c>
      <c r="V303">
        <v>0</v>
      </c>
      <c r="W303">
        <v>0</v>
      </c>
      <c r="X303">
        <v>0</v>
      </c>
      <c r="Y303">
        <v>0</v>
      </c>
      <c r="Z303">
        <v>0</v>
      </c>
      <c r="AA303">
        <v>0</v>
      </c>
      <c r="AM303" t="s">
        <v>81</v>
      </c>
      <c r="AN303" t="s">
        <v>83</v>
      </c>
      <c r="AO303" t="s">
        <v>83</v>
      </c>
      <c r="AP303" t="s">
        <v>90</v>
      </c>
      <c r="AQ303" t="s">
        <v>81</v>
      </c>
      <c r="AR303" t="s">
        <v>81</v>
      </c>
      <c r="AS303" t="s">
        <v>81</v>
      </c>
      <c r="AT303" t="s">
        <v>83</v>
      </c>
      <c r="AU303" t="s">
        <v>135</v>
      </c>
      <c r="AV303" t="s">
        <v>142</v>
      </c>
      <c r="AW303" t="s">
        <v>85</v>
      </c>
      <c r="AZ303" t="s">
        <v>96</v>
      </c>
      <c r="BA303" t="s">
        <v>74</v>
      </c>
      <c r="BF303" t="s">
        <v>97</v>
      </c>
      <c r="BG303" t="s">
        <v>92</v>
      </c>
      <c r="BH303" t="s">
        <v>98</v>
      </c>
      <c r="BI303" t="s">
        <v>96</v>
      </c>
      <c r="BJ303" t="s">
        <v>187</v>
      </c>
      <c r="BK303">
        <v>1</v>
      </c>
      <c r="BL303">
        <v>0</v>
      </c>
      <c r="BM303">
        <v>0</v>
      </c>
      <c r="BN303">
        <v>0</v>
      </c>
      <c r="BO303">
        <v>0</v>
      </c>
      <c r="BP303">
        <v>0</v>
      </c>
      <c r="BQ303">
        <v>0</v>
      </c>
      <c r="BR303">
        <v>0</v>
      </c>
    </row>
    <row r="304" spans="1:72" x14ac:dyDescent="0.2">
      <c r="A304" s="1">
        <v>44589.075694444444</v>
      </c>
      <c r="B304" s="1">
        <v>44589.078472222223</v>
      </c>
      <c r="C304">
        <v>0</v>
      </c>
      <c r="D304">
        <v>1</v>
      </c>
      <c r="E304">
        <v>0</v>
      </c>
      <c r="F304">
        <v>0</v>
      </c>
      <c r="H304">
        <v>1</v>
      </c>
      <c r="I304">
        <v>0</v>
      </c>
      <c r="J304">
        <v>0</v>
      </c>
      <c r="K304">
        <v>0</v>
      </c>
      <c r="L304">
        <v>0</v>
      </c>
      <c r="P304">
        <v>0</v>
      </c>
      <c r="Q304">
        <v>0</v>
      </c>
      <c r="R304">
        <v>0</v>
      </c>
      <c r="S304">
        <v>0</v>
      </c>
      <c r="T304">
        <v>1</v>
      </c>
      <c r="U304">
        <v>0</v>
      </c>
      <c r="V304">
        <v>0</v>
      </c>
      <c r="W304">
        <v>0</v>
      </c>
      <c r="X304">
        <v>0</v>
      </c>
      <c r="Y304">
        <v>0</v>
      </c>
      <c r="Z304">
        <v>0</v>
      </c>
      <c r="AA304">
        <v>0</v>
      </c>
      <c r="AM304" t="s">
        <v>90</v>
      </c>
      <c r="AN304" t="s">
        <v>90</v>
      </c>
      <c r="AO304" t="s">
        <v>90</v>
      </c>
      <c r="AP304" t="s">
        <v>90</v>
      </c>
      <c r="AQ304" t="s">
        <v>82</v>
      </c>
      <c r="AR304" t="s">
        <v>90</v>
      </c>
      <c r="AS304" t="s">
        <v>90</v>
      </c>
      <c r="AT304" t="s">
        <v>90</v>
      </c>
      <c r="AU304" t="s">
        <v>127</v>
      </c>
      <c r="AV304" t="s">
        <v>127</v>
      </c>
      <c r="AX304" t="s">
        <v>72</v>
      </c>
      <c r="AZ304" t="s">
        <v>120</v>
      </c>
      <c r="BA304" t="s">
        <v>74</v>
      </c>
      <c r="BF304" t="s">
        <v>75</v>
      </c>
      <c r="BG304" t="s">
        <v>92</v>
      </c>
      <c r="BH304" t="s">
        <v>98</v>
      </c>
      <c r="BI304" t="s">
        <v>120</v>
      </c>
      <c r="BJ304" t="s">
        <v>114</v>
      </c>
      <c r="BK304">
        <v>1</v>
      </c>
      <c r="BL304">
        <v>0</v>
      </c>
      <c r="BM304">
        <v>0</v>
      </c>
      <c r="BN304">
        <v>0</v>
      </c>
      <c r="BO304">
        <v>0</v>
      </c>
      <c r="BP304">
        <v>0</v>
      </c>
      <c r="BQ304">
        <v>0</v>
      </c>
      <c r="BR304">
        <v>0</v>
      </c>
    </row>
    <row r="305" spans="1:72" x14ac:dyDescent="0.2">
      <c r="A305" s="1">
        <v>44580.612500000003</v>
      </c>
      <c r="B305" s="1">
        <v>44585.720138888886</v>
      </c>
      <c r="C305">
        <v>1</v>
      </c>
      <c r="D305">
        <v>0</v>
      </c>
      <c r="E305">
        <v>0</v>
      </c>
      <c r="F305">
        <v>0</v>
      </c>
      <c r="H305">
        <v>1</v>
      </c>
      <c r="I305">
        <v>0</v>
      </c>
      <c r="J305">
        <v>0</v>
      </c>
      <c r="K305">
        <v>0</v>
      </c>
      <c r="L305">
        <v>0</v>
      </c>
      <c r="P305">
        <v>1</v>
      </c>
      <c r="Q305">
        <v>0</v>
      </c>
      <c r="R305">
        <v>0</v>
      </c>
      <c r="S305">
        <v>0</v>
      </c>
      <c r="T305">
        <v>0</v>
      </c>
      <c r="U305">
        <v>0</v>
      </c>
      <c r="V305">
        <v>0</v>
      </c>
      <c r="W305">
        <v>0</v>
      </c>
      <c r="X305">
        <v>0</v>
      </c>
      <c r="Y305">
        <v>0</v>
      </c>
      <c r="Z305">
        <v>0</v>
      </c>
      <c r="AA305">
        <v>0</v>
      </c>
      <c r="AC305">
        <v>0</v>
      </c>
      <c r="AD305">
        <v>1</v>
      </c>
      <c r="AE305">
        <v>0</v>
      </c>
      <c r="AF305">
        <v>0</v>
      </c>
      <c r="AG305">
        <v>0</v>
      </c>
      <c r="AH305">
        <v>0</v>
      </c>
      <c r="AI305">
        <v>0</v>
      </c>
      <c r="AJ305">
        <v>0</v>
      </c>
      <c r="AK305">
        <v>0</v>
      </c>
      <c r="AZ305" t="s">
        <v>120</v>
      </c>
      <c r="BA305" t="s">
        <v>74</v>
      </c>
      <c r="BF305" t="s">
        <v>97</v>
      </c>
      <c r="BG305" t="s">
        <v>92</v>
      </c>
      <c r="BH305" t="s">
        <v>98</v>
      </c>
      <c r="BI305" t="s">
        <v>120</v>
      </c>
      <c r="BJ305" t="s">
        <v>114</v>
      </c>
      <c r="BK305">
        <v>1</v>
      </c>
      <c r="BL305">
        <v>0</v>
      </c>
      <c r="BM305">
        <v>0</v>
      </c>
      <c r="BN305">
        <v>0</v>
      </c>
      <c r="BO305">
        <v>0</v>
      </c>
      <c r="BP305">
        <v>0</v>
      </c>
      <c r="BQ305">
        <v>0</v>
      </c>
      <c r="BR305">
        <v>0</v>
      </c>
    </row>
    <row r="306" spans="1:72" x14ac:dyDescent="0.2">
      <c r="A306" s="1">
        <v>44588.910416666666</v>
      </c>
      <c r="B306" s="1">
        <v>44588.96597222222</v>
      </c>
      <c r="C306">
        <v>1</v>
      </c>
      <c r="D306">
        <v>0</v>
      </c>
      <c r="E306">
        <v>0</v>
      </c>
      <c r="F306">
        <v>0</v>
      </c>
      <c r="H306">
        <v>0</v>
      </c>
      <c r="I306">
        <v>1</v>
      </c>
      <c r="J306">
        <v>0</v>
      </c>
      <c r="K306">
        <v>1</v>
      </c>
      <c r="L306">
        <v>0</v>
      </c>
      <c r="N306" t="s">
        <v>88</v>
      </c>
      <c r="O306" t="s">
        <v>127</v>
      </c>
      <c r="P306">
        <v>0</v>
      </c>
      <c r="Q306">
        <v>0</v>
      </c>
      <c r="R306">
        <v>1</v>
      </c>
      <c r="S306">
        <v>0</v>
      </c>
      <c r="T306">
        <v>0</v>
      </c>
      <c r="U306">
        <v>0</v>
      </c>
      <c r="V306">
        <v>0</v>
      </c>
      <c r="W306">
        <v>0</v>
      </c>
      <c r="X306">
        <v>0</v>
      </c>
      <c r="Y306">
        <v>0</v>
      </c>
      <c r="Z306">
        <v>0</v>
      </c>
      <c r="AA306">
        <v>0</v>
      </c>
      <c r="AM306" t="s">
        <v>83</v>
      </c>
      <c r="AN306" t="s">
        <v>82</v>
      </c>
      <c r="AO306" t="s">
        <v>83</v>
      </c>
      <c r="AP306" t="s">
        <v>83</v>
      </c>
      <c r="AQ306" t="s">
        <v>81</v>
      </c>
      <c r="AR306" t="s">
        <v>81</v>
      </c>
      <c r="AS306" t="s">
        <v>81</v>
      </c>
      <c r="AT306" t="s">
        <v>83</v>
      </c>
      <c r="AU306" t="s">
        <v>88</v>
      </c>
      <c r="AV306" t="s">
        <v>127</v>
      </c>
      <c r="AW306" t="s">
        <v>100</v>
      </c>
      <c r="AX306" t="s">
        <v>72</v>
      </c>
      <c r="AZ306" t="s">
        <v>73</v>
      </c>
      <c r="BA306" t="s">
        <v>87</v>
      </c>
      <c r="BB306" t="s">
        <v>74</v>
      </c>
      <c r="BC306" t="s">
        <v>87</v>
      </c>
      <c r="BD306" t="s">
        <v>86</v>
      </c>
      <c r="BE306" t="s">
        <v>87</v>
      </c>
      <c r="BF306" t="s">
        <v>108</v>
      </c>
      <c r="BG306" t="s">
        <v>76</v>
      </c>
      <c r="BH306" t="s">
        <v>98</v>
      </c>
      <c r="BI306" t="s">
        <v>73</v>
      </c>
      <c r="BJ306" t="s">
        <v>114</v>
      </c>
      <c r="BK306">
        <v>1</v>
      </c>
      <c r="BL306">
        <v>0</v>
      </c>
      <c r="BM306">
        <v>0</v>
      </c>
      <c r="BN306">
        <v>0</v>
      </c>
      <c r="BO306">
        <v>0</v>
      </c>
      <c r="BP306">
        <v>0</v>
      </c>
      <c r="BQ306">
        <v>0</v>
      </c>
      <c r="BR306">
        <v>0</v>
      </c>
    </row>
    <row r="307" spans="1:72" x14ac:dyDescent="0.2">
      <c r="A307" s="1">
        <v>44585.944444444445</v>
      </c>
      <c r="B307" s="1">
        <v>44585.946527777778</v>
      </c>
      <c r="C307">
        <v>0</v>
      </c>
      <c r="D307">
        <v>1</v>
      </c>
      <c r="E307">
        <v>0</v>
      </c>
      <c r="F307">
        <v>0</v>
      </c>
      <c r="H307">
        <v>1</v>
      </c>
      <c r="I307">
        <v>0</v>
      </c>
      <c r="J307">
        <v>0</v>
      </c>
      <c r="K307">
        <v>0</v>
      </c>
      <c r="L307">
        <v>0</v>
      </c>
      <c r="P307">
        <v>1</v>
      </c>
      <c r="Q307">
        <v>0</v>
      </c>
      <c r="R307">
        <v>0</v>
      </c>
      <c r="S307">
        <v>0</v>
      </c>
      <c r="T307">
        <v>0</v>
      </c>
      <c r="U307">
        <v>0</v>
      </c>
      <c r="V307">
        <v>0</v>
      </c>
      <c r="W307">
        <v>0</v>
      </c>
      <c r="X307">
        <v>0</v>
      </c>
      <c r="Y307">
        <v>0</v>
      </c>
      <c r="Z307">
        <v>0</v>
      </c>
      <c r="AA307">
        <v>0</v>
      </c>
      <c r="AC307">
        <v>0</v>
      </c>
      <c r="AD307">
        <v>0</v>
      </c>
      <c r="AE307">
        <v>1</v>
      </c>
      <c r="AF307">
        <v>0</v>
      </c>
      <c r="AG307">
        <v>0</v>
      </c>
      <c r="AH307">
        <v>0</v>
      </c>
      <c r="AI307">
        <v>0</v>
      </c>
      <c r="AJ307">
        <v>0</v>
      </c>
      <c r="AK307">
        <v>0</v>
      </c>
      <c r="AZ307" t="s">
        <v>120</v>
      </c>
      <c r="BA307" t="s">
        <v>87</v>
      </c>
      <c r="BB307" t="s">
        <v>87</v>
      </c>
      <c r="BC307" t="s">
        <v>87</v>
      </c>
      <c r="BD307" t="s">
        <v>87</v>
      </c>
      <c r="BE307" t="s">
        <v>87</v>
      </c>
      <c r="BF307" t="s">
        <v>101</v>
      </c>
      <c r="BG307" t="s">
        <v>92</v>
      </c>
      <c r="BH307" t="s">
        <v>98</v>
      </c>
      <c r="BI307" t="s">
        <v>120</v>
      </c>
      <c r="BJ307" t="s">
        <v>114</v>
      </c>
      <c r="BK307">
        <v>1</v>
      </c>
      <c r="BL307">
        <v>0</v>
      </c>
      <c r="BM307">
        <v>0</v>
      </c>
      <c r="BN307">
        <v>0</v>
      </c>
      <c r="BO307">
        <v>0</v>
      </c>
      <c r="BP307">
        <v>0</v>
      </c>
      <c r="BQ307">
        <v>0</v>
      </c>
      <c r="BR307">
        <v>0</v>
      </c>
    </row>
    <row r="308" spans="1:72" x14ac:dyDescent="0.2">
      <c r="A308" s="1">
        <v>44585.979861111111</v>
      </c>
      <c r="B308" s="1">
        <v>44585.981249999997</v>
      </c>
      <c r="C308">
        <v>1</v>
      </c>
      <c r="D308">
        <v>0</v>
      </c>
      <c r="E308">
        <v>0</v>
      </c>
      <c r="F308">
        <v>0</v>
      </c>
      <c r="H308">
        <v>1</v>
      </c>
      <c r="I308">
        <v>0</v>
      </c>
      <c r="J308">
        <v>0</v>
      </c>
      <c r="K308">
        <v>0</v>
      </c>
      <c r="L308">
        <v>0</v>
      </c>
      <c r="P308">
        <v>0</v>
      </c>
      <c r="Q308">
        <v>1</v>
      </c>
      <c r="R308">
        <v>0</v>
      </c>
      <c r="S308">
        <v>0</v>
      </c>
      <c r="T308">
        <v>0</v>
      </c>
      <c r="U308">
        <v>0</v>
      </c>
      <c r="V308">
        <v>0</v>
      </c>
      <c r="W308">
        <v>0</v>
      </c>
      <c r="X308">
        <v>0</v>
      </c>
      <c r="Y308">
        <v>0</v>
      </c>
      <c r="Z308">
        <v>0</v>
      </c>
      <c r="AA308">
        <v>0</v>
      </c>
      <c r="AM308" t="s">
        <v>83</v>
      </c>
      <c r="AN308" t="s">
        <v>81</v>
      </c>
      <c r="AO308" t="s">
        <v>83</v>
      </c>
      <c r="AP308" t="s">
        <v>83</v>
      </c>
      <c r="AQ308" t="s">
        <v>83</v>
      </c>
      <c r="AR308" t="s">
        <v>83</v>
      </c>
      <c r="AS308" t="s">
        <v>83</v>
      </c>
      <c r="AT308" t="s">
        <v>83</v>
      </c>
      <c r="AU308" t="s">
        <v>135</v>
      </c>
      <c r="AV308" t="s">
        <v>80</v>
      </c>
      <c r="AW308" t="s">
        <v>117</v>
      </c>
      <c r="AZ308" t="s">
        <v>96</v>
      </c>
      <c r="BA308" t="s">
        <v>87</v>
      </c>
      <c r="BB308" t="s">
        <v>87</v>
      </c>
      <c r="BC308" t="s">
        <v>87</v>
      </c>
      <c r="BD308" t="s">
        <v>87</v>
      </c>
      <c r="BE308" t="s">
        <v>87</v>
      </c>
      <c r="BF308" t="s">
        <v>97</v>
      </c>
      <c r="BG308" t="s">
        <v>76</v>
      </c>
      <c r="BH308" t="s">
        <v>98</v>
      </c>
      <c r="BI308" t="s">
        <v>96</v>
      </c>
      <c r="BK308">
        <v>0</v>
      </c>
      <c r="BL308">
        <v>0</v>
      </c>
      <c r="BM308">
        <v>0</v>
      </c>
      <c r="BN308">
        <v>0</v>
      </c>
      <c r="BO308">
        <v>0</v>
      </c>
      <c r="BP308">
        <v>1</v>
      </c>
      <c r="BQ308">
        <v>0</v>
      </c>
      <c r="BR308">
        <v>0</v>
      </c>
      <c r="BT308" t="s">
        <v>109</v>
      </c>
    </row>
    <row r="309" spans="1:72" x14ac:dyDescent="0.2">
      <c r="A309" s="1">
        <v>44585.554166666669</v>
      </c>
      <c r="B309" s="1">
        <v>44585.556944444441</v>
      </c>
      <c r="C309">
        <v>0</v>
      </c>
      <c r="D309">
        <v>1</v>
      </c>
      <c r="E309">
        <v>0</v>
      </c>
      <c r="F309">
        <v>0</v>
      </c>
      <c r="H309">
        <v>0</v>
      </c>
      <c r="I309">
        <v>1</v>
      </c>
      <c r="J309">
        <v>0</v>
      </c>
      <c r="K309">
        <v>1</v>
      </c>
      <c r="L309">
        <v>0</v>
      </c>
      <c r="N309" t="s">
        <v>88</v>
      </c>
      <c r="O309" t="s">
        <v>89</v>
      </c>
      <c r="P309">
        <v>0</v>
      </c>
      <c r="Q309">
        <v>0</v>
      </c>
      <c r="R309">
        <v>0</v>
      </c>
      <c r="S309">
        <v>0</v>
      </c>
      <c r="T309">
        <v>1</v>
      </c>
      <c r="U309">
        <v>0</v>
      </c>
      <c r="V309">
        <v>0</v>
      </c>
      <c r="W309">
        <v>0</v>
      </c>
      <c r="X309">
        <v>0</v>
      </c>
      <c r="Y309">
        <v>0</v>
      </c>
      <c r="Z309">
        <v>0</v>
      </c>
      <c r="AA309">
        <v>0</v>
      </c>
      <c r="AM309" t="s">
        <v>83</v>
      </c>
      <c r="AN309" t="s">
        <v>82</v>
      </c>
      <c r="AO309" t="s">
        <v>81</v>
      </c>
      <c r="AP309" t="s">
        <v>81</v>
      </c>
      <c r="AQ309" t="s">
        <v>81</v>
      </c>
      <c r="AR309" t="s">
        <v>81</v>
      </c>
      <c r="AS309" t="s">
        <v>83</v>
      </c>
      <c r="AT309" t="s">
        <v>82</v>
      </c>
      <c r="AU309" t="s">
        <v>88</v>
      </c>
      <c r="AV309" t="s">
        <v>89</v>
      </c>
      <c r="AW309" t="s">
        <v>85</v>
      </c>
      <c r="AX309" t="s">
        <v>110</v>
      </c>
      <c r="AY309" t="s">
        <v>239</v>
      </c>
      <c r="AZ309" t="s">
        <v>73</v>
      </c>
      <c r="BA309" t="s">
        <v>87</v>
      </c>
      <c r="BB309" t="s">
        <v>87</v>
      </c>
      <c r="BC309" t="s">
        <v>87</v>
      </c>
      <c r="BD309" t="s">
        <v>86</v>
      </c>
      <c r="BE309" t="s">
        <v>86</v>
      </c>
      <c r="BF309" t="s">
        <v>75</v>
      </c>
      <c r="BG309" t="s">
        <v>76</v>
      </c>
      <c r="BH309" t="s">
        <v>98</v>
      </c>
      <c r="BI309" t="s">
        <v>73</v>
      </c>
      <c r="BJ309" t="s">
        <v>114</v>
      </c>
      <c r="BK309">
        <v>1</v>
      </c>
      <c r="BL309">
        <v>0</v>
      </c>
      <c r="BM309">
        <v>0</v>
      </c>
      <c r="BN309">
        <v>0</v>
      </c>
      <c r="BO309">
        <v>0</v>
      </c>
      <c r="BP309">
        <v>0</v>
      </c>
      <c r="BQ309">
        <v>0</v>
      </c>
      <c r="BR309">
        <v>0</v>
      </c>
    </row>
    <row r="310" spans="1:72" x14ac:dyDescent="0.2">
      <c r="A310" s="1">
        <v>44585.731249999997</v>
      </c>
      <c r="B310" s="1">
        <v>44585.736805555556</v>
      </c>
      <c r="C310">
        <v>1</v>
      </c>
      <c r="D310">
        <v>0</v>
      </c>
      <c r="E310">
        <v>0</v>
      </c>
      <c r="F310">
        <v>0</v>
      </c>
      <c r="H310">
        <v>0</v>
      </c>
      <c r="I310">
        <v>1</v>
      </c>
      <c r="J310">
        <v>1</v>
      </c>
      <c r="K310">
        <v>1</v>
      </c>
      <c r="L310">
        <v>0</v>
      </c>
      <c r="N310" t="s">
        <v>88</v>
      </c>
      <c r="O310" t="s">
        <v>142</v>
      </c>
      <c r="P310">
        <v>0</v>
      </c>
      <c r="Q310">
        <v>0</v>
      </c>
      <c r="R310">
        <v>1</v>
      </c>
      <c r="S310">
        <v>0</v>
      </c>
      <c r="T310">
        <v>0</v>
      </c>
      <c r="U310">
        <v>0</v>
      </c>
      <c r="V310">
        <v>0</v>
      </c>
      <c r="W310">
        <v>0</v>
      </c>
      <c r="X310">
        <v>0</v>
      </c>
      <c r="Y310">
        <v>0</v>
      </c>
      <c r="Z310">
        <v>0</v>
      </c>
      <c r="AA310">
        <v>0</v>
      </c>
      <c r="AM310" t="s">
        <v>83</v>
      </c>
      <c r="AN310" t="s">
        <v>82</v>
      </c>
      <c r="AO310" t="s">
        <v>82</v>
      </c>
      <c r="AP310" t="s">
        <v>82</v>
      </c>
      <c r="AQ310" t="s">
        <v>81</v>
      </c>
      <c r="AR310" t="s">
        <v>83</v>
      </c>
      <c r="AS310" t="s">
        <v>83</v>
      </c>
      <c r="AT310" t="s">
        <v>83</v>
      </c>
      <c r="AU310" t="s">
        <v>88</v>
      </c>
      <c r="AV310" t="s">
        <v>89</v>
      </c>
      <c r="AW310" t="s">
        <v>100</v>
      </c>
      <c r="AX310" t="s">
        <v>179</v>
      </c>
      <c r="AZ310" t="s">
        <v>120</v>
      </c>
      <c r="BA310" t="s">
        <v>87</v>
      </c>
      <c r="BB310" t="s">
        <v>87</v>
      </c>
      <c r="BC310" t="s">
        <v>87</v>
      </c>
      <c r="BD310" t="s">
        <v>87</v>
      </c>
      <c r="BE310" t="s">
        <v>87</v>
      </c>
      <c r="BF310" t="s">
        <v>75</v>
      </c>
      <c r="BG310" t="s">
        <v>92</v>
      </c>
      <c r="BH310" t="s">
        <v>77</v>
      </c>
      <c r="BI310" t="s">
        <v>120</v>
      </c>
      <c r="BJ310" t="s">
        <v>114</v>
      </c>
      <c r="BK310">
        <v>1</v>
      </c>
      <c r="BL310">
        <v>0</v>
      </c>
      <c r="BM310">
        <v>0</v>
      </c>
      <c r="BN310">
        <v>0</v>
      </c>
      <c r="BO310">
        <v>0</v>
      </c>
      <c r="BP310">
        <v>0</v>
      </c>
      <c r="BQ310">
        <v>0</v>
      </c>
      <c r="BR310">
        <v>0</v>
      </c>
    </row>
    <row r="311" spans="1:72" x14ac:dyDescent="0.2">
      <c r="A311" s="1">
        <v>44579.925694444442</v>
      </c>
      <c r="B311" s="1">
        <v>44579.927083333336</v>
      </c>
      <c r="C311">
        <v>0</v>
      </c>
      <c r="D311">
        <v>1</v>
      </c>
      <c r="E311">
        <v>0</v>
      </c>
      <c r="F311">
        <v>0</v>
      </c>
      <c r="H311">
        <v>1</v>
      </c>
      <c r="I311">
        <v>0</v>
      </c>
      <c r="J311">
        <v>0</v>
      </c>
      <c r="K311">
        <v>0</v>
      </c>
      <c r="L311">
        <v>0</v>
      </c>
      <c r="P311">
        <v>1</v>
      </c>
      <c r="Q311">
        <v>0</v>
      </c>
      <c r="R311">
        <v>0</v>
      </c>
      <c r="S311">
        <v>0</v>
      </c>
      <c r="T311">
        <v>0</v>
      </c>
      <c r="U311">
        <v>0</v>
      </c>
      <c r="V311">
        <v>0</v>
      </c>
      <c r="W311">
        <v>0</v>
      </c>
      <c r="X311">
        <v>0</v>
      </c>
      <c r="Y311">
        <v>0</v>
      </c>
      <c r="Z311">
        <v>0</v>
      </c>
      <c r="AA311">
        <v>0</v>
      </c>
      <c r="AC311">
        <v>0</v>
      </c>
      <c r="AD311">
        <v>1</v>
      </c>
      <c r="AE311">
        <v>0</v>
      </c>
      <c r="AF311">
        <v>0</v>
      </c>
      <c r="AG311">
        <v>0</v>
      </c>
      <c r="AH311">
        <v>0</v>
      </c>
      <c r="AI311">
        <v>0</v>
      </c>
      <c r="AJ311">
        <v>0</v>
      </c>
      <c r="AK311">
        <v>0</v>
      </c>
      <c r="AZ311" t="s">
        <v>107</v>
      </c>
      <c r="BA311" t="s">
        <v>74</v>
      </c>
      <c r="BF311" t="s">
        <v>97</v>
      </c>
      <c r="BG311" t="s">
        <v>92</v>
      </c>
      <c r="BH311" t="s">
        <v>158</v>
      </c>
      <c r="BI311" t="s">
        <v>107</v>
      </c>
      <c r="BJ311" t="s">
        <v>114</v>
      </c>
      <c r="BK311">
        <v>1</v>
      </c>
      <c r="BL311">
        <v>0</v>
      </c>
      <c r="BM311">
        <v>0</v>
      </c>
      <c r="BN311">
        <v>0</v>
      </c>
      <c r="BO311">
        <v>0</v>
      </c>
      <c r="BP311">
        <v>0</v>
      </c>
      <c r="BQ311">
        <v>0</v>
      </c>
      <c r="BR311">
        <v>0</v>
      </c>
    </row>
    <row r="312" spans="1:72" x14ac:dyDescent="0.2">
      <c r="A312" s="1">
        <v>44585.56527777778</v>
      </c>
      <c r="B312" s="1">
        <v>44585.568055555559</v>
      </c>
      <c r="C312">
        <v>1</v>
      </c>
      <c r="D312">
        <v>0</v>
      </c>
      <c r="E312">
        <v>0</v>
      </c>
      <c r="F312">
        <v>0</v>
      </c>
      <c r="H312">
        <v>1</v>
      </c>
      <c r="I312">
        <v>0</v>
      </c>
      <c r="J312">
        <v>0</v>
      </c>
      <c r="K312">
        <v>0</v>
      </c>
      <c r="L312">
        <v>0</v>
      </c>
      <c r="P312">
        <v>0</v>
      </c>
      <c r="Q312">
        <v>0</v>
      </c>
      <c r="R312">
        <v>0</v>
      </c>
      <c r="S312">
        <v>0</v>
      </c>
      <c r="T312">
        <v>0</v>
      </c>
      <c r="U312">
        <v>0</v>
      </c>
      <c r="V312">
        <v>0</v>
      </c>
      <c r="W312">
        <v>0</v>
      </c>
      <c r="X312">
        <v>0</v>
      </c>
      <c r="Y312">
        <v>0</v>
      </c>
      <c r="Z312">
        <v>0</v>
      </c>
      <c r="AA312">
        <v>1</v>
      </c>
      <c r="AB312" t="s">
        <v>240</v>
      </c>
      <c r="AM312" t="s">
        <v>90</v>
      </c>
      <c r="AN312" t="s">
        <v>90</v>
      </c>
      <c r="AO312" t="s">
        <v>81</v>
      </c>
      <c r="AP312" t="s">
        <v>83</v>
      </c>
      <c r="AQ312" t="s">
        <v>90</v>
      </c>
      <c r="AR312" t="s">
        <v>90</v>
      </c>
      <c r="AS312" t="s">
        <v>90</v>
      </c>
      <c r="AT312" t="s">
        <v>83</v>
      </c>
      <c r="AU312" t="s">
        <v>88</v>
      </c>
      <c r="AV312" t="s">
        <v>89</v>
      </c>
      <c r="AW312" t="s">
        <v>100</v>
      </c>
      <c r="AZ312" t="s">
        <v>73</v>
      </c>
      <c r="BA312" t="s">
        <v>86</v>
      </c>
      <c r="BB312" t="s">
        <v>86</v>
      </c>
      <c r="BC312" t="s">
        <v>87</v>
      </c>
      <c r="BD312" t="s">
        <v>86</v>
      </c>
      <c r="BE312" t="s">
        <v>86</v>
      </c>
      <c r="BF312" t="s">
        <v>97</v>
      </c>
      <c r="BG312" t="s">
        <v>76</v>
      </c>
      <c r="BH312" t="s">
        <v>98</v>
      </c>
      <c r="BI312" t="s">
        <v>73</v>
      </c>
      <c r="BJ312" t="s">
        <v>114</v>
      </c>
      <c r="BK312">
        <v>1</v>
      </c>
      <c r="BL312">
        <v>0</v>
      </c>
      <c r="BM312">
        <v>0</v>
      </c>
      <c r="BN312">
        <v>0</v>
      </c>
      <c r="BO312">
        <v>0</v>
      </c>
      <c r="BP312">
        <v>0</v>
      </c>
      <c r="BQ312">
        <v>0</v>
      </c>
      <c r="BR312">
        <v>0</v>
      </c>
    </row>
    <row r="313" spans="1:72" x14ac:dyDescent="0.2">
      <c r="A313" s="1">
        <v>44585.638194444444</v>
      </c>
      <c r="B313" s="1">
        <v>44585.640277777777</v>
      </c>
      <c r="C313">
        <v>1</v>
      </c>
      <c r="D313">
        <v>0</v>
      </c>
      <c r="E313">
        <v>0</v>
      </c>
      <c r="F313">
        <v>0</v>
      </c>
      <c r="H313">
        <v>1</v>
      </c>
      <c r="I313">
        <v>0</v>
      </c>
      <c r="J313">
        <v>0</v>
      </c>
      <c r="K313">
        <v>0</v>
      </c>
      <c r="L313">
        <v>0</v>
      </c>
      <c r="P313">
        <v>0</v>
      </c>
      <c r="Q313">
        <v>0</v>
      </c>
      <c r="R313">
        <v>0</v>
      </c>
      <c r="S313">
        <v>0</v>
      </c>
      <c r="T313">
        <v>0</v>
      </c>
      <c r="U313">
        <v>0</v>
      </c>
      <c r="V313">
        <v>0</v>
      </c>
      <c r="W313">
        <v>1</v>
      </c>
      <c r="X313">
        <v>0</v>
      </c>
      <c r="Y313">
        <v>0</v>
      </c>
      <c r="Z313">
        <v>0</v>
      </c>
      <c r="AA313">
        <v>0</v>
      </c>
      <c r="AM313" t="s">
        <v>83</v>
      </c>
      <c r="AN313" t="s">
        <v>83</v>
      </c>
      <c r="AO313" t="s">
        <v>83</v>
      </c>
      <c r="AP313" t="s">
        <v>83</v>
      </c>
      <c r="AQ313" t="s">
        <v>82</v>
      </c>
      <c r="AR313" t="s">
        <v>83</v>
      </c>
      <c r="AS313" t="s">
        <v>81</v>
      </c>
      <c r="AT313" t="s">
        <v>83</v>
      </c>
      <c r="AU313" t="s">
        <v>127</v>
      </c>
      <c r="AV313" t="s">
        <v>127</v>
      </c>
      <c r="AX313" t="s">
        <v>110</v>
      </c>
      <c r="AY313" t="s">
        <v>241</v>
      </c>
      <c r="AZ313" t="s">
        <v>120</v>
      </c>
      <c r="BA313" t="s">
        <v>86</v>
      </c>
      <c r="BB313" t="s">
        <v>74</v>
      </c>
      <c r="BC313" t="s">
        <v>87</v>
      </c>
      <c r="BD313" t="s">
        <v>74</v>
      </c>
      <c r="BE313" t="s">
        <v>74</v>
      </c>
      <c r="BF313" t="s">
        <v>75</v>
      </c>
      <c r="BG313" t="s">
        <v>92</v>
      </c>
      <c r="BH313" t="s">
        <v>77</v>
      </c>
      <c r="BI313" t="s">
        <v>120</v>
      </c>
      <c r="BJ313" t="s">
        <v>114</v>
      </c>
      <c r="BK313">
        <v>0</v>
      </c>
      <c r="BL313">
        <v>0</v>
      </c>
      <c r="BM313">
        <v>0</v>
      </c>
      <c r="BN313">
        <v>0</v>
      </c>
      <c r="BO313">
        <v>1</v>
      </c>
      <c r="BP313">
        <v>0</v>
      </c>
      <c r="BQ313">
        <v>0</v>
      </c>
      <c r="BR313">
        <v>0</v>
      </c>
    </row>
    <row r="314" spans="1:72" x14ac:dyDescent="0.2">
      <c r="A314" s="1">
        <v>44588.880555555559</v>
      </c>
      <c r="B314" s="1">
        <v>44588.884027777778</v>
      </c>
      <c r="C314">
        <v>1</v>
      </c>
      <c r="D314">
        <v>0</v>
      </c>
      <c r="E314">
        <v>0</v>
      </c>
      <c r="F314">
        <v>0</v>
      </c>
      <c r="H314">
        <v>0</v>
      </c>
      <c r="I314">
        <v>1</v>
      </c>
      <c r="J314">
        <v>0</v>
      </c>
      <c r="K314">
        <v>0</v>
      </c>
      <c r="L314">
        <v>0</v>
      </c>
      <c r="N314" t="s">
        <v>79</v>
      </c>
      <c r="O314" t="s">
        <v>80</v>
      </c>
      <c r="P314">
        <v>0</v>
      </c>
      <c r="Q314">
        <v>0</v>
      </c>
      <c r="R314">
        <v>1</v>
      </c>
      <c r="S314">
        <v>0</v>
      </c>
      <c r="T314">
        <v>0</v>
      </c>
      <c r="U314">
        <v>0</v>
      </c>
      <c r="V314">
        <v>0</v>
      </c>
      <c r="W314">
        <v>0</v>
      </c>
      <c r="X314">
        <v>0</v>
      </c>
      <c r="Y314">
        <v>0</v>
      </c>
      <c r="Z314">
        <v>0</v>
      </c>
      <c r="AA314">
        <v>0</v>
      </c>
      <c r="AM314" t="s">
        <v>83</v>
      </c>
      <c r="AN314" t="s">
        <v>82</v>
      </c>
      <c r="AO314" t="s">
        <v>83</v>
      </c>
      <c r="AP314" t="s">
        <v>83</v>
      </c>
      <c r="AQ314" t="s">
        <v>82</v>
      </c>
      <c r="AR314" t="s">
        <v>81</v>
      </c>
      <c r="AS314" t="s">
        <v>81</v>
      </c>
      <c r="AT314" t="s">
        <v>83</v>
      </c>
      <c r="AU314" t="s">
        <v>88</v>
      </c>
      <c r="AV314" t="s">
        <v>89</v>
      </c>
      <c r="AW314" t="s">
        <v>85</v>
      </c>
      <c r="AX314" t="s">
        <v>122</v>
      </c>
      <c r="AZ314" t="s">
        <v>107</v>
      </c>
      <c r="BA314" t="s">
        <v>86</v>
      </c>
      <c r="BB314" t="s">
        <v>87</v>
      </c>
      <c r="BC314" t="s">
        <v>87</v>
      </c>
      <c r="BD314" t="s">
        <v>87</v>
      </c>
      <c r="BE314" t="s">
        <v>86</v>
      </c>
      <c r="BF314" t="s">
        <v>75</v>
      </c>
      <c r="BG314" t="s">
        <v>76</v>
      </c>
      <c r="BH314" t="s">
        <v>98</v>
      </c>
      <c r="BI314" t="s">
        <v>107</v>
      </c>
      <c r="BJ314" t="s">
        <v>102</v>
      </c>
      <c r="BK314">
        <v>0</v>
      </c>
      <c r="BL314">
        <v>0</v>
      </c>
      <c r="BM314">
        <v>0</v>
      </c>
      <c r="BN314">
        <v>0</v>
      </c>
      <c r="BO314">
        <v>0</v>
      </c>
      <c r="BP314">
        <v>1</v>
      </c>
      <c r="BQ314">
        <v>0</v>
      </c>
      <c r="BR314">
        <v>0</v>
      </c>
    </row>
    <row r="315" spans="1:72" x14ac:dyDescent="0.2">
      <c r="A315" s="1">
        <v>44588.915277777778</v>
      </c>
      <c r="B315" s="1">
        <v>44588.917361111111</v>
      </c>
      <c r="C315">
        <v>0</v>
      </c>
      <c r="D315">
        <v>1</v>
      </c>
      <c r="E315">
        <v>0</v>
      </c>
      <c r="F315">
        <v>0</v>
      </c>
      <c r="H315">
        <v>1</v>
      </c>
      <c r="I315">
        <v>0</v>
      </c>
      <c r="J315">
        <v>0</v>
      </c>
      <c r="K315">
        <v>0</v>
      </c>
      <c r="L315">
        <v>0</v>
      </c>
      <c r="P315">
        <v>0</v>
      </c>
      <c r="Q315">
        <v>1</v>
      </c>
      <c r="R315">
        <v>0</v>
      </c>
      <c r="S315">
        <v>0</v>
      </c>
      <c r="T315">
        <v>1</v>
      </c>
      <c r="U315">
        <v>0</v>
      </c>
      <c r="V315">
        <v>0</v>
      </c>
      <c r="W315">
        <v>0</v>
      </c>
      <c r="X315">
        <v>0</v>
      </c>
      <c r="Y315">
        <v>0</v>
      </c>
      <c r="Z315">
        <v>0</v>
      </c>
      <c r="AA315">
        <v>0</v>
      </c>
      <c r="AM315" t="s">
        <v>83</v>
      </c>
      <c r="AN315" t="s">
        <v>83</v>
      </c>
      <c r="AO315" t="s">
        <v>81</v>
      </c>
      <c r="AP315" t="s">
        <v>81</v>
      </c>
      <c r="AQ315" t="s">
        <v>81</v>
      </c>
      <c r="AR315" t="s">
        <v>83</v>
      </c>
      <c r="AS315" t="s">
        <v>81</v>
      </c>
      <c r="AT315" t="s">
        <v>82</v>
      </c>
      <c r="AU315" t="s">
        <v>127</v>
      </c>
      <c r="AV315" t="s">
        <v>127</v>
      </c>
      <c r="AZ315" t="s">
        <v>107</v>
      </c>
      <c r="BA315" t="s">
        <v>86</v>
      </c>
      <c r="BB315" t="s">
        <v>74</v>
      </c>
      <c r="BC315" t="s">
        <v>87</v>
      </c>
      <c r="BD315" t="s">
        <v>87</v>
      </c>
      <c r="BE315" t="s">
        <v>74</v>
      </c>
      <c r="BF315" t="s">
        <v>97</v>
      </c>
      <c r="BG315" t="s">
        <v>76</v>
      </c>
      <c r="BH315" t="s">
        <v>98</v>
      </c>
      <c r="BI315" t="s">
        <v>107</v>
      </c>
      <c r="BJ315" t="s">
        <v>78</v>
      </c>
      <c r="BK315">
        <v>1</v>
      </c>
      <c r="BL315">
        <v>0</v>
      </c>
      <c r="BM315">
        <v>0</v>
      </c>
      <c r="BN315">
        <v>0</v>
      </c>
      <c r="BO315">
        <v>0</v>
      </c>
      <c r="BP315">
        <v>0</v>
      </c>
      <c r="BQ315">
        <v>0</v>
      </c>
      <c r="BR315">
        <v>0</v>
      </c>
    </row>
    <row r="316" spans="1:72" x14ac:dyDescent="0.2">
      <c r="A316" s="1">
        <v>44585.622916666667</v>
      </c>
      <c r="B316" s="1">
        <v>44585.625</v>
      </c>
      <c r="C316">
        <v>1</v>
      </c>
      <c r="D316">
        <v>0</v>
      </c>
      <c r="E316">
        <v>0</v>
      </c>
      <c r="F316">
        <v>0</v>
      </c>
      <c r="H316">
        <v>1</v>
      </c>
      <c r="I316">
        <v>0</v>
      </c>
      <c r="J316">
        <v>0</v>
      </c>
      <c r="K316">
        <v>0</v>
      </c>
      <c r="L316">
        <v>0</v>
      </c>
      <c r="P316">
        <v>1</v>
      </c>
      <c r="Q316">
        <v>0</v>
      </c>
      <c r="R316">
        <v>0</v>
      </c>
      <c r="S316">
        <v>0</v>
      </c>
      <c r="T316">
        <v>0</v>
      </c>
      <c r="U316">
        <v>0</v>
      </c>
      <c r="V316">
        <v>0</v>
      </c>
      <c r="W316">
        <v>0</v>
      </c>
      <c r="X316">
        <v>0</v>
      </c>
      <c r="Y316">
        <v>0</v>
      </c>
      <c r="Z316">
        <v>0</v>
      </c>
      <c r="AA316">
        <v>0</v>
      </c>
      <c r="AC316">
        <v>0</v>
      </c>
      <c r="AD316">
        <v>0</v>
      </c>
      <c r="AE316">
        <v>1</v>
      </c>
      <c r="AF316">
        <v>0</v>
      </c>
      <c r="AG316">
        <v>1</v>
      </c>
      <c r="AH316">
        <v>0</v>
      </c>
      <c r="AI316">
        <v>1</v>
      </c>
      <c r="AJ316">
        <v>0</v>
      </c>
      <c r="AK316">
        <v>0</v>
      </c>
      <c r="AX316" t="s">
        <v>191</v>
      </c>
      <c r="AZ316" t="s">
        <v>107</v>
      </c>
      <c r="BA316" t="s">
        <v>74</v>
      </c>
      <c r="BF316" t="s">
        <v>75</v>
      </c>
      <c r="BG316" t="s">
        <v>92</v>
      </c>
      <c r="BH316" t="s">
        <v>98</v>
      </c>
      <c r="BI316" t="s">
        <v>107</v>
      </c>
      <c r="BJ316" t="s">
        <v>129</v>
      </c>
      <c r="BK316">
        <v>1</v>
      </c>
      <c r="BL316">
        <v>0</v>
      </c>
      <c r="BM316">
        <v>0</v>
      </c>
      <c r="BN316">
        <v>0</v>
      </c>
      <c r="BO316">
        <v>0</v>
      </c>
      <c r="BP316">
        <v>0</v>
      </c>
      <c r="BQ316">
        <v>0</v>
      </c>
      <c r="BR316">
        <v>0</v>
      </c>
    </row>
    <row r="317" spans="1:72" x14ac:dyDescent="0.2">
      <c r="A317" s="1">
        <v>44585.536111111112</v>
      </c>
      <c r="B317" s="1">
        <v>44585.538888888892</v>
      </c>
      <c r="C317">
        <v>1</v>
      </c>
      <c r="D317">
        <v>0</v>
      </c>
      <c r="E317">
        <v>0</v>
      </c>
      <c r="F317">
        <v>0</v>
      </c>
      <c r="H317">
        <v>0</v>
      </c>
      <c r="I317">
        <v>1</v>
      </c>
      <c r="J317">
        <v>0</v>
      </c>
      <c r="K317">
        <v>1</v>
      </c>
      <c r="L317">
        <v>0</v>
      </c>
      <c r="N317" t="s">
        <v>88</v>
      </c>
      <c r="O317" t="s">
        <v>80</v>
      </c>
      <c r="P317">
        <v>0</v>
      </c>
      <c r="Q317">
        <v>0</v>
      </c>
      <c r="R317">
        <v>1</v>
      </c>
      <c r="S317">
        <v>0</v>
      </c>
      <c r="T317">
        <v>0</v>
      </c>
      <c r="U317">
        <v>0</v>
      </c>
      <c r="V317">
        <v>0</v>
      </c>
      <c r="W317">
        <v>0</v>
      </c>
      <c r="X317">
        <v>0</v>
      </c>
      <c r="Y317">
        <v>0</v>
      </c>
      <c r="Z317">
        <v>0</v>
      </c>
      <c r="AA317">
        <v>0</v>
      </c>
      <c r="AM317" t="s">
        <v>82</v>
      </c>
      <c r="AN317" t="s">
        <v>83</v>
      </c>
      <c r="AO317" t="s">
        <v>83</v>
      </c>
      <c r="AP317" t="s">
        <v>82</v>
      </c>
      <c r="AQ317" t="s">
        <v>82</v>
      </c>
      <c r="AR317" t="s">
        <v>81</v>
      </c>
      <c r="AS317" t="s">
        <v>83</v>
      </c>
      <c r="AT317" t="s">
        <v>82</v>
      </c>
      <c r="AU317" t="s">
        <v>135</v>
      </c>
      <c r="AV317" t="s">
        <v>80</v>
      </c>
      <c r="AW317" t="s">
        <v>85</v>
      </c>
      <c r="AX317" t="s">
        <v>242</v>
      </c>
      <c r="AZ317" t="s">
        <v>107</v>
      </c>
      <c r="BA317" t="s">
        <v>87</v>
      </c>
      <c r="BB317" t="s">
        <v>87</v>
      </c>
      <c r="BC317" t="s">
        <v>87</v>
      </c>
      <c r="BD317" t="s">
        <v>87</v>
      </c>
      <c r="BE317" t="s">
        <v>87</v>
      </c>
      <c r="BF317" t="s">
        <v>75</v>
      </c>
      <c r="BG317" t="s">
        <v>92</v>
      </c>
      <c r="BH317" t="s">
        <v>98</v>
      </c>
      <c r="BI317" t="s">
        <v>107</v>
      </c>
      <c r="BJ317" t="s">
        <v>176</v>
      </c>
      <c r="BK317">
        <v>1</v>
      </c>
      <c r="BL317">
        <v>0</v>
      </c>
      <c r="BM317">
        <v>0</v>
      </c>
      <c r="BN317">
        <v>0</v>
      </c>
      <c r="BO317">
        <v>0</v>
      </c>
      <c r="BP317">
        <v>0</v>
      </c>
      <c r="BQ317">
        <v>0</v>
      </c>
      <c r="BR317">
        <v>0</v>
      </c>
    </row>
    <row r="318" spans="1:72" x14ac:dyDescent="0.2">
      <c r="A318" s="1">
        <v>44589.029166666667</v>
      </c>
      <c r="B318" s="1">
        <v>44589.03125</v>
      </c>
      <c r="C318">
        <v>1</v>
      </c>
      <c r="D318">
        <v>0</v>
      </c>
      <c r="E318">
        <v>0</v>
      </c>
      <c r="F318">
        <v>0</v>
      </c>
      <c r="H318">
        <v>1</v>
      </c>
      <c r="I318">
        <v>0</v>
      </c>
      <c r="J318">
        <v>0</v>
      </c>
      <c r="K318">
        <v>0</v>
      </c>
      <c r="L318">
        <v>0</v>
      </c>
      <c r="P318">
        <v>1</v>
      </c>
      <c r="Q318">
        <v>0</v>
      </c>
      <c r="R318">
        <v>0</v>
      </c>
      <c r="S318">
        <v>0</v>
      </c>
      <c r="T318">
        <v>0</v>
      </c>
      <c r="U318">
        <v>0</v>
      </c>
      <c r="V318">
        <v>0</v>
      </c>
      <c r="W318">
        <v>0</v>
      </c>
      <c r="X318">
        <v>0</v>
      </c>
      <c r="Y318">
        <v>0</v>
      </c>
      <c r="Z318">
        <v>0</v>
      </c>
      <c r="AA318">
        <v>0</v>
      </c>
      <c r="AC318">
        <v>0</v>
      </c>
      <c r="AD318">
        <v>1</v>
      </c>
      <c r="AE318">
        <v>0</v>
      </c>
      <c r="AF318">
        <v>0</v>
      </c>
      <c r="AG318">
        <v>0</v>
      </c>
      <c r="AH318">
        <v>0</v>
      </c>
      <c r="AI318">
        <v>0</v>
      </c>
      <c r="AJ318">
        <v>0</v>
      </c>
      <c r="AK318">
        <v>0</v>
      </c>
      <c r="AZ318" t="s">
        <v>107</v>
      </c>
      <c r="BA318" t="s">
        <v>87</v>
      </c>
      <c r="BB318" t="s">
        <v>87</v>
      </c>
      <c r="BC318" t="s">
        <v>87</v>
      </c>
      <c r="BD318" t="s">
        <v>87</v>
      </c>
      <c r="BE318" t="s">
        <v>87</v>
      </c>
      <c r="BF318" t="s">
        <v>101</v>
      </c>
      <c r="BG318" t="s">
        <v>92</v>
      </c>
      <c r="BH318" t="s">
        <v>98</v>
      </c>
      <c r="BI318" t="s">
        <v>107</v>
      </c>
      <c r="BJ318" t="s">
        <v>109</v>
      </c>
      <c r="BK318">
        <v>1</v>
      </c>
      <c r="BL318">
        <v>0</v>
      </c>
      <c r="BM318">
        <v>0</v>
      </c>
      <c r="BN318">
        <v>0</v>
      </c>
      <c r="BO318">
        <v>0</v>
      </c>
      <c r="BP318">
        <v>0</v>
      </c>
      <c r="BQ318">
        <v>0</v>
      </c>
      <c r="BR318">
        <v>0</v>
      </c>
    </row>
    <row r="319" spans="1:72" x14ac:dyDescent="0.2">
      <c r="A319" s="1">
        <v>44589.654166666667</v>
      </c>
      <c r="B319" s="1">
        <v>44589.658333333333</v>
      </c>
      <c r="C319">
        <v>0</v>
      </c>
      <c r="D319">
        <v>1</v>
      </c>
      <c r="E319">
        <v>0</v>
      </c>
      <c r="F319">
        <v>0</v>
      </c>
      <c r="H319">
        <v>0</v>
      </c>
      <c r="I319">
        <v>0</v>
      </c>
      <c r="J319">
        <v>1</v>
      </c>
      <c r="K319">
        <v>0</v>
      </c>
      <c r="L319">
        <v>1</v>
      </c>
      <c r="M319" t="s">
        <v>243</v>
      </c>
      <c r="N319" t="s">
        <v>79</v>
      </c>
      <c r="O319" t="s">
        <v>127</v>
      </c>
      <c r="P319">
        <v>0</v>
      </c>
      <c r="Q319">
        <v>1</v>
      </c>
      <c r="R319">
        <v>0</v>
      </c>
      <c r="S319">
        <v>0</v>
      </c>
      <c r="T319">
        <v>0</v>
      </c>
      <c r="U319">
        <v>0</v>
      </c>
      <c r="V319">
        <v>0</v>
      </c>
      <c r="W319">
        <v>0</v>
      </c>
      <c r="X319">
        <v>0</v>
      </c>
      <c r="Y319">
        <v>0</v>
      </c>
      <c r="Z319">
        <v>0</v>
      </c>
      <c r="AA319">
        <v>0</v>
      </c>
      <c r="AM319" t="s">
        <v>83</v>
      </c>
      <c r="AN319" t="s">
        <v>83</v>
      </c>
      <c r="AO319" t="s">
        <v>83</v>
      </c>
      <c r="AP319" t="s">
        <v>81</v>
      </c>
      <c r="AQ319" t="s">
        <v>83</v>
      </c>
      <c r="AR319" t="s">
        <v>83</v>
      </c>
      <c r="AS319" t="s">
        <v>83</v>
      </c>
      <c r="AT319" t="s">
        <v>83</v>
      </c>
      <c r="AU319" t="s">
        <v>135</v>
      </c>
      <c r="AV319" t="s">
        <v>127</v>
      </c>
      <c r="AW319" t="s">
        <v>85</v>
      </c>
      <c r="AX319" t="s">
        <v>106</v>
      </c>
      <c r="AZ319" t="s">
        <v>107</v>
      </c>
      <c r="BA319" t="s">
        <v>87</v>
      </c>
      <c r="BB319" t="s">
        <v>86</v>
      </c>
      <c r="BC319" t="s">
        <v>87</v>
      </c>
      <c r="BD319" t="s">
        <v>74</v>
      </c>
      <c r="BE319" t="s">
        <v>74</v>
      </c>
      <c r="BF319" t="s">
        <v>75</v>
      </c>
      <c r="BG319" t="s">
        <v>76</v>
      </c>
      <c r="BH319" t="s">
        <v>98</v>
      </c>
      <c r="BI319" t="s">
        <v>107</v>
      </c>
      <c r="BJ319" t="s">
        <v>114</v>
      </c>
      <c r="BK319">
        <v>1</v>
      </c>
      <c r="BL319">
        <v>0</v>
      </c>
      <c r="BM319">
        <v>0</v>
      </c>
      <c r="BN319">
        <v>0</v>
      </c>
      <c r="BO319">
        <v>0</v>
      </c>
      <c r="BP319">
        <v>0</v>
      </c>
      <c r="BQ319">
        <v>0</v>
      </c>
      <c r="BR319">
        <v>0</v>
      </c>
    </row>
    <row r="320" spans="1:72" x14ac:dyDescent="0.2">
      <c r="A320" s="1">
        <v>44589.561805555553</v>
      </c>
      <c r="B320" s="1">
        <v>44589.564583333333</v>
      </c>
      <c r="C320">
        <v>0</v>
      </c>
      <c r="D320">
        <v>1</v>
      </c>
      <c r="E320">
        <v>0</v>
      </c>
      <c r="F320">
        <v>0</v>
      </c>
      <c r="H320">
        <v>1</v>
      </c>
      <c r="I320">
        <v>0</v>
      </c>
      <c r="J320">
        <v>0</v>
      </c>
      <c r="K320">
        <v>0</v>
      </c>
      <c r="L320">
        <v>0</v>
      </c>
      <c r="P320">
        <v>0</v>
      </c>
      <c r="Q320">
        <v>1</v>
      </c>
      <c r="R320">
        <v>0</v>
      </c>
      <c r="S320">
        <v>0</v>
      </c>
      <c r="T320">
        <v>0</v>
      </c>
      <c r="U320">
        <v>0</v>
      </c>
      <c r="V320">
        <v>0</v>
      </c>
      <c r="W320">
        <v>0</v>
      </c>
      <c r="X320">
        <v>0</v>
      </c>
      <c r="Y320">
        <v>0</v>
      </c>
      <c r="Z320">
        <v>0</v>
      </c>
      <c r="AA320">
        <v>0</v>
      </c>
      <c r="AM320" t="s">
        <v>83</v>
      </c>
      <c r="AN320" t="s">
        <v>82</v>
      </c>
      <c r="AO320" t="s">
        <v>82</v>
      </c>
      <c r="AP320" t="s">
        <v>82</v>
      </c>
      <c r="AQ320" t="s">
        <v>82</v>
      </c>
      <c r="AR320" t="s">
        <v>82</v>
      </c>
      <c r="AS320" t="s">
        <v>82</v>
      </c>
      <c r="AT320" t="s">
        <v>83</v>
      </c>
      <c r="AU320" t="s">
        <v>135</v>
      </c>
      <c r="AV320" t="s">
        <v>142</v>
      </c>
      <c r="AW320" t="s">
        <v>85</v>
      </c>
      <c r="AZ320" t="s">
        <v>96</v>
      </c>
      <c r="BA320" t="s">
        <v>86</v>
      </c>
      <c r="BB320" t="s">
        <v>87</v>
      </c>
      <c r="BC320" t="s">
        <v>87</v>
      </c>
      <c r="BD320" t="s">
        <v>87</v>
      </c>
      <c r="BE320" t="s">
        <v>87</v>
      </c>
      <c r="BF320" t="s">
        <v>97</v>
      </c>
      <c r="BG320" t="s">
        <v>92</v>
      </c>
      <c r="BH320" t="s">
        <v>98</v>
      </c>
      <c r="BI320" t="s">
        <v>96</v>
      </c>
      <c r="BJ320" t="s">
        <v>78</v>
      </c>
      <c r="BK320">
        <v>1</v>
      </c>
      <c r="BL320">
        <v>0</v>
      </c>
      <c r="BM320">
        <v>0</v>
      </c>
      <c r="BN320">
        <v>0</v>
      </c>
      <c r="BO320">
        <v>0</v>
      </c>
      <c r="BP320">
        <v>0</v>
      </c>
      <c r="BQ320">
        <v>0</v>
      </c>
      <c r="BR320">
        <v>0</v>
      </c>
    </row>
    <row r="321" spans="1:70" x14ac:dyDescent="0.2">
      <c r="A321" s="1">
        <v>44579.925694444442</v>
      </c>
      <c r="B321" s="1">
        <v>44579.927083333336</v>
      </c>
      <c r="C321">
        <v>0</v>
      </c>
      <c r="D321">
        <v>1</v>
      </c>
      <c r="E321">
        <v>0</v>
      </c>
      <c r="F321">
        <v>0</v>
      </c>
      <c r="H321">
        <v>1</v>
      </c>
      <c r="I321">
        <v>0</v>
      </c>
      <c r="J321">
        <v>0</v>
      </c>
      <c r="K321">
        <v>0</v>
      </c>
      <c r="L321">
        <v>0</v>
      </c>
      <c r="P321">
        <v>1</v>
      </c>
      <c r="Q321">
        <v>0</v>
      </c>
      <c r="R321">
        <v>0</v>
      </c>
      <c r="S321">
        <v>0</v>
      </c>
      <c r="T321">
        <v>0</v>
      </c>
      <c r="U321">
        <v>0</v>
      </c>
      <c r="V321">
        <v>0</v>
      </c>
      <c r="W321">
        <v>0</v>
      </c>
      <c r="X321">
        <v>0</v>
      </c>
      <c r="Y321">
        <v>0</v>
      </c>
      <c r="Z321">
        <v>0</v>
      </c>
      <c r="AA321">
        <v>0</v>
      </c>
      <c r="AC321">
        <v>0</v>
      </c>
      <c r="AD321">
        <v>1</v>
      </c>
      <c r="AE321">
        <v>0</v>
      </c>
      <c r="AF321">
        <v>0</v>
      </c>
      <c r="AG321">
        <v>0</v>
      </c>
      <c r="AH321">
        <v>0</v>
      </c>
      <c r="AI321">
        <v>0</v>
      </c>
      <c r="AJ321">
        <v>0</v>
      </c>
      <c r="AK321">
        <v>0</v>
      </c>
      <c r="AZ321" t="s">
        <v>73</v>
      </c>
      <c r="BA321" t="s">
        <v>74</v>
      </c>
      <c r="BF321" t="s">
        <v>97</v>
      </c>
      <c r="BG321" t="s">
        <v>92</v>
      </c>
      <c r="BH321" t="s">
        <v>158</v>
      </c>
      <c r="BI321" t="s">
        <v>73</v>
      </c>
      <c r="BJ321" t="s">
        <v>78</v>
      </c>
      <c r="BK321">
        <v>1</v>
      </c>
      <c r="BL321">
        <v>0</v>
      </c>
      <c r="BM321">
        <v>0</v>
      </c>
      <c r="BN321">
        <v>0</v>
      </c>
      <c r="BO321">
        <v>0</v>
      </c>
      <c r="BP321">
        <v>0</v>
      </c>
      <c r="BQ321">
        <v>0</v>
      </c>
      <c r="BR321">
        <v>0</v>
      </c>
    </row>
    <row r="322" spans="1:70" x14ac:dyDescent="0.2">
      <c r="A322" s="1">
        <v>44586.643055555556</v>
      </c>
      <c r="B322" s="1">
        <v>44586.644444444442</v>
      </c>
      <c r="C322">
        <v>1</v>
      </c>
      <c r="D322">
        <v>0</v>
      </c>
      <c r="E322">
        <v>0</v>
      </c>
      <c r="F322">
        <v>0</v>
      </c>
      <c r="H322">
        <v>1</v>
      </c>
      <c r="I322">
        <v>0</v>
      </c>
      <c r="J322">
        <v>0</v>
      </c>
      <c r="K322">
        <v>0</v>
      </c>
      <c r="L322">
        <v>0</v>
      </c>
      <c r="P322">
        <v>1</v>
      </c>
      <c r="Q322">
        <v>0</v>
      </c>
      <c r="R322">
        <v>0</v>
      </c>
      <c r="S322">
        <v>0</v>
      </c>
      <c r="T322">
        <v>0</v>
      </c>
      <c r="U322">
        <v>0</v>
      </c>
      <c r="V322">
        <v>0</v>
      </c>
      <c r="W322">
        <v>0</v>
      </c>
      <c r="X322">
        <v>0</v>
      </c>
      <c r="Y322">
        <v>0</v>
      </c>
      <c r="Z322">
        <v>0</v>
      </c>
      <c r="AA322">
        <v>0</v>
      </c>
      <c r="AC322">
        <v>0</v>
      </c>
      <c r="AD322">
        <v>0</v>
      </c>
      <c r="AE322">
        <v>1</v>
      </c>
      <c r="AF322">
        <v>0</v>
      </c>
      <c r="AG322">
        <v>0</v>
      </c>
      <c r="AH322">
        <v>0</v>
      </c>
      <c r="AI322">
        <v>0</v>
      </c>
      <c r="AJ322">
        <v>0</v>
      </c>
      <c r="AK322">
        <v>0</v>
      </c>
      <c r="AZ322" t="s">
        <v>107</v>
      </c>
      <c r="BA322" t="s">
        <v>86</v>
      </c>
      <c r="BB322" t="s">
        <v>86</v>
      </c>
      <c r="BC322" t="s">
        <v>86</v>
      </c>
      <c r="BD322" t="s">
        <v>86</v>
      </c>
      <c r="BE322" t="s">
        <v>86</v>
      </c>
      <c r="BF322" t="s">
        <v>97</v>
      </c>
      <c r="BG322" t="s">
        <v>92</v>
      </c>
      <c r="BH322" t="s">
        <v>98</v>
      </c>
      <c r="BI322" t="s">
        <v>107</v>
      </c>
      <c r="BJ322" t="s">
        <v>102</v>
      </c>
      <c r="BK322">
        <v>1</v>
      </c>
      <c r="BL322">
        <v>0</v>
      </c>
      <c r="BM322">
        <v>0</v>
      </c>
      <c r="BN322">
        <v>0</v>
      </c>
      <c r="BO322">
        <v>0</v>
      </c>
      <c r="BP322">
        <v>0</v>
      </c>
      <c r="BQ322">
        <v>0</v>
      </c>
      <c r="BR322">
        <v>0</v>
      </c>
    </row>
    <row r="323" spans="1:70" x14ac:dyDescent="0.2">
      <c r="A323" s="1">
        <v>44580.765277777777</v>
      </c>
      <c r="B323" s="1">
        <v>44580.768055555556</v>
      </c>
      <c r="C323">
        <v>0</v>
      </c>
      <c r="D323">
        <v>1</v>
      </c>
      <c r="E323">
        <v>0</v>
      </c>
      <c r="F323">
        <v>0</v>
      </c>
      <c r="H323">
        <v>0</v>
      </c>
      <c r="I323">
        <v>1</v>
      </c>
      <c r="J323">
        <v>1</v>
      </c>
      <c r="K323">
        <v>1</v>
      </c>
      <c r="L323">
        <v>0</v>
      </c>
      <c r="N323" t="s">
        <v>88</v>
      </c>
      <c r="O323" t="s">
        <v>142</v>
      </c>
      <c r="P323">
        <v>0</v>
      </c>
      <c r="Q323">
        <v>1</v>
      </c>
      <c r="R323">
        <v>0</v>
      </c>
      <c r="S323">
        <v>0</v>
      </c>
      <c r="T323">
        <v>0</v>
      </c>
      <c r="U323">
        <v>0</v>
      </c>
      <c r="V323">
        <v>0</v>
      </c>
      <c r="W323">
        <v>0</v>
      </c>
      <c r="X323">
        <v>0</v>
      </c>
      <c r="Y323">
        <v>0</v>
      </c>
      <c r="Z323">
        <v>0</v>
      </c>
      <c r="AA323">
        <v>0</v>
      </c>
      <c r="AM323" t="s">
        <v>83</v>
      </c>
      <c r="AN323" t="s">
        <v>82</v>
      </c>
      <c r="AO323" t="s">
        <v>82</v>
      </c>
      <c r="AP323" t="s">
        <v>81</v>
      </c>
      <c r="AQ323" t="s">
        <v>83</v>
      </c>
      <c r="AR323" t="s">
        <v>81</v>
      </c>
      <c r="AS323" t="s">
        <v>83</v>
      </c>
      <c r="AT323" t="s">
        <v>83</v>
      </c>
      <c r="AU323" t="s">
        <v>88</v>
      </c>
      <c r="AV323" t="s">
        <v>89</v>
      </c>
      <c r="AW323" t="s">
        <v>100</v>
      </c>
      <c r="AX323" t="s">
        <v>110</v>
      </c>
      <c r="AY323" t="s">
        <v>244</v>
      </c>
      <c r="AZ323" t="s">
        <v>107</v>
      </c>
      <c r="BA323" t="s">
        <v>87</v>
      </c>
      <c r="BB323" t="s">
        <v>87</v>
      </c>
      <c r="BC323" t="s">
        <v>86</v>
      </c>
      <c r="BD323" t="s">
        <v>87</v>
      </c>
      <c r="BE323" t="s">
        <v>87</v>
      </c>
      <c r="BF323" t="s">
        <v>113</v>
      </c>
      <c r="BG323" t="s">
        <v>76</v>
      </c>
      <c r="BH323" t="s">
        <v>98</v>
      </c>
      <c r="BI323" t="s">
        <v>107</v>
      </c>
      <c r="BJ323" t="s">
        <v>78</v>
      </c>
      <c r="BK323">
        <v>1</v>
      </c>
      <c r="BL323">
        <v>0</v>
      </c>
      <c r="BM323">
        <v>0</v>
      </c>
      <c r="BN323">
        <v>0</v>
      </c>
      <c r="BO323">
        <v>0</v>
      </c>
      <c r="BP323">
        <v>0</v>
      </c>
      <c r="BQ323">
        <v>0</v>
      </c>
      <c r="BR323">
        <v>0</v>
      </c>
    </row>
    <row r="324" spans="1:70" x14ac:dyDescent="0.2">
      <c r="A324" s="1">
        <v>44579.977777777778</v>
      </c>
      <c r="B324" s="1">
        <v>44579.981944444444</v>
      </c>
      <c r="C324">
        <v>1</v>
      </c>
      <c r="D324">
        <v>0</v>
      </c>
      <c r="E324">
        <v>0</v>
      </c>
      <c r="F324">
        <v>0</v>
      </c>
      <c r="H324">
        <v>1</v>
      </c>
      <c r="I324">
        <v>0</v>
      </c>
      <c r="J324">
        <v>0</v>
      </c>
      <c r="K324">
        <v>0</v>
      </c>
      <c r="L324">
        <v>0</v>
      </c>
      <c r="P324">
        <v>1</v>
      </c>
      <c r="Q324">
        <v>0</v>
      </c>
      <c r="R324">
        <v>0</v>
      </c>
      <c r="S324">
        <v>0</v>
      </c>
      <c r="T324">
        <v>0</v>
      </c>
      <c r="U324">
        <v>0</v>
      </c>
      <c r="V324">
        <v>0</v>
      </c>
      <c r="W324">
        <v>0</v>
      </c>
      <c r="X324">
        <v>0</v>
      </c>
      <c r="Y324">
        <v>0</v>
      </c>
      <c r="Z324">
        <v>0</v>
      </c>
      <c r="AA324">
        <v>0</v>
      </c>
      <c r="AC324">
        <v>0</v>
      </c>
      <c r="AD324">
        <v>1</v>
      </c>
      <c r="AE324">
        <v>0</v>
      </c>
      <c r="AF324">
        <v>0</v>
      </c>
      <c r="AG324">
        <v>0</v>
      </c>
      <c r="AH324">
        <v>0</v>
      </c>
      <c r="AI324">
        <v>0</v>
      </c>
      <c r="AJ324">
        <v>0</v>
      </c>
      <c r="AK324">
        <v>0</v>
      </c>
      <c r="AX324" t="s">
        <v>106</v>
      </c>
      <c r="AZ324" t="s">
        <v>107</v>
      </c>
      <c r="BA324" t="s">
        <v>86</v>
      </c>
      <c r="BB324" t="s">
        <v>86</v>
      </c>
      <c r="BC324" t="s">
        <v>74</v>
      </c>
      <c r="BD324" t="s">
        <v>86</v>
      </c>
      <c r="BE324" t="s">
        <v>74</v>
      </c>
      <c r="BF324" t="s">
        <v>75</v>
      </c>
      <c r="BG324" t="s">
        <v>76</v>
      </c>
      <c r="BH324" t="s">
        <v>98</v>
      </c>
      <c r="BI324" t="s">
        <v>107</v>
      </c>
      <c r="BJ324" t="s">
        <v>154</v>
      </c>
      <c r="BK324">
        <v>0</v>
      </c>
      <c r="BL324">
        <v>0</v>
      </c>
      <c r="BM324">
        <v>0</v>
      </c>
      <c r="BN324">
        <v>0</v>
      </c>
      <c r="BO324">
        <v>0</v>
      </c>
      <c r="BP324">
        <v>1</v>
      </c>
      <c r="BQ324">
        <v>0</v>
      </c>
      <c r="BR324">
        <v>0</v>
      </c>
    </row>
    <row r="325" spans="1:70" x14ac:dyDescent="0.2">
      <c r="A325" s="1">
        <v>44579.92291666667</v>
      </c>
      <c r="B325" s="1">
        <v>44579.925694444442</v>
      </c>
      <c r="C325">
        <v>1</v>
      </c>
      <c r="D325">
        <v>0</v>
      </c>
      <c r="E325">
        <v>0</v>
      </c>
      <c r="F325">
        <v>0</v>
      </c>
      <c r="H325">
        <v>0</v>
      </c>
      <c r="I325">
        <v>0</v>
      </c>
      <c r="J325">
        <v>0</v>
      </c>
      <c r="K325">
        <v>0</v>
      </c>
      <c r="L325">
        <v>1</v>
      </c>
      <c r="M325" t="s">
        <v>245</v>
      </c>
      <c r="N325" t="s">
        <v>88</v>
      </c>
      <c r="O325" t="s">
        <v>89</v>
      </c>
      <c r="P325">
        <v>1</v>
      </c>
      <c r="Q325">
        <v>0</v>
      </c>
      <c r="R325">
        <v>0</v>
      </c>
      <c r="S325">
        <v>0</v>
      </c>
      <c r="T325">
        <v>0</v>
      </c>
      <c r="U325">
        <v>0</v>
      </c>
      <c r="V325">
        <v>0</v>
      </c>
      <c r="W325">
        <v>0</v>
      </c>
      <c r="X325">
        <v>0</v>
      </c>
      <c r="Y325">
        <v>0</v>
      </c>
      <c r="Z325">
        <v>0</v>
      </c>
      <c r="AA325">
        <v>0</v>
      </c>
      <c r="AC325">
        <v>0</v>
      </c>
      <c r="AD325">
        <v>0</v>
      </c>
      <c r="AE325">
        <v>0</v>
      </c>
      <c r="AF325">
        <v>0</v>
      </c>
      <c r="AG325">
        <v>0</v>
      </c>
      <c r="AH325">
        <v>0</v>
      </c>
      <c r="AI325">
        <v>1</v>
      </c>
      <c r="AJ325">
        <v>0</v>
      </c>
      <c r="AK325">
        <v>0</v>
      </c>
      <c r="AZ325" t="s">
        <v>107</v>
      </c>
      <c r="BA325" t="s">
        <v>86</v>
      </c>
      <c r="BB325" t="s">
        <v>74</v>
      </c>
      <c r="BC325" t="s">
        <v>74</v>
      </c>
      <c r="BD325" t="s">
        <v>74</v>
      </c>
      <c r="BE325" t="s">
        <v>87</v>
      </c>
      <c r="BF325" t="s">
        <v>97</v>
      </c>
      <c r="BG325" t="s">
        <v>76</v>
      </c>
      <c r="BH325" t="s">
        <v>98</v>
      </c>
      <c r="BI325" t="s">
        <v>107</v>
      </c>
      <c r="BJ325" t="s">
        <v>114</v>
      </c>
      <c r="BK325">
        <v>1</v>
      </c>
      <c r="BL325">
        <v>0</v>
      </c>
      <c r="BM325">
        <v>0</v>
      </c>
      <c r="BN325">
        <v>0</v>
      </c>
      <c r="BO325">
        <v>0</v>
      </c>
      <c r="BP325">
        <v>0</v>
      </c>
      <c r="BQ325">
        <v>0</v>
      </c>
      <c r="BR325">
        <v>0</v>
      </c>
    </row>
    <row r="326" spans="1:70" x14ac:dyDescent="0.2">
      <c r="A326" s="1">
        <v>44580.179166666669</v>
      </c>
      <c r="B326" s="1">
        <v>44580.181250000001</v>
      </c>
      <c r="C326">
        <v>1</v>
      </c>
      <c r="D326">
        <v>0</v>
      </c>
      <c r="E326">
        <v>0</v>
      </c>
      <c r="F326">
        <v>0</v>
      </c>
      <c r="H326">
        <v>1</v>
      </c>
      <c r="I326">
        <v>0</v>
      </c>
      <c r="J326">
        <v>0</v>
      </c>
      <c r="K326">
        <v>0</v>
      </c>
      <c r="L326">
        <v>0</v>
      </c>
      <c r="P326">
        <v>1</v>
      </c>
      <c r="Q326">
        <v>0</v>
      </c>
      <c r="R326">
        <v>0</v>
      </c>
      <c r="S326">
        <v>0</v>
      </c>
      <c r="T326">
        <v>0</v>
      </c>
      <c r="U326">
        <v>0</v>
      </c>
      <c r="V326">
        <v>0</v>
      </c>
      <c r="W326">
        <v>0</v>
      </c>
      <c r="X326">
        <v>0</v>
      </c>
      <c r="Y326">
        <v>0</v>
      </c>
      <c r="Z326">
        <v>0</v>
      </c>
      <c r="AA326">
        <v>0</v>
      </c>
      <c r="AC326">
        <v>1</v>
      </c>
      <c r="AD326">
        <v>0</v>
      </c>
      <c r="AE326">
        <v>0</v>
      </c>
      <c r="AF326">
        <v>0</v>
      </c>
      <c r="AG326">
        <v>0</v>
      </c>
      <c r="AH326">
        <v>0</v>
      </c>
      <c r="AI326">
        <v>0</v>
      </c>
      <c r="AJ326">
        <v>0</v>
      </c>
      <c r="AK326">
        <v>0</v>
      </c>
      <c r="AX326" t="s">
        <v>119</v>
      </c>
      <c r="AZ326" t="s">
        <v>73</v>
      </c>
      <c r="BA326" t="s">
        <v>87</v>
      </c>
      <c r="BB326" t="s">
        <v>86</v>
      </c>
      <c r="BC326" t="s">
        <v>87</v>
      </c>
      <c r="BD326" t="s">
        <v>87</v>
      </c>
      <c r="BE326" t="s">
        <v>87</v>
      </c>
      <c r="BF326" t="s">
        <v>113</v>
      </c>
      <c r="BG326" t="s">
        <v>92</v>
      </c>
      <c r="BH326" t="s">
        <v>158</v>
      </c>
      <c r="BI326" t="s">
        <v>73</v>
      </c>
      <c r="BJ326" t="s">
        <v>114</v>
      </c>
      <c r="BK326">
        <v>1</v>
      </c>
      <c r="BL326">
        <v>0</v>
      </c>
      <c r="BM326">
        <v>0</v>
      </c>
      <c r="BN326">
        <v>0</v>
      </c>
      <c r="BO326">
        <v>0</v>
      </c>
      <c r="BP326">
        <v>0</v>
      </c>
      <c r="BQ326">
        <v>0</v>
      </c>
      <c r="BR326">
        <v>0</v>
      </c>
    </row>
    <row r="327" spans="1:70" x14ac:dyDescent="0.2">
      <c r="A327" s="1">
        <v>44588.894444444442</v>
      </c>
      <c r="B327" s="1">
        <v>44588.896527777775</v>
      </c>
      <c r="C327">
        <v>1</v>
      </c>
      <c r="D327">
        <v>0</v>
      </c>
      <c r="E327">
        <v>0</v>
      </c>
      <c r="F327">
        <v>0</v>
      </c>
      <c r="H327">
        <v>0</v>
      </c>
      <c r="I327">
        <v>1</v>
      </c>
      <c r="J327">
        <v>1</v>
      </c>
      <c r="K327">
        <v>0</v>
      </c>
      <c r="L327">
        <v>0</v>
      </c>
      <c r="N327" t="s">
        <v>88</v>
      </c>
      <c r="O327" t="s">
        <v>80</v>
      </c>
      <c r="P327">
        <v>0</v>
      </c>
      <c r="Q327">
        <v>0</v>
      </c>
      <c r="R327">
        <v>0</v>
      </c>
      <c r="S327">
        <v>0</v>
      </c>
      <c r="T327">
        <v>0</v>
      </c>
      <c r="U327">
        <v>0</v>
      </c>
      <c r="V327">
        <v>0</v>
      </c>
      <c r="W327">
        <v>0</v>
      </c>
      <c r="X327">
        <v>0</v>
      </c>
      <c r="Y327">
        <v>0</v>
      </c>
      <c r="Z327">
        <v>0</v>
      </c>
      <c r="AA327">
        <v>1</v>
      </c>
      <c r="AB327" t="s">
        <v>246</v>
      </c>
      <c r="AM327" t="s">
        <v>83</v>
      </c>
      <c r="AN327" t="s">
        <v>83</v>
      </c>
      <c r="AO327" t="s">
        <v>83</v>
      </c>
      <c r="AP327" t="s">
        <v>83</v>
      </c>
      <c r="AQ327" t="s">
        <v>82</v>
      </c>
      <c r="AR327" t="s">
        <v>83</v>
      </c>
      <c r="AS327" t="s">
        <v>83</v>
      </c>
      <c r="AT327" t="s">
        <v>83</v>
      </c>
      <c r="AU327" t="s">
        <v>88</v>
      </c>
      <c r="AV327" t="s">
        <v>89</v>
      </c>
      <c r="AW327" t="s">
        <v>117</v>
      </c>
      <c r="AZ327" t="s">
        <v>120</v>
      </c>
      <c r="BA327" t="s">
        <v>87</v>
      </c>
      <c r="BB327" t="s">
        <v>87</v>
      </c>
      <c r="BC327" t="s">
        <v>87</v>
      </c>
      <c r="BD327" t="s">
        <v>87</v>
      </c>
      <c r="BE327" t="s">
        <v>87</v>
      </c>
      <c r="BF327" t="s">
        <v>97</v>
      </c>
      <c r="BG327" t="s">
        <v>92</v>
      </c>
      <c r="BH327" t="s">
        <v>98</v>
      </c>
      <c r="BI327" t="s">
        <v>120</v>
      </c>
      <c r="BJ327" t="s">
        <v>102</v>
      </c>
      <c r="BK327">
        <v>1</v>
      </c>
      <c r="BL327">
        <v>0</v>
      </c>
      <c r="BM327">
        <v>0</v>
      </c>
      <c r="BN327">
        <v>0</v>
      </c>
      <c r="BO327">
        <v>0</v>
      </c>
      <c r="BP327">
        <v>0</v>
      </c>
      <c r="BQ327">
        <v>0</v>
      </c>
      <c r="BR327">
        <v>0</v>
      </c>
    </row>
    <row r="328" spans="1:70" x14ac:dyDescent="0.2">
      <c r="A328" s="1">
        <v>44585.638888888891</v>
      </c>
      <c r="B328" s="1">
        <v>44585.642361111109</v>
      </c>
      <c r="C328">
        <v>1</v>
      </c>
      <c r="D328">
        <v>0</v>
      </c>
      <c r="E328">
        <v>0</v>
      </c>
      <c r="F328">
        <v>0</v>
      </c>
      <c r="H328">
        <v>1</v>
      </c>
      <c r="I328">
        <v>0</v>
      </c>
      <c r="J328">
        <v>0</v>
      </c>
      <c r="K328">
        <v>0</v>
      </c>
      <c r="L328">
        <v>0</v>
      </c>
      <c r="P328">
        <v>1</v>
      </c>
      <c r="Q328">
        <v>0</v>
      </c>
      <c r="R328">
        <v>0</v>
      </c>
      <c r="S328">
        <v>0</v>
      </c>
      <c r="T328">
        <v>0</v>
      </c>
      <c r="U328">
        <v>0</v>
      </c>
      <c r="V328">
        <v>0</v>
      </c>
      <c r="W328">
        <v>0</v>
      </c>
      <c r="X328">
        <v>0</v>
      </c>
      <c r="Y328">
        <v>0</v>
      </c>
      <c r="Z328">
        <v>0</v>
      </c>
      <c r="AA328">
        <v>0</v>
      </c>
      <c r="AC328">
        <v>0</v>
      </c>
      <c r="AD328">
        <v>0</v>
      </c>
      <c r="AE328">
        <v>1</v>
      </c>
      <c r="AF328">
        <v>0</v>
      </c>
      <c r="AG328">
        <v>1</v>
      </c>
      <c r="AH328">
        <v>0</v>
      </c>
      <c r="AI328">
        <v>0</v>
      </c>
      <c r="AJ328">
        <v>0</v>
      </c>
      <c r="AK328">
        <v>0</v>
      </c>
      <c r="AX328" t="s">
        <v>110</v>
      </c>
      <c r="AY328" t="s">
        <v>139</v>
      </c>
      <c r="AZ328" t="s">
        <v>73</v>
      </c>
      <c r="BA328" t="s">
        <v>87</v>
      </c>
      <c r="BB328" t="s">
        <v>87</v>
      </c>
      <c r="BC328" t="s">
        <v>87</v>
      </c>
      <c r="BD328" t="s">
        <v>87</v>
      </c>
      <c r="BE328" t="s">
        <v>87</v>
      </c>
      <c r="BF328" t="s">
        <v>113</v>
      </c>
      <c r="BG328" t="s">
        <v>92</v>
      </c>
      <c r="BH328" t="s">
        <v>158</v>
      </c>
      <c r="BI328" t="s">
        <v>73</v>
      </c>
      <c r="BJ328" t="s">
        <v>114</v>
      </c>
      <c r="BK328">
        <v>0</v>
      </c>
      <c r="BL328">
        <v>0</v>
      </c>
      <c r="BM328">
        <v>0</v>
      </c>
      <c r="BN328">
        <v>0</v>
      </c>
      <c r="BO328">
        <v>0</v>
      </c>
      <c r="BP328">
        <v>1</v>
      </c>
      <c r="BQ328">
        <v>0</v>
      </c>
      <c r="BR328">
        <v>0</v>
      </c>
    </row>
    <row r="329" spans="1:70" x14ac:dyDescent="0.2">
      <c r="A329" s="1">
        <v>44579.923611111109</v>
      </c>
      <c r="B329" s="1">
        <v>44579.924305555556</v>
      </c>
      <c r="C329">
        <v>0</v>
      </c>
      <c r="D329">
        <v>0</v>
      </c>
      <c r="E329">
        <v>0</v>
      </c>
      <c r="F329">
        <v>1</v>
      </c>
      <c r="P329">
        <v>1</v>
      </c>
      <c r="Q329">
        <v>0</v>
      </c>
      <c r="R329">
        <v>0</v>
      </c>
      <c r="S329">
        <v>0</v>
      </c>
      <c r="T329">
        <v>0</v>
      </c>
      <c r="U329">
        <v>0</v>
      </c>
      <c r="V329">
        <v>0</v>
      </c>
      <c r="W329">
        <v>0</v>
      </c>
      <c r="X329">
        <v>0</v>
      </c>
      <c r="Y329">
        <v>0</v>
      </c>
      <c r="Z329">
        <v>0</v>
      </c>
      <c r="AA329">
        <v>0</v>
      </c>
      <c r="AC329">
        <v>0</v>
      </c>
      <c r="AD329">
        <v>0</v>
      </c>
      <c r="AE329">
        <v>0</v>
      </c>
      <c r="AF329">
        <v>0</v>
      </c>
      <c r="AG329">
        <v>0</v>
      </c>
      <c r="AH329">
        <v>0</v>
      </c>
      <c r="AI329">
        <v>1</v>
      </c>
      <c r="AJ329">
        <v>0</v>
      </c>
      <c r="AK329">
        <v>0</v>
      </c>
      <c r="AZ329" t="s">
        <v>107</v>
      </c>
      <c r="BF329" t="s">
        <v>97</v>
      </c>
      <c r="BG329" t="s">
        <v>76</v>
      </c>
      <c r="BH329" t="s">
        <v>98</v>
      </c>
      <c r="BI329" t="s">
        <v>107</v>
      </c>
      <c r="BJ329" t="s">
        <v>114</v>
      </c>
      <c r="BK329">
        <v>1</v>
      </c>
      <c r="BL329">
        <v>0</v>
      </c>
      <c r="BM329">
        <v>0</v>
      </c>
      <c r="BN329">
        <v>0</v>
      </c>
      <c r="BO329">
        <v>0</v>
      </c>
      <c r="BP329">
        <v>0</v>
      </c>
      <c r="BQ329">
        <v>0</v>
      </c>
      <c r="BR329">
        <v>0</v>
      </c>
    </row>
    <row r="330" spans="1:70" x14ac:dyDescent="0.2">
      <c r="A330" s="1">
        <v>44587.757638888892</v>
      </c>
      <c r="B330" s="1">
        <v>44587.759027777778</v>
      </c>
      <c r="C330">
        <v>1</v>
      </c>
      <c r="D330">
        <v>0</v>
      </c>
      <c r="E330">
        <v>0</v>
      </c>
      <c r="F330">
        <v>0</v>
      </c>
      <c r="H330">
        <v>0</v>
      </c>
      <c r="I330">
        <v>1</v>
      </c>
      <c r="J330">
        <v>0</v>
      </c>
      <c r="K330">
        <v>0</v>
      </c>
      <c r="L330">
        <v>0</v>
      </c>
      <c r="N330" t="s">
        <v>88</v>
      </c>
      <c r="O330" t="s">
        <v>89</v>
      </c>
      <c r="P330">
        <v>0</v>
      </c>
      <c r="Q330">
        <v>1</v>
      </c>
      <c r="R330">
        <v>0</v>
      </c>
      <c r="S330">
        <v>0</v>
      </c>
      <c r="T330">
        <v>0</v>
      </c>
      <c r="U330">
        <v>0</v>
      </c>
      <c r="V330">
        <v>0</v>
      </c>
      <c r="W330">
        <v>0</v>
      </c>
      <c r="X330">
        <v>0</v>
      </c>
      <c r="Y330">
        <v>0</v>
      </c>
      <c r="Z330">
        <v>0</v>
      </c>
      <c r="AA330">
        <v>0</v>
      </c>
      <c r="AM330" t="s">
        <v>83</v>
      </c>
      <c r="AN330" t="s">
        <v>82</v>
      </c>
      <c r="AO330" t="s">
        <v>83</v>
      </c>
      <c r="AP330" t="s">
        <v>83</v>
      </c>
      <c r="AQ330" t="s">
        <v>83</v>
      </c>
      <c r="AR330" t="s">
        <v>83</v>
      </c>
      <c r="AS330" t="s">
        <v>83</v>
      </c>
      <c r="AT330" t="s">
        <v>83</v>
      </c>
      <c r="AU330" t="s">
        <v>127</v>
      </c>
      <c r="AV330" t="s">
        <v>127</v>
      </c>
      <c r="AZ330" t="s">
        <v>107</v>
      </c>
      <c r="BA330" t="s">
        <v>74</v>
      </c>
      <c r="BF330" t="s">
        <v>97</v>
      </c>
      <c r="BG330" t="s">
        <v>76</v>
      </c>
      <c r="BH330" t="s">
        <v>98</v>
      </c>
      <c r="BI330" t="s">
        <v>107</v>
      </c>
      <c r="BJ330" t="s">
        <v>114</v>
      </c>
      <c r="BK330">
        <v>0</v>
      </c>
      <c r="BL330">
        <v>0</v>
      </c>
      <c r="BM330">
        <v>0</v>
      </c>
      <c r="BN330">
        <v>0</v>
      </c>
      <c r="BO330">
        <v>0</v>
      </c>
      <c r="BP330">
        <v>1</v>
      </c>
      <c r="BQ330">
        <v>0</v>
      </c>
      <c r="BR330">
        <v>0</v>
      </c>
    </row>
    <row r="331" spans="1:70" x14ac:dyDescent="0.2">
      <c r="A331" s="1">
        <v>44589.711111111108</v>
      </c>
      <c r="B331" s="1">
        <v>44589.71597222222</v>
      </c>
      <c r="C331">
        <v>0</v>
      </c>
      <c r="D331">
        <v>1</v>
      </c>
      <c r="E331">
        <v>0</v>
      </c>
      <c r="F331">
        <v>0</v>
      </c>
      <c r="H331">
        <v>0</v>
      </c>
      <c r="I331">
        <v>0</v>
      </c>
      <c r="J331">
        <v>1</v>
      </c>
      <c r="K331">
        <v>0</v>
      </c>
      <c r="L331">
        <v>0</v>
      </c>
      <c r="N331" t="s">
        <v>79</v>
      </c>
      <c r="O331" t="s">
        <v>80</v>
      </c>
      <c r="P331">
        <v>1</v>
      </c>
      <c r="Q331">
        <v>0</v>
      </c>
      <c r="R331">
        <v>0</v>
      </c>
      <c r="S331">
        <v>0</v>
      </c>
      <c r="T331">
        <v>0</v>
      </c>
      <c r="U331">
        <v>0</v>
      </c>
      <c r="V331">
        <v>0</v>
      </c>
      <c r="W331">
        <v>0</v>
      </c>
      <c r="X331">
        <v>0</v>
      </c>
      <c r="Y331">
        <v>0</v>
      </c>
      <c r="Z331">
        <v>0</v>
      </c>
      <c r="AA331">
        <v>0</v>
      </c>
      <c r="AC331">
        <v>0</v>
      </c>
      <c r="AD331">
        <v>0</v>
      </c>
      <c r="AE331">
        <v>1</v>
      </c>
      <c r="AF331">
        <v>0</v>
      </c>
      <c r="AG331">
        <v>0</v>
      </c>
      <c r="AH331">
        <v>0</v>
      </c>
      <c r="AI331">
        <v>0</v>
      </c>
      <c r="AJ331">
        <v>0</v>
      </c>
      <c r="AK331">
        <v>1</v>
      </c>
      <c r="AL331" t="s">
        <v>247</v>
      </c>
      <c r="AZ331" t="s">
        <v>96</v>
      </c>
      <c r="BA331" t="s">
        <v>87</v>
      </c>
      <c r="BB331" t="s">
        <v>87</v>
      </c>
      <c r="BC331" t="s">
        <v>86</v>
      </c>
      <c r="BD331" t="s">
        <v>86</v>
      </c>
      <c r="BE331" t="s">
        <v>86</v>
      </c>
      <c r="BF331" t="s">
        <v>101</v>
      </c>
      <c r="BG331" t="s">
        <v>76</v>
      </c>
      <c r="BH331" t="s">
        <v>98</v>
      </c>
      <c r="BI331" t="s">
        <v>96</v>
      </c>
      <c r="BJ331" t="s">
        <v>114</v>
      </c>
      <c r="BK331">
        <v>0</v>
      </c>
      <c r="BL331">
        <v>0</v>
      </c>
      <c r="BM331">
        <v>0</v>
      </c>
      <c r="BN331">
        <v>0</v>
      </c>
      <c r="BO331">
        <v>0</v>
      </c>
      <c r="BP331">
        <v>0</v>
      </c>
      <c r="BQ331">
        <v>0</v>
      </c>
      <c r="BR331">
        <v>1</v>
      </c>
    </row>
    <row r="332" spans="1:70" x14ac:dyDescent="0.2">
      <c r="A332" s="1">
        <v>44580.036805555559</v>
      </c>
      <c r="B332" s="1">
        <v>44580.043055555558</v>
      </c>
      <c r="C332">
        <v>1</v>
      </c>
      <c r="D332">
        <v>0</v>
      </c>
      <c r="E332">
        <v>0</v>
      </c>
      <c r="F332">
        <v>0</v>
      </c>
      <c r="H332">
        <v>1</v>
      </c>
      <c r="I332">
        <v>0</v>
      </c>
      <c r="J332">
        <v>0</v>
      </c>
      <c r="K332">
        <v>0</v>
      </c>
      <c r="L332">
        <v>0</v>
      </c>
      <c r="P332">
        <v>1</v>
      </c>
      <c r="Q332">
        <v>0</v>
      </c>
      <c r="R332">
        <v>0</v>
      </c>
      <c r="S332">
        <v>0</v>
      </c>
      <c r="T332">
        <v>0</v>
      </c>
      <c r="U332">
        <v>0</v>
      </c>
      <c r="V332">
        <v>0</v>
      </c>
      <c r="W332">
        <v>0</v>
      </c>
      <c r="X332">
        <v>0</v>
      </c>
      <c r="Y332">
        <v>0</v>
      </c>
      <c r="Z332">
        <v>0</v>
      </c>
      <c r="AA332">
        <v>0</v>
      </c>
      <c r="AC332">
        <v>0</v>
      </c>
      <c r="AD332">
        <v>1</v>
      </c>
      <c r="AE332">
        <v>0</v>
      </c>
      <c r="AF332">
        <v>0</v>
      </c>
      <c r="AG332">
        <v>0</v>
      </c>
      <c r="AH332">
        <v>0</v>
      </c>
      <c r="AI332">
        <v>0</v>
      </c>
      <c r="AJ332">
        <v>0</v>
      </c>
      <c r="AK332">
        <v>0</v>
      </c>
      <c r="AZ332" t="s">
        <v>107</v>
      </c>
      <c r="BA332" t="s">
        <v>86</v>
      </c>
      <c r="BB332" t="s">
        <v>86</v>
      </c>
      <c r="BC332" t="s">
        <v>86</v>
      </c>
      <c r="BD332" t="s">
        <v>87</v>
      </c>
      <c r="BE332" t="s">
        <v>86</v>
      </c>
      <c r="BF332" t="s">
        <v>97</v>
      </c>
      <c r="BG332" t="s">
        <v>92</v>
      </c>
      <c r="BH332" t="s">
        <v>98</v>
      </c>
      <c r="BI332" t="s">
        <v>107</v>
      </c>
      <c r="BJ332" t="s">
        <v>78</v>
      </c>
      <c r="BK332">
        <v>1</v>
      </c>
      <c r="BL332">
        <v>0</v>
      </c>
      <c r="BM332">
        <v>0</v>
      </c>
      <c r="BN332">
        <v>0</v>
      </c>
      <c r="BO332">
        <v>0</v>
      </c>
      <c r="BP332">
        <v>0</v>
      </c>
      <c r="BQ332">
        <v>0</v>
      </c>
      <c r="BR332">
        <v>0</v>
      </c>
    </row>
    <row r="333" spans="1:70" x14ac:dyDescent="0.2">
      <c r="A333" s="1">
        <v>44579.876388888886</v>
      </c>
      <c r="B333" s="1">
        <v>44579.879166666666</v>
      </c>
      <c r="C333">
        <v>1</v>
      </c>
      <c r="D333">
        <v>0</v>
      </c>
      <c r="E333">
        <v>0</v>
      </c>
      <c r="F333">
        <v>0</v>
      </c>
      <c r="H333">
        <v>0</v>
      </c>
      <c r="I333">
        <v>0</v>
      </c>
      <c r="J333">
        <v>0</v>
      </c>
      <c r="K333">
        <v>0</v>
      </c>
      <c r="L333">
        <v>1</v>
      </c>
      <c r="M333" t="s">
        <v>248</v>
      </c>
      <c r="N333" t="s">
        <v>79</v>
      </c>
      <c r="O333" t="s">
        <v>80</v>
      </c>
      <c r="P333">
        <v>1</v>
      </c>
      <c r="Q333">
        <v>0</v>
      </c>
      <c r="R333">
        <v>0</v>
      </c>
      <c r="S333">
        <v>0</v>
      </c>
      <c r="T333">
        <v>0</v>
      </c>
      <c r="U333">
        <v>0</v>
      </c>
      <c r="V333">
        <v>0</v>
      </c>
      <c r="W333">
        <v>0</v>
      </c>
      <c r="X333">
        <v>0</v>
      </c>
      <c r="Y333">
        <v>0</v>
      </c>
      <c r="Z333">
        <v>0</v>
      </c>
      <c r="AA333">
        <v>0</v>
      </c>
      <c r="AC333">
        <v>0</v>
      </c>
      <c r="AD333">
        <v>0</v>
      </c>
      <c r="AE333">
        <v>0</v>
      </c>
      <c r="AF333">
        <v>0</v>
      </c>
      <c r="AG333">
        <v>0</v>
      </c>
      <c r="AH333">
        <v>0</v>
      </c>
      <c r="AI333">
        <v>0</v>
      </c>
      <c r="AJ333">
        <v>0</v>
      </c>
      <c r="AK333">
        <v>1</v>
      </c>
      <c r="AL333" t="s">
        <v>249</v>
      </c>
      <c r="AX333" t="s">
        <v>122</v>
      </c>
      <c r="AZ333" t="s">
        <v>107</v>
      </c>
      <c r="BA333" t="s">
        <v>86</v>
      </c>
      <c r="BB333" t="s">
        <v>74</v>
      </c>
      <c r="BC333" t="s">
        <v>86</v>
      </c>
      <c r="BD333" t="s">
        <v>86</v>
      </c>
      <c r="BE333" t="s">
        <v>86</v>
      </c>
      <c r="BF333" t="s">
        <v>108</v>
      </c>
      <c r="BG333" t="s">
        <v>92</v>
      </c>
      <c r="BH333" t="s">
        <v>98</v>
      </c>
      <c r="BI333" t="s">
        <v>107</v>
      </c>
      <c r="BJ333" t="s">
        <v>114</v>
      </c>
      <c r="BK333">
        <v>1</v>
      </c>
      <c r="BL333">
        <v>0</v>
      </c>
      <c r="BM333">
        <v>0</v>
      </c>
      <c r="BN333">
        <v>0</v>
      </c>
      <c r="BO333">
        <v>0</v>
      </c>
      <c r="BP333">
        <v>0</v>
      </c>
      <c r="BQ333">
        <v>0</v>
      </c>
      <c r="BR333">
        <v>0</v>
      </c>
    </row>
    <row r="334" spans="1:70" x14ac:dyDescent="0.2">
      <c r="A334" s="1">
        <v>44583.665972222225</v>
      </c>
      <c r="B334" s="1">
        <v>44583.675000000003</v>
      </c>
      <c r="C334">
        <v>0</v>
      </c>
      <c r="D334">
        <v>0</v>
      </c>
      <c r="E334">
        <v>1</v>
      </c>
      <c r="F334">
        <v>0</v>
      </c>
      <c r="G334" t="s">
        <v>250</v>
      </c>
      <c r="H334">
        <v>0</v>
      </c>
      <c r="I334">
        <v>1</v>
      </c>
      <c r="J334">
        <v>0</v>
      </c>
      <c r="K334">
        <v>0</v>
      </c>
      <c r="L334">
        <v>0</v>
      </c>
      <c r="N334" t="s">
        <v>79</v>
      </c>
      <c r="O334" t="s">
        <v>80</v>
      </c>
      <c r="P334">
        <v>1</v>
      </c>
      <c r="Q334">
        <v>0</v>
      </c>
      <c r="R334">
        <v>0</v>
      </c>
      <c r="S334">
        <v>0</v>
      </c>
      <c r="T334">
        <v>0</v>
      </c>
      <c r="U334">
        <v>0</v>
      </c>
      <c r="V334">
        <v>0</v>
      </c>
      <c r="W334">
        <v>0</v>
      </c>
      <c r="X334">
        <v>0</v>
      </c>
      <c r="Y334">
        <v>0</v>
      </c>
      <c r="Z334">
        <v>0</v>
      </c>
      <c r="AA334">
        <v>0</v>
      </c>
      <c r="AC334">
        <v>1</v>
      </c>
      <c r="AD334">
        <v>0</v>
      </c>
      <c r="AE334">
        <v>0</v>
      </c>
      <c r="AF334">
        <v>0</v>
      </c>
      <c r="AG334">
        <v>0</v>
      </c>
      <c r="AH334">
        <v>0</v>
      </c>
      <c r="AI334">
        <v>0</v>
      </c>
      <c r="AJ334">
        <v>0</v>
      </c>
      <c r="AK334">
        <v>0</v>
      </c>
      <c r="AZ334" t="s">
        <v>73</v>
      </c>
      <c r="BA334" t="s">
        <v>86</v>
      </c>
      <c r="BB334" t="s">
        <v>87</v>
      </c>
      <c r="BC334" t="s">
        <v>87</v>
      </c>
      <c r="BD334" t="s">
        <v>87</v>
      </c>
      <c r="BE334" t="s">
        <v>87</v>
      </c>
      <c r="BF334" t="s">
        <v>97</v>
      </c>
      <c r="BG334" t="s">
        <v>92</v>
      </c>
      <c r="BH334" t="s">
        <v>98</v>
      </c>
      <c r="BI334" t="s">
        <v>73</v>
      </c>
      <c r="BJ334" t="s">
        <v>114</v>
      </c>
      <c r="BK334">
        <v>1</v>
      </c>
      <c r="BL334">
        <v>0</v>
      </c>
      <c r="BM334">
        <v>0</v>
      </c>
      <c r="BN334">
        <v>0</v>
      </c>
      <c r="BO334">
        <v>0</v>
      </c>
      <c r="BP334">
        <v>0</v>
      </c>
      <c r="BQ334">
        <v>0</v>
      </c>
      <c r="BR334">
        <v>0</v>
      </c>
    </row>
    <row r="335" spans="1:70" x14ac:dyDescent="0.2">
      <c r="A335" s="1">
        <v>44579.916666666664</v>
      </c>
      <c r="B335" s="1">
        <v>44579.918055555558</v>
      </c>
      <c r="C335">
        <v>1</v>
      </c>
      <c r="D335">
        <v>0</v>
      </c>
      <c r="E335">
        <v>0</v>
      </c>
      <c r="F335">
        <v>0</v>
      </c>
      <c r="H335">
        <v>0</v>
      </c>
      <c r="I335">
        <v>1</v>
      </c>
      <c r="J335">
        <v>1</v>
      </c>
      <c r="K335">
        <v>0</v>
      </c>
      <c r="L335">
        <v>0</v>
      </c>
      <c r="N335" t="s">
        <v>88</v>
      </c>
      <c r="O335" t="s">
        <v>89</v>
      </c>
      <c r="P335">
        <v>0</v>
      </c>
      <c r="Q335">
        <v>0</v>
      </c>
      <c r="R335">
        <v>1</v>
      </c>
      <c r="S335">
        <v>0</v>
      </c>
      <c r="T335">
        <v>0</v>
      </c>
      <c r="U335">
        <v>0</v>
      </c>
      <c r="V335">
        <v>0</v>
      </c>
      <c r="W335">
        <v>0</v>
      </c>
      <c r="X335">
        <v>0</v>
      </c>
      <c r="Y335">
        <v>0</v>
      </c>
      <c r="Z335">
        <v>0</v>
      </c>
      <c r="AA335">
        <v>0</v>
      </c>
      <c r="AM335" t="s">
        <v>83</v>
      </c>
      <c r="AN335" t="s">
        <v>81</v>
      </c>
      <c r="AO335" t="s">
        <v>83</v>
      </c>
      <c r="AP335" t="s">
        <v>82</v>
      </c>
      <c r="AQ335" t="s">
        <v>81</v>
      </c>
      <c r="AR335" t="s">
        <v>83</v>
      </c>
      <c r="AS335" t="s">
        <v>83</v>
      </c>
      <c r="AT335" t="s">
        <v>83</v>
      </c>
      <c r="AU335" t="s">
        <v>88</v>
      </c>
      <c r="AV335" t="s">
        <v>89</v>
      </c>
      <c r="AW335" t="s">
        <v>85</v>
      </c>
      <c r="AX335" t="s">
        <v>91</v>
      </c>
      <c r="AZ335" t="s">
        <v>107</v>
      </c>
      <c r="BA335" t="s">
        <v>74</v>
      </c>
      <c r="BF335" t="s">
        <v>75</v>
      </c>
      <c r="BG335" t="s">
        <v>92</v>
      </c>
      <c r="BH335" t="s">
        <v>93</v>
      </c>
      <c r="BI335" t="s">
        <v>107</v>
      </c>
      <c r="BJ335" t="s">
        <v>114</v>
      </c>
      <c r="BK335">
        <v>0</v>
      </c>
      <c r="BL335">
        <v>0</v>
      </c>
      <c r="BM335">
        <v>0</v>
      </c>
      <c r="BN335">
        <v>0</v>
      </c>
      <c r="BO335">
        <v>0</v>
      </c>
      <c r="BP335">
        <v>1</v>
      </c>
      <c r="BQ335">
        <v>0</v>
      </c>
      <c r="BR335">
        <v>0</v>
      </c>
    </row>
    <row r="336" spans="1:70" x14ac:dyDescent="0.2">
      <c r="A336" s="1">
        <v>44585.943055555559</v>
      </c>
      <c r="B336" s="1">
        <v>44585.947222222225</v>
      </c>
      <c r="C336">
        <v>0</v>
      </c>
      <c r="D336">
        <v>1</v>
      </c>
      <c r="E336">
        <v>0</v>
      </c>
      <c r="F336">
        <v>0</v>
      </c>
      <c r="H336">
        <v>1</v>
      </c>
      <c r="I336">
        <v>0</v>
      </c>
      <c r="J336">
        <v>0</v>
      </c>
      <c r="K336">
        <v>0</v>
      </c>
      <c r="L336">
        <v>0</v>
      </c>
      <c r="P336">
        <v>1</v>
      </c>
      <c r="Q336">
        <v>0</v>
      </c>
      <c r="R336">
        <v>0</v>
      </c>
      <c r="S336">
        <v>0</v>
      </c>
      <c r="T336">
        <v>0</v>
      </c>
      <c r="U336">
        <v>0</v>
      </c>
      <c r="V336">
        <v>0</v>
      </c>
      <c r="W336">
        <v>0</v>
      </c>
      <c r="X336">
        <v>0</v>
      </c>
      <c r="Y336">
        <v>0</v>
      </c>
      <c r="Z336">
        <v>0</v>
      </c>
      <c r="AA336">
        <v>0</v>
      </c>
      <c r="AC336">
        <v>0</v>
      </c>
      <c r="AD336">
        <v>1</v>
      </c>
      <c r="AE336">
        <v>0</v>
      </c>
      <c r="AF336">
        <v>0</v>
      </c>
      <c r="AG336">
        <v>0</v>
      </c>
      <c r="AH336">
        <v>0</v>
      </c>
      <c r="AI336">
        <v>0</v>
      </c>
      <c r="AJ336">
        <v>0</v>
      </c>
      <c r="AK336">
        <v>0</v>
      </c>
      <c r="AZ336" t="s">
        <v>107</v>
      </c>
      <c r="BA336" t="s">
        <v>87</v>
      </c>
      <c r="BB336" t="s">
        <v>87</v>
      </c>
      <c r="BC336" t="s">
        <v>87</v>
      </c>
      <c r="BD336" t="s">
        <v>87</v>
      </c>
      <c r="BE336" t="s">
        <v>87</v>
      </c>
      <c r="BF336" t="s">
        <v>101</v>
      </c>
      <c r="BG336" t="s">
        <v>92</v>
      </c>
      <c r="BH336" t="s">
        <v>77</v>
      </c>
      <c r="BI336" t="s">
        <v>107</v>
      </c>
      <c r="BJ336" t="s">
        <v>109</v>
      </c>
      <c r="BK336">
        <v>1</v>
      </c>
      <c r="BL336">
        <v>0</v>
      </c>
      <c r="BM336">
        <v>0</v>
      </c>
      <c r="BN336">
        <v>0</v>
      </c>
      <c r="BO336">
        <v>0</v>
      </c>
      <c r="BP336">
        <v>0</v>
      </c>
      <c r="BQ336">
        <v>0</v>
      </c>
      <c r="BR336">
        <v>0</v>
      </c>
    </row>
    <row r="337" spans="1:70" x14ac:dyDescent="0.2">
      <c r="A337" s="1">
        <v>44580.957638888889</v>
      </c>
      <c r="B337" s="1">
        <v>44580.963194444441</v>
      </c>
      <c r="C337">
        <v>0</v>
      </c>
      <c r="D337">
        <v>0</v>
      </c>
      <c r="E337">
        <v>0</v>
      </c>
      <c r="F337">
        <v>1</v>
      </c>
      <c r="P337">
        <v>1</v>
      </c>
      <c r="Q337">
        <v>0</v>
      </c>
      <c r="R337">
        <v>0</v>
      </c>
      <c r="S337">
        <v>0</v>
      </c>
      <c r="T337">
        <v>0</v>
      </c>
      <c r="U337">
        <v>0</v>
      </c>
      <c r="V337">
        <v>0</v>
      </c>
      <c r="W337">
        <v>0</v>
      </c>
      <c r="X337">
        <v>0</v>
      </c>
      <c r="Y337">
        <v>0</v>
      </c>
      <c r="Z337">
        <v>0</v>
      </c>
      <c r="AA337">
        <v>0</v>
      </c>
      <c r="AC337">
        <v>0</v>
      </c>
      <c r="AD337">
        <v>0</v>
      </c>
      <c r="AE337">
        <v>1</v>
      </c>
      <c r="AF337">
        <v>0</v>
      </c>
      <c r="AG337">
        <v>0</v>
      </c>
      <c r="AH337">
        <v>1</v>
      </c>
      <c r="AI337">
        <v>0</v>
      </c>
      <c r="AJ337">
        <v>0</v>
      </c>
      <c r="AK337">
        <v>0</v>
      </c>
      <c r="AZ337" t="s">
        <v>107</v>
      </c>
      <c r="BF337" t="s">
        <v>97</v>
      </c>
      <c r="BG337" t="s">
        <v>92</v>
      </c>
      <c r="BH337" t="s">
        <v>158</v>
      </c>
      <c r="BI337" t="s">
        <v>107</v>
      </c>
      <c r="BK337">
        <v>1</v>
      </c>
      <c r="BL337">
        <v>0</v>
      </c>
      <c r="BM337">
        <v>0</v>
      </c>
      <c r="BN337">
        <v>0</v>
      </c>
      <c r="BO337">
        <v>0</v>
      </c>
      <c r="BP337">
        <v>0</v>
      </c>
      <c r="BQ337">
        <v>0</v>
      </c>
      <c r="BR337">
        <v>0</v>
      </c>
    </row>
    <row r="338" spans="1:70" x14ac:dyDescent="0.2">
      <c r="A338" s="1">
        <v>44585.52847222222</v>
      </c>
      <c r="B338" s="1">
        <v>44585.53125</v>
      </c>
      <c r="C338">
        <v>1</v>
      </c>
      <c r="D338">
        <v>0</v>
      </c>
      <c r="E338">
        <v>0</v>
      </c>
      <c r="F338">
        <v>0</v>
      </c>
      <c r="H338">
        <v>0</v>
      </c>
      <c r="I338">
        <v>1</v>
      </c>
      <c r="J338">
        <v>0</v>
      </c>
      <c r="K338">
        <v>0</v>
      </c>
      <c r="L338">
        <v>0</v>
      </c>
      <c r="N338" t="s">
        <v>88</v>
      </c>
      <c r="O338" t="s">
        <v>80</v>
      </c>
      <c r="P338">
        <v>0</v>
      </c>
      <c r="Q338">
        <v>0</v>
      </c>
      <c r="R338">
        <v>1</v>
      </c>
      <c r="S338">
        <v>0</v>
      </c>
      <c r="T338">
        <v>0</v>
      </c>
      <c r="U338">
        <v>0</v>
      </c>
      <c r="V338">
        <v>0</v>
      </c>
      <c r="W338">
        <v>0</v>
      </c>
      <c r="X338">
        <v>0</v>
      </c>
      <c r="Y338">
        <v>0</v>
      </c>
      <c r="Z338">
        <v>0</v>
      </c>
      <c r="AA338">
        <v>0</v>
      </c>
      <c r="AM338" t="s">
        <v>83</v>
      </c>
      <c r="AN338" t="s">
        <v>82</v>
      </c>
      <c r="AO338" t="s">
        <v>83</v>
      </c>
      <c r="AP338" t="s">
        <v>82</v>
      </c>
      <c r="AQ338" t="s">
        <v>81</v>
      </c>
      <c r="AR338" t="s">
        <v>83</v>
      </c>
      <c r="AS338" t="s">
        <v>83</v>
      </c>
      <c r="AT338" t="s">
        <v>83</v>
      </c>
      <c r="AU338" t="s">
        <v>88</v>
      </c>
      <c r="AV338" t="s">
        <v>89</v>
      </c>
      <c r="AW338" t="s">
        <v>85</v>
      </c>
      <c r="AX338" t="s">
        <v>191</v>
      </c>
      <c r="AZ338" t="s">
        <v>107</v>
      </c>
      <c r="BA338" t="s">
        <v>86</v>
      </c>
      <c r="BB338" t="s">
        <v>86</v>
      </c>
      <c r="BC338" t="s">
        <v>86</v>
      </c>
      <c r="BD338" t="s">
        <v>86</v>
      </c>
      <c r="BE338" t="s">
        <v>86</v>
      </c>
      <c r="BF338" t="s">
        <v>75</v>
      </c>
      <c r="BG338" t="s">
        <v>76</v>
      </c>
      <c r="BH338" t="s">
        <v>98</v>
      </c>
      <c r="BI338" t="s">
        <v>107</v>
      </c>
      <c r="BJ338" t="s">
        <v>109</v>
      </c>
      <c r="BK338">
        <v>0</v>
      </c>
      <c r="BL338">
        <v>0</v>
      </c>
      <c r="BM338">
        <v>0</v>
      </c>
      <c r="BN338">
        <v>0</v>
      </c>
      <c r="BO338">
        <v>0</v>
      </c>
      <c r="BP338">
        <v>1</v>
      </c>
      <c r="BQ338">
        <v>0</v>
      </c>
      <c r="BR338">
        <v>0</v>
      </c>
    </row>
    <row r="339" spans="1:70" x14ac:dyDescent="0.2">
      <c r="A339" s="1">
        <v>44587.176388888889</v>
      </c>
      <c r="B339" s="1">
        <v>44587.179861111108</v>
      </c>
      <c r="C339">
        <v>1</v>
      </c>
      <c r="D339">
        <v>0</v>
      </c>
      <c r="E339">
        <v>0</v>
      </c>
      <c r="F339">
        <v>0</v>
      </c>
      <c r="H339">
        <v>1</v>
      </c>
      <c r="I339">
        <v>0</v>
      </c>
      <c r="J339">
        <v>0</v>
      </c>
      <c r="K339">
        <v>0</v>
      </c>
      <c r="L339">
        <v>0</v>
      </c>
      <c r="P339">
        <v>1</v>
      </c>
      <c r="Q339">
        <v>0</v>
      </c>
      <c r="R339">
        <v>0</v>
      </c>
      <c r="S339">
        <v>0</v>
      </c>
      <c r="T339">
        <v>0</v>
      </c>
      <c r="U339">
        <v>0</v>
      </c>
      <c r="V339">
        <v>0</v>
      </c>
      <c r="W339">
        <v>0</v>
      </c>
      <c r="X339">
        <v>0</v>
      </c>
      <c r="Y339">
        <v>0</v>
      </c>
      <c r="Z339">
        <v>0</v>
      </c>
      <c r="AA339">
        <v>0</v>
      </c>
      <c r="AC339">
        <v>0</v>
      </c>
      <c r="AD339">
        <v>0</v>
      </c>
      <c r="AE339">
        <v>0</v>
      </c>
      <c r="AF339">
        <v>0</v>
      </c>
      <c r="AG339">
        <v>0</v>
      </c>
      <c r="AH339">
        <v>1</v>
      </c>
      <c r="AI339">
        <v>0</v>
      </c>
      <c r="AJ339">
        <v>0</v>
      </c>
      <c r="AK339">
        <v>0</v>
      </c>
      <c r="AX339" t="s">
        <v>122</v>
      </c>
      <c r="AZ339" t="s">
        <v>73</v>
      </c>
      <c r="BA339" t="s">
        <v>87</v>
      </c>
      <c r="BB339" t="s">
        <v>87</v>
      </c>
      <c r="BC339" t="s">
        <v>87</v>
      </c>
      <c r="BD339" t="s">
        <v>87</v>
      </c>
      <c r="BE339" t="s">
        <v>87</v>
      </c>
      <c r="BF339" t="s">
        <v>108</v>
      </c>
      <c r="BG339" t="s">
        <v>92</v>
      </c>
      <c r="BH339" t="s">
        <v>98</v>
      </c>
      <c r="BI339" t="s">
        <v>73</v>
      </c>
      <c r="BJ339" t="s">
        <v>147</v>
      </c>
      <c r="BK339">
        <v>1</v>
      </c>
      <c r="BL339">
        <v>0</v>
      </c>
      <c r="BM339">
        <v>0</v>
      </c>
      <c r="BN339">
        <v>0</v>
      </c>
      <c r="BO339">
        <v>0</v>
      </c>
      <c r="BP339">
        <v>0</v>
      </c>
      <c r="BQ339">
        <v>0</v>
      </c>
      <c r="BR339">
        <v>0</v>
      </c>
    </row>
    <row r="340" spans="1:70" x14ac:dyDescent="0.2">
      <c r="A340" s="1">
        <v>44580.692361111112</v>
      </c>
      <c r="B340" s="1">
        <v>44580.695833333331</v>
      </c>
      <c r="C340">
        <v>0</v>
      </c>
      <c r="D340">
        <v>1</v>
      </c>
      <c r="E340">
        <v>0</v>
      </c>
      <c r="F340">
        <v>0</v>
      </c>
      <c r="H340">
        <v>0</v>
      </c>
      <c r="I340">
        <v>1</v>
      </c>
      <c r="J340">
        <v>0</v>
      </c>
      <c r="K340">
        <v>0</v>
      </c>
      <c r="L340">
        <v>0</v>
      </c>
      <c r="N340" t="s">
        <v>135</v>
      </c>
      <c r="O340" t="s">
        <v>127</v>
      </c>
      <c r="P340">
        <v>0</v>
      </c>
      <c r="Q340">
        <v>1</v>
      </c>
      <c r="R340">
        <v>0</v>
      </c>
      <c r="S340">
        <v>0</v>
      </c>
      <c r="T340">
        <v>0</v>
      </c>
      <c r="U340">
        <v>0</v>
      </c>
      <c r="V340">
        <v>0</v>
      </c>
      <c r="W340">
        <v>0</v>
      </c>
      <c r="X340">
        <v>0</v>
      </c>
      <c r="Y340">
        <v>0</v>
      </c>
      <c r="Z340">
        <v>0</v>
      </c>
      <c r="AA340">
        <v>1</v>
      </c>
      <c r="AB340" t="s">
        <v>251</v>
      </c>
      <c r="AM340" t="s">
        <v>81</v>
      </c>
      <c r="AN340" t="s">
        <v>82</v>
      </c>
      <c r="AO340" t="s">
        <v>83</v>
      </c>
      <c r="AP340" t="s">
        <v>81</v>
      </c>
      <c r="AQ340" t="s">
        <v>81</v>
      </c>
      <c r="AR340" t="s">
        <v>82</v>
      </c>
      <c r="AS340" t="s">
        <v>83</v>
      </c>
      <c r="AT340" t="s">
        <v>83</v>
      </c>
      <c r="AU340" t="s">
        <v>88</v>
      </c>
      <c r="AV340" t="s">
        <v>89</v>
      </c>
      <c r="AW340" t="s">
        <v>100</v>
      </c>
      <c r="AZ340" t="s">
        <v>107</v>
      </c>
      <c r="BA340" t="s">
        <v>86</v>
      </c>
      <c r="BB340" t="s">
        <v>87</v>
      </c>
      <c r="BC340" t="s">
        <v>87</v>
      </c>
      <c r="BD340" t="s">
        <v>74</v>
      </c>
      <c r="BE340" t="s">
        <v>86</v>
      </c>
      <c r="BF340" t="s">
        <v>97</v>
      </c>
      <c r="BG340" t="s">
        <v>92</v>
      </c>
      <c r="BH340" t="s">
        <v>158</v>
      </c>
      <c r="BI340" t="s">
        <v>107</v>
      </c>
      <c r="BK340">
        <v>1</v>
      </c>
      <c r="BL340">
        <v>0</v>
      </c>
      <c r="BM340">
        <v>0</v>
      </c>
      <c r="BN340">
        <v>0</v>
      </c>
      <c r="BO340">
        <v>0</v>
      </c>
      <c r="BP340">
        <v>0</v>
      </c>
      <c r="BQ340">
        <v>0</v>
      </c>
      <c r="BR340">
        <v>0</v>
      </c>
    </row>
    <row r="341" spans="1:70" x14ac:dyDescent="0.2">
      <c r="A341" s="1">
        <v>44579.919444444444</v>
      </c>
      <c r="B341" s="1">
        <v>44579.92291666667</v>
      </c>
      <c r="C341">
        <v>1</v>
      </c>
      <c r="D341">
        <v>0</v>
      </c>
      <c r="E341">
        <v>0</v>
      </c>
      <c r="F341">
        <v>0</v>
      </c>
      <c r="H341">
        <v>0</v>
      </c>
      <c r="I341">
        <v>1</v>
      </c>
      <c r="J341">
        <v>0</v>
      </c>
      <c r="K341">
        <v>0</v>
      </c>
      <c r="L341">
        <v>0</v>
      </c>
      <c r="N341" t="s">
        <v>79</v>
      </c>
      <c r="O341" t="s">
        <v>80</v>
      </c>
      <c r="P341">
        <v>0</v>
      </c>
      <c r="Q341">
        <v>0</v>
      </c>
      <c r="R341">
        <v>1</v>
      </c>
      <c r="S341">
        <v>0</v>
      </c>
      <c r="T341">
        <v>0</v>
      </c>
      <c r="U341">
        <v>0</v>
      </c>
      <c r="V341">
        <v>0</v>
      </c>
      <c r="W341">
        <v>0</v>
      </c>
      <c r="X341">
        <v>0</v>
      </c>
      <c r="Y341">
        <v>0</v>
      </c>
      <c r="Z341">
        <v>0</v>
      </c>
      <c r="AA341">
        <v>0</v>
      </c>
      <c r="AM341" t="s">
        <v>81</v>
      </c>
      <c r="AN341" t="s">
        <v>82</v>
      </c>
      <c r="AO341" t="s">
        <v>83</v>
      </c>
      <c r="AP341" t="s">
        <v>83</v>
      </c>
      <c r="AQ341" t="s">
        <v>81</v>
      </c>
      <c r="AR341" t="s">
        <v>83</v>
      </c>
      <c r="AS341" t="s">
        <v>81</v>
      </c>
      <c r="AT341" t="s">
        <v>83</v>
      </c>
      <c r="AU341" t="s">
        <v>88</v>
      </c>
      <c r="AV341" t="s">
        <v>89</v>
      </c>
      <c r="AW341" t="s">
        <v>85</v>
      </c>
      <c r="AZ341" t="s">
        <v>73</v>
      </c>
      <c r="BA341" t="s">
        <v>74</v>
      </c>
      <c r="BF341" t="s">
        <v>97</v>
      </c>
      <c r="BG341" t="s">
        <v>92</v>
      </c>
      <c r="BH341" t="s">
        <v>158</v>
      </c>
      <c r="BI341" t="s">
        <v>73</v>
      </c>
      <c r="BJ341" t="s">
        <v>137</v>
      </c>
      <c r="BK341">
        <v>1</v>
      </c>
      <c r="BL341">
        <v>0</v>
      </c>
      <c r="BM341">
        <v>0</v>
      </c>
      <c r="BN341">
        <v>0</v>
      </c>
      <c r="BO341">
        <v>0</v>
      </c>
      <c r="BP341">
        <v>0</v>
      </c>
      <c r="BQ341">
        <v>0</v>
      </c>
      <c r="BR341">
        <v>0</v>
      </c>
    </row>
    <row r="342" spans="1:70" x14ac:dyDescent="0.2">
      <c r="A342" s="1">
        <v>44585.559027777781</v>
      </c>
      <c r="B342" s="1">
        <v>44585.564583333333</v>
      </c>
      <c r="C342">
        <v>0</v>
      </c>
      <c r="D342">
        <v>1</v>
      </c>
      <c r="E342">
        <v>0</v>
      </c>
      <c r="F342">
        <v>0</v>
      </c>
      <c r="H342">
        <v>1</v>
      </c>
      <c r="I342">
        <v>0</v>
      </c>
      <c r="J342">
        <v>0</v>
      </c>
      <c r="K342">
        <v>0</v>
      </c>
      <c r="L342">
        <v>0</v>
      </c>
      <c r="P342">
        <v>0</v>
      </c>
      <c r="Q342">
        <v>1</v>
      </c>
      <c r="R342">
        <v>0</v>
      </c>
      <c r="S342">
        <v>0</v>
      </c>
      <c r="T342">
        <v>0</v>
      </c>
      <c r="U342">
        <v>0</v>
      </c>
      <c r="V342">
        <v>0</v>
      </c>
      <c r="W342">
        <v>0</v>
      </c>
      <c r="X342">
        <v>0</v>
      </c>
      <c r="Y342">
        <v>0</v>
      </c>
      <c r="Z342">
        <v>0</v>
      </c>
      <c r="AA342">
        <v>0</v>
      </c>
      <c r="AM342" t="s">
        <v>90</v>
      </c>
      <c r="AN342" t="s">
        <v>82</v>
      </c>
      <c r="AO342" t="s">
        <v>90</v>
      </c>
      <c r="AP342" t="s">
        <v>81</v>
      </c>
      <c r="AQ342" t="s">
        <v>90</v>
      </c>
      <c r="AR342" t="s">
        <v>90</v>
      </c>
      <c r="AS342" t="s">
        <v>90</v>
      </c>
      <c r="AT342" t="s">
        <v>83</v>
      </c>
      <c r="AU342" t="s">
        <v>88</v>
      </c>
      <c r="AV342" t="s">
        <v>89</v>
      </c>
      <c r="AW342" t="s">
        <v>100</v>
      </c>
      <c r="AZ342" t="s">
        <v>96</v>
      </c>
      <c r="BA342" t="s">
        <v>87</v>
      </c>
      <c r="BB342" t="s">
        <v>87</v>
      </c>
      <c r="BC342" t="s">
        <v>86</v>
      </c>
      <c r="BD342" t="s">
        <v>74</v>
      </c>
      <c r="BE342" t="s">
        <v>86</v>
      </c>
      <c r="BF342" t="s">
        <v>97</v>
      </c>
      <c r="BG342" t="s">
        <v>76</v>
      </c>
      <c r="BH342" t="s">
        <v>98</v>
      </c>
      <c r="BI342" t="s">
        <v>96</v>
      </c>
      <c r="BJ342" t="s">
        <v>147</v>
      </c>
      <c r="BK342">
        <v>1</v>
      </c>
      <c r="BL342">
        <v>0</v>
      </c>
      <c r="BM342">
        <v>0</v>
      </c>
      <c r="BN342">
        <v>0</v>
      </c>
      <c r="BO342">
        <v>0</v>
      </c>
      <c r="BP342">
        <v>0</v>
      </c>
      <c r="BQ342">
        <v>0</v>
      </c>
      <c r="BR342">
        <v>0</v>
      </c>
    </row>
    <row r="343" spans="1:70" x14ac:dyDescent="0.2">
      <c r="A343" s="1">
        <v>44590.556250000001</v>
      </c>
      <c r="B343" s="1">
        <v>44590.557638888888</v>
      </c>
      <c r="C343">
        <v>1</v>
      </c>
      <c r="D343">
        <v>0</v>
      </c>
      <c r="E343">
        <v>0</v>
      </c>
      <c r="F343">
        <v>0</v>
      </c>
      <c r="H343">
        <v>1</v>
      </c>
      <c r="I343">
        <v>0</v>
      </c>
      <c r="J343">
        <v>0</v>
      </c>
      <c r="K343">
        <v>0</v>
      </c>
      <c r="L343">
        <v>0</v>
      </c>
      <c r="P343">
        <v>1</v>
      </c>
      <c r="Q343">
        <v>0</v>
      </c>
      <c r="R343">
        <v>0</v>
      </c>
      <c r="S343">
        <v>0</v>
      </c>
      <c r="T343">
        <v>0</v>
      </c>
      <c r="U343">
        <v>0</v>
      </c>
      <c r="V343">
        <v>0</v>
      </c>
      <c r="W343">
        <v>0</v>
      </c>
      <c r="X343">
        <v>0</v>
      </c>
      <c r="Y343">
        <v>0</v>
      </c>
      <c r="Z343">
        <v>0</v>
      </c>
      <c r="AA343">
        <v>0</v>
      </c>
      <c r="AC343">
        <v>0</v>
      </c>
      <c r="AD343">
        <v>0</v>
      </c>
      <c r="AE343">
        <v>0</v>
      </c>
      <c r="AF343">
        <v>0</v>
      </c>
      <c r="AG343">
        <v>0</v>
      </c>
      <c r="AH343">
        <v>0</v>
      </c>
      <c r="AI343">
        <v>1</v>
      </c>
      <c r="AJ343">
        <v>0</v>
      </c>
      <c r="AK343">
        <v>0</v>
      </c>
      <c r="AZ343" t="s">
        <v>73</v>
      </c>
      <c r="BA343" t="s">
        <v>74</v>
      </c>
      <c r="BF343" t="s">
        <v>97</v>
      </c>
      <c r="BG343" t="s">
        <v>76</v>
      </c>
      <c r="BH343" t="s">
        <v>98</v>
      </c>
      <c r="BI343" t="s">
        <v>73</v>
      </c>
      <c r="BJ343" t="s">
        <v>109</v>
      </c>
      <c r="BK343">
        <v>1</v>
      </c>
      <c r="BL343">
        <v>0</v>
      </c>
      <c r="BM343">
        <v>0</v>
      </c>
      <c r="BN343">
        <v>0</v>
      </c>
      <c r="BO343">
        <v>0</v>
      </c>
      <c r="BP343">
        <v>0</v>
      </c>
      <c r="BQ343">
        <v>0</v>
      </c>
      <c r="BR343">
        <v>0</v>
      </c>
    </row>
    <row r="344" spans="1:70" x14ac:dyDescent="0.2">
      <c r="A344" s="1">
        <v>44585.51458333333</v>
      </c>
      <c r="B344" s="1">
        <v>44585.517361111109</v>
      </c>
      <c r="C344">
        <v>1</v>
      </c>
      <c r="D344">
        <v>0</v>
      </c>
      <c r="E344">
        <v>0</v>
      </c>
      <c r="F344">
        <v>0</v>
      </c>
      <c r="H344">
        <v>0</v>
      </c>
      <c r="I344">
        <v>1</v>
      </c>
      <c r="J344">
        <v>0</v>
      </c>
      <c r="K344">
        <v>0</v>
      </c>
      <c r="L344">
        <v>0</v>
      </c>
      <c r="N344" t="s">
        <v>88</v>
      </c>
      <c r="O344" t="s">
        <v>89</v>
      </c>
      <c r="P344">
        <v>0</v>
      </c>
      <c r="Q344">
        <v>0</v>
      </c>
      <c r="R344">
        <v>1</v>
      </c>
      <c r="S344">
        <v>0</v>
      </c>
      <c r="T344">
        <v>0</v>
      </c>
      <c r="U344">
        <v>0</v>
      </c>
      <c r="V344">
        <v>0</v>
      </c>
      <c r="W344">
        <v>0</v>
      </c>
      <c r="X344">
        <v>0</v>
      </c>
      <c r="Y344">
        <v>0</v>
      </c>
      <c r="Z344">
        <v>0</v>
      </c>
      <c r="AA344">
        <v>0</v>
      </c>
      <c r="AM344" t="s">
        <v>81</v>
      </c>
      <c r="AN344" t="s">
        <v>82</v>
      </c>
      <c r="AO344" t="s">
        <v>83</v>
      </c>
      <c r="AP344" t="s">
        <v>83</v>
      </c>
      <c r="AQ344" t="s">
        <v>81</v>
      </c>
      <c r="AR344" t="s">
        <v>81</v>
      </c>
      <c r="AS344" t="s">
        <v>81</v>
      </c>
      <c r="AT344" t="s">
        <v>83</v>
      </c>
      <c r="AU344" t="s">
        <v>88</v>
      </c>
      <c r="AV344" t="s">
        <v>89</v>
      </c>
      <c r="AW344" t="s">
        <v>85</v>
      </c>
      <c r="AZ344" t="s">
        <v>107</v>
      </c>
      <c r="BA344" t="s">
        <v>86</v>
      </c>
      <c r="BB344" t="s">
        <v>86</v>
      </c>
      <c r="BC344" t="s">
        <v>87</v>
      </c>
      <c r="BD344" t="s">
        <v>86</v>
      </c>
      <c r="BE344" t="s">
        <v>87</v>
      </c>
      <c r="BF344" t="s">
        <v>97</v>
      </c>
      <c r="BG344" t="s">
        <v>76</v>
      </c>
      <c r="BH344" t="s">
        <v>98</v>
      </c>
      <c r="BI344" t="s">
        <v>107</v>
      </c>
      <c r="BJ344" t="s">
        <v>114</v>
      </c>
      <c r="BK344">
        <v>1</v>
      </c>
      <c r="BL344">
        <v>0</v>
      </c>
      <c r="BM344">
        <v>0</v>
      </c>
      <c r="BN344">
        <v>0</v>
      </c>
      <c r="BO344">
        <v>0</v>
      </c>
      <c r="BP344">
        <v>0</v>
      </c>
      <c r="BQ344">
        <v>0</v>
      </c>
      <c r="BR344">
        <v>0</v>
      </c>
    </row>
    <row r="345" spans="1:70" x14ac:dyDescent="0.2">
      <c r="A345" s="1">
        <v>44579.981249999997</v>
      </c>
      <c r="B345" s="1">
        <v>44579.986111111109</v>
      </c>
      <c r="C345">
        <v>0</v>
      </c>
      <c r="D345">
        <v>1</v>
      </c>
      <c r="E345">
        <v>0</v>
      </c>
      <c r="F345">
        <v>0</v>
      </c>
      <c r="H345">
        <v>0</v>
      </c>
      <c r="I345">
        <v>1</v>
      </c>
      <c r="J345">
        <v>0</v>
      </c>
      <c r="K345">
        <v>1</v>
      </c>
      <c r="L345">
        <v>0</v>
      </c>
      <c r="N345" t="s">
        <v>88</v>
      </c>
      <c r="O345" t="s">
        <v>89</v>
      </c>
      <c r="P345">
        <v>0</v>
      </c>
      <c r="Q345">
        <v>1</v>
      </c>
      <c r="R345">
        <v>0</v>
      </c>
      <c r="S345">
        <v>0</v>
      </c>
      <c r="T345">
        <v>0</v>
      </c>
      <c r="U345">
        <v>0</v>
      </c>
      <c r="V345">
        <v>0</v>
      </c>
      <c r="W345">
        <v>0</v>
      </c>
      <c r="X345">
        <v>0</v>
      </c>
      <c r="Y345">
        <v>0</v>
      </c>
      <c r="Z345">
        <v>0</v>
      </c>
      <c r="AA345">
        <v>0</v>
      </c>
      <c r="AM345" t="s">
        <v>90</v>
      </c>
      <c r="AN345" t="s">
        <v>82</v>
      </c>
      <c r="AO345" t="s">
        <v>82</v>
      </c>
      <c r="AP345" t="s">
        <v>81</v>
      </c>
      <c r="AQ345" t="s">
        <v>90</v>
      </c>
      <c r="AR345" t="s">
        <v>83</v>
      </c>
      <c r="AS345" t="s">
        <v>90</v>
      </c>
      <c r="AT345" t="s">
        <v>83</v>
      </c>
      <c r="AU345" t="s">
        <v>88</v>
      </c>
      <c r="AV345" t="s">
        <v>89</v>
      </c>
      <c r="AW345" t="s">
        <v>100</v>
      </c>
      <c r="AX345" t="s">
        <v>72</v>
      </c>
      <c r="AZ345" t="s">
        <v>73</v>
      </c>
      <c r="BA345" t="s">
        <v>86</v>
      </c>
      <c r="BB345" t="s">
        <v>86</v>
      </c>
      <c r="BC345" t="s">
        <v>86</v>
      </c>
      <c r="BD345" t="s">
        <v>86</v>
      </c>
      <c r="BE345" t="s">
        <v>86</v>
      </c>
      <c r="BF345" t="s">
        <v>75</v>
      </c>
      <c r="BG345" t="s">
        <v>76</v>
      </c>
      <c r="BH345" t="s">
        <v>77</v>
      </c>
      <c r="BI345" t="s">
        <v>73</v>
      </c>
      <c r="BJ345" t="s">
        <v>102</v>
      </c>
      <c r="BK345">
        <v>0</v>
      </c>
      <c r="BL345">
        <v>0</v>
      </c>
      <c r="BM345">
        <v>0</v>
      </c>
      <c r="BN345">
        <v>0</v>
      </c>
      <c r="BO345">
        <v>0</v>
      </c>
      <c r="BP345">
        <v>1</v>
      </c>
      <c r="BQ345">
        <v>0</v>
      </c>
      <c r="BR345">
        <v>0</v>
      </c>
    </row>
    <row r="346" spans="1:70" x14ac:dyDescent="0.2">
      <c r="A346" s="1">
        <v>44585.510416666664</v>
      </c>
      <c r="B346" s="1">
        <v>44585.512499999997</v>
      </c>
      <c r="C346">
        <v>1</v>
      </c>
      <c r="D346">
        <v>0</v>
      </c>
      <c r="E346">
        <v>0</v>
      </c>
      <c r="F346">
        <v>0</v>
      </c>
      <c r="H346">
        <v>0</v>
      </c>
      <c r="I346">
        <v>0</v>
      </c>
      <c r="J346">
        <v>1</v>
      </c>
      <c r="K346">
        <v>0</v>
      </c>
      <c r="L346">
        <v>0</v>
      </c>
      <c r="N346" t="s">
        <v>135</v>
      </c>
      <c r="O346" t="s">
        <v>80</v>
      </c>
      <c r="P346">
        <v>1</v>
      </c>
      <c r="Q346">
        <v>0</v>
      </c>
      <c r="R346">
        <v>0</v>
      </c>
      <c r="S346">
        <v>0</v>
      </c>
      <c r="T346">
        <v>0</v>
      </c>
      <c r="U346">
        <v>0</v>
      </c>
      <c r="V346">
        <v>0</v>
      </c>
      <c r="W346">
        <v>0</v>
      </c>
      <c r="X346">
        <v>0</v>
      </c>
      <c r="Y346">
        <v>0</v>
      </c>
      <c r="Z346">
        <v>0</v>
      </c>
      <c r="AA346">
        <v>0</v>
      </c>
      <c r="AC346">
        <v>0</v>
      </c>
      <c r="AD346">
        <v>0</v>
      </c>
      <c r="AE346">
        <v>1</v>
      </c>
      <c r="AF346">
        <v>0</v>
      </c>
      <c r="AG346">
        <v>0</v>
      </c>
      <c r="AH346">
        <v>0</v>
      </c>
      <c r="AI346">
        <v>0</v>
      </c>
      <c r="AJ346">
        <v>0</v>
      </c>
      <c r="AK346">
        <v>0</v>
      </c>
      <c r="AZ346" t="s">
        <v>107</v>
      </c>
      <c r="BA346" t="s">
        <v>87</v>
      </c>
      <c r="BB346" t="s">
        <v>87</v>
      </c>
      <c r="BC346" t="s">
        <v>87</v>
      </c>
      <c r="BD346" t="s">
        <v>87</v>
      </c>
      <c r="BE346" t="s">
        <v>87</v>
      </c>
      <c r="BF346" t="s">
        <v>159</v>
      </c>
      <c r="BG346" t="s">
        <v>76</v>
      </c>
      <c r="BH346" t="s">
        <v>93</v>
      </c>
      <c r="BI346" t="s">
        <v>107</v>
      </c>
      <c r="BJ346" t="s">
        <v>114</v>
      </c>
      <c r="BK346">
        <v>0</v>
      </c>
      <c r="BL346">
        <v>0</v>
      </c>
      <c r="BM346">
        <v>0</v>
      </c>
      <c r="BN346">
        <v>0</v>
      </c>
      <c r="BO346">
        <v>0</v>
      </c>
      <c r="BP346">
        <v>1</v>
      </c>
      <c r="BQ346">
        <v>0</v>
      </c>
      <c r="BR346">
        <v>0</v>
      </c>
    </row>
    <row r="347" spans="1:70" x14ac:dyDescent="0.2">
      <c r="A347" s="1">
        <v>44589.644444444442</v>
      </c>
      <c r="B347" s="1">
        <v>44589.646527777775</v>
      </c>
      <c r="C347">
        <v>1</v>
      </c>
      <c r="D347">
        <v>0</v>
      </c>
      <c r="E347">
        <v>0</v>
      </c>
      <c r="F347">
        <v>0</v>
      </c>
      <c r="H347">
        <v>1</v>
      </c>
      <c r="I347">
        <v>0</v>
      </c>
      <c r="J347">
        <v>0</v>
      </c>
      <c r="K347">
        <v>0</v>
      </c>
      <c r="L347">
        <v>0</v>
      </c>
      <c r="P347">
        <v>0</v>
      </c>
      <c r="Q347">
        <v>0</v>
      </c>
      <c r="R347">
        <v>0</v>
      </c>
      <c r="S347">
        <v>1</v>
      </c>
      <c r="T347">
        <v>0</v>
      </c>
      <c r="U347">
        <v>0</v>
      </c>
      <c r="V347">
        <v>0</v>
      </c>
      <c r="W347">
        <v>0</v>
      </c>
      <c r="X347">
        <v>0</v>
      </c>
      <c r="Y347">
        <v>0</v>
      </c>
      <c r="Z347">
        <v>0</v>
      </c>
      <c r="AA347">
        <v>0</v>
      </c>
      <c r="AM347" t="s">
        <v>83</v>
      </c>
      <c r="AN347" t="s">
        <v>82</v>
      </c>
      <c r="AO347" t="s">
        <v>81</v>
      </c>
      <c r="AP347" t="s">
        <v>81</v>
      </c>
      <c r="AQ347" t="s">
        <v>83</v>
      </c>
      <c r="AR347" t="s">
        <v>83</v>
      </c>
      <c r="AS347" t="s">
        <v>83</v>
      </c>
      <c r="AT347" t="s">
        <v>83</v>
      </c>
      <c r="AU347" t="s">
        <v>84</v>
      </c>
      <c r="AV347" t="s">
        <v>80</v>
      </c>
      <c r="AW347" t="s">
        <v>117</v>
      </c>
      <c r="AX347" t="s">
        <v>122</v>
      </c>
      <c r="AZ347" t="s">
        <v>73</v>
      </c>
      <c r="BA347" t="s">
        <v>87</v>
      </c>
      <c r="BB347" t="s">
        <v>87</v>
      </c>
      <c r="BC347" t="s">
        <v>87</v>
      </c>
      <c r="BD347" t="s">
        <v>87</v>
      </c>
      <c r="BE347" t="s">
        <v>87</v>
      </c>
      <c r="BF347" t="s">
        <v>75</v>
      </c>
      <c r="BG347" t="s">
        <v>76</v>
      </c>
      <c r="BH347" t="s">
        <v>77</v>
      </c>
      <c r="BI347" t="s">
        <v>73</v>
      </c>
      <c r="BJ347" t="s">
        <v>78</v>
      </c>
      <c r="BK347">
        <v>0</v>
      </c>
      <c r="BL347">
        <v>0</v>
      </c>
      <c r="BM347">
        <v>0</v>
      </c>
      <c r="BN347">
        <v>0</v>
      </c>
      <c r="BO347">
        <v>1</v>
      </c>
      <c r="BP347">
        <v>0</v>
      </c>
      <c r="BQ347">
        <v>0</v>
      </c>
      <c r="BR347">
        <v>0</v>
      </c>
    </row>
    <row r="348" spans="1:70" x14ac:dyDescent="0.2">
      <c r="A348" s="1">
        <v>44580.15</v>
      </c>
      <c r="B348" s="1">
        <v>44580.152777777781</v>
      </c>
      <c r="C348">
        <v>1</v>
      </c>
      <c r="D348">
        <v>0</v>
      </c>
      <c r="E348">
        <v>0</v>
      </c>
      <c r="F348">
        <v>0</v>
      </c>
      <c r="H348">
        <v>1</v>
      </c>
      <c r="I348">
        <v>0</v>
      </c>
      <c r="J348">
        <v>0</v>
      </c>
      <c r="K348">
        <v>0</v>
      </c>
      <c r="L348">
        <v>0</v>
      </c>
      <c r="P348">
        <v>1</v>
      </c>
      <c r="Q348">
        <v>0</v>
      </c>
      <c r="R348">
        <v>0</v>
      </c>
      <c r="S348">
        <v>0</v>
      </c>
      <c r="T348">
        <v>0</v>
      </c>
      <c r="U348">
        <v>0</v>
      </c>
      <c r="V348">
        <v>0</v>
      </c>
      <c r="W348">
        <v>0</v>
      </c>
      <c r="X348">
        <v>0</v>
      </c>
      <c r="Y348">
        <v>0</v>
      </c>
      <c r="Z348">
        <v>0</v>
      </c>
      <c r="AA348">
        <v>0</v>
      </c>
      <c r="AC348">
        <v>0</v>
      </c>
      <c r="AD348">
        <v>1</v>
      </c>
      <c r="AE348">
        <v>0</v>
      </c>
      <c r="AF348">
        <v>0</v>
      </c>
      <c r="AG348">
        <v>0</v>
      </c>
      <c r="AH348">
        <v>0</v>
      </c>
      <c r="AI348">
        <v>0</v>
      </c>
      <c r="AJ348">
        <v>0</v>
      </c>
      <c r="AK348">
        <v>0</v>
      </c>
      <c r="AZ348" t="s">
        <v>107</v>
      </c>
      <c r="BA348" t="s">
        <v>86</v>
      </c>
      <c r="BB348" t="s">
        <v>74</v>
      </c>
      <c r="BC348" t="s">
        <v>74</v>
      </c>
      <c r="BD348" t="s">
        <v>86</v>
      </c>
      <c r="BE348" t="s">
        <v>74</v>
      </c>
      <c r="BF348" t="s">
        <v>97</v>
      </c>
      <c r="BG348" t="s">
        <v>92</v>
      </c>
      <c r="BH348" t="s">
        <v>158</v>
      </c>
      <c r="BI348" t="s">
        <v>107</v>
      </c>
      <c r="BJ348" t="s">
        <v>78</v>
      </c>
      <c r="BK348">
        <v>1</v>
      </c>
      <c r="BL348">
        <v>0</v>
      </c>
      <c r="BM348">
        <v>0</v>
      </c>
      <c r="BN348">
        <v>0</v>
      </c>
      <c r="BO348">
        <v>0</v>
      </c>
      <c r="BP348">
        <v>0</v>
      </c>
      <c r="BQ348">
        <v>0</v>
      </c>
      <c r="BR348">
        <v>0</v>
      </c>
    </row>
    <row r="349" spans="1:70" x14ac:dyDescent="0.2">
      <c r="A349" s="1">
        <v>44585.103472222225</v>
      </c>
      <c r="B349" s="1">
        <v>44585.128472222219</v>
      </c>
      <c r="C349">
        <v>0</v>
      </c>
      <c r="D349">
        <v>1</v>
      </c>
      <c r="E349">
        <v>0</v>
      </c>
      <c r="F349">
        <v>0</v>
      </c>
      <c r="H349">
        <v>0</v>
      </c>
      <c r="I349">
        <v>0</v>
      </c>
      <c r="J349">
        <v>1</v>
      </c>
      <c r="K349">
        <v>0</v>
      </c>
      <c r="L349">
        <v>0</v>
      </c>
      <c r="N349" t="s">
        <v>135</v>
      </c>
      <c r="O349" t="s">
        <v>142</v>
      </c>
      <c r="P349">
        <v>1</v>
      </c>
      <c r="Q349">
        <v>0</v>
      </c>
      <c r="R349">
        <v>0</v>
      </c>
      <c r="S349">
        <v>0</v>
      </c>
      <c r="T349">
        <v>0</v>
      </c>
      <c r="U349">
        <v>0</v>
      </c>
      <c r="V349">
        <v>0</v>
      </c>
      <c r="W349">
        <v>0</v>
      </c>
      <c r="X349">
        <v>0</v>
      </c>
      <c r="Y349">
        <v>0</v>
      </c>
      <c r="Z349">
        <v>0</v>
      </c>
      <c r="AA349">
        <v>0</v>
      </c>
      <c r="AC349">
        <v>0</v>
      </c>
      <c r="AD349">
        <v>0</v>
      </c>
      <c r="AE349">
        <v>1</v>
      </c>
      <c r="AF349">
        <v>0</v>
      </c>
      <c r="AG349">
        <v>0</v>
      </c>
      <c r="AH349">
        <v>0</v>
      </c>
      <c r="AI349">
        <v>0</v>
      </c>
      <c r="AJ349">
        <v>0</v>
      </c>
      <c r="AK349">
        <v>0</v>
      </c>
      <c r="AZ349" t="s">
        <v>252</v>
      </c>
      <c r="BA349" t="s">
        <v>86</v>
      </c>
      <c r="BB349" t="s">
        <v>86</v>
      </c>
      <c r="BC349" t="s">
        <v>86</v>
      </c>
      <c r="BD349" t="s">
        <v>74</v>
      </c>
      <c r="BE349" t="s">
        <v>86</v>
      </c>
      <c r="BF349" t="s">
        <v>101</v>
      </c>
      <c r="BG349" t="s">
        <v>76</v>
      </c>
      <c r="BH349" t="s">
        <v>77</v>
      </c>
      <c r="BI349" t="s">
        <v>252</v>
      </c>
      <c r="BJ349" t="s">
        <v>114</v>
      </c>
      <c r="BK349">
        <v>1</v>
      </c>
      <c r="BL349">
        <v>0</v>
      </c>
      <c r="BM349">
        <v>0</v>
      </c>
      <c r="BN349">
        <v>0</v>
      </c>
      <c r="BO349">
        <v>0</v>
      </c>
      <c r="BP349">
        <v>0</v>
      </c>
      <c r="BQ349">
        <v>0</v>
      </c>
      <c r="BR349">
        <v>0</v>
      </c>
    </row>
    <row r="350" spans="1:70" x14ac:dyDescent="0.2">
      <c r="A350" s="1">
        <v>44580</v>
      </c>
      <c r="B350" s="1">
        <v>44580.002083333333</v>
      </c>
      <c r="C350">
        <v>0</v>
      </c>
      <c r="D350">
        <v>1</v>
      </c>
      <c r="E350">
        <v>0</v>
      </c>
      <c r="F350">
        <v>0</v>
      </c>
      <c r="H350">
        <v>1</v>
      </c>
      <c r="I350">
        <v>0</v>
      </c>
      <c r="J350">
        <v>0</v>
      </c>
      <c r="K350">
        <v>0</v>
      </c>
      <c r="L350">
        <v>0</v>
      </c>
      <c r="P350">
        <v>1</v>
      </c>
      <c r="Q350">
        <v>0</v>
      </c>
      <c r="R350">
        <v>0</v>
      </c>
      <c r="S350">
        <v>0</v>
      </c>
      <c r="T350">
        <v>0</v>
      </c>
      <c r="U350">
        <v>0</v>
      </c>
      <c r="V350">
        <v>0</v>
      </c>
      <c r="W350">
        <v>0</v>
      </c>
      <c r="X350">
        <v>0</v>
      </c>
      <c r="Y350">
        <v>0</v>
      </c>
      <c r="Z350">
        <v>0</v>
      </c>
      <c r="AA350">
        <v>0</v>
      </c>
      <c r="AC350">
        <v>0</v>
      </c>
      <c r="AD350">
        <v>0</v>
      </c>
      <c r="AE350">
        <v>0</v>
      </c>
      <c r="AF350">
        <v>0</v>
      </c>
      <c r="AG350">
        <v>0</v>
      </c>
      <c r="AH350">
        <v>0</v>
      </c>
      <c r="AI350">
        <v>1</v>
      </c>
      <c r="AJ350">
        <v>0</v>
      </c>
      <c r="AK350">
        <v>0</v>
      </c>
      <c r="AZ350" t="s">
        <v>73</v>
      </c>
      <c r="BA350" t="s">
        <v>74</v>
      </c>
      <c r="BF350" t="s">
        <v>97</v>
      </c>
      <c r="BG350" t="s">
        <v>76</v>
      </c>
      <c r="BH350" t="s">
        <v>98</v>
      </c>
      <c r="BI350" t="s">
        <v>73</v>
      </c>
      <c r="BJ350" t="s">
        <v>114</v>
      </c>
      <c r="BK350">
        <v>1</v>
      </c>
      <c r="BL350">
        <v>0</v>
      </c>
      <c r="BM350">
        <v>0</v>
      </c>
      <c r="BN350">
        <v>0</v>
      </c>
      <c r="BO350">
        <v>0</v>
      </c>
      <c r="BP350">
        <v>0</v>
      </c>
      <c r="BQ350">
        <v>0</v>
      </c>
      <c r="BR350">
        <v>0</v>
      </c>
    </row>
    <row r="351" spans="1:70" x14ac:dyDescent="0.2">
      <c r="A351" s="1">
        <v>44586.710416666669</v>
      </c>
      <c r="B351" s="1">
        <v>44586.711805555555</v>
      </c>
      <c r="C351">
        <v>1</v>
      </c>
      <c r="D351">
        <v>0</v>
      </c>
      <c r="E351">
        <v>0</v>
      </c>
      <c r="F351">
        <v>0</v>
      </c>
      <c r="H351">
        <v>1</v>
      </c>
      <c r="I351">
        <v>0</v>
      </c>
      <c r="J351">
        <v>0</v>
      </c>
      <c r="K351">
        <v>0</v>
      </c>
      <c r="L351">
        <v>0</v>
      </c>
      <c r="P351">
        <v>1</v>
      </c>
      <c r="Q351">
        <v>0</v>
      </c>
      <c r="R351">
        <v>0</v>
      </c>
      <c r="S351">
        <v>0</v>
      </c>
      <c r="T351">
        <v>0</v>
      </c>
      <c r="U351">
        <v>0</v>
      </c>
      <c r="V351">
        <v>0</v>
      </c>
      <c r="W351">
        <v>0</v>
      </c>
      <c r="X351">
        <v>0</v>
      </c>
      <c r="Y351">
        <v>0</v>
      </c>
      <c r="Z351">
        <v>0</v>
      </c>
      <c r="AA351">
        <v>0</v>
      </c>
      <c r="AC351">
        <v>0</v>
      </c>
      <c r="AD351">
        <v>1</v>
      </c>
      <c r="AE351">
        <v>0</v>
      </c>
      <c r="AF351">
        <v>0</v>
      </c>
      <c r="AG351">
        <v>0</v>
      </c>
      <c r="AH351">
        <v>0</v>
      </c>
      <c r="AI351">
        <v>0</v>
      </c>
      <c r="AJ351">
        <v>0</v>
      </c>
      <c r="AK351">
        <v>0</v>
      </c>
      <c r="AZ351" t="s">
        <v>73</v>
      </c>
      <c r="BA351" t="s">
        <v>87</v>
      </c>
      <c r="BB351" t="s">
        <v>86</v>
      </c>
      <c r="BC351" t="s">
        <v>86</v>
      </c>
      <c r="BD351" t="s">
        <v>86</v>
      </c>
      <c r="BE351" t="s">
        <v>87</v>
      </c>
      <c r="BF351" t="s">
        <v>97</v>
      </c>
      <c r="BG351" t="s">
        <v>76</v>
      </c>
      <c r="BH351" t="s">
        <v>158</v>
      </c>
      <c r="BI351" t="s">
        <v>73</v>
      </c>
      <c r="BJ351" t="s">
        <v>78</v>
      </c>
      <c r="BK351">
        <v>1</v>
      </c>
      <c r="BL351">
        <v>0</v>
      </c>
      <c r="BM351">
        <v>0</v>
      </c>
      <c r="BN351">
        <v>0</v>
      </c>
      <c r="BO351">
        <v>0</v>
      </c>
      <c r="BP351">
        <v>0</v>
      </c>
      <c r="BQ351">
        <v>0</v>
      </c>
      <c r="BR351">
        <v>0</v>
      </c>
    </row>
    <row r="352" spans="1:70" x14ac:dyDescent="0.2">
      <c r="A352" s="1">
        <v>44585.620833333334</v>
      </c>
      <c r="B352" s="1">
        <v>44585.62222222222</v>
      </c>
      <c r="C352">
        <v>1</v>
      </c>
      <c r="D352">
        <v>1</v>
      </c>
      <c r="E352">
        <v>0</v>
      </c>
      <c r="F352">
        <v>0</v>
      </c>
      <c r="H352">
        <v>1</v>
      </c>
      <c r="I352">
        <v>0</v>
      </c>
      <c r="J352">
        <v>0</v>
      </c>
      <c r="K352">
        <v>0</v>
      </c>
      <c r="L352">
        <v>0</v>
      </c>
      <c r="P352">
        <v>0</v>
      </c>
      <c r="Q352">
        <v>0</v>
      </c>
      <c r="R352">
        <v>0</v>
      </c>
      <c r="S352">
        <v>1</v>
      </c>
      <c r="T352">
        <v>0</v>
      </c>
      <c r="U352">
        <v>0</v>
      </c>
      <c r="V352">
        <v>1</v>
      </c>
      <c r="W352">
        <v>0</v>
      </c>
      <c r="X352">
        <v>0</v>
      </c>
      <c r="Y352">
        <v>0</v>
      </c>
      <c r="Z352">
        <v>0</v>
      </c>
      <c r="AA352">
        <v>0</v>
      </c>
      <c r="AM352" t="s">
        <v>90</v>
      </c>
      <c r="AN352" t="s">
        <v>83</v>
      </c>
      <c r="AO352" t="s">
        <v>90</v>
      </c>
      <c r="AP352" t="s">
        <v>83</v>
      </c>
      <c r="AQ352" t="s">
        <v>90</v>
      </c>
      <c r="AR352" t="s">
        <v>90</v>
      </c>
      <c r="AS352" t="s">
        <v>83</v>
      </c>
      <c r="AT352" t="s">
        <v>83</v>
      </c>
      <c r="AU352" t="s">
        <v>88</v>
      </c>
      <c r="AV352" t="s">
        <v>80</v>
      </c>
      <c r="AW352" t="s">
        <v>85</v>
      </c>
      <c r="AX352" t="s">
        <v>191</v>
      </c>
      <c r="AZ352" t="s">
        <v>107</v>
      </c>
      <c r="BA352" t="s">
        <v>86</v>
      </c>
      <c r="BB352" t="s">
        <v>74</v>
      </c>
      <c r="BC352" t="s">
        <v>74</v>
      </c>
      <c r="BD352" t="s">
        <v>74</v>
      </c>
      <c r="BE352" t="s">
        <v>86</v>
      </c>
      <c r="BF352" t="s">
        <v>75</v>
      </c>
      <c r="BG352" t="s">
        <v>92</v>
      </c>
      <c r="BH352" t="s">
        <v>98</v>
      </c>
      <c r="BI352" t="s">
        <v>107</v>
      </c>
      <c r="BJ352" t="s">
        <v>78</v>
      </c>
      <c r="BK352">
        <v>1</v>
      </c>
      <c r="BL352">
        <v>0</v>
      </c>
      <c r="BM352">
        <v>0</v>
      </c>
      <c r="BN352">
        <v>0</v>
      </c>
      <c r="BO352">
        <v>0</v>
      </c>
      <c r="BP352">
        <v>0</v>
      </c>
      <c r="BQ352">
        <v>0</v>
      </c>
      <c r="BR352">
        <v>0</v>
      </c>
    </row>
    <row r="353" spans="1:72" x14ac:dyDescent="0.2">
      <c r="A353" s="1">
        <v>44586.296527777777</v>
      </c>
      <c r="B353" s="1">
        <v>44586.3</v>
      </c>
      <c r="C353">
        <v>0</v>
      </c>
      <c r="D353">
        <v>1</v>
      </c>
      <c r="E353">
        <v>1</v>
      </c>
      <c r="F353">
        <v>0</v>
      </c>
      <c r="G353" t="s">
        <v>253</v>
      </c>
      <c r="H353">
        <v>1</v>
      </c>
      <c r="I353">
        <v>0</v>
      </c>
      <c r="J353">
        <v>0</v>
      </c>
      <c r="K353">
        <v>0</v>
      </c>
      <c r="L353">
        <v>0</v>
      </c>
      <c r="P353">
        <v>1</v>
      </c>
      <c r="Q353">
        <v>0</v>
      </c>
      <c r="R353">
        <v>0</v>
      </c>
      <c r="S353">
        <v>0</v>
      </c>
      <c r="T353">
        <v>0</v>
      </c>
      <c r="U353">
        <v>0</v>
      </c>
      <c r="V353">
        <v>0</v>
      </c>
      <c r="W353">
        <v>0</v>
      </c>
      <c r="X353">
        <v>0</v>
      </c>
      <c r="Y353">
        <v>0</v>
      </c>
      <c r="Z353">
        <v>0</v>
      </c>
      <c r="AA353">
        <v>0</v>
      </c>
      <c r="AC353">
        <v>0</v>
      </c>
      <c r="AD353">
        <v>0</v>
      </c>
      <c r="AE353">
        <v>1</v>
      </c>
      <c r="AF353">
        <v>0</v>
      </c>
      <c r="AG353">
        <v>0</v>
      </c>
      <c r="AH353">
        <v>0</v>
      </c>
      <c r="AI353">
        <v>1</v>
      </c>
      <c r="AJ353">
        <v>1</v>
      </c>
      <c r="AK353">
        <v>0</v>
      </c>
      <c r="AZ353" t="s">
        <v>107</v>
      </c>
      <c r="BA353" t="s">
        <v>86</v>
      </c>
      <c r="BB353" t="s">
        <v>86</v>
      </c>
      <c r="BC353" t="s">
        <v>87</v>
      </c>
      <c r="BD353" t="s">
        <v>86</v>
      </c>
      <c r="BE353" t="s">
        <v>87</v>
      </c>
      <c r="BF353" t="s">
        <v>97</v>
      </c>
      <c r="BG353" t="s">
        <v>76</v>
      </c>
      <c r="BH353" t="s">
        <v>98</v>
      </c>
      <c r="BI353" t="s">
        <v>107</v>
      </c>
      <c r="BJ353" t="s">
        <v>114</v>
      </c>
      <c r="BK353">
        <v>1</v>
      </c>
      <c r="BL353">
        <v>0</v>
      </c>
      <c r="BM353">
        <v>0</v>
      </c>
      <c r="BN353">
        <v>0</v>
      </c>
      <c r="BO353">
        <v>0</v>
      </c>
      <c r="BP353">
        <v>0</v>
      </c>
      <c r="BQ353">
        <v>0</v>
      </c>
      <c r="BR353">
        <v>0</v>
      </c>
    </row>
    <row r="354" spans="1:72" x14ac:dyDescent="0.2">
      <c r="A354" s="1">
        <v>44579.961111111108</v>
      </c>
      <c r="B354" s="1">
        <v>44579.962500000001</v>
      </c>
      <c r="C354">
        <v>0</v>
      </c>
      <c r="D354">
        <v>0</v>
      </c>
      <c r="E354">
        <v>0</v>
      </c>
      <c r="F354">
        <v>1</v>
      </c>
      <c r="P354">
        <v>1</v>
      </c>
      <c r="Q354">
        <v>0</v>
      </c>
      <c r="R354">
        <v>0</v>
      </c>
      <c r="S354">
        <v>0</v>
      </c>
      <c r="T354">
        <v>0</v>
      </c>
      <c r="U354">
        <v>0</v>
      </c>
      <c r="V354">
        <v>0</v>
      </c>
      <c r="W354">
        <v>0</v>
      </c>
      <c r="X354">
        <v>0</v>
      </c>
      <c r="Y354">
        <v>0</v>
      </c>
      <c r="Z354">
        <v>0</v>
      </c>
      <c r="AA354">
        <v>0</v>
      </c>
      <c r="AC354">
        <v>0</v>
      </c>
      <c r="AD354">
        <v>0</v>
      </c>
      <c r="AE354">
        <v>1</v>
      </c>
      <c r="AF354">
        <v>0</v>
      </c>
      <c r="AG354">
        <v>1</v>
      </c>
      <c r="AH354">
        <v>1</v>
      </c>
      <c r="AI354">
        <v>1</v>
      </c>
      <c r="AJ354">
        <v>1</v>
      </c>
      <c r="AK354">
        <v>0</v>
      </c>
      <c r="AX354" t="s">
        <v>91</v>
      </c>
      <c r="AZ354" t="s">
        <v>73</v>
      </c>
      <c r="BF354" t="s">
        <v>75</v>
      </c>
      <c r="BG354" t="s">
        <v>76</v>
      </c>
      <c r="BH354" t="s">
        <v>98</v>
      </c>
      <c r="BI354" t="s">
        <v>73</v>
      </c>
      <c r="BJ354" t="s">
        <v>114</v>
      </c>
      <c r="BK354">
        <v>0</v>
      </c>
      <c r="BL354">
        <v>0</v>
      </c>
      <c r="BM354">
        <v>0</v>
      </c>
      <c r="BN354">
        <v>0</v>
      </c>
      <c r="BO354">
        <v>0</v>
      </c>
      <c r="BP354">
        <v>1</v>
      </c>
      <c r="BQ354">
        <v>0</v>
      </c>
      <c r="BR354">
        <v>0</v>
      </c>
    </row>
    <row r="355" spans="1:72" x14ac:dyDescent="0.2">
      <c r="A355" s="1">
        <v>44589.512499999997</v>
      </c>
      <c r="B355" s="1">
        <v>44589.513194444444</v>
      </c>
      <c r="C355">
        <v>1</v>
      </c>
      <c r="D355">
        <v>0</v>
      </c>
      <c r="E355">
        <v>0</v>
      </c>
      <c r="F355">
        <v>0</v>
      </c>
      <c r="H355">
        <v>0</v>
      </c>
      <c r="I355">
        <v>1</v>
      </c>
      <c r="J355">
        <v>0</v>
      </c>
      <c r="K355">
        <v>0</v>
      </c>
      <c r="L355">
        <v>0</v>
      </c>
      <c r="N355" t="s">
        <v>135</v>
      </c>
      <c r="O355" t="s">
        <v>142</v>
      </c>
      <c r="P355">
        <v>1</v>
      </c>
      <c r="Q355">
        <v>0</v>
      </c>
      <c r="R355">
        <v>0</v>
      </c>
      <c r="S355">
        <v>0</v>
      </c>
      <c r="T355">
        <v>0</v>
      </c>
      <c r="U355">
        <v>0</v>
      </c>
      <c r="V355">
        <v>0</v>
      </c>
      <c r="W355">
        <v>0</v>
      </c>
      <c r="X355">
        <v>0</v>
      </c>
      <c r="Y355">
        <v>0</v>
      </c>
      <c r="Z355">
        <v>0</v>
      </c>
      <c r="AA355">
        <v>0</v>
      </c>
      <c r="AC355">
        <v>0</v>
      </c>
      <c r="AD355">
        <v>1</v>
      </c>
      <c r="AE355">
        <v>0</v>
      </c>
      <c r="AF355">
        <v>0</v>
      </c>
      <c r="AG355">
        <v>0</v>
      </c>
      <c r="AH355">
        <v>0</v>
      </c>
      <c r="AI355">
        <v>0</v>
      </c>
      <c r="AJ355">
        <v>0</v>
      </c>
      <c r="AK355">
        <v>0</v>
      </c>
      <c r="AZ355" t="s">
        <v>107</v>
      </c>
      <c r="BA355" t="s">
        <v>87</v>
      </c>
      <c r="BB355" t="s">
        <v>87</v>
      </c>
      <c r="BC355" t="s">
        <v>87</v>
      </c>
      <c r="BD355" t="s">
        <v>87</v>
      </c>
      <c r="BE355" t="s">
        <v>86</v>
      </c>
      <c r="BF355" t="s">
        <v>97</v>
      </c>
      <c r="BG355" t="s">
        <v>76</v>
      </c>
      <c r="BH355" t="s">
        <v>77</v>
      </c>
      <c r="BI355" t="s">
        <v>107</v>
      </c>
      <c r="BJ355" t="s">
        <v>174</v>
      </c>
      <c r="BK355">
        <v>0</v>
      </c>
      <c r="BL355">
        <v>0</v>
      </c>
      <c r="BM355">
        <v>0</v>
      </c>
      <c r="BN355">
        <v>0</v>
      </c>
      <c r="BO355">
        <v>0</v>
      </c>
      <c r="BP355">
        <v>1</v>
      </c>
      <c r="BQ355">
        <v>0</v>
      </c>
      <c r="BR355">
        <v>0</v>
      </c>
    </row>
    <row r="356" spans="1:72" x14ac:dyDescent="0.2">
      <c r="A356" s="1">
        <v>44579.881249999999</v>
      </c>
      <c r="B356" s="1">
        <v>44579.883333333331</v>
      </c>
      <c r="C356">
        <v>0</v>
      </c>
      <c r="D356">
        <v>1</v>
      </c>
      <c r="E356">
        <v>0</v>
      </c>
      <c r="F356">
        <v>0</v>
      </c>
      <c r="H356">
        <v>0</v>
      </c>
      <c r="I356">
        <v>0</v>
      </c>
      <c r="J356">
        <v>0</v>
      </c>
      <c r="K356">
        <v>1</v>
      </c>
      <c r="L356">
        <v>0</v>
      </c>
      <c r="N356" t="s">
        <v>88</v>
      </c>
      <c r="O356" t="s">
        <v>89</v>
      </c>
      <c r="P356">
        <v>1</v>
      </c>
      <c r="Q356">
        <v>0</v>
      </c>
      <c r="R356">
        <v>0</v>
      </c>
      <c r="S356">
        <v>0</v>
      </c>
      <c r="T356">
        <v>0</v>
      </c>
      <c r="U356">
        <v>0</v>
      </c>
      <c r="V356">
        <v>0</v>
      </c>
      <c r="W356">
        <v>0</v>
      </c>
      <c r="X356">
        <v>0</v>
      </c>
      <c r="Y356">
        <v>0</v>
      </c>
      <c r="Z356">
        <v>0</v>
      </c>
      <c r="AA356">
        <v>0</v>
      </c>
      <c r="AC356">
        <v>0</v>
      </c>
      <c r="AD356">
        <v>0</v>
      </c>
      <c r="AE356">
        <v>0</v>
      </c>
      <c r="AF356">
        <v>0</v>
      </c>
      <c r="AG356">
        <v>0</v>
      </c>
      <c r="AH356">
        <v>0</v>
      </c>
      <c r="AI356">
        <v>0</v>
      </c>
      <c r="AJ356">
        <v>1</v>
      </c>
      <c r="AK356">
        <v>0</v>
      </c>
      <c r="AZ356" t="s">
        <v>107</v>
      </c>
      <c r="BA356" t="s">
        <v>86</v>
      </c>
      <c r="BB356" t="s">
        <v>87</v>
      </c>
      <c r="BC356" t="s">
        <v>74</v>
      </c>
      <c r="BD356" t="s">
        <v>87</v>
      </c>
      <c r="BE356" t="s">
        <v>74</v>
      </c>
      <c r="BF356" t="s">
        <v>101</v>
      </c>
      <c r="BG356" t="s">
        <v>76</v>
      </c>
      <c r="BH356" t="s">
        <v>98</v>
      </c>
      <c r="BI356" t="s">
        <v>107</v>
      </c>
      <c r="BK356">
        <v>0</v>
      </c>
      <c r="BL356">
        <v>0</v>
      </c>
      <c r="BM356">
        <v>0</v>
      </c>
      <c r="BN356">
        <v>0</v>
      </c>
      <c r="BO356">
        <v>0</v>
      </c>
      <c r="BP356">
        <v>1</v>
      </c>
      <c r="BQ356">
        <v>1</v>
      </c>
      <c r="BR356">
        <v>0</v>
      </c>
      <c r="BS356" t="s">
        <v>254</v>
      </c>
    </row>
    <row r="357" spans="1:72" x14ac:dyDescent="0.2">
      <c r="A357" s="1">
        <v>44583.029861111114</v>
      </c>
      <c r="B357" s="1">
        <v>44583.03402777778</v>
      </c>
      <c r="C357">
        <v>0</v>
      </c>
      <c r="D357">
        <v>1</v>
      </c>
      <c r="E357">
        <v>0</v>
      </c>
      <c r="F357">
        <v>0</v>
      </c>
      <c r="H357">
        <v>0</v>
      </c>
      <c r="I357">
        <v>0</v>
      </c>
      <c r="J357">
        <v>0</v>
      </c>
      <c r="K357">
        <v>0</v>
      </c>
      <c r="L357">
        <v>1</v>
      </c>
      <c r="M357" t="s">
        <v>255</v>
      </c>
      <c r="N357" t="s">
        <v>88</v>
      </c>
      <c r="O357" t="s">
        <v>89</v>
      </c>
      <c r="P357">
        <v>0</v>
      </c>
      <c r="Q357">
        <v>1</v>
      </c>
      <c r="R357">
        <v>0</v>
      </c>
      <c r="S357">
        <v>0</v>
      </c>
      <c r="T357">
        <v>0</v>
      </c>
      <c r="U357">
        <v>0</v>
      </c>
      <c r="V357">
        <v>0</v>
      </c>
      <c r="W357">
        <v>0</v>
      </c>
      <c r="X357">
        <v>0</v>
      </c>
      <c r="Y357">
        <v>0</v>
      </c>
      <c r="Z357">
        <v>0</v>
      </c>
      <c r="AA357">
        <v>0</v>
      </c>
      <c r="AM357" t="s">
        <v>83</v>
      </c>
      <c r="AN357" t="s">
        <v>82</v>
      </c>
      <c r="AO357" t="s">
        <v>81</v>
      </c>
      <c r="AP357" t="s">
        <v>83</v>
      </c>
      <c r="AQ357" t="s">
        <v>82</v>
      </c>
      <c r="AR357" t="s">
        <v>90</v>
      </c>
      <c r="AS357" t="s">
        <v>83</v>
      </c>
      <c r="AT357" t="s">
        <v>83</v>
      </c>
      <c r="AU357" t="s">
        <v>88</v>
      </c>
      <c r="AV357" t="s">
        <v>89</v>
      </c>
      <c r="AW357" t="s">
        <v>100</v>
      </c>
      <c r="AX357" t="s">
        <v>256</v>
      </c>
      <c r="AZ357" t="s">
        <v>96</v>
      </c>
      <c r="BA357" t="s">
        <v>86</v>
      </c>
      <c r="BB357" t="s">
        <v>86</v>
      </c>
      <c r="BC357" t="s">
        <v>86</v>
      </c>
      <c r="BD357" t="s">
        <v>87</v>
      </c>
      <c r="BE357" t="s">
        <v>86</v>
      </c>
      <c r="BF357" t="s">
        <v>108</v>
      </c>
      <c r="BG357" t="s">
        <v>76</v>
      </c>
      <c r="BH357" t="s">
        <v>184</v>
      </c>
      <c r="BI357" t="s">
        <v>96</v>
      </c>
      <c r="BK357">
        <v>0</v>
      </c>
      <c r="BL357">
        <v>0</v>
      </c>
      <c r="BM357">
        <v>0</v>
      </c>
      <c r="BN357">
        <v>0</v>
      </c>
      <c r="BO357">
        <v>0</v>
      </c>
      <c r="BP357">
        <v>0</v>
      </c>
      <c r="BQ357">
        <v>0</v>
      </c>
      <c r="BR357">
        <v>1</v>
      </c>
      <c r="BT357" t="s">
        <v>109</v>
      </c>
    </row>
    <row r="358" spans="1:72" x14ac:dyDescent="0.2">
      <c r="A358" s="1">
        <v>44585.761805555558</v>
      </c>
      <c r="B358" s="1">
        <v>44585.762499999997</v>
      </c>
      <c r="C358">
        <v>0</v>
      </c>
      <c r="D358">
        <v>1</v>
      </c>
      <c r="E358">
        <v>0</v>
      </c>
      <c r="F358">
        <v>0</v>
      </c>
      <c r="H358">
        <v>0</v>
      </c>
      <c r="I358">
        <v>1</v>
      </c>
      <c r="J358">
        <v>0</v>
      </c>
      <c r="K358">
        <v>0</v>
      </c>
      <c r="L358">
        <v>0</v>
      </c>
      <c r="N358" t="s">
        <v>135</v>
      </c>
      <c r="O358" t="s">
        <v>89</v>
      </c>
      <c r="P358">
        <v>1</v>
      </c>
      <c r="Q358">
        <v>0</v>
      </c>
      <c r="R358">
        <v>0</v>
      </c>
      <c r="S358">
        <v>0</v>
      </c>
      <c r="T358">
        <v>0</v>
      </c>
      <c r="U358">
        <v>0</v>
      </c>
      <c r="V358">
        <v>0</v>
      </c>
      <c r="W358">
        <v>0</v>
      </c>
      <c r="X358">
        <v>0</v>
      </c>
      <c r="Y358">
        <v>0</v>
      </c>
      <c r="Z358">
        <v>0</v>
      </c>
      <c r="AA358">
        <v>0</v>
      </c>
      <c r="AC358">
        <v>1</v>
      </c>
      <c r="AD358">
        <v>0</v>
      </c>
      <c r="AE358">
        <v>0</v>
      </c>
      <c r="AF358">
        <v>0</v>
      </c>
      <c r="AG358">
        <v>0</v>
      </c>
      <c r="AH358">
        <v>0</v>
      </c>
      <c r="AI358">
        <v>0</v>
      </c>
      <c r="AJ358">
        <v>0</v>
      </c>
      <c r="AK358">
        <v>0</v>
      </c>
      <c r="AX358" t="s">
        <v>110</v>
      </c>
      <c r="AY358" t="s">
        <v>257</v>
      </c>
      <c r="AZ358" t="s">
        <v>73</v>
      </c>
      <c r="BA358" t="s">
        <v>87</v>
      </c>
      <c r="BB358" t="s">
        <v>86</v>
      </c>
      <c r="BC358" t="s">
        <v>87</v>
      </c>
      <c r="BD358" t="s">
        <v>86</v>
      </c>
      <c r="BE358" t="s">
        <v>87</v>
      </c>
      <c r="BF358" t="s">
        <v>75</v>
      </c>
      <c r="BG358" t="s">
        <v>76</v>
      </c>
      <c r="BH358" t="s">
        <v>93</v>
      </c>
      <c r="BI358" t="s">
        <v>73</v>
      </c>
      <c r="BJ358" t="s">
        <v>114</v>
      </c>
      <c r="BK358">
        <v>1</v>
      </c>
      <c r="BL358">
        <v>0</v>
      </c>
      <c r="BM358">
        <v>0</v>
      </c>
      <c r="BN358">
        <v>0</v>
      </c>
      <c r="BO358">
        <v>0</v>
      </c>
      <c r="BP358">
        <v>0</v>
      </c>
      <c r="BQ358">
        <v>0</v>
      </c>
      <c r="BR358">
        <v>0</v>
      </c>
    </row>
    <row r="359" spans="1:72" x14ac:dyDescent="0.2">
      <c r="A359" s="1">
        <v>44579.888888888891</v>
      </c>
      <c r="B359" s="1">
        <v>44579.89166666667</v>
      </c>
      <c r="C359">
        <v>1</v>
      </c>
      <c r="D359">
        <v>0</v>
      </c>
      <c r="E359">
        <v>0</v>
      </c>
      <c r="F359">
        <v>0</v>
      </c>
      <c r="H359">
        <v>1</v>
      </c>
      <c r="I359">
        <v>0</v>
      </c>
      <c r="J359">
        <v>0</v>
      </c>
      <c r="K359">
        <v>0</v>
      </c>
      <c r="L359">
        <v>0</v>
      </c>
      <c r="P359">
        <v>1</v>
      </c>
      <c r="Q359">
        <v>0</v>
      </c>
      <c r="R359">
        <v>0</v>
      </c>
      <c r="S359">
        <v>0</v>
      </c>
      <c r="T359">
        <v>0</v>
      </c>
      <c r="U359">
        <v>0</v>
      </c>
      <c r="V359">
        <v>0</v>
      </c>
      <c r="W359">
        <v>0</v>
      </c>
      <c r="X359">
        <v>0</v>
      </c>
      <c r="Y359">
        <v>0</v>
      </c>
      <c r="Z359">
        <v>0</v>
      </c>
      <c r="AA359">
        <v>0</v>
      </c>
      <c r="AC359">
        <v>0</v>
      </c>
      <c r="AD359">
        <v>0</v>
      </c>
      <c r="AE359">
        <v>1</v>
      </c>
      <c r="AF359">
        <v>0</v>
      </c>
      <c r="AG359">
        <v>0</v>
      </c>
      <c r="AH359">
        <v>0</v>
      </c>
      <c r="AI359">
        <v>0</v>
      </c>
      <c r="AJ359">
        <v>0</v>
      </c>
      <c r="AK359">
        <v>0</v>
      </c>
      <c r="AX359" t="s">
        <v>110</v>
      </c>
      <c r="AY359" t="s">
        <v>258</v>
      </c>
      <c r="AZ359" t="s">
        <v>107</v>
      </c>
      <c r="BA359" t="s">
        <v>86</v>
      </c>
      <c r="BB359" t="s">
        <v>74</v>
      </c>
      <c r="BC359" t="s">
        <v>87</v>
      </c>
      <c r="BD359" t="s">
        <v>86</v>
      </c>
      <c r="BE359" t="s">
        <v>87</v>
      </c>
      <c r="BF359" t="s">
        <v>75</v>
      </c>
      <c r="BG359" t="s">
        <v>76</v>
      </c>
      <c r="BH359" t="s">
        <v>98</v>
      </c>
      <c r="BI359" t="s">
        <v>107</v>
      </c>
      <c r="BJ359" t="s">
        <v>114</v>
      </c>
      <c r="BK359">
        <v>1</v>
      </c>
      <c r="BL359">
        <v>0</v>
      </c>
      <c r="BM359">
        <v>0</v>
      </c>
      <c r="BN359">
        <v>0</v>
      </c>
      <c r="BO359">
        <v>0</v>
      </c>
      <c r="BP359">
        <v>0</v>
      </c>
      <c r="BQ359">
        <v>0</v>
      </c>
      <c r="BR359">
        <v>0</v>
      </c>
    </row>
    <row r="360" spans="1:72" x14ac:dyDescent="0.2">
      <c r="A360" s="1">
        <v>44579.876388888886</v>
      </c>
      <c r="B360" s="1">
        <v>44579.878472222219</v>
      </c>
      <c r="C360">
        <v>1</v>
      </c>
      <c r="D360">
        <v>0</v>
      </c>
      <c r="E360">
        <v>0</v>
      </c>
      <c r="F360">
        <v>0</v>
      </c>
      <c r="H360">
        <v>1</v>
      </c>
      <c r="I360">
        <v>0</v>
      </c>
      <c r="J360">
        <v>0</v>
      </c>
      <c r="K360">
        <v>0</v>
      </c>
      <c r="L360">
        <v>0</v>
      </c>
      <c r="P360">
        <v>0</v>
      </c>
      <c r="Q360">
        <v>1</v>
      </c>
      <c r="R360">
        <v>0</v>
      </c>
      <c r="S360">
        <v>1</v>
      </c>
      <c r="T360">
        <v>0</v>
      </c>
      <c r="U360">
        <v>0</v>
      </c>
      <c r="V360">
        <v>0</v>
      </c>
      <c r="W360">
        <v>0</v>
      </c>
      <c r="X360">
        <v>0</v>
      </c>
      <c r="Y360">
        <v>0</v>
      </c>
      <c r="Z360">
        <v>0</v>
      </c>
      <c r="AA360">
        <v>0</v>
      </c>
      <c r="AM360" t="s">
        <v>83</v>
      </c>
      <c r="AN360" t="s">
        <v>82</v>
      </c>
      <c r="AO360" t="s">
        <v>83</v>
      </c>
      <c r="AP360" t="s">
        <v>83</v>
      </c>
      <c r="AQ360" t="s">
        <v>83</v>
      </c>
      <c r="AR360" t="s">
        <v>90</v>
      </c>
      <c r="AS360" t="s">
        <v>83</v>
      </c>
      <c r="AT360" t="s">
        <v>83</v>
      </c>
      <c r="AU360" t="s">
        <v>88</v>
      </c>
      <c r="AV360" t="s">
        <v>89</v>
      </c>
      <c r="AW360" t="s">
        <v>100</v>
      </c>
      <c r="AX360" t="s">
        <v>128</v>
      </c>
      <c r="AZ360" t="s">
        <v>73</v>
      </c>
      <c r="BA360" t="s">
        <v>87</v>
      </c>
      <c r="BB360" t="s">
        <v>87</v>
      </c>
      <c r="BC360" t="s">
        <v>87</v>
      </c>
      <c r="BD360" t="s">
        <v>87</v>
      </c>
      <c r="BE360" t="s">
        <v>74</v>
      </c>
      <c r="BF360" t="s">
        <v>75</v>
      </c>
      <c r="BG360" t="s">
        <v>76</v>
      </c>
      <c r="BH360" t="s">
        <v>98</v>
      </c>
      <c r="BI360" t="s">
        <v>73</v>
      </c>
      <c r="BJ360" t="s">
        <v>94</v>
      </c>
      <c r="BK360">
        <v>0</v>
      </c>
      <c r="BL360">
        <v>0</v>
      </c>
      <c r="BM360">
        <v>0</v>
      </c>
      <c r="BN360">
        <v>0</v>
      </c>
      <c r="BO360">
        <v>0</v>
      </c>
      <c r="BP360">
        <v>1</v>
      </c>
      <c r="BQ360">
        <v>0</v>
      </c>
      <c r="BR360">
        <v>0</v>
      </c>
    </row>
    <row r="361" spans="1:72" x14ac:dyDescent="0.2">
      <c r="A361" s="1">
        <v>44579.964583333334</v>
      </c>
      <c r="B361" s="1">
        <v>44579.967361111114</v>
      </c>
      <c r="C361">
        <v>1</v>
      </c>
      <c r="D361">
        <v>0</v>
      </c>
      <c r="E361">
        <v>0</v>
      </c>
      <c r="F361">
        <v>0</v>
      </c>
      <c r="H361">
        <v>0</v>
      </c>
      <c r="I361">
        <v>0</v>
      </c>
      <c r="J361">
        <v>1</v>
      </c>
      <c r="K361">
        <v>0</v>
      </c>
      <c r="L361">
        <v>0</v>
      </c>
      <c r="N361" t="s">
        <v>135</v>
      </c>
      <c r="O361" t="s">
        <v>80</v>
      </c>
      <c r="P361">
        <v>0</v>
      </c>
      <c r="Q361">
        <v>1</v>
      </c>
      <c r="R361">
        <v>1</v>
      </c>
      <c r="S361">
        <v>0</v>
      </c>
      <c r="T361">
        <v>0</v>
      </c>
      <c r="U361">
        <v>0</v>
      </c>
      <c r="V361">
        <v>0</v>
      </c>
      <c r="W361">
        <v>0</v>
      </c>
      <c r="X361">
        <v>0</v>
      </c>
      <c r="Y361">
        <v>0</v>
      </c>
      <c r="Z361">
        <v>0</v>
      </c>
      <c r="AA361">
        <v>0</v>
      </c>
      <c r="AM361" t="s">
        <v>81</v>
      </c>
      <c r="AN361" t="s">
        <v>82</v>
      </c>
      <c r="AO361" t="s">
        <v>83</v>
      </c>
      <c r="AP361" t="s">
        <v>82</v>
      </c>
      <c r="AQ361" t="s">
        <v>81</v>
      </c>
      <c r="AR361" t="s">
        <v>83</v>
      </c>
      <c r="AS361" t="s">
        <v>83</v>
      </c>
      <c r="AT361" t="s">
        <v>83</v>
      </c>
      <c r="AU361" t="s">
        <v>135</v>
      </c>
      <c r="AV361" t="s">
        <v>80</v>
      </c>
      <c r="AW361" t="s">
        <v>85</v>
      </c>
      <c r="AX361" t="s">
        <v>259</v>
      </c>
      <c r="AZ361" t="s">
        <v>96</v>
      </c>
      <c r="BA361" t="s">
        <v>86</v>
      </c>
      <c r="BB361" t="s">
        <v>87</v>
      </c>
      <c r="BC361" t="s">
        <v>86</v>
      </c>
      <c r="BD361" t="s">
        <v>86</v>
      </c>
      <c r="BE361" t="s">
        <v>87</v>
      </c>
      <c r="BF361" t="s">
        <v>108</v>
      </c>
      <c r="BG361" t="s">
        <v>76</v>
      </c>
      <c r="BH361" t="s">
        <v>184</v>
      </c>
      <c r="BI361" t="s">
        <v>96</v>
      </c>
      <c r="BJ361" t="s">
        <v>114</v>
      </c>
      <c r="BK361">
        <v>0</v>
      </c>
      <c r="BL361">
        <v>0</v>
      </c>
      <c r="BM361">
        <v>0</v>
      </c>
      <c r="BN361">
        <v>0</v>
      </c>
      <c r="BO361">
        <v>1</v>
      </c>
      <c r="BP361">
        <v>0</v>
      </c>
      <c r="BQ361">
        <v>0</v>
      </c>
      <c r="BR361">
        <v>0</v>
      </c>
    </row>
    <row r="362" spans="1:72" x14ac:dyDescent="0.2">
      <c r="A362" s="1">
        <v>44579.927777777775</v>
      </c>
      <c r="B362" s="1">
        <v>44579.929861111108</v>
      </c>
      <c r="C362">
        <v>1</v>
      </c>
      <c r="D362">
        <v>0</v>
      </c>
      <c r="E362">
        <v>0</v>
      </c>
      <c r="F362">
        <v>0</v>
      </c>
      <c r="H362">
        <v>0</v>
      </c>
      <c r="I362">
        <v>1</v>
      </c>
      <c r="J362">
        <v>0</v>
      </c>
      <c r="K362">
        <v>0</v>
      </c>
      <c r="L362">
        <v>0</v>
      </c>
      <c r="N362" t="s">
        <v>135</v>
      </c>
      <c r="O362" t="s">
        <v>89</v>
      </c>
      <c r="P362">
        <v>0</v>
      </c>
      <c r="Q362">
        <v>0</v>
      </c>
      <c r="R362">
        <v>0</v>
      </c>
      <c r="S362">
        <v>1</v>
      </c>
      <c r="T362">
        <v>0</v>
      </c>
      <c r="U362">
        <v>0</v>
      </c>
      <c r="V362">
        <v>0</v>
      </c>
      <c r="W362">
        <v>0</v>
      </c>
      <c r="X362">
        <v>0</v>
      </c>
      <c r="Y362">
        <v>0</v>
      </c>
      <c r="Z362">
        <v>0</v>
      </c>
      <c r="AA362">
        <v>0</v>
      </c>
      <c r="AM362" t="s">
        <v>83</v>
      </c>
      <c r="AN362" t="s">
        <v>82</v>
      </c>
      <c r="AO362" t="s">
        <v>81</v>
      </c>
      <c r="AP362" t="s">
        <v>81</v>
      </c>
      <c r="AQ362" t="s">
        <v>83</v>
      </c>
      <c r="AR362" t="s">
        <v>82</v>
      </c>
      <c r="AS362" t="s">
        <v>82</v>
      </c>
      <c r="AT362" t="s">
        <v>81</v>
      </c>
      <c r="AU362" t="s">
        <v>88</v>
      </c>
      <c r="AV362" t="s">
        <v>89</v>
      </c>
      <c r="AW362" t="s">
        <v>85</v>
      </c>
      <c r="AX362" t="s">
        <v>110</v>
      </c>
      <c r="AY362" t="s">
        <v>260</v>
      </c>
      <c r="AZ362" t="s">
        <v>73</v>
      </c>
      <c r="BA362" t="s">
        <v>87</v>
      </c>
      <c r="BB362" t="s">
        <v>87</v>
      </c>
      <c r="BC362" t="s">
        <v>87</v>
      </c>
      <c r="BD362" t="s">
        <v>87</v>
      </c>
      <c r="BE362" t="s">
        <v>74</v>
      </c>
      <c r="BF362" t="s">
        <v>108</v>
      </c>
      <c r="BG362" t="s">
        <v>76</v>
      </c>
      <c r="BH362" t="s">
        <v>93</v>
      </c>
      <c r="BI362" t="s">
        <v>73</v>
      </c>
      <c r="BJ362" t="s">
        <v>114</v>
      </c>
      <c r="BK362">
        <v>0</v>
      </c>
      <c r="BL362">
        <v>0</v>
      </c>
      <c r="BM362">
        <v>0</v>
      </c>
      <c r="BN362">
        <v>1</v>
      </c>
      <c r="BO362">
        <v>0</v>
      </c>
      <c r="BP362">
        <v>1</v>
      </c>
      <c r="BQ362">
        <v>0</v>
      </c>
      <c r="BR362">
        <v>0</v>
      </c>
    </row>
    <row r="363" spans="1:72" x14ac:dyDescent="0.2">
      <c r="A363" s="1">
        <v>44590.839583333334</v>
      </c>
      <c r="B363" s="1">
        <v>44590.844444444447</v>
      </c>
      <c r="C363">
        <v>0</v>
      </c>
      <c r="D363">
        <v>1</v>
      </c>
      <c r="E363">
        <v>0</v>
      </c>
      <c r="F363">
        <v>0</v>
      </c>
      <c r="H363">
        <v>1</v>
      </c>
      <c r="I363">
        <v>0</v>
      </c>
      <c r="J363">
        <v>0</v>
      </c>
      <c r="K363">
        <v>0</v>
      </c>
      <c r="L363">
        <v>0</v>
      </c>
      <c r="P363">
        <v>0</v>
      </c>
      <c r="Q363">
        <v>0</v>
      </c>
      <c r="R363">
        <v>0</v>
      </c>
      <c r="S363">
        <v>0</v>
      </c>
      <c r="T363">
        <v>1</v>
      </c>
      <c r="U363">
        <v>0</v>
      </c>
      <c r="V363">
        <v>0</v>
      </c>
      <c r="W363">
        <v>0</v>
      </c>
      <c r="X363">
        <v>0</v>
      </c>
      <c r="Y363">
        <v>0</v>
      </c>
      <c r="Z363">
        <v>0</v>
      </c>
      <c r="AA363">
        <v>0</v>
      </c>
      <c r="AM363" t="s">
        <v>81</v>
      </c>
      <c r="AN363" t="s">
        <v>81</v>
      </c>
      <c r="AO363" t="s">
        <v>81</v>
      </c>
      <c r="AP363" t="s">
        <v>81</v>
      </c>
      <c r="AQ363" t="s">
        <v>82</v>
      </c>
      <c r="AR363" t="s">
        <v>81</v>
      </c>
      <c r="AS363" t="s">
        <v>83</v>
      </c>
      <c r="AT363" t="s">
        <v>81</v>
      </c>
      <c r="AU363" t="s">
        <v>88</v>
      </c>
      <c r="AV363" t="s">
        <v>80</v>
      </c>
      <c r="AW363" t="s">
        <v>85</v>
      </c>
      <c r="AX363" t="s">
        <v>122</v>
      </c>
      <c r="AZ363" t="s">
        <v>107</v>
      </c>
      <c r="BA363" t="s">
        <v>86</v>
      </c>
      <c r="BB363" t="s">
        <v>74</v>
      </c>
      <c r="BC363" t="s">
        <v>86</v>
      </c>
      <c r="BD363" t="s">
        <v>87</v>
      </c>
      <c r="BE363" t="s">
        <v>86</v>
      </c>
      <c r="BF363" t="s">
        <v>75</v>
      </c>
      <c r="BG363" t="s">
        <v>76</v>
      </c>
      <c r="BH363" t="s">
        <v>98</v>
      </c>
      <c r="BI363" t="s">
        <v>107</v>
      </c>
      <c r="BJ363" t="s">
        <v>109</v>
      </c>
      <c r="BK363">
        <v>1</v>
      </c>
      <c r="BL363">
        <v>0</v>
      </c>
      <c r="BM363">
        <v>0</v>
      </c>
      <c r="BN363">
        <v>0</v>
      </c>
      <c r="BO363">
        <v>0</v>
      </c>
      <c r="BP363">
        <v>0</v>
      </c>
      <c r="BQ363">
        <v>0</v>
      </c>
      <c r="BR363">
        <v>0</v>
      </c>
    </row>
    <row r="364" spans="1:72" x14ac:dyDescent="0.2">
      <c r="A364" s="1">
        <v>44591.922222222223</v>
      </c>
      <c r="B364" s="1">
        <v>44591.924305555556</v>
      </c>
      <c r="C364">
        <v>1</v>
      </c>
      <c r="D364">
        <v>0</v>
      </c>
      <c r="E364">
        <v>0</v>
      </c>
      <c r="F364">
        <v>0</v>
      </c>
      <c r="H364">
        <v>0</v>
      </c>
      <c r="I364">
        <v>1</v>
      </c>
      <c r="J364">
        <v>1</v>
      </c>
      <c r="K364">
        <v>1</v>
      </c>
      <c r="L364">
        <v>0</v>
      </c>
      <c r="N364" t="s">
        <v>88</v>
      </c>
      <c r="O364" t="s">
        <v>89</v>
      </c>
      <c r="P364">
        <v>0</v>
      </c>
      <c r="Q364">
        <v>0</v>
      </c>
      <c r="R364">
        <v>1</v>
      </c>
      <c r="S364">
        <v>0</v>
      </c>
      <c r="T364">
        <v>0</v>
      </c>
      <c r="U364">
        <v>0</v>
      </c>
      <c r="V364">
        <v>0</v>
      </c>
      <c r="W364">
        <v>0</v>
      </c>
      <c r="X364">
        <v>0</v>
      </c>
      <c r="Y364">
        <v>0</v>
      </c>
      <c r="Z364">
        <v>0</v>
      </c>
      <c r="AA364">
        <v>0</v>
      </c>
      <c r="AM364" t="s">
        <v>82</v>
      </c>
      <c r="AN364" t="s">
        <v>81</v>
      </c>
      <c r="AO364" t="s">
        <v>81</v>
      </c>
      <c r="AP364" t="s">
        <v>82</v>
      </c>
      <c r="AQ364" t="s">
        <v>82</v>
      </c>
      <c r="AR364" t="s">
        <v>82</v>
      </c>
      <c r="AS364" t="s">
        <v>82</v>
      </c>
      <c r="AT364" t="s">
        <v>83</v>
      </c>
      <c r="AU364" t="s">
        <v>84</v>
      </c>
      <c r="AV364" t="s">
        <v>142</v>
      </c>
      <c r="AW364" t="s">
        <v>117</v>
      </c>
      <c r="AX364" t="s">
        <v>242</v>
      </c>
      <c r="AZ364" t="s">
        <v>73</v>
      </c>
      <c r="BA364" t="s">
        <v>87</v>
      </c>
      <c r="BB364" t="s">
        <v>87</v>
      </c>
      <c r="BC364" t="s">
        <v>87</v>
      </c>
      <c r="BD364" t="s">
        <v>87</v>
      </c>
      <c r="BE364" t="s">
        <v>87</v>
      </c>
      <c r="BF364" t="s">
        <v>75</v>
      </c>
      <c r="BG364" t="s">
        <v>76</v>
      </c>
      <c r="BH364" t="s">
        <v>93</v>
      </c>
      <c r="BI364" t="s">
        <v>73</v>
      </c>
      <c r="BK364">
        <v>0</v>
      </c>
      <c r="BL364">
        <v>0</v>
      </c>
      <c r="BM364">
        <v>0</v>
      </c>
      <c r="BN364">
        <v>0</v>
      </c>
      <c r="BO364">
        <v>1</v>
      </c>
      <c r="BP364">
        <v>0</v>
      </c>
      <c r="BQ364">
        <v>0</v>
      </c>
      <c r="BR364">
        <v>0</v>
      </c>
    </row>
    <row r="365" spans="1:72" x14ac:dyDescent="0.2">
      <c r="A365" s="1">
        <v>44585.546527777777</v>
      </c>
      <c r="B365" s="1">
        <v>44585.549305555556</v>
      </c>
      <c r="C365">
        <v>0</v>
      </c>
      <c r="D365">
        <v>1</v>
      </c>
      <c r="E365">
        <v>0</v>
      </c>
      <c r="F365">
        <v>0</v>
      </c>
      <c r="H365">
        <v>0</v>
      </c>
      <c r="I365">
        <v>1</v>
      </c>
      <c r="J365">
        <v>0</v>
      </c>
      <c r="K365">
        <v>0</v>
      </c>
      <c r="L365">
        <v>0</v>
      </c>
      <c r="N365" t="s">
        <v>135</v>
      </c>
      <c r="O365" t="s">
        <v>142</v>
      </c>
      <c r="P365">
        <v>1</v>
      </c>
      <c r="Q365">
        <v>0</v>
      </c>
      <c r="R365">
        <v>0</v>
      </c>
      <c r="S365">
        <v>0</v>
      </c>
      <c r="T365">
        <v>0</v>
      </c>
      <c r="U365">
        <v>0</v>
      </c>
      <c r="V365">
        <v>0</v>
      </c>
      <c r="W365">
        <v>0</v>
      </c>
      <c r="X365">
        <v>0</v>
      </c>
      <c r="Y365">
        <v>0</v>
      </c>
      <c r="Z365">
        <v>0</v>
      </c>
      <c r="AA365">
        <v>0</v>
      </c>
      <c r="AC365">
        <v>1</v>
      </c>
      <c r="AD365">
        <v>0</v>
      </c>
      <c r="AE365">
        <v>0</v>
      </c>
      <c r="AF365">
        <v>0</v>
      </c>
      <c r="AG365">
        <v>0</v>
      </c>
      <c r="AH365">
        <v>0</v>
      </c>
      <c r="AI365">
        <v>0</v>
      </c>
      <c r="AJ365">
        <v>0</v>
      </c>
      <c r="AK365">
        <v>0</v>
      </c>
      <c r="AX365" t="s">
        <v>106</v>
      </c>
      <c r="AZ365" t="s">
        <v>73</v>
      </c>
      <c r="BA365" t="s">
        <v>87</v>
      </c>
      <c r="BB365" t="s">
        <v>87</v>
      </c>
      <c r="BC365" t="s">
        <v>87</v>
      </c>
      <c r="BD365" t="s">
        <v>87</v>
      </c>
      <c r="BE365" t="s">
        <v>87</v>
      </c>
      <c r="BF365" t="s">
        <v>75</v>
      </c>
      <c r="BG365" t="s">
        <v>76</v>
      </c>
      <c r="BH365" t="s">
        <v>77</v>
      </c>
      <c r="BI365" t="s">
        <v>73</v>
      </c>
      <c r="BJ365" t="s">
        <v>114</v>
      </c>
      <c r="BK365">
        <v>1</v>
      </c>
      <c r="BL365">
        <v>0</v>
      </c>
      <c r="BM365">
        <v>0</v>
      </c>
      <c r="BN365">
        <v>0</v>
      </c>
      <c r="BO365">
        <v>0</v>
      </c>
      <c r="BP365">
        <v>0</v>
      </c>
      <c r="BQ365">
        <v>0</v>
      </c>
      <c r="BR365">
        <v>0</v>
      </c>
    </row>
    <row r="366" spans="1:72" x14ac:dyDescent="0.2">
      <c r="A366" s="1">
        <v>44579.887499999997</v>
      </c>
      <c r="B366" s="1">
        <v>44579.895833333336</v>
      </c>
      <c r="C366">
        <v>0</v>
      </c>
      <c r="D366">
        <v>1</v>
      </c>
      <c r="E366">
        <v>0</v>
      </c>
      <c r="F366">
        <v>0</v>
      </c>
      <c r="H366">
        <v>0</v>
      </c>
      <c r="I366">
        <v>1</v>
      </c>
      <c r="J366">
        <v>1</v>
      </c>
      <c r="K366">
        <v>0</v>
      </c>
      <c r="L366">
        <v>0</v>
      </c>
      <c r="N366" t="s">
        <v>88</v>
      </c>
      <c r="O366" t="s">
        <v>142</v>
      </c>
      <c r="P366">
        <v>1</v>
      </c>
      <c r="Q366">
        <v>0</v>
      </c>
      <c r="R366">
        <v>0</v>
      </c>
      <c r="S366">
        <v>0</v>
      </c>
      <c r="T366">
        <v>0</v>
      </c>
      <c r="U366">
        <v>0</v>
      </c>
      <c r="V366">
        <v>0</v>
      </c>
      <c r="W366">
        <v>0</v>
      </c>
      <c r="X366">
        <v>0</v>
      </c>
      <c r="Y366">
        <v>0</v>
      </c>
      <c r="Z366">
        <v>0</v>
      </c>
      <c r="AA366">
        <v>0</v>
      </c>
      <c r="AC366">
        <v>0</v>
      </c>
      <c r="AD366">
        <v>1</v>
      </c>
      <c r="AE366">
        <v>0</v>
      </c>
      <c r="AF366">
        <v>0</v>
      </c>
      <c r="AG366">
        <v>0</v>
      </c>
      <c r="AH366">
        <v>0</v>
      </c>
      <c r="AI366">
        <v>0</v>
      </c>
      <c r="AJ366">
        <v>0</v>
      </c>
      <c r="AK366">
        <v>0</v>
      </c>
      <c r="AX366" t="s">
        <v>106</v>
      </c>
      <c r="AZ366" t="s">
        <v>96</v>
      </c>
      <c r="BA366" t="s">
        <v>74</v>
      </c>
      <c r="BF366" t="s">
        <v>108</v>
      </c>
      <c r="BG366" t="s">
        <v>76</v>
      </c>
      <c r="BH366" t="s">
        <v>98</v>
      </c>
      <c r="BI366" t="s">
        <v>96</v>
      </c>
      <c r="BJ366" t="s">
        <v>114</v>
      </c>
      <c r="BK366">
        <v>1</v>
      </c>
      <c r="BL366">
        <v>0</v>
      </c>
      <c r="BM366">
        <v>0</v>
      </c>
      <c r="BN366">
        <v>0</v>
      </c>
      <c r="BO366">
        <v>0</v>
      </c>
      <c r="BP366">
        <v>0</v>
      </c>
      <c r="BQ366">
        <v>0</v>
      </c>
      <c r="BR366">
        <v>0</v>
      </c>
    </row>
    <row r="367" spans="1:72" x14ac:dyDescent="0.2">
      <c r="A367" s="1">
        <v>44579.928472222222</v>
      </c>
      <c r="B367" s="1">
        <v>44579.931944444441</v>
      </c>
      <c r="C367">
        <v>1</v>
      </c>
      <c r="D367">
        <v>0</v>
      </c>
      <c r="E367">
        <v>0</v>
      </c>
      <c r="F367">
        <v>0</v>
      </c>
      <c r="H367">
        <v>0</v>
      </c>
      <c r="I367">
        <v>1</v>
      </c>
      <c r="J367">
        <v>0</v>
      </c>
      <c r="K367">
        <v>0</v>
      </c>
      <c r="L367">
        <v>0</v>
      </c>
      <c r="N367" t="s">
        <v>79</v>
      </c>
      <c r="O367" t="s">
        <v>127</v>
      </c>
      <c r="P367">
        <v>1</v>
      </c>
      <c r="Q367">
        <v>0</v>
      </c>
      <c r="R367">
        <v>0</v>
      </c>
      <c r="S367">
        <v>0</v>
      </c>
      <c r="T367">
        <v>0</v>
      </c>
      <c r="U367">
        <v>0</v>
      </c>
      <c r="V367">
        <v>0</v>
      </c>
      <c r="W367">
        <v>0</v>
      </c>
      <c r="X367">
        <v>0</v>
      </c>
      <c r="Y367">
        <v>0</v>
      </c>
      <c r="Z367">
        <v>0</v>
      </c>
      <c r="AA367">
        <v>0</v>
      </c>
      <c r="AC367">
        <v>1</v>
      </c>
      <c r="AD367">
        <v>0</v>
      </c>
      <c r="AE367">
        <v>0</v>
      </c>
      <c r="AF367">
        <v>0</v>
      </c>
      <c r="AG367">
        <v>0</v>
      </c>
      <c r="AH367">
        <v>0</v>
      </c>
      <c r="AI367">
        <v>0</v>
      </c>
      <c r="AJ367">
        <v>0</v>
      </c>
      <c r="AK367">
        <v>0</v>
      </c>
      <c r="AX367" t="s">
        <v>110</v>
      </c>
      <c r="AY367" t="s">
        <v>261</v>
      </c>
      <c r="AZ367" t="s">
        <v>96</v>
      </c>
      <c r="BA367" t="s">
        <v>87</v>
      </c>
      <c r="BB367" t="s">
        <v>87</v>
      </c>
      <c r="BC367" t="s">
        <v>87</v>
      </c>
      <c r="BD367" t="s">
        <v>87</v>
      </c>
      <c r="BE367" t="s">
        <v>87</v>
      </c>
      <c r="BF367" t="s">
        <v>75</v>
      </c>
      <c r="BG367" t="s">
        <v>76</v>
      </c>
      <c r="BH367" t="s">
        <v>98</v>
      </c>
      <c r="BI367" t="s">
        <v>96</v>
      </c>
      <c r="BJ367" t="s">
        <v>212</v>
      </c>
      <c r="BK367">
        <v>1</v>
      </c>
      <c r="BL367">
        <v>0</v>
      </c>
      <c r="BM367">
        <v>0</v>
      </c>
      <c r="BN367">
        <v>0</v>
      </c>
      <c r="BO367">
        <v>0</v>
      </c>
      <c r="BP367">
        <v>0</v>
      </c>
      <c r="BQ367">
        <v>0</v>
      </c>
      <c r="BR367">
        <v>0</v>
      </c>
    </row>
    <row r="368" spans="1:72" x14ac:dyDescent="0.2">
      <c r="A368" s="1">
        <v>44579.938888888886</v>
      </c>
      <c r="B368" s="1">
        <v>44579.94027777778</v>
      </c>
      <c r="C368">
        <v>1</v>
      </c>
      <c r="D368">
        <v>0</v>
      </c>
      <c r="E368">
        <v>0</v>
      </c>
      <c r="F368">
        <v>0</v>
      </c>
      <c r="H368">
        <v>1</v>
      </c>
      <c r="I368">
        <v>0</v>
      </c>
      <c r="J368">
        <v>0</v>
      </c>
      <c r="K368">
        <v>0</v>
      </c>
      <c r="L368">
        <v>0</v>
      </c>
      <c r="P368">
        <v>1</v>
      </c>
      <c r="Q368">
        <v>0</v>
      </c>
      <c r="R368">
        <v>0</v>
      </c>
      <c r="S368">
        <v>0</v>
      </c>
      <c r="T368">
        <v>0</v>
      </c>
      <c r="U368">
        <v>0</v>
      </c>
      <c r="V368">
        <v>0</v>
      </c>
      <c r="W368">
        <v>0</v>
      </c>
      <c r="X368">
        <v>0</v>
      </c>
      <c r="Y368">
        <v>0</v>
      </c>
      <c r="Z368">
        <v>0</v>
      </c>
      <c r="AA368">
        <v>0</v>
      </c>
      <c r="AC368">
        <v>0</v>
      </c>
      <c r="AD368">
        <v>0</v>
      </c>
      <c r="AE368">
        <v>0</v>
      </c>
      <c r="AF368">
        <v>0</v>
      </c>
      <c r="AG368">
        <v>0</v>
      </c>
      <c r="AH368">
        <v>0</v>
      </c>
      <c r="AI368">
        <v>0</v>
      </c>
      <c r="AJ368">
        <v>0</v>
      </c>
      <c r="AK368">
        <v>1</v>
      </c>
      <c r="AL368" t="s">
        <v>262</v>
      </c>
      <c r="AX368" t="s">
        <v>110</v>
      </c>
      <c r="AY368" t="s">
        <v>263</v>
      </c>
      <c r="AZ368" t="s">
        <v>96</v>
      </c>
      <c r="BA368" t="s">
        <v>74</v>
      </c>
      <c r="BF368" t="s">
        <v>108</v>
      </c>
      <c r="BG368" t="s">
        <v>76</v>
      </c>
      <c r="BH368" t="s">
        <v>158</v>
      </c>
      <c r="BI368" t="s">
        <v>96</v>
      </c>
      <c r="BJ368" t="s">
        <v>114</v>
      </c>
      <c r="BK368">
        <v>1</v>
      </c>
      <c r="BL368">
        <v>0</v>
      </c>
      <c r="BM368">
        <v>0</v>
      </c>
      <c r="BN368">
        <v>0</v>
      </c>
      <c r="BO368">
        <v>0</v>
      </c>
      <c r="BP368">
        <v>0</v>
      </c>
      <c r="BQ368">
        <v>0</v>
      </c>
      <c r="BR368">
        <v>0</v>
      </c>
    </row>
    <row r="369" spans="1:70" x14ac:dyDescent="0.2">
      <c r="A369" s="1">
        <v>44579.897222222222</v>
      </c>
      <c r="B369" s="1">
        <v>44579.900694444441</v>
      </c>
      <c r="C369">
        <v>0</v>
      </c>
      <c r="D369">
        <v>1</v>
      </c>
      <c r="E369">
        <v>0</v>
      </c>
      <c r="F369">
        <v>0</v>
      </c>
      <c r="H369">
        <v>0</v>
      </c>
      <c r="I369">
        <v>1</v>
      </c>
      <c r="J369">
        <v>0</v>
      </c>
      <c r="K369">
        <v>1</v>
      </c>
      <c r="L369">
        <v>0</v>
      </c>
      <c r="N369" t="s">
        <v>135</v>
      </c>
      <c r="O369" t="s">
        <v>80</v>
      </c>
      <c r="P369">
        <v>0</v>
      </c>
      <c r="Q369">
        <v>0</v>
      </c>
      <c r="R369">
        <v>0</v>
      </c>
      <c r="S369">
        <v>1</v>
      </c>
      <c r="T369">
        <v>0</v>
      </c>
      <c r="U369">
        <v>0</v>
      </c>
      <c r="V369">
        <v>0</v>
      </c>
      <c r="W369">
        <v>0</v>
      </c>
      <c r="X369">
        <v>0</v>
      </c>
      <c r="Y369">
        <v>0</v>
      </c>
      <c r="Z369">
        <v>0</v>
      </c>
      <c r="AA369">
        <v>0</v>
      </c>
      <c r="AM369" t="s">
        <v>83</v>
      </c>
      <c r="AN369" t="s">
        <v>82</v>
      </c>
      <c r="AO369" t="s">
        <v>81</v>
      </c>
      <c r="AP369" t="s">
        <v>81</v>
      </c>
      <c r="AQ369" t="s">
        <v>83</v>
      </c>
      <c r="AR369" t="s">
        <v>83</v>
      </c>
      <c r="AS369" t="s">
        <v>90</v>
      </c>
      <c r="AT369" t="s">
        <v>81</v>
      </c>
      <c r="AU369" t="s">
        <v>88</v>
      </c>
      <c r="AV369" t="s">
        <v>89</v>
      </c>
      <c r="AW369" t="s">
        <v>100</v>
      </c>
      <c r="AZ369" t="s">
        <v>107</v>
      </c>
      <c r="BA369" t="s">
        <v>87</v>
      </c>
      <c r="BB369" t="s">
        <v>87</v>
      </c>
      <c r="BC369" t="s">
        <v>87</v>
      </c>
      <c r="BD369" t="s">
        <v>87</v>
      </c>
      <c r="BE369" t="s">
        <v>86</v>
      </c>
      <c r="BF369" t="s">
        <v>97</v>
      </c>
      <c r="BG369" t="s">
        <v>76</v>
      </c>
      <c r="BH369" t="s">
        <v>158</v>
      </c>
      <c r="BI369" t="s">
        <v>107</v>
      </c>
      <c r="BJ369" t="s">
        <v>114</v>
      </c>
      <c r="BK369">
        <v>1</v>
      </c>
      <c r="BL369">
        <v>0</v>
      </c>
      <c r="BM369">
        <v>0</v>
      </c>
      <c r="BN369">
        <v>0</v>
      </c>
      <c r="BO369">
        <v>0</v>
      </c>
      <c r="BP369">
        <v>0</v>
      </c>
      <c r="BQ369">
        <v>0</v>
      </c>
      <c r="BR369">
        <v>0</v>
      </c>
    </row>
    <row r="370" spans="1:70" x14ac:dyDescent="0.2">
      <c r="A370" s="1">
        <v>44579.915972222225</v>
      </c>
      <c r="B370" s="1">
        <v>44579.917361111111</v>
      </c>
      <c r="C370">
        <v>1</v>
      </c>
      <c r="D370">
        <v>0</v>
      </c>
      <c r="E370">
        <v>0</v>
      </c>
      <c r="F370">
        <v>0</v>
      </c>
      <c r="H370">
        <v>1</v>
      </c>
      <c r="I370">
        <v>0</v>
      </c>
      <c r="J370">
        <v>0</v>
      </c>
      <c r="K370">
        <v>0</v>
      </c>
      <c r="L370">
        <v>0</v>
      </c>
      <c r="P370">
        <v>1</v>
      </c>
      <c r="Q370">
        <v>0</v>
      </c>
      <c r="R370">
        <v>0</v>
      </c>
      <c r="S370">
        <v>0</v>
      </c>
      <c r="T370">
        <v>0</v>
      </c>
      <c r="U370">
        <v>0</v>
      </c>
      <c r="V370">
        <v>0</v>
      </c>
      <c r="W370">
        <v>0</v>
      </c>
      <c r="X370">
        <v>0</v>
      </c>
      <c r="Y370">
        <v>0</v>
      </c>
      <c r="Z370">
        <v>0</v>
      </c>
      <c r="AA370">
        <v>0</v>
      </c>
      <c r="AC370">
        <v>0</v>
      </c>
      <c r="AD370">
        <v>0</v>
      </c>
      <c r="AE370">
        <v>0</v>
      </c>
      <c r="AF370">
        <v>0</v>
      </c>
      <c r="AG370">
        <v>0</v>
      </c>
      <c r="AH370">
        <v>0</v>
      </c>
      <c r="AI370">
        <v>1</v>
      </c>
      <c r="AJ370">
        <v>0</v>
      </c>
      <c r="AK370">
        <v>0</v>
      </c>
      <c r="AX370" t="s">
        <v>110</v>
      </c>
      <c r="AY370" t="s">
        <v>264</v>
      </c>
      <c r="AZ370" t="s">
        <v>73</v>
      </c>
      <c r="BA370" t="s">
        <v>74</v>
      </c>
      <c r="BF370" t="s">
        <v>75</v>
      </c>
      <c r="BG370" t="s">
        <v>76</v>
      </c>
      <c r="BH370" t="s">
        <v>77</v>
      </c>
      <c r="BI370" t="s">
        <v>73</v>
      </c>
      <c r="BJ370" t="s">
        <v>147</v>
      </c>
      <c r="BK370">
        <v>1</v>
      </c>
      <c r="BL370">
        <v>0</v>
      </c>
      <c r="BM370">
        <v>0</v>
      </c>
      <c r="BN370">
        <v>0</v>
      </c>
      <c r="BO370">
        <v>0</v>
      </c>
      <c r="BP370">
        <v>0</v>
      </c>
      <c r="BQ370">
        <v>0</v>
      </c>
      <c r="BR370">
        <v>0</v>
      </c>
    </row>
    <row r="371" spans="1:70" x14ac:dyDescent="0.2">
      <c r="A371" s="1">
        <v>44585.512499999997</v>
      </c>
      <c r="B371" s="1">
        <v>44585.51458333333</v>
      </c>
      <c r="C371">
        <v>1</v>
      </c>
      <c r="D371">
        <v>0</v>
      </c>
      <c r="E371">
        <v>0</v>
      </c>
      <c r="F371">
        <v>0</v>
      </c>
      <c r="H371">
        <v>1</v>
      </c>
      <c r="I371">
        <v>0</v>
      </c>
      <c r="J371">
        <v>0</v>
      </c>
      <c r="K371">
        <v>0</v>
      </c>
      <c r="L371">
        <v>0</v>
      </c>
      <c r="P371">
        <v>0</v>
      </c>
      <c r="Q371">
        <v>0</v>
      </c>
      <c r="R371">
        <v>1</v>
      </c>
      <c r="S371">
        <v>0</v>
      </c>
      <c r="T371">
        <v>0</v>
      </c>
      <c r="U371">
        <v>0</v>
      </c>
      <c r="V371">
        <v>0</v>
      </c>
      <c r="W371">
        <v>0</v>
      </c>
      <c r="X371">
        <v>0</v>
      </c>
      <c r="Y371">
        <v>0</v>
      </c>
      <c r="Z371">
        <v>0</v>
      </c>
      <c r="AA371">
        <v>0</v>
      </c>
      <c r="AM371" t="s">
        <v>81</v>
      </c>
      <c r="AN371" t="s">
        <v>83</v>
      </c>
      <c r="AO371" t="s">
        <v>83</v>
      </c>
      <c r="AP371" t="s">
        <v>81</v>
      </c>
      <c r="AQ371" t="s">
        <v>82</v>
      </c>
      <c r="AR371" t="s">
        <v>82</v>
      </c>
      <c r="AS371" t="s">
        <v>82</v>
      </c>
      <c r="AT371" t="s">
        <v>81</v>
      </c>
      <c r="AU371" t="s">
        <v>88</v>
      </c>
      <c r="AV371" t="s">
        <v>89</v>
      </c>
      <c r="AW371" t="s">
        <v>85</v>
      </c>
      <c r="AZ371" t="s">
        <v>107</v>
      </c>
      <c r="BA371" t="s">
        <v>87</v>
      </c>
      <c r="BB371" t="s">
        <v>87</v>
      </c>
      <c r="BC371" t="s">
        <v>87</v>
      </c>
      <c r="BD371" t="s">
        <v>74</v>
      </c>
      <c r="BE371" t="s">
        <v>87</v>
      </c>
      <c r="BF371" t="s">
        <v>101</v>
      </c>
      <c r="BG371" t="s">
        <v>76</v>
      </c>
      <c r="BH371" t="s">
        <v>98</v>
      </c>
      <c r="BI371" t="s">
        <v>107</v>
      </c>
      <c r="BJ371" t="s">
        <v>78</v>
      </c>
      <c r="BK371">
        <v>1</v>
      </c>
      <c r="BL371">
        <v>0</v>
      </c>
      <c r="BM371">
        <v>0</v>
      </c>
      <c r="BN371">
        <v>0</v>
      </c>
      <c r="BO371">
        <v>0</v>
      </c>
      <c r="BP371">
        <v>0</v>
      </c>
      <c r="BQ371">
        <v>0</v>
      </c>
      <c r="BR371">
        <v>0</v>
      </c>
    </row>
    <row r="372" spans="1:70" x14ac:dyDescent="0.2">
      <c r="A372" s="1">
        <v>44585.775694444441</v>
      </c>
      <c r="B372" s="1">
        <v>44585.779166666667</v>
      </c>
      <c r="C372">
        <v>1</v>
      </c>
      <c r="D372">
        <v>0</v>
      </c>
      <c r="E372">
        <v>0</v>
      </c>
      <c r="F372">
        <v>0</v>
      </c>
      <c r="H372">
        <v>0</v>
      </c>
      <c r="I372">
        <v>1</v>
      </c>
      <c r="J372">
        <v>0</v>
      </c>
      <c r="K372">
        <v>0</v>
      </c>
      <c r="L372">
        <v>0</v>
      </c>
      <c r="N372" t="s">
        <v>79</v>
      </c>
      <c r="O372" t="s">
        <v>89</v>
      </c>
      <c r="P372">
        <v>0</v>
      </c>
      <c r="Q372">
        <v>0</v>
      </c>
      <c r="R372">
        <v>1</v>
      </c>
      <c r="S372">
        <v>0</v>
      </c>
      <c r="T372">
        <v>0</v>
      </c>
      <c r="U372">
        <v>0</v>
      </c>
      <c r="V372">
        <v>0</v>
      </c>
      <c r="W372">
        <v>0</v>
      </c>
      <c r="X372">
        <v>0</v>
      </c>
      <c r="Y372">
        <v>0</v>
      </c>
      <c r="Z372">
        <v>0</v>
      </c>
      <c r="AA372">
        <v>0</v>
      </c>
      <c r="AM372" t="s">
        <v>81</v>
      </c>
      <c r="AN372" t="s">
        <v>82</v>
      </c>
      <c r="AO372" t="s">
        <v>83</v>
      </c>
      <c r="AP372" t="s">
        <v>81</v>
      </c>
      <c r="AQ372" t="s">
        <v>82</v>
      </c>
      <c r="AR372" t="s">
        <v>82</v>
      </c>
      <c r="AS372" t="s">
        <v>82</v>
      </c>
      <c r="AT372" t="s">
        <v>82</v>
      </c>
      <c r="AU372" t="s">
        <v>88</v>
      </c>
      <c r="AV372" t="s">
        <v>89</v>
      </c>
      <c r="AW372" t="s">
        <v>85</v>
      </c>
      <c r="AZ372" t="s">
        <v>73</v>
      </c>
      <c r="BA372" t="s">
        <v>87</v>
      </c>
      <c r="BB372" t="s">
        <v>86</v>
      </c>
      <c r="BC372" t="s">
        <v>86</v>
      </c>
      <c r="BD372" t="s">
        <v>86</v>
      </c>
      <c r="BE372" t="s">
        <v>86</v>
      </c>
      <c r="BF372" t="s">
        <v>159</v>
      </c>
      <c r="BG372" t="s">
        <v>76</v>
      </c>
      <c r="BH372" t="s">
        <v>93</v>
      </c>
      <c r="BI372" t="s">
        <v>73</v>
      </c>
      <c r="BJ372" t="s">
        <v>78</v>
      </c>
      <c r="BK372">
        <v>1</v>
      </c>
      <c r="BL372">
        <v>0</v>
      </c>
      <c r="BM372">
        <v>0</v>
      </c>
      <c r="BN372">
        <v>0</v>
      </c>
      <c r="BO372">
        <v>0</v>
      </c>
      <c r="BP372">
        <v>0</v>
      </c>
      <c r="BQ372">
        <v>0</v>
      </c>
      <c r="BR372">
        <v>0</v>
      </c>
    </row>
    <row r="373" spans="1:70" x14ac:dyDescent="0.2">
      <c r="A373" s="1">
        <v>44579.890972222223</v>
      </c>
      <c r="B373" s="1">
        <v>44579.893055555556</v>
      </c>
      <c r="C373">
        <v>1</v>
      </c>
      <c r="D373">
        <v>0</v>
      </c>
      <c r="E373">
        <v>0</v>
      </c>
      <c r="F373">
        <v>0</v>
      </c>
      <c r="H373">
        <v>1</v>
      </c>
      <c r="I373">
        <v>0</v>
      </c>
      <c r="J373">
        <v>0</v>
      </c>
      <c r="K373">
        <v>0</v>
      </c>
      <c r="L373">
        <v>0</v>
      </c>
      <c r="P373">
        <v>0</v>
      </c>
      <c r="Q373">
        <v>0</v>
      </c>
      <c r="R373">
        <v>1</v>
      </c>
      <c r="S373">
        <v>0</v>
      </c>
      <c r="T373">
        <v>0</v>
      </c>
      <c r="U373">
        <v>0</v>
      </c>
      <c r="V373">
        <v>0</v>
      </c>
      <c r="W373">
        <v>0</v>
      </c>
      <c r="X373">
        <v>0</v>
      </c>
      <c r="Y373">
        <v>0</v>
      </c>
      <c r="Z373">
        <v>0</v>
      </c>
      <c r="AA373">
        <v>0</v>
      </c>
      <c r="AM373" t="s">
        <v>83</v>
      </c>
      <c r="AN373" t="s">
        <v>81</v>
      </c>
      <c r="AO373" t="s">
        <v>83</v>
      </c>
      <c r="AP373" t="s">
        <v>81</v>
      </c>
      <c r="AQ373" t="s">
        <v>83</v>
      </c>
      <c r="AR373" t="s">
        <v>83</v>
      </c>
      <c r="AS373" t="s">
        <v>83</v>
      </c>
      <c r="AT373" t="s">
        <v>83</v>
      </c>
      <c r="AU373" t="s">
        <v>84</v>
      </c>
      <c r="AV373" t="s">
        <v>80</v>
      </c>
      <c r="AW373" t="s">
        <v>117</v>
      </c>
      <c r="AX373" t="s">
        <v>259</v>
      </c>
      <c r="AZ373" t="s">
        <v>96</v>
      </c>
      <c r="BA373" t="s">
        <v>87</v>
      </c>
      <c r="BB373" t="s">
        <v>86</v>
      </c>
      <c r="BC373" t="s">
        <v>86</v>
      </c>
      <c r="BD373" t="s">
        <v>87</v>
      </c>
      <c r="BE373" t="s">
        <v>74</v>
      </c>
      <c r="BF373" t="s">
        <v>108</v>
      </c>
      <c r="BG373" t="s">
        <v>76</v>
      </c>
      <c r="BH373" t="s">
        <v>98</v>
      </c>
      <c r="BI373" t="s">
        <v>96</v>
      </c>
      <c r="BJ373" t="s">
        <v>109</v>
      </c>
      <c r="BK373">
        <v>1</v>
      </c>
      <c r="BL373">
        <v>0</v>
      </c>
      <c r="BM373">
        <v>0</v>
      </c>
      <c r="BN373">
        <v>0</v>
      </c>
      <c r="BO373">
        <v>0</v>
      </c>
      <c r="BP373">
        <v>0</v>
      </c>
      <c r="BQ373">
        <v>0</v>
      </c>
      <c r="BR373">
        <v>0</v>
      </c>
    </row>
    <row r="374" spans="1:70" x14ac:dyDescent="0.2">
      <c r="A374" s="1">
        <v>44579.888194444444</v>
      </c>
      <c r="B374" s="1">
        <v>44579.88958333333</v>
      </c>
      <c r="C374">
        <v>1</v>
      </c>
      <c r="D374">
        <v>0</v>
      </c>
      <c r="E374">
        <v>0</v>
      </c>
      <c r="F374">
        <v>0</v>
      </c>
      <c r="H374">
        <v>0</v>
      </c>
      <c r="I374">
        <v>1</v>
      </c>
      <c r="J374">
        <v>0</v>
      </c>
      <c r="K374">
        <v>0</v>
      </c>
      <c r="L374">
        <v>0</v>
      </c>
      <c r="N374" t="s">
        <v>135</v>
      </c>
      <c r="O374" t="s">
        <v>80</v>
      </c>
      <c r="P374">
        <v>1</v>
      </c>
      <c r="Q374">
        <v>0</v>
      </c>
      <c r="R374">
        <v>0</v>
      </c>
      <c r="S374">
        <v>0</v>
      </c>
      <c r="T374">
        <v>0</v>
      </c>
      <c r="U374">
        <v>0</v>
      </c>
      <c r="V374">
        <v>0</v>
      </c>
      <c r="W374">
        <v>0</v>
      </c>
      <c r="X374">
        <v>0</v>
      </c>
      <c r="Y374">
        <v>0</v>
      </c>
      <c r="Z374">
        <v>0</v>
      </c>
      <c r="AA374">
        <v>0</v>
      </c>
      <c r="AC374">
        <v>0</v>
      </c>
      <c r="AD374">
        <v>0</v>
      </c>
      <c r="AE374">
        <v>1</v>
      </c>
      <c r="AF374">
        <v>0</v>
      </c>
      <c r="AG374">
        <v>0</v>
      </c>
      <c r="AH374">
        <v>0</v>
      </c>
      <c r="AI374">
        <v>0</v>
      </c>
      <c r="AJ374">
        <v>0</v>
      </c>
      <c r="AK374">
        <v>0</v>
      </c>
      <c r="AZ374" t="s">
        <v>73</v>
      </c>
      <c r="BA374" t="s">
        <v>86</v>
      </c>
      <c r="BB374" t="s">
        <v>74</v>
      </c>
      <c r="BC374" t="s">
        <v>87</v>
      </c>
      <c r="BD374" t="s">
        <v>87</v>
      </c>
      <c r="BE374" t="s">
        <v>87</v>
      </c>
      <c r="BF374" t="s">
        <v>97</v>
      </c>
      <c r="BG374" t="s">
        <v>76</v>
      </c>
      <c r="BH374" t="s">
        <v>98</v>
      </c>
      <c r="BI374" t="s">
        <v>73</v>
      </c>
      <c r="BJ374" t="s">
        <v>78</v>
      </c>
      <c r="BK374">
        <v>1</v>
      </c>
      <c r="BL374">
        <v>1</v>
      </c>
      <c r="BM374">
        <v>0</v>
      </c>
      <c r="BN374">
        <v>0</v>
      </c>
      <c r="BO374">
        <v>0</v>
      </c>
      <c r="BP374">
        <v>0</v>
      </c>
      <c r="BQ374">
        <v>0</v>
      </c>
      <c r="BR374">
        <v>0</v>
      </c>
    </row>
    <row r="375" spans="1:70" x14ac:dyDescent="0.2">
      <c r="A375" s="1">
        <v>44580.618750000001</v>
      </c>
      <c r="B375" s="1">
        <v>44580.621527777781</v>
      </c>
      <c r="C375">
        <v>1</v>
      </c>
      <c r="D375">
        <v>0</v>
      </c>
      <c r="E375">
        <v>0</v>
      </c>
      <c r="F375">
        <v>0</v>
      </c>
      <c r="H375">
        <v>1</v>
      </c>
      <c r="I375">
        <v>0</v>
      </c>
      <c r="J375">
        <v>0</v>
      </c>
      <c r="K375">
        <v>0</v>
      </c>
      <c r="L375">
        <v>0</v>
      </c>
      <c r="P375">
        <v>0</v>
      </c>
      <c r="Q375">
        <v>1</v>
      </c>
      <c r="R375">
        <v>0</v>
      </c>
      <c r="S375">
        <v>0</v>
      </c>
      <c r="T375">
        <v>0</v>
      </c>
      <c r="U375">
        <v>0</v>
      </c>
      <c r="V375">
        <v>0</v>
      </c>
      <c r="W375">
        <v>0</v>
      </c>
      <c r="X375">
        <v>0</v>
      </c>
      <c r="Y375">
        <v>0</v>
      </c>
      <c r="Z375">
        <v>0</v>
      </c>
      <c r="AA375">
        <v>0</v>
      </c>
      <c r="AM375" t="s">
        <v>90</v>
      </c>
      <c r="AN375" t="s">
        <v>82</v>
      </c>
      <c r="AO375" t="s">
        <v>83</v>
      </c>
      <c r="AP375" t="s">
        <v>81</v>
      </c>
      <c r="AQ375" t="s">
        <v>81</v>
      </c>
      <c r="AR375" t="s">
        <v>83</v>
      </c>
      <c r="AS375" t="s">
        <v>83</v>
      </c>
      <c r="AT375" t="s">
        <v>83</v>
      </c>
      <c r="AU375" t="s">
        <v>88</v>
      </c>
      <c r="AV375" t="s">
        <v>89</v>
      </c>
      <c r="AW375" t="s">
        <v>100</v>
      </c>
      <c r="AZ375" t="s">
        <v>96</v>
      </c>
      <c r="BA375" t="s">
        <v>86</v>
      </c>
      <c r="BB375" t="s">
        <v>87</v>
      </c>
      <c r="BC375" t="s">
        <v>87</v>
      </c>
      <c r="BD375" t="s">
        <v>87</v>
      </c>
      <c r="BE375" t="s">
        <v>87</v>
      </c>
      <c r="BF375" t="s">
        <v>97</v>
      </c>
      <c r="BG375" t="s">
        <v>76</v>
      </c>
      <c r="BH375" t="s">
        <v>98</v>
      </c>
      <c r="BI375" t="s">
        <v>96</v>
      </c>
      <c r="BJ375" t="s">
        <v>114</v>
      </c>
      <c r="BK375">
        <v>1</v>
      </c>
      <c r="BL375">
        <v>0</v>
      </c>
      <c r="BM375">
        <v>0</v>
      </c>
      <c r="BN375">
        <v>0</v>
      </c>
      <c r="BO375">
        <v>0</v>
      </c>
      <c r="BP375">
        <v>0</v>
      </c>
      <c r="BQ375">
        <v>0</v>
      </c>
      <c r="BR375">
        <v>0</v>
      </c>
    </row>
    <row r="376" spans="1:70" x14ac:dyDescent="0.2">
      <c r="A376" s="1">
        <v>44586.994444444441</v>
      </c>
      <c r="B376" s="1">
        <v>44586.99722222222</v>
      </c>
      <c r="C376">
        <v>1</v>
      </c>
      <c r="D376">
        <v>0</v>
      </c>
      <c r="E376">
        <v>0</v>
      </c>
      <c r="F376">
        <v>0</v>
      </c>
      <c r="H376">
        <v>0</v>
      </c>
      <c r="I376">
        <v>1</v>
      </c>
      <c r="J376">
        <v>0</v>
      </c>
      <c r="K376">
        <v>0</v>
      </c>
      <c r="L376">
        <v>0</v>
      </c>
      <c r="N376" t="s">
        <v>79</v>
      </c>
      <c r="O376" t="s">
        <v>89</v>
      </c>
      <c r="P376">
        <v>0</v>
      </c>
      <c r="Q376">
        <v>0</v>
      </c>
      <c r="R376">
        <v>1</v>
      </c>
      <c r="S376">
        <v>0</v>
      </c>
      <c r="T376">
        <v>0</v>
      </c>
      <c r="U376">
        <v>0</v>
      </c>
      <c r="V376">
        <v>0</v>
      </c>
      <c r="W376">
        <v>0</v>
      </c>
      <c r="X376">
        <v>0</v>
      </c>
      <c r="Y376">
        <v>0</v>
      </c>
      <c r="Z376">
        <v>0</v>
      </c>
      <c r="AA376">
        <v>0</v>
      </c>
      <c r="AM376" t="s">
        <v>83</v>
      </c>
      <c r="AN376" t="s">
        <v>81</v>
      </c>
      <c r="AO376" t="s">
        <v>83</v>
      </c>
      <c r="AP376" t="s">
        <v>81</v>
      </c>
      <c r="AQ376" t="s">
        <v>82</v>
      </c>
      <c r="AR376" t="s">
        <v>81</v>
      </c>
      <c r="AS376" t="s">
        <v>83</v>
      </c>
      <c r="AT376" t="s">
        <v>83</v>
      </c>
      <c r="AU376" t="s">
        <v>84</v>
      </c>
      <c r="AV376" t="s">
        <v>89</v>
      </c>
      <c r="AW376" t="s">
        <v>85</v>
      </c>
      <c r="AX376" t="s">
        <v>175</v>
      </c>
      <c r="AZ376" t="s">
        <v>73</v>
      </c>
      <c r="BA376" t="s">
        <v>87</v>
      </c>
      <c r="BB376" t="s">
        <v>87</v>
      </c>
      <c r="BC376" t="s">
        <v>87</v>
      </c>
      <c r="BD376" t="s">
        <v>86</v>
      </c>
      <c r="BE376" t="s">
        <v>87</v>
      </c>
      <c r="BF376" t="s">
        <v>75</v>
      </c>
      <c r="BG376" t="s">
        <v>76</v>
      </c>
      <c r="BH376" t="s">
        <v>77</v>
      </c>
      <c r="BI376" t="s">
        <v>73</v>
      </c>
      <c r="BJ376" t="s">
        <v>114</v>
      </c>
      <c r="BK376">
        <v>1</v>
      </c>
      <c r="BL376">
        <v>0</v>
      </c>
      <c r="BM376">
        <v>0</v>
      </c>
      <c r="BN376">
        <v>0</v>
      </c>
      <c r="BO376">
        <v>0</v>
      </c>
      <c r="BP376">
        <v>0</v>
      </c>
      <c r="BQ376">
        <v>0</v>
      </c>
      <c r="BR376">
        <v>0</v>
      </c>
    </row>
    <row r="377" spans="1:70" x14ac:dyDescent="0.2">
      <c r="A377" s="1">
        <v>44588.934027777781</v>
      </c>
      <c r="B377" s="1">
        <v>44588.936111111114</v>
      </c>
      <c r="C377">
        <v>1</v>
      </c>
      <c r="D377">
        <v>0</v>
      </c>
      <c r="E377">
        <v>0</v>
      </c>
      <c r="F377">
        <v>0</v>
      </c>
      <c r="H377">
        <v>1</v>
      </c>
      <c r="I377">
        <v>0</v>
      </c>
      <c r="J377">
        <v>0</v>
      </c>
      <c r="K377">
        <v>0</v>
      </c>
      <c r="L377">
        <v>0</v>
      </c>
      <c r="P377">
        <v>0</v>
      </c>
      <c r="Q377">
        <v>1</v>
      </c>
      <c r="R377">
        <v>0</v>
      </c>
      <c r="S377">
        <v>1</v>
      </c>
      <c r="T377">
        <v>0</v>
      </c>
      <c r="U377">
        <v>0</v>
      </c>
      <c r="V377">
        <v>0</v>
      </c>
      <c r="W377">
        <v>0</v>
      </c>
      <c r="X377">
        <v>0</v>
      </c>
      <c r="Y377">
        <v>0</v>
      </c>
      <c r="Z377">
        <v>0</v>
      </c>
      <c r="AA377">
        <v>0</v>
      </c>
      <c r="AM377" t="s">
        <v>90</v>
      </c>
      <c r="AN377" t="s">
        <v>82</v>
      </c>
      <c r="AO377" t="s">
        <v>81</v>
      </c>
      <c r="AP377" t="s">
        <v>90</v>
      </c>
      <c r="AQ377" t="s">
        <v>90</v>
      </c>
      <c r="AR377" t="s">
        <v>90</v>
      </c>
      <c r="AS377" t="s">
        <v>82</v>
      </c>
      <c r="AT377" t="s">
        <v>90</v>
      </c>
      <c r="AU377" t="s">
        <v>88</v>
      </c>
      <c r="AV377" t="s">
        <v>89</v>
      </c>
      <c r="AW377" t="s">
        <v>85</v>
      </c>
      <c r="AZ377" t="s">
        <v>73</v>
      </c>
      <c r="BA377" t="s">
        <v>74</v>
      </c>
      <c r="BF377" t="s">
        <v>97</v>
      </c>
      <c r="BG377" t="s">
        <v>76</v>
      </c>
      <c r="BH377" t="s">
        <v>98</v>
      </c>
      <c r="BI377" t="s">
        <v>73</v>
      </c>
      <c r="BJ377" t="s">
        <v>78</v>
      </c>
      <c r="BK377">
        <v>1</v>
      </c>
      <c r="BL377">
        <v>0</v>
      </c>
      <c r="BM377">
        <v>0</v>
      </c>
      <c r="BN377">
        <v>0</v>
      </c>
      <c r="BO377">
        <v>0</v>
      </c>
      <c r="BP377">
        <v>0</v>
      </c>
      <c r="BQ377">
        <v>0</v>
      </c>
      <c r="BR377">
        <v>0</v>
      </c>
    </row>
    <row r="378" spans="1:70" x14ac:dyDescent="0.2">
      <c r="A378" s="1">
        <v>44580.053472222222</v>
      </c>
      <c r="B378" s="1">
        <v>44580.056944444441</v>
      </c>
      <c r="C378">
        <v>1</v>
      </c>
      <c r="D378">
        <v>0</v>
      </c>
      <c r="E378">
        <v>0</v>
      </c>
      <c r="F378">
        <v>0</v>
      </c>
      <c r="H378">
        <v>1</v>
      </c>
      <c r="I378">
        <v>0</v>
      </c>
      <c r="J378">
        <v>0</v>
      </c>
      <c r="K378">
        <v>0</v>
      </c>
      <c r="L378">
        <v>0</v>
      </c>
      <c r="P378">
        <v>0</v>
      </c>
      <c r="Q378">
        <v>0</v>
      </c>
      <c r="R378">
        <v>1</v>
      </c>
      <c r="S378">
        <v>0</v>
      </c>
      <c r="T378">
        <v>0</v>
      </c>
      <c r="U378">
        <v>0</v>
      </c>
      <c r="V378">
        <v>0</v>
      </c>
      <c r="W378">
        <v>0</v>
      </c>
      <c r="X378">
        <v>0</v>
      </c>
      <c r="Y378">
        <v>0</v>
      </c>
      <c r="Z378">
        <v>0</v>
      </c>
      <c r="AA378">
        <v>0</v>
      </c>
      <c r="AM378" t="s">
        <v>83</v>
      </c>
      <c r="AN378" t="s">
        <v>83</v>
      </c>
      <c r="AO378" t="s">
        <v>83</v>
      </c>
      <c r="AP378" t="s">
        <v>81</v>
      </c>
      <c r="AQ378" t="s">
        <v>83</v>
      </c>
      <c r="AR378" t="s">
        <v>83</v>
      </c>
      <c r="AS378" t="s">
        <v>83</v>
      </c>
      <c r="AT378" t="s">
        <v>83</v>
      </c>
      <c r="AU378" t="s">
        <v>135</v>
      </c>
      <c r="AV378" t="s">
        <v>80</v>
      </c>
      <c r="AW378" t="s">
        <v>117</v>
      </c>
      <c r="AX378" t="s">
        <v>119</v>
      </c>
      <c r="AZ378" t="s">
        <v>73</v>
      </c>
      <c r="BA378" t="s">
        <v>74</v>
      </c>
      <c r="BF378" t="s">
        <v>113</v>
      </c>
      <c r="BG378" t="s">
        <v>76</v>
      </c>
      <c r="BH378" t="s">
        <v>77</v>
      </c>
      <c r="BI378" t="s">
        <v>73</v>
      </c>
      <c r="BJ378" t="s">
        <v>78</v>
      </c>
      <c r="BK378">
        <v>1</v>
      </c>
      <c r="BL378">
        <v>0</v>
      </c>
      <c r="BM378">
        <v>0</v>
      </c>
      <c r="BN378">
        <v>0</v>
      </c>
      <c r="BO378">
        <v>0</v>
      </c>
      <c r="BP378">
        <v>0</v>
      </c>
      <c r="BQ378">
        <v>0</v>
      </c>
      <c r="BR378">
        <v>0</v>
      </c>
    </row>
    <row r="379" spans="1:70" x14ac:dyDescent="0.2">
      <c r="A379" s="1">
        <v>44585.509027777778</v>
      </c>
      <c r="B379" s="1">
        <v>44585.511111111111</v>
      </c>
      <c r="C379">
        <v>1</v>
      </c>
      <c r="D379">
        <v>0</v>
      </c>
      <c r="E379">
        <v>0</v>
      </c>
      <c r="F379">
        <v>0</v>
      </c>
      <c r="H379">
        <v>0</v>
      </c>
      <c r="I379">
        <v>1</v>
      </c>
      <c r="J379">
        <v>0</v>
      </c>
      <c r="K379">
        <v>0</v>
      </c>
      <c r="L379">
        <v>0</v>
      </c>
      <c r="N379" t="s">
        <v>88</v>
      </c>
      <c r="O379" t="s">
        <v>80</v>
      </c>
      <c r="P379">
        <v>0</v>
      </c>
      <c r="Q379">
        <v>0</v>
      </c>
      <c r="R379">
        <v>1</v>
      </c>
      <c r="S379">
        <v>0</v>
      </c>
      <c r="T379">
        <v>0</v>
      </c>
      <c r="U379">
        <v>0</v>
      </c>
      <c r="V379">
        <v>0</v>
      </c>
      <c r="W379">
        <v>0</v>
      </c>
      <c r="X379">
        <v>0</v>
      </c>
      <c r="Y379">
        <v>0</v>
      </c>
      <c r="Z379">
        <v>0</v>
      </c>
      <c r="AA379">
        <v>0</v>
      </c>
      <c r="AM379" t="s">
        <v>83</v>
      </c>
      <c r="AN379" t="s">
        <v>82</v>
      </c>
      <c r="AO379" t="s">
        <v>81</v>
      </c>
      <c r="AP379" t="s">
        <v>82</v>
      </c>
      <c r="AQ379" t="s">
        <v>83</v>
      </c>
      <c r="AR379" t="s">
        <v>83</v>
      </c>
      <c r="AS379" t="s">
        <v>81</v>
      </c>
      <c r="AT379" t="s">
        <v>83</v>
      </c>
      <c r="AU379" t="s">
        <v>88</v>
      </c>
      <c r="AV379" t="s">
        <v>89</v>
      </c>
      <c r="AW379" t="s">
        <v>85</v>
      </c>
      <c r="AZ379" t="s">
        <v>96</v>
      </c>
      <c r="BA379" t="s">
        <v>87</v>
      </c>
      <c r="BB379" t="s">
        <v>87</v>
      </c>
      <c r="BC379" t="s">
        <v>87</v>
      </c>
      <c r="BD379" t="s">
        <v>74</v>
      </c>
      <c r="BE379" t="s">
        <v>87</v>
      </c>
      <c r="BF379" t="s">
        <v>101</v>
      </c>
      <c r="BG379" t="s">
        <v>76</v>
      </c>
      <c r="BH379" t="s">
        <v>77</v>
      </c>
      <c r="BI379" t="s">
        <v>96</v>
      </c>
      <c r="BJ379" t="s">
        <v>99</v>
      </c>
      <c r="BK379">
        <v>1</v>
      </c>
      <c r="BL379">
        <v>0</v>
      </c>
      <c r="BM379">
        <v>0</v>
      </c>
      <c r="BN379">
        <v>0</v>
      </c>
      <c r="BO379">
        <v>0</v>
      </c>
      <c r="BP379">
        <v>0</v>
      </c>
      <c r="BQ379">
        <v>0</v>
      </c>
      <c r="BR379">
        <v>0</v>
      </c>
    </row>
    <row r="380" spans="1:70" x14ac:dyDescent="0.2">
      <c r="A380" s="1">
        <v>44579.87777777778</v>
      </c>
      <c r="B380" s="1">
        <v>44579.879861111112</v>
      </c>
      <c r="C380">
        <v>1</v>
      </c>
      <c r="D380">
        <v>0</v>
      </c>
      <c r="E380">
        <v>0</v>
      </c>
      <c r="F380">
        <v>0</v>
      </c>
      <c r="H380">
        <v>0</v>
      </c>
      <c r="I380">
        <v>0</v>
      </c>
      <c r="J380">
        <v>0</v>
      </c>
      <c r="K380">
        <v>1</v>
      </c>
      <c r="L380">
        <v>0</v>
      </c>
      <c r="N380" t="s">
        <v>135</v>
      </c>
      <c r="O380" t="s">
        <v>80</v>
      </c>
      <c r="P380">
        <v>0</v>
      </c>
      <c r="Q380">
        <v>1</v>
      </c>
      <c r="R380">
        <v>0</v>
      </c>
      <c r="S380">
        <v>0</v>
      </c>
      <c r="T380">
        <v>0</v>
      </c>
      <c r="U380">
        <v>0</v>
      </c>
      <c r="V380">
        <v>0</v>
      </c>
      <c r="W380">
        <v>0</v>
      </c>
      <c r="X380">
        <v>0</v>
      </c>
      <c r="Y380">
        <v>0</v>
      </c>
      <c r="Z380">
        <v>0</v>
      </c>
      <c r="AA380">
        <v>0</v>
      </c>
      <c r="AM380" t="s">
        <v>90</v>
      </c>
      <c r="AN380" t="s">
        <v>81</v>
      </c>
      <c r="AO380" t="s">
        <v>82</v>
      </c>
      <c r="AP380" t="s">
        <v>83</v>
      </c>
      <c r="AQ380" t="s">
        <v>83</v>
      </c>
      <c r="AR380" t="s">
        <v>83</v>
      </c>
      <c r="AS380" t="s">
        <v>83</v>
      </c>
      <c r="AT380" t="s">
        <v>83</v>
      </c>
      <c r="AU380" t="s">
        <v>88</v>
      </c>
      <c r="AV380" t="s">
        <v>89</v>
      </c>
      <c r="AW380" t="s">
        <v>100</v>
      </c>
      <c r="AX380" t="s">
        <v>118</v>
      </c>
      <c r="AZ380" t="s">
        <v>73</v>
      </c>
      <c r="BA380" t="s">
        <v>87</v>
      </c>
      <c r="BB380" t="s">
        <v>87</v>
      </c>
      <c r="BC380" t="s">
        <v>87</v>
      </c>
      <c r="BD380" t="s">
        <v>87</v>
      </c>
      <c r="BE380" t="s">
        <v>87</v>
      </c>
      <c r="BF380" t="s">
        <v>75</v>
      </c>
      <c r="BG380" t="s">
        <v>76</v>
      </c>
      <c r="BH380" t="s">
        <v>77</v>
      </c>
      <c r="BI380" t="s">
        <v>73</v>
      </c>
      <c r="BJ380" t="s">
        <v>78</v>
      </c>
      <c r="BK380">
        <v>1</v>
      </c>
      <c r="BL380">
        <v>0</v>
      </c>
      <c r="BM380">
        <v>0</v>
      </c>
      <c r="BN380">
        <v>0</v>
      </c>
      <c r="BO380">
        <v>0</v>
      </c>
      <c r="BP380">
        <v>0</v>
      </c>
      <c r="BQ380">
        <v>0</v>
      </c>
      <c r="BR380">
        <v>0</v>
      </c>
    </row>
    <row r="381" spans="1:70" x14ac:dyDescent="0.2">
      <c r="A381" s="1">
        <v>44579.808333333334</v>
      </c>
      <c r="B381" s="1">
        <v>44579.809027777781</v>
      </c>
      <c r="C381">
        <v>0</v>
      </c>
      <c r="D381">
        <v>1</v>
      </c>
      <c r="E381">
        <v>0</v>
      </c>
      <c r="F381">
        <v>0</v>
      </c>
      <c r="H381">
        <v>1</v>
      </c>
      <c r="I381">
        <v>0</v>
      </c>
      <c r="J381">
        <v>0</v>
      </c>
      <c r="K381">
        <v>0</v>
      </c>
      <c r="L381">
        <v>0</v>
      </c>
      <c r="P381">
        <v>1</v>
      </c>
      <c r="Q381">
        <v>0</v>
      </c>
      <c r="R381">
        <v>0</v>
      </c>
      <c r="S381">
        <v>0</v>
      </c>
      <c r="T381">
        <v>0</v>
      </c>
      <c r="U381">
        <v>0</v>
      </c>
      <c r="V381">
        <v>0</v>
      </c>
      <c r="W381">
        <v>0</v>
      </c>
      <c r="X381">
        <v>0</v>
      </c>
      <c r="Y381">
        <v>0</v>
      </c>
      <c r="Z381">
        <v>0</v>
      </c>
      <c r="AA381">
        <v>0</v>
      </c>
      <c r="AC381">
        <v>1</v>
      </c>
      <c r="AD381">
        <v>0</v>
      </c>
      <c r="AE381">
        <v>0</v>
      </c>
      <c r="AF381">
        <v>0</v>
      </c>
      <c r="AG381">
        <v>0</v>
      </c>
      <c r="AH381">
        <v>0</v>
      </c>
      <c r="AI381">
        <v>0</v>
      </c>
      <c r="AJ381">
        <v>0</v>
      </c>
      <c r="AK381">
        <v>0</v>
      </c>
      <c r="AZ381" t="s">
        <v>73</v>
      </c>
      <c r="BA381" t="s">
        <v>86</v>
      </c>
      <c r="BB381" t="s">
        <v>87</v>
      </c>
      <c r="BC381" t="s">
        <v>87</v>
      </c>
      <c r="BD381" t="s">
        <v>87</v>
      </c>
      <c r="BE381" t="s">
        <v>87</v>
      </c>
      <c r="BF381" t="s">
        <v>97</v>
      </c>
      <c r="BG381" t="s">
        <v>76</v>
      </c>
      <c r="BH381" t="s">
        <v>98</v>
      </c>
      <c r="BI381" t="s">
        <v>73</v>
      </c>
      <c r="BJ381" t="s">
        <v>114</v>
      </c>
      <c r="BK381">
        <v>1</v>
      </c>
      <c r="BL381">
        <v>0</v>
      </c>
      <c r="BM381">
        <v>0</v>
      </c>
      <c r="BN381">
        <v>0</v>
      </c>
      <c r="BO381">
        <v>0</v>
      </c>
      <c r="BP381">
        <v>0</v>
      </c>
      <c r="BQ381">
        <v>0</v>
      </c>
      <c r="BR381">
        <v>0</v>
      </c>
    </row>
    <row r="382" spans="1:70" x14ac:dyDescent="0.2">
      <c r="A382" s="1">
        <v>44579.920138888891</v>
      </c>
      <c r="B382" s="1">
        <v>44579.925694444442</v>
      </c>
      <c r="C382">
        <v>0</v>
      </c>
      <c r="D382">
        <v>1</v>
      </c>
      <c r="E382">
        <v>0</v>
      </c>
      <c r="F382">
        <v>0</v>
      </c>
      <c r="H382">
        <v>0</v>
      </c>
      <c r="I382">
        <v>1</v>
      </c>
      <c r="J382">
        <v>0</v>
      </c>
      <c r="K382">
        <v>0</v>
      </c>
      <c r="L382">
        <v>0</v>
      </c>
      <c r="N382" t="s">
        <v>135</v>
      </c>
      <c r="O382" t="s">
        <v>127</v>
      </c>
      <c r="P382">
        <v>0</v>
      </c>
      <c r="Q382">
        <v>1</v>
      </c>
      <c r="R382">
        <v>0</v>
      </c>
      <c r="S382">
        <v>0</v>
      </c>
      <c r="T382">
        <v>0</v>
      </c>
      <c r="U382">
        <v>0</v>
      </c>
      <c r="V382">
        <v>0</v>
      </c>
      <c r="W382">
        <v>0</v>
      </c>
      <c r="X382">
        <v>0</v>
      </c>
      <c r="Y382">
        <v>0</v>
      </c>
      <c r="Z382">
        <v>0</v>
      </c>
      <c r="AA382">
        <v>0</v>
      </c>
      <c r="AM382" t="s">
        <v>90</v>
      </c>
      <c r="AN382" t="s">
        <v>82</v>
      </c>
      <c r="AO382" t="s">
        <v>90</v>
      </c>
      <c r="AP382" t="s">
        <v>82</v>
      </c>
      <c r="AQ382" t="s">
        <v>90</v>
      </c>
      <c r="AR382" t="s">
        <v>90</v>
      </c>
      <c r="AS382" t="s">
        <v>90</v>
      </c>
      <c r="AT382" t="s">
        <v>83</v>
      </c>
      <c r="AU382" t="s">
        <v>84</v>
      </c>
      <c r="AV382" t="s">
        <v>127</v>
      </c>
      <c r="AW382" t="s">
        <v>153</v>
      </c>
      <c r="AZ382" t="s">
        <v>96</v>
      </c>
      <c r="BA382" t="s">
        <v>86</v>
      </c>
      <c r="BB382" t="s">
        <v>74</v>
      </c>
      <c r="BC382" t="s">
        <v>87</v>
      </c>
      <c r="BD382" t="s">
        <v>74</v>
      </c>
      <c r="BE382" t="s">
        <v>74</v>
      </c>
      <c r="BF382" t="s">
        <v>97</v>
      </c>
      <c r="BG382" t="s">
        <v>76</v>
      </c>
      <c r="BH382" t="s">
        <v>98</v>
      </c>
      <c r="BI382" t="s">
        <v>96</v>
      </c>
      <c r="BJ382" t="s">
        <v>176</v>
      </c>
      <c r="BK382">
        <v>1</v>
      </c>
      <c r="BL382">
        <v>0</v>
      </c>
      <c r="BM382">
        <v>0</v>
      </c>
      <c r="BN382">
        <v>0</v>
      </c>
      <c r="BO382">
        <v>0</v>
      </c>
      <c r="BP382">
        <v>0</v>
      </c>
      <c r="BQ382">
        <v>0</v>
      </c>
      <c r="BR382">
        <v>0</v>
      </c>
    </row>
    <row r="383" spans="1:70" x14ac:dyDescent="0.2">
      <c r="A383" s="1">
        <v>44580.36041666667</v>
      </c>
      <c r="B383" s="1">
        <v>44580.364583333336</v>
      </c>
      <c r="C383">
        <v>1</v>
      </c>
      <c r="D383">
        <v>0</v>
      </c>
      <c r="E383">
        <v>0</v>
      </c>
      <c r="F383">
        <v>0</v>
      </c>
      <c r="H383">
        <v>0</v>
      </c>
      <c r="I383">
        <v>1</v>
      </c>
      <c r="J383">
        <v>0</v>
      </c>
      <c r="K383">
        <v>0</v>
      </c>
      <c r="L383">
        <v>0</v>
      </c>
      <c r="N383" t="s">
        <v>79</v>
      </c>
      <c r="O383" t="s">
        <v>142</v>
      </c>
      <c r="P383">
        <v>0</v>
      </c>
      <c r="Q383">
        <v>1</v>
      </c>
      <c r="R383">
        <v>0</v>
      </c>
      <c r="S383">
        <v>0</v>
      </c>
      <c r="T383">
        <v>0</v>
      </c>
      <c r="U383">
        <v>0</v>
      </c>
      <c r="V383">
        <v>0</v>
      </c>
      <c r="W383">
        <v>0</v>
      </c>
      <c r="X383">
        <v>0</v>
      </c>
      <c r="Y383">
        <v>0</v>
      </c>
      <c r="Z383">
        <v>0</v>
      </c>
      <c r="AA383">
        <v>0</v>
      </c>
      <c r="AM383" t="s">
        <v>81</v>
      </c>
      <c r="AN383" t="s">
        <v>82</v>
      </c>
      <c r="AO383" t="s">
        <v>83</v>
      </c>
      <c r="AP383" t="s">
        <v>81</v>
      </c>
      <c r="AQ383" t="s">
        <v>82</v>
      </c>
      <c r="AR383" t="s">
        <v>82</v>
      </c>
      <c r="AS383" t="s">
        <v>82</v>
      </c>
      <c r="AT383" t="s">
        <v>83</v>
      </c>
      <c r="AU383" t="s">
        <v>88</v>
      </c>
      <c r="AV383" t="s">
        <v>142</v>
      </c>
      <c r="AW383" t="s">
        <v>100</v>
      </c>
      <c r="AZ383" t="s">
        <v>120</v>
      </c>
      <c r="BA383" t="s">
        <v>87</v>
      </c>
      <c r="BB383" t="s">
        <v>74</v>
      </c>
      <c r="BC383" t="s">
        <v>87</v>
      </c>
      <c r="BD383" t="s">
        <v>74</v>
      </c>
      <c r="BE383" t="s">
        <v>74</v>
      </c>
      <c r="BF383" t="s">
        <v>159</v>
      </c>
      <c r="BG383" t="s">
        <v>76</v>
      </c>
      <c r="BH383" t="s">
        <v>77</v>
      </c>
      <c r="BI383" t="s">
        <v>120</v>
      </c>
      <c r="BJ383" t="s">
        <v>165</v>
      </c>
      <c r="BK383">
        <v>1</v>
      </c>
      <c r="BL383">
        <v>0</v>
      </c>
      <c r="BM383">
        <v>0</v>
      </c>
      <c r="BN383">
        <v>0</v>
      </c>
      <c r="BO383">
        <v>0</v>
      </c>
      <c r="BP383">
        <v>0</v>
      </c>
      <c r="BQ383">
        <v>0</v>
      </c>
      <c r="BR383">
        <v>0</v>
      </c>
    </row>
    <row r="384" spans="1:70" x14ac:dyDescent="0.2">
      <c r="A384" s="1">
        <v>44588.98541666667</v>
      </c>
      <c r="B384" s="1">
        <v>44588.989583333336</v>
      </c>
      <c r="C384">
        <v>1</v>
      </c>
      <c r="D384">
        <v>0</v>
      </c>
      <c r="E384">
        <v>0</v>
      </c>
      <c r="F384">
        <v>0</v>
      </c>
      <c r="H384">
        <v>0</v>
      </c>
      <c r="I384">
        <v>1</v>
      </c>
      <c r="J384">
        <v>0</v>
      </c>
      <c r="K384">
        <v>0</v>
      </c>
      <c r="L384">
        <v>0</v>
      </c>
      <c r="N384" t="s">
        <v>79</v>
      </c>
      <c r="O384" t="s">
        <v>80</v>
      </c>
      <c r="P384">
        <v>0</v>
      </c>
      <c r="Q384">
        <v>1</v>
      </c>
      <c r="R384">
        <v>0</v>
      </c>
      <c r="S384">
        <v>0</v>
      </c>
      <c r="T384">
        <v>0</v>
      </c>
      <c r="U384">
        <v>0</v>
      </c>
      <c r="V384">
        <v>0</v>
      </c>
      <c r="W384">
        <v>0</v>
      </c>
      <c r="X384">
        <v>0</v>
      </c>
      <c r="Y384">
        <v>0</v>
      </c>
      <c r="Z384">
        <v>0</v>
      </c>
      <c r="AA384">
        <v>0</v>
      </c>
      <c r="AM384" t="s">
        <v>90</v>
      </c>
      <c r="AN384" t="s">
        <v>82</v>
      </c>
      <c r="AO384" t="s">
        <v>82</v>
      </c>
      <c r="AP384" t="s">
        <v>82</v>
      </c>
      <c r="AQ384" t="s">
        <v>81</v>
      </c>
      <c r="AR384" t="s">
        <v>83</v>
      </c>
      <c r="AS384" t="s">
        <v>90</v>
      </c>
      <c r="AT384" t="s">
        <v>83</v>
      </c>
      <c r="AU384" t="s">
        <v>84</v>
      </c>
      <c r="AV384" t="s">
        <v>80</v>
      </c>
      <c r="AW384" t="s">
        <v>117</v>
      </c>
      <c r="AX384" t="s">
        <v>199</v>
      </c>
      <c r="AZ384" t="s">
        <v>107</v>
      </c>
      <c r="BA384" t="s">
        <v>87</v>
      </c>
      <c r="BB384" t="s">
        <v>87</v>
      </c>
      <c r="BC384" t="s">
        <v>87</v>
      </c>
      <c r="BD384" t="s">
        <v>87</v>
      </c>
      <c r="BE384" t="s">
        <v>87</v>
      </c>
      <c r="BF384" t="s">
        <v>75</v>
      </c>
      <c r="BG384" t="s">
        <v>76</v>
      </c>
      <c r="BH384" t="s">
        <v>77</v>
      </c>
      <c r="BI384" t="s">
        <v>107</v>
      </c>
      <c r="BJ384" t="s">
        <v>78</v>
      </c>
      <c r="BK384">
        <v>1</v>
      </c>
      <c r="BL384">
        <v>0</v>
      </c>
      <c r="BM384">
        <v>0</v>
      </c>
      <c r="BN384">
        <v>0</v>
      </c>
      <c r="BO384">
        <v>0</v>
      </c>
      <c r="BP384">
        <v>0</v>
      </c>
      <c r="BQ384">
        <v>0</v>
      </c>
      <c r="BR384">
        <v>0</v>
      </c>
    </row>
    <row r="385" spans="1:71" x14ac:dyDescent="0.2">
      <c r="A385" s="1">
        <v>44579.930555555555</v>
      </c>
      <c r="B385" s="1">
        <v>44579.935416666667</v>
      </c>
      <c r="C385">
        <v>1</v>
      </c>
      <c r="D385">
        <v>0</v>
      </c>
      <c r="E385">
        <v>0</v>
      </c>
      <c r="F385">
        <v>0</v>
      </c>
      <c r="H385">
        <v>1</v>
      </c>
      <c r="I385">
        <v>0</v>
      </c>
      <c r="J385">
        <v>0</v>
      </c>
      <c r="K385">
        <v>0</v>
      </c>
      <c r="L385">
        <v>0</v>
      </c>
      <c r="P385">
        <v>0</v>
      </c>
      <c r="Q385">
        <v>1</v>
      </c>
      <c r="R385">
        <v>0</v>
      </c>
      <c r="S385">
        <v>0</v>
      </c>
      <c r="T385">
        <v>0</v>
      </c>
      <c r="U385">
        <v>0</v>
      </c>
      <c r="V385">
        <v>0</v>
      </c>
      <c r="W385">
        <v>0</v>
      </c>
      <c r="X385">
        <v>0</v>
      </c>
      <c r="Y385">
        <v>0</v>
      </c>
      <c r="Z385">
        <v>0</v>
      </c>
      <c r="AA385">
        <v>0</v>
      </c>
      <c r="AM385" t="s">
        <v>90</v>
      </c>
      <c r="AN385" t="s">
        <v>82</v>
      </c>
      <c r="AO385" t="s">
        <v>82</v>
      </c>
      <c r="AP385" t="s">
        <v>82</v>
      </c>
      <c r="AQ385" t="s">
        <v>83</v>
      </c>
      <c r="AR385" t="s">
        <v>90</v>
      </c>
      <c r="AS385" t="s">
        <v>90</v>
      </c>
      <c r="AT385" t="s">
        <v>83</v>
      </c>
      <c r="AU385" t="s">
        <v>88</v>
      </c>
      <c r="AV385" t="s">
        <v>89</v>
      </c>
      <c r="AW385" t="s">
        <v>100</v>
      </c>
      <c r="AX385" t="s">
        <v>110</v>
      </c>
      <c r="AY385" t="s">
        <v>265</v>
      </c>
      <c r="AZ385" t="s">
        <v>107</v>
      </c>
      <c r="BA385" t="s">
        <v>86</v>
      </c>
      <c r="BB385" t="s">
        <v>86</v>
      </c>
      <c r="BC385" t="s">
        <v>86</v>
      </c>
      <c r="BD385" t="s">
        <v>86</v>
      </c>
      <c r="BE385" t="s">
        <v>74</v>
      </c>
      <c r="BF385" t="s">
        <v>75</v>
      </c>
      <c r="BG385" t="s">
        <v>76</v>
      </c>
      <c r="BH385" t="s">
        <v>98</v>
      </c>
      <c r="BI385" t="s">
        <v>107</v>
      </c>
      <c r="BJ385" t="s">
        <v>78</v>
      </c>
      <c r="BK385">
        <v>1</v>
      </c>
      <c r="BL385">
        <v>0</v>
      </c>
      <c r="BM385">
        <v>0</v>
      </c>
      <c r="BN385">
        <v>0</v>
      </c>
      <c r="BO385">
        <v>0</v>
      </c>
      <c r="BP385">
        <v>0</v>
      </c>
      <c r="BQ385">
        <v>0</v>
      </c>
      <c r="BR385">
        <v>0</v>
      </c>
    </row>
    <row r="386" spans="1:71" x14ac:dyDescent="0.2">
      <c r="A386" s="1">
        <v>44585.863194444442</v>
      </c>
      <c r="B386" s="1">
        <v>44585.865277777775</v>
      </c>
      <c r="C386">
        <v>0</v>
      </c>
      <c r="D386">
        <v>1</v>
      </c>
      <c r="E386">
        <v>0</v>
      </c>
      <c r="F386">
        <v>0</v>
      </c>
      <c r="H386">
        <v>0</v>
      </c>
      <c r="I386">
        <v>1</v>
      </c>
      <c r="J386">
        <v>1</v>
      </c>
      <c r="K386">
        <v>0</v>
      </c>
      <c r="L386">
        <v>0</v>
      </c>
      <c r="N386" t="s">
        <v>79</v>
      </c>
      <c r="O386" t="s">
        <v>80</v>
      </c>
      <c r="P386">
        <v>0</v>
      </c>
      <c r="Q386">
        <v>1</v>
      </c>
      <c r="R386">
        <v>0</v>
      </c>
      <c r="S386">
        <v>0</v>
      </c>
      <c r="T386">
        <v>0</v>
      </c>
      <c r="U386">
        <v>0</v>
      </c>
      <c r="V386">
        <v>0</v>
      </c>
      <c r="W386">
        <v>0</v>
      </c>
      <c r="X386">
        <v>0</v>
      </c>
      <c r="Y386">
        <v>0</v>
      </c>
      <c r="Z386">
        <v>0</v>
      </c>
      <c r="AA386">
        <v>0</v>
      </c>
      <c r="AM386" t="s">
        <v>83</v>
      </c>
      <c r="AN386" t="s">
        <v>81</v>
      </c>
      <c r="AO386" t="s">
        <v>90</v>
      </c>
      <c r="AP386" t="s">
        <v>81</v>
      </c>
      <c r="AQ386" t="s">
        <v>82</v>
      </c>
      <c r="AR386" t="s">
        <v>90</v>
      </c>
      <c r="AS386" t="s">
        <v>90</v>
      </c>
      <c r="AT386" t="s">
        <v>83</v>
      </c>
      <c r="AU386" t="s">
        <v>84</v>
      </c>
      <c r="AV386" t="s">
        <v>80</v>
      </c>
      <c r="AW386" t="s">
        <v>117</v>
      </c>
      <c r="AZ386" t="s">
        <v>96</v>
      </c>
      <c r="BA386" t="s">
        <v>87</v>
      </c>
      <c r="BB386" t="s">
        <v>87</v>
      </c>
      <c r="BC386" t="s">
        <v>86</v>
      </c>
      <c r="BD386" t="s">
        <v>74</v>
      </c>
      <c r="BE386" t="s">
        <v>87</v>
      </c>
      <c r="BF386" t="s">
        <v>101</v>
      </c>
      <c r="BG386" t="s">
        <v>76</v>
      </c>
      <c r="BH386" t="s">
        <v>77</v>
      </c>
      <c r="BI386" t="s">
        <v>96</v>
      </c>
      <c r="BJ386" t="s">
        <v>174</v>
      </c>
      <c r="BK386">
        <v>1</v>
      </c>
      <c r="BL386">
        <v>0</v>
      </c>
      <c r="BM386">
        <v>0</v>
      </c>
      <c r="BN386">
        <v>0</v>
      </c>
      <c r="BO386">
        <v>0</v>
      </c>
      <c r="BP386">
        <v>0</v>
      </c>
      <c r="BQ386">
        <v>0</v>
      </c>
      <c r="BR386">
        <v>0</v>
      </c>
    </row>
    <row r="387" spans="1:71" x14ac:dyDescent="0.2">
      <c r="A387" s="1">
        <v>44579.945138888892</v>
      </c>
      <c r="B387" s="1">
        <v>44579.953472222223</v>
      </c>
      <c r="C387">
        <v>0</v>
      </c>
      <c r="D387">
        <v>1</v>
      </c>
      <c r="E387">
        <v>0</v>
      </c>
      <c r="F387">
        <v>0</v>
      </c>
      <c r="H387">
        <v>1</v>
      </c>
      <c r="I387">
        <v>0</v>
      </c>
      <c r="J387">
        <v>0</v>
      </c>
      <c r="K387">
        <v>0</v>
      </c>
      <c r="L387">
        <v>0</v>
      </c>
      <c r="P387">
        <v>0</v>
      </c>
      <c r="Q387">
        <v>1</v>
      </c>
      <c r="R387">
        <v>0</v>
      </c>
      <c r="S387">
        <v>0</v>
      </c>
      <c r="T387">
        <v>0</v>
      </c>
      <c r="U387">
        <v>0</v>
      </c>
      <c r="V387">
        <v>0</v>
      </c>
      <c r="W387">
        <v>0</v>
      </c>
      <c r="X387">
        <v>0</v>
      </c>
      <c r="Y387">
        <v>0</v>
      </c>
      <c r="Z387">
        <v>0</v>
      </c>
      <c r="AA387">
        <v>0</v>
      </c>
      <c r="AM387" t="s">
        <v>90</v>
      </c>
      <c r="AN387" t="s">
        <v>82</v>
      </c>
      <c r="AO387" t="s">
        <v>90</v>
      </c>
      <c r="AP387" t="s">
        <v>90</v>
      </c>
      <c r="AQ387" t="s">
        <v>90</v>
      </c>
      <c r="AR387" t="s">
        <v>90</v>
      </c>
      <c r="AS387" t="s">
        <v>90</v>
      </c>
      <c r="AT387" t="s">
        <v>90</v>
      </c>
      <c r="AU387" t="s">
        <v>84</v>
      </c>
      <c r="AV387" t="s">
        <v>80</v>
      </c>
      <c r="AW387" t="s">
        <v>85</v>
      </c>
      <c r="AZ387" t="s">
        <v>73</v>
      </c>
      <c r="BA387" t="s">
        <v>86</v>
      </c>
      <c r="BB387" t="s">
        <v>86</v>
      </c>
      <c r="BC387" t="s">
        <v>86</v>
      </c>
      <c r="BD387" t="s">
        <v>86</v>
      </c>
      <c r="BE387" t="s">
        <v>74</v>
      </c>
      <c r="BF387" t="s">
        <v>97</v>
      </c>
      <c r="BG387" t="s">
        <v>76</v>
      </c>
      <c r="BH387" t="s">
        <v>158</v>
      </c>
      <c r="BI387" t="s">
        <v>73</v>
      </c>
      <c r="BJ387" t="s">
        <v>114</v>
      </c>
      <c r="BK387">
        <v>1</v>
      </c>
      <c r="BL387">
        <v>0</v>
      </c>
      <c r="BM387">
        <v>0</v>
      </c>
      <c r="BN387">
        <v>0</v>
      </c>
      <c r="BO387">
        <v>0</v>
      </c>
      <c r="BP387">
        <v>0</v>
      </c>
      <c r="BQ387">
        <v>0</v>
      </c>
      <c r="BR387">
        <v>0</v>
      </c>
    </row>
    <row r="388" spans="1:71" x14ac:dyDescent="0.2">
      <c r="A388" s="1">
        <v>44581.619444444441</v>
      </c>
      <c r="B388" s="1">
        <v>44581.620833333334</v>
      </c>
      <c r="C388">
        <v>1</v>
      </c>
      <c r="D388">
        <v>0</v>
      </c>
      <c r="E388">
        <v>0</v>
      </c>
      <c r="F388">
        <v>0</v>
      </c>
      <c r="H388">
        <v>0</v>
      </c>
      <c r="I388">
        <v>1</v>
      </c>
      <c r="J388">
        <v>0</v>
      </c>
      <c r="K388">
        <v>0</v>
      </c>
      <c r="L388">
        <v>0</v>
      </c>
      <c r="N388" t="s">
        <v>88</v>
      </c>
      <c r="O388" t="s">
        <v>142</v>
      </c>
      <c r="P388">
        <v>0</v>
      </c>
      <c r="Q388">
        <v>1</v>
      </c>
      <c r="R388">
        <v>0</v>
      </c>
      <c r="S388">
        <v>0</v>
      </c>
      <c r="T388">
        <v>0</v>
      </c>
      <c r="U388">
        <v>0</v>
      </c>
      <c r="V388">
        <v>0</v>
      </c>
      <c r="W388">
        <v>0</v>
      </c>
      <c r="X388">
        <v>0</v>
      </c>
      <c r="Y388">
        <v>0</v>
      </c>
      <c r="Z388">
        <v>0</v>
      </c>
      <c r="AA388">
        <v>0</v>
      </c>
      <c r="AM388" t="s">
        <v>83</v>
      </c>
      <c r="AN388" t="s">
        <v>82</v>
      </c>
      <c r="AO388" t="s">
        <v>83</v>
      </c>
      <c r="AP388" t="s">
        <v>82</v>
      </c>
      <c r="AQ388" t="s">
        <v>83</v>
      </c>
      <c r="AR388" t="s">
        <v>83</v>
      </c>
      <c r="AS388" t="s">
        <v>83</v>
      </c>
      <c r="AT388" t="s">
        <v>83</v>
      </c>
      <c r="AU388" t="s">
        <v>88</v>
      </c>
      <c r="AV388" t="s">
        <v>89</v>
      </c>
      <c r="AW388" t="s">
        <v>85</v>
      </c>
      <c r="AX388" t="s">
        <v>118</v>
      </c>
      <c r="AZ388" t="s">
        <v>73</v>
      </c>
      <c r="BA388" t="s">
        <v>86</v>
      </c>
      <c r="BB388" t="s">
        <v>74</v>
      </c>
      <c r="BC388" t="s">
        <v>86</v>
      </c>
      <c r="BD388" t="s">
        <v>74</v>
      </c>
      <c r="BE388" t="s">
        <v>74</v>
      </c>
      <c r="BF388" t="s">
        <v>75</v>
      </c>
      <c r="BG388" t="s">
        <v>76</v>
      </c>
      <c r="BH388" t="s">
        <v>98</v>
      </c>
      <c r="BI388" t="s">
        <v>73</v>
      </c>
      <c r="BJ388" t="s">
        <v>165</v>
      </c>
      <c r="BK388">
        <v>1</v>
      </c>
      <c r="BL388">
        <v>0</v>
      </c>
      <c r="BM388">
        <v>0</v>
      </c>
      <c r="BN388">
        <v>0</v>
      </c>
      <c r="BO388">
        <v>0</v>
      </c>
      <c r="BP388">
        <v>0</v>
      </c>
      <c r="BQ388">
        <v>0</v>
      </c>
      <c r="BR388">
        <v>0</v>
      </c>
    </row>
    <row r="389" spans="1:71" x14ac:dyDescent="0.2">
      <c r="A389" s="1">
        <v>44587.84375</v>
      </c>
      <c r="B389" s="1">
        <v>44587.84652777778</v>
      </c>
      <c r="C389">
        <v>0</v>
      </c>
      <c r="D389">
        <v>1</v>
      </c>
      <c r="E389">
        <v>0</v>
      </c>
      <c r="F389">
        <v>0</v>
      </c>
      <c r="H389">
        <v>0</v>
      </c>
      <c r="I389">
        <v>0</v>
      </c>
      <c r="J389">
        <v>0</v>
      </c>
      <c r="K389">
        <v>0</v>
      </c>
      <c r="L389">
        <v>1</v>
      </c>
      <c r="M389" t="s">
        <v>266</v>
      </c>
      <c r="N389" t="s">
        <v>88</v>
      </c>
      <c r="O389" t="s">
        <v>89</v>
      </c>
      <c r="P389">
        <v>0</v>
      </c>
      <c r="Q389">
        <v>1</v>
      </c>
      <c r="R389">
        <v>0</v>
      </c>
      <c r="S389">
        <v>0</v>
      </c>
      <c r="T389">
        <v>0</v>
      </c>
      <c r="U389">
        <v>0</v>
      </c>
      <c r="V389">
        <v>0</v>
      </c>
      <c r="W389">
        <v>0</v>
      </c>
      <c r="X389">
        <v>0</v>
      </c>
      <c r="Y389">
        <v>0</v>
      </c>
      <c r="Z389">
        <v>0</v>
      </c>
      <c r="AA389">
        <v>0</v>
      </c>
      <c r="AM389" t="s">
        <v>83</v>
      </c>
      <c r="AN389" t="s">
        <v>82</v>
      </c>
      <c r="AO389" t="s">
        <v>90</v>
      </c>
      <c r="AP389" t="s">
        <v>82</v>
      </c>
      <c r="AQ389" t="s">
        <v>83</v>
      </c>
      <c r="AR389" t="s">
        <v>90</v>
      </c>
      <c r="AS389" t="s">
        <v>90</v>
      </c>
      <c r="AT389" t="s">
        <v>83</v>
      </c>
      <c r="AU389" t="s">
        <v>135</v>
      </c>
      <c r="AV389" t="s">
        <v>80</v>
      </c>
      <c r="AW389" t="s">
        <v>117</v>
      </c>
      <c r="AZ389" t="s">
        <v>73</v>
      </c>
      <c r="BA389" t="s">
        <v>86</v>
      </c>
      <c r="BB389" t="s">
        <v>86</v>
      </c>
      <c r="BC389" t="s">
        <v>86</v>
      </c>
      <c r="BD389" t="s">
        <v>86</v>
      </c>
      <c r="BE389" t="s">
        <v>86</v>
      </c>
      <c r="BF389" t="s">
        <v>97</v>
      </c>
      <c r="BG389" t="s">
        <v>76</v>
      </c>
      <c r="BH389" t="s">
        <v>98</v>
      </c>
      <c r="BI389" t="s">
        <v>73</v>
      </c>
      <c r="BJ389" t="s">
        <v>114</v>
      </c>
      <c r="BK389">
        <v>1</v>
      </c>
      <c r="BL389">
        <v>0</v>
      </c>
      <c r="BM389">
        <v>0</v>
      </c>
      <c r="BN389">
        <v>0</v>
      </c>
      <c r="BO389">
        <v>0</v>
      </c>
      <c r="BP389">
        <v>0</v>
      </c>
      <c r="BQ389">
        <v>0</v>
      </c>
      <c r="BR389">
        <v>0</v>
      </c>
    </row>
    <row r="390" spans="1:71" x14ac:dyDescent="0.2">
      <c r="A390" s="1">
        <v>44580.378472222219</v>
      </c>
      <c r="B390" s="1">
        <v>44580.379861111112</v>
      </c>
      <c r="C390">
        <v>0</v>
      </c>
      <c r="D390">
        <v>0</v>
      </c>
      <c r="E390">
        <v>1</v>
      </c>
      <c r="F390">
        <v>0</v>
      </c>
      <c r="G390" t="s">
        <v>267</v>
      </c>
      <c r="H390">
        <v>1</v>
      </c>
      <c r="I390">
        <v>0</v>
      </c>
      <c r="J390">
        <v>0</v>
      </c>
      <c r="K390">
        <v>0</v>
      </c>
      <c r="L390">
        <v>0</v>
      </c>
      <c r="P390">
        <v>1</v>
      </c>
      <c r="Q390">
        <v>0</v>
      </c>
      <c r="R390">
        <v>0</v>
      </c>
      <c r="S390">
        <v>0</v>
      </c>
      <c r="T390">
        <v>0</v>
      </c>
      <c r="U390">
        <v>0</v>
      </c>
      <c r="V390">
        <v>0</v>
      </c>
      <c r="W390">
        <v>0</v>
      </c>
      <c r="X390">
        <v>0</v>
      </c>
      <c r="Y390">
        <v>0</v>
      </c>
      <c r="Z390">
        <v>0</v>
      </c>
      <c r="AA390">
        <v>0</v>
      </c>
      <c r="AC390">
        <v>0</v>
      </c>
      <c r="AD390">
        <v>0</v>
      </c>
      <c r="AE390">
        <v>0</v>
      </c>
      <c r="AF390">
        <v>0</v>
      </c>
      <c r="AG390">
        <v>0</v>
      </c>
      <c r="AH390">
        <v>0</v>
      </c>
      <c r="AI390">
        <v>1</v>
      </c>
      <c r="AJ390">
        <v>0</v>
      </c>
      <c r="AK390">
        <v>0</v>
      </c>
      <c r="AZ390" t="s">
        <v>73</v>
      </c>
      <c r="BA390" t="s">
        <v>86</v>
      </c>
      <c r="BB390" t="s">
        <v>86</v>
      </c>
      <c r="BC390" t="s">
        <v>87</v>
      </c>
      <c r="BD390" t="s">
        <v>87</v>
      </c>
      <c r="BE390" t="s">
        <v>87</v>
      </c>
      <c r="BF390" t="s">
        <v>97</v>
      </c>
      <c r="BG390" t="s">
        <v>76</v>
      </c>
      <c r="BH390" t="s">
        <v>158</v>
      </c>
      <c r="BI390" t="s">
        <v>73</v>
      </c>
      <c r="BJ390" t="s">
        <v>78</v>
      </c>
      <c r="BK390">
        <v>1</v>
      </c>
      <c r="BL390">
        <v>0</v>
      </c>
      <c r="BM390">
        <v>0</v>
      </c>
      <c r="BN390">
        <v>0</v>
      </c>
      <c r="BO390">
        <v>0</v>
      </c>
      <c r="BP390">
        <v>0</v>
      </c>
      <c r="BQ390">
        <v>0</v>
      </c>
      <c r="BR390">
        <v>0</v>
      </c>
    </row>
    <row r="391" spans="1:71" x14ac:dyDescent="0.2">
      <c r="A391" s="1">
        <v>44585.518055555556</v>
      </c>
      <c r="B391" s="1">
        <v>44585.522916666669</v>
      </c>
      <c r="C391">
        <v>0</v>
      </c>
      <c r="D391">
        <v>1</v>
      </c>
      <c r="E391">
        <v>0</v>
      </c>
      <c r="F391">
        <v>0</v>
      </c>
      <c r="H391">
        <v>0</v>
      </c>
      <c r="I391">
        <v>1</v>
      </c>
      <c r="J391">
        <v>0</v>
      </c>
      <c r="K391">
        <v>0</v>
      </c>
      <c r="L391">
        <v>0</v>
      </c>
      <c r="N391" t="s">
        <v>88</v>
      </c>
      <c r="O391" t="s">
        <v>89</v>
      </c>
      <c r="P391">
        <v>1</v>
      </c>
      <c r="Q391">
        <v>0</v>
      </c>
      <c r="R391">
        <v>0</v>
      </c>
      <c r="S391">
        <v>0</v>
      </c>
      <c r="T391">
        <v>0</v>
      </c>
      <c r="U391">
        <v>0</v>
      </c>
      <c r="V391">
        <v>0</v>
      </c>
      <c r="W391">
        <v>0</v>
      </c>
      <c r="X391">
        <v>0</v>
      </c>
      <c r="Y391">
        <v>0</v>
      </c>
      <c r="Z391">
        <v>0</v>
      </c>
      <c r="AA391">
        <v>0</v>
      </c>
      <c r="AC391">
        <v>0</v>
      </c>
      <c r="AD391">
        <v>0</v>
      </c>
      <c r="AE391">
        <v>0</v>
      </c>
      <c r="AF391">
        <v>0</v>
      </c>
      <c r="AG391">
        <v>0</v>
      </c>
      <c r="AH391">
        <v>0</v>
      </c>
      <c r="AI391">
        <v>0</v>
      </c>
      <c r="AJ391">
        <v>0</v>
      </c>
      <c r="AK391">
        <v>1</v>
      </c>
      <c r="AL391" t="s">
        <v>268</v>
      </c>
      <c r="AX391" t="s">
        <v>269</v>
      </c>
      <c r="AZ391" t="s">
        <v>107</v>
      </c>
      <c r="BA391" t="s">
        <v>87</v>
      </c>
      <c r="BB391" t="s">
        <v>87</v>
      </c>
      <c r="BC391" t="s">
        <v>87</v>
      </c>
      <c r="BD391" t="s">
        <v>74</v>
      </c>
      <c r="BE391" t="s">
        <v>87</v>
      </c>
      <c r="BF391" t="s">
        <v>113</v>
      </c>
      <c r="BG391" t="s">
        <v>76</v>
      </c>
      <c r="BH391" t="s">
        <v>98</v>
      </c>
      <c r="BI391" t="s">
        <v>107</v>
      </c>
      <c r="BJ391" t="s">
        <v>109</v>
      </c>
      <c r="BK391">
        <v>1</v>
      </c>
      <c r="BL391">
        <v>0</v>
      </c>
      <c r="BM391">
        <v>0</v>
      </c>
      <c r="BN391">
        <v>0</v>
      </c>
      <c r="BO391">
        <v>0</v>
      </c>
      <c r="BP391">
        <v>0</v>
      </c>
      <c r="BQ391">
        <v>0</v>
      </c>
      <c r="BR391">
        <v>0</v>
      </c>
    </row>
    <row r="392" spans="1:71" x14ac:dyDescent="0.2">
      <c r="A392" s="1">
        <v>44585.558333333334</v>
      </c>
      <c r="B392" s="1">
        <v>44585.569444444445</v>
      </c>
      <c r="C392">
        <v>0</v>
      </c>
      <c r="D392">
        <v>1</v>
      </c>
      <c r="E392">
        <v>0</v>
      </c>
      <c r="F392">
        <v>0</v>
      </c>
      <c r="H392">
        <v>0</v>
      </c>
      <c r="I392">
        <v>0</v>
      </c>
      <c r="J392">
        <v>0</v>
      </c>
      <c r="K392">
        <v>1</v>
      </c>
      <c r="L392">
        <v>0</v>
      </c>
      <c r="N392" t="s">
        <v>135</v>
      </c>
      <c r="O392" t="s">
        <v>80</v>
      </c>
      <c r="P392">
        <v>1</v>
      </c>
      <c r="Q392">
        <v>0</v>
      </c>
      <c r="R392">
        <v>0</v>
      </c>
      <c r="S392">
        <v>0</v>
      </c>
      <c r="T392">
        <v>0</v>
      </c>
      <c r="U392">
        <v>0</v>
      </c>
      <c r="V392">
        <v>0</v>
      </c>
      <c r="W392">
        <v>0</v>
      </c>
      <c r="X392">
        <v>0</v>
      </c>
      <c r="Y392">
        <v>0</v>
      </c>
      <c r="Z392">
        <v>0</v>
      </c>
      <c r="AA392">
        <v>0</v>
      </c>
      <c r="AC392">
        <v>0</v>
      </c>
      <c r="AD392">
        <v>0</v>
      </c>
      <c r="AE392">
        <v>0</v>
      </c>
      <c r="AF392">
        <v>0</v>
      </c>
      <c r="AG392">
        <v>0</v>
      </c>
      <c r="AH392">
        <v>0</v>
      </c>
      <c r="AI392">
        <v>0</v>
      </c>
      <c r="AJ392">
        <v>0</v>
      </c>
      <c r="AK392">
        <v>1</v>
      </c>
      <c r="AL392" t="s">
        <v>270</v>
      </c>
      <c r="AZ392" t="s">
        <v>96</v>
      </c>
      <c r="BA392" t="s">
        <v>87</v>
      </c>
      <c r="BB392" t="s">
        <v>87</v>
      </c>
      <c r="BC392" t="s">
        <v>86</v>
      </c>
      <c r="BD392" t="s">
        <v>86</v>
      </c>
      <c r="BE392" t="s">
        <v>86</v>
      </c>
      <c r="BF392" t="s">
        <v>97</v>
      </c>
      <c r="BG392" t="s">
        <v>76</v>
      </c>
      <c r="BH392" t="s">
        <v>98</v>
      </c>
      <c r="BI392" t="s">
        <v>96</v>
      </c>
      <c r="BJ392" t="s">
        <v>109</v>
      </c>
      <c r="BK392">
        <v>1</v>
      </c>
      <c r="BL392">
        <v>0</v>
      </c>
      <c r="BM392">
        <v>0</v>
      </c>
      <c r="BN392">
        <v>0</v>
      </c>
      <c r="BO392">
        <v>0</v>
      </c>
      <c r="BP392">
        <v>0</v>
      </c>
      <c r="BQ392">
        <v>0</v>
      </c>
      <c r="BR392">
        <v>0</v>
      </c>
    </row>
    <row r="393" spans="1:71" x14ac:dyDescent="0.2">
      <c r="A393" s="1">
        <v>44586.045138888891</v>
      </c>
      <c r="B393" s="1">
        <v>44586.047222222223</v>
      </c>
      <c r="C393">
        <v>0</v>
      </c>
      <c r="D393">
        <v>1</v>
      </c>
      <c r="E393">
        <v>0</v>
      </c>
      <c r="F393">
        <v>0</v>
      </c>
      <c r="H393">
        <v>0</v>
      </c>
      <c r="I393">
        <v>1</v>
      </c>
      <c r="J393">
        <v>1</v>
      </c>
      <c r="K393">
        <v>1</v>
      </c>
      <c r="L393">
        <v>0</v>
      </c>
      <c r="N393" t="s">
        <v>88</v>
      </c>
      <c r="O393" t="s">
        <v>89</v>
      </c>
      <c r="P393">
        <v>0</v>
      </c>
      <c r="Q393">
        <v>1</v>
      </c>
      <c r="R393">
        <v>0</v>
      </c>
      <c r="S393">
        <v>0</v>
      </c>
      <c r="T393">
        <v>0</v>
      </c>
      <c r="U393">
        <v>0</v>
      </c>
      <c r="V393">
        <v>0</v>
      </c>
      <c r="W393">
        <v>0</v>
      </c>
      <c r="X393">
        <v>0</v>
      </c>
      <c r="Y393">
        <v>0</v>
      </c>
      <c r="Z393">
        <v>0</v>
      </c>
      <c r="AA393">
        <v>0</v>
      </c>
      <c r="AM393" t="s">
        <v>83</v>
      </c>
      <c r="AN393" t="s">
        <v>82</v>
      </c>
      <c r="AO393" t="s">
        <v>82</v>
      </c>
      <c r="AP393" t="s">
        <v>82</v>
      </c>
      <c r="AQ393" t="s">
        <v>81</v>
      </c>
      <c r="AR393" t="s">
        <v>81</v>
      </c>
      <c r="AS393" t="s">
        <v>83</v>
      </c>
      <c r="AT393" t="s">
        <v>83</v>
      </c>
      <c r="AU393" t="s">
        <v>88</v>
      </c>
      <c r="AV393" t="s">
        <v>89</v>
      </c>
      <c r="AW393" t="s">
        <v>100</v>
      </c>
      <c r="AZ393" t="s">
        <v>73</v>
      </c>
      <c r="BA393" t="s">
        <v>87</v>
      </c>
      <c r="BB393" t="s">
        <v>87</v>
      </c>
      <c r="BC393" t="s">
        <v>87</v>
      </c>
      <c r="BD393" t="s">
        <v>87</v>
      </c>
      <c r="BE393" t="s">
        <v>87</v>
      </c>
      <c r="BF393" t="s">
        <v>97</v>
      </c>
      <c r="BG393" t="s">
        <v>76</v>
      </c>
      <c r="BH393" t="s">
        <v>98</v>
      </c>
      <c r="BI393" t="s">
        <v>73</v>
      </c>
      <c r="BJ393" t="s">
        <v>212</v>
      </c>
      <c r="BK393">
        <v>1</v>
      </c>
      <c r="BL393">
        <v>0</v>
      </c>
      <c r="BM393">
        <v>0</v>
      </c>
      <c r="BN393">
        <v>0</v>
      </c>
      <c r="BO393">
        <v>0</v>
      </c>
      <c r="BP393">
        <v>0</v>
      </c>
      <c r="BQ393">
        <v>0</v>
      </c>
      <c r="BR393">
        <v>0</v>
      </c>
    </row>
    <row r="394" spans="1:71" ht="32" x14ac:dyDescent="0.2">
      <c r="A394" s="1">
        <v>44585.569444444445</v>
      </c>
      <c r="B394" s="1">
        <v>44585.572222222225</v>
      </c>
      <c r="C394">
        <v>0</v>
      </c>
      <c r="D394">
        <v>1</v>
      </c>
      <c r="E394">
        <v>0</v>
      </c>
      <c r="F394">
        <v>0</v>
      </c>
      <c r="H394">
        <v>1</v>
      </c>
      <c r="I394">
        <v>0</v>
      </c>
      <c r="J394">
        <v>0</v>
      </c>
      <c r="K394">
        <v>0</v>
      </c>
      <c r="L394">
        <v>0</v>
      </c>
      <c r="P394">
        <v>1</v>
      </c>
      <c r="Q394">
        <v>0</v>
      </c>
      <c r="R394">
        <v>0</v>
      </c>
      <c r="S394">
        <v>0</v>
      </c>
      <c r="T394">
        <v>0</v>
      </c>
      <c r="U394">
        <v>0</v>
      </c>
      <c r="V394">
        <v>0</v>
      </c>
      <c r="W394">
        <v>0</v>
      </c>
      <c r="X394">
        <v>0</v>
      </c>
      <c r="Y394">
        <v>0</v>
      </c>
      <c r="Z394">
        <v>0</v>
      </c>
      <c r="AA394">
        <v>0</v>
      </c>
      <c r="AC394">
        <v>0</v>
      </c>
      <c r="AD394">
        <v>0</v>
      </c>
      <c r="AE394">
        <v>0</v>
      </c>
      <c r="AF394">
        <v>0</v>
      </c>
      <c r="AG394">
        <v>0</v>
      </c>
      <c r="AH394">
        <v>0</v>
      </c>
      <c r="AI394">
        <v>0</v>
      </c>
      <c r="AJ394">
        <v>0</v>
      </c>
      <c r="AK394">
        <v>1</v>
      </c>
      <c r="AL394" s="2" t="s">
        <v>271</v>
      </c>
      <c r="AZ394" t="s">
        <v>96</v>
      </c>
      <c r="BA394" t="s">
        <v>86</v>
      </c>
      <c r="BB394" t="s">
        <v>87</v>
      </c>
      <c r="BC394" t="s">
        <v>74</v>
      </c>
      <c r="BD394" t="s">
        <v>87</v>
      </c>
      <c r="BE394" t="s">
        <v>87</v>
      </c>
      <c r="BF394" t="s">
        <v>97</v>
      </c>
      <c r="BG394" t="s">
        <v>76</v>
      </c>
      <c r="BH394" t="s">
        <v>98</v>
      </c>
      <c r="BI394" t="s">
        <v>96</v>
      </c>
      <c r="BJ394" t="s">
        <v>114</v>
      </c>
      <c r="BK394">
        <v>1</v>
      </c>
      <c r="BL394">
        <v>0</v>
      </c>
      <c r="BM394">
        <v>0</v>
      </c>
      <c r="BN394">
        <v>0</v>
      </c>
      <c r="BO394">
        <v>0</v>
      </c>
      <c r="BP394">
        <v>0</v>
      </c>
      <c r="BQ394">
        <v>0</v>
      </c>
      <c r="BR394">
        <v>0</v>
      </c>
    </row>
    <row r="395" spans="1:71" x14ac:dyDescent="0.2">
      <c r="A395" s="1">
        <v>44580.186111111114</v>
      </c>
      <c r="B395" s="1">
        <v>44580.19027777778</v>
      </c>
      <c r="C395">
        <v>0</v>
      </c>
      <c r="D395">
        <v>1</v>
      </c>
      <c r="E395">
        <v>0</v>
      </c>
      <c r="F395">
        <v>0</v>
      </c>
      <c r="H395">
        <v>0</v>
      </c>
      <c r="I395">
        <v>1</v>
      </c>
      <c r="J395">
        <v>0</v>
      </c>
      <c r="K395">
        <v>1</v>
      </c>
      <c r="L395">
        <v>0</v>
      </c>
      <c r="N395" t="s">
        <v>88</v>
      </c>
      <c r="O395" t="s">
        <v>89</v>
      </c>
      <c r="P395">
        <v>0</v>
      </c>
      <c r="Q395">
        <v>0</v>
      </c>
      <c r="R395">
        <v>0</v>
      </c>
      <c r="S395">
        <v>0</v>
      </c>
      <c r="T395">
        <v>1</v>
      </c>
      <c r="U395">
        <v>0</v>
      </c>
      <c r="V395">
        <v>0</v>
      </c>
      <c r="W395">
        <v>0</v>
      </c>
      <c r="X395">
        <v>0</v>
      </c>
      <c r="Y395">
        <v>0</v>
      </c>
      <c r="Z395">
        <v>0</v>
      </c>
      <c r="AA395">
        <v>0</v>
      </c>
      <c r="AM395" t="s">
        <v>90</v>
      </c>
      <c r="AN395" t="s">
        <v>81</v>
      </c>
      <c r="AO395" t="s">
        <v>81</v>
      </c>
      <c r="AP395" t="s">
        <v>90</v>
      </c>
      <c r="AQ395" t="s">
        <v>82</v>
      </c>
      <c r="AR395" t="s">
        <v>81</v>
      </c>
      <c r="AS395" t="s">
        <v>90</v>
      </c>
      <c r="AT395" t="s">
        <v>90</v>
      </c>
      <c r="AU395" t="s">
        <v>88</v>
      </c>
      <c r="AV395" t="s">
        <v>89</v>
      </c>
      <c r="AW395" t="s">
        <v>100</v>
      </c>
      <c r="AZ395" t="s">
        <v>107</v>
      </c>
      <c r="BA395" t="s">
        <v>86</v>
      </c>
      <c r="BB395" t="s">
        <v>86</v>
      </c>
      <c r="BC395" t="s">
        <v>86</v>
      </c>
      <c r="BD395" t="s">
        <v>86</v>
      </c>
      <c r="BE395" t="s">
        <v>86</v>
      </c>
      <c r="BF395" t="s">
        <v>101</v>
      </c>
      <c r="BG395" t="s">
        <v>76</v>
      </c>
      <c r="BH395" t="s">
        <v>98</v>
      </c>
      <c r="BI395" t="s">
        <v>107</v>
      </c>
      <c r="BJ395" t="s">
        <v>109</v>
      </c>
      <c r="BK395">
        <v>0</v>
      </c>
      <c r="BL395">
        <v>0</v>
      </c>
      <c r="BM395">
        <v>0</v>
      </c>
      <c r="BN395">
        <v>0</v>
      </c>
      <c r="BO395">
        <v>0</v>
      </c>
      <c r="BP395">
        <v>0</v>
      </c>
      <c r="BQ395">
        <v>1</v>
      </c>
      <c r="BR395">
        <v>0</v>
      </c>
      <c r="BS395" t="s">
        <v>272</v>
      </c>
    </row>
    <row r="396" spans="1:71" x14ac:dyDescent="0.2">
      <c r="A396" s="1">
        <v>44580.808333333334</v>
      </c>
      <c r="B396" s="1">
        <v>44580.80972222222</v>
      </c>
      <c r="C396">
        <v>0</v>
      </c>
      <c r="D396">
        <v>1</v>
      </c>
      <c r="E396">
        <v>0</v>
      </c>
      <c r="F396">
        <v>0</v>
      </c>
      <c r="H396">
        <v>0</v>
      </c>
      <c r="I396">
        <v>1</v>
      </c>
      <c r="J396">
        <v>0</v>
      </c>
      <c r="K396">
        <v>0</v>
      </c>
      <c r="L396">
        <v>0</v>
      </c>
      <c r="N396" t="s">
        <v>135</v>
      </c>
      <c r="O396" t="s">
        <v>80</v>
      </c>
      <c r="P396">
        <v>1</v>
      </c>
      <c r="Q396">
        <v>0</v>
      </c>
      <c r="R396">
        <v>0</v>
      </c>
      <c r="S396">
        <v>0</v>
      </c>
      <c r="T396">
        <v>0</v>
      </c>
      <c r="U396">
        <v>0</v>
      </c>
      <c r="V396">
        <v>0</v>
      </c>
      <c r="W396">
        <v>0</v>
      </c>
      <c r="X396">
        <v>0</v>
      </c>
      <c r="Y396">
        <v>0</v>
      </c>
      <c r="Z396">
        <v>0</v>
      </c>
      <c r="AA396">
        <v>0</v>
      </c>
      <c r="AC396">
        <v>0</v>
      </c>
      <c r="AD396">
        <v>0</v>
      </c>
      <c r="AE396">
        <v>0</v>
      </c>
      <c r="AF396">
        <v>0</v>
      </c>
      <c r="AG396">
        <v>0</v>
      </c>
      <c r="AH396">
        <v>0</v>
      </c>
      <c r="AI396">
        <v>1</v>
      </c>
      <c r="AJ396">
        <v>0</v>
      </c>
      <c r="AK396">
        <v>0</v>
      </c>
      <c r="AZ396" t="s">
        <v>107</v>
      </c>
      <c r="BA396" t="s">
        <v>74</v>
      </c>
      <c r="BF396" t="s">
        <v>97</v>
      </c>
      <c r="BG396" t="s">
        <v>76</v>
      </c>
      <c r="BH396" t="s">
        <v>98</v>
      </c>
      <c r="BI396" t="s">
        <v>107</v>
      </c>
      <c r="BJ396" t="s">
        <v>78</v>
      </c>
      <c r="BK396">
        <v>1</v>
      </c>
      <c r="BL396">
        <v>0</v>
      </c>
      <c r="BM396">
        <v>0</v>
      </c>
      <c r="BN396">
        <v>0</v>
      </c>
      <c r="BO396">
        <v>0</v>
      </c>
      <c r="BP396">
        <v>0</v>
      </c>
      <c r="BQ396">
        <v>0</v>
      </c>
      <c r="BR396">
        <v>0</v>
      </c>
    </row>
    <row r="397" spans="1:71" x14ac:dyDescent="0.2">
      <c r="A397" s="1">
        <v>44579.893750000003</v>
      </c>
      <c r="B397" s="1">
        <v>44579.895833333336</v>
      </c>
      <c r="C397">
        <v>0</v>
      </c>
      <c r="D397">
        <v>1</v>
      </c>
      <c r="E397">
        <v>0</v>
      </c>
      <c r="F397">
        <v>0</v>
      </c>
      <c r="H397">
        <v>0</v>
      </c>
      <c r="I397">
        <v>1</v>
      </c>
      <c r="J397">
        <v>1</v>
      </c>
      <c r="K397">
        <v>1</v>
      </c>
      <c r="L397">
        <v>0</v>
      </c>
      <c r="N397" t="s">
        <v>88</v>
      </c>
      <c r="O397" t="s">
        <v>89</v>
      </c>
      <c r="P397">
        <v>0</v>
      </c>
      <c r="Q397">
        <v>1</v>
      </c>
      <c r="R397">
        <v>0</v>
      </c>
      <c r="S397">
        <v>0</v>
      </c>
      <c r="T397">
        <v>0</v>
      </c>
      <c r="U397">
        <v>0</v>
      </c>
      <c r="V397">
        <v>0</v>
      </c>
      <c r="W397">
        <v>0</v>
      </c>
      <c r="X397">
        <v>0</v>
      </c>
      <c r="Y397">
        <v>0</v>
      </c>
      <c r="Z397">
        <v>0</v>
      </c>
      <c r="AA397">
        <v>0</v>
      </c>
      <c r="AM397" t="s">
        <v>90</v>
      </c>
      <c r="AN397" t="s">
        <v>82</v>
      </c>
      <c r="AO397" t="s">
        <v>81</v>
      </c>
      <c r="AP397" t="s">
        <v>81</v>
      </c>
      <c r="AQ397" t="s">
        <v>90</v>
      </c>
      <c r="AR397" t="s">
        <v>90</v>
      </c>
      <c r="AS397" t="s">
        <v>90</v>
      </c>
      <c r="AT397" t="s">
        <v>90</v>
      </c>
      <c r="AU397" t="s">
        <v>88</v>
      </c>
      <c r="AV397" t="s">
        <v>89</v>
      </c>
      <c r="AW397" t="s">
        <v>100</v>
      </c>
      <c r="AZ397" t="s">
        <v>73</v>
      </c>
      <c r="BA397" t="s">
        <v>87</v>
      </c>
      <c r="BB397" t="s">
        <v>87</v>
      </c>
      <c r="BC397" t="s">
        <v>87</v>
      </c>
      <c r="BD397" t="s">
        <v>87</v>
      </c>
      <c r="BE397" t="s">
        <v>87</v>
      </c>
      <c r="BF397" t="s">
        <v>97</v>
      </c>
      <c r="BG397" t="s">
        <v>76</v>
      </c>
      <c r="BH397" t="s">
        <v>98</v>
      </c>
      <c r="BI397" t="s">
        <v>73</v>
      </c>
      <c r="BJ397" t="s">
        <v>114</v>
      </c>
      <c r="BK397">
        <v>1</v>
      </c>
      <c r="BL397">
        <v>0</v>
      </c>
      <c r="BM397">
        <v>0</v>
      </c>
      <c r="BN397">
        <v>0</v>
      </c>
      <c r="BO397">
        <v>0</v>
      </c>
      <c r="BP397">
        <v>0</v>
      </c>
      <c r="BQ397">
        <v>0</v>
      </c>
      <c r="BR397">
        <v>0</v>
      </c>
    </row>
    <row r="398" spans="1:71" x14ac:dyDescent="0.2">
      <c r="A398" s="1">
        <v>44586.713888888888</v>
      </c>
      <c r="B398" s="1">
        <v>44586.720138888886</v>
      </c>
      <c r="C398">
        <v>0</v>
      </c>
      <c r="D398">
        <v>1</v>
      </c>
      <c r="E398">
        <v>0</v>
      </c>
      <c r="F398">
        <v>0</v>
      </c>
      <c r="H398">
        <v>0</v>
      </c>
      <c r="I398">
        <v>1</v>
      </c>
      <c r="J398">
        <v>0</v>
      </c>
      <c r="K398">
        <v>0</v>
      </c>
      <c r="L398">
        <v>0</v>
      </c>
      <c r="N398" t="s">
        <v>79</v>
      </c>
      <c r="O398" t="s">
        <v>80</v>
      </c>
      <c r="P398">
        <v>0</v>
      </c>
      <c r="Q398">
        <v>1</v>
      </c>
      <c r="R398">
        <v>0</v>
      </c>
      <c r="S398">
        <v>0</v>
      </c>
      <c r="T398">
        <v>0</v>
      </c>
      <c r="U398">
        <v>0</v>
      </c>
      <c r="V398">
        <v>0</v>
      </c>
      <c r="W398">
        <v>0</v>
      </c>
      <c r="X398">
        <v>0</v>
      </c>
      <c r="Y398">
        <v>0</v>
      </c>
      <c r="Z398">
        <v>0</v>
      </c>
      <c r="AA398">
        <v>0</v>
      </c>
      <c r="AM398" t="s">
        <v>82</v>
      </c>
      <c r="AN398" t="s">
        <v>82</v>
      </c>
      <c r="AO398" t="s">
        <v>83</v>
      </c>
      <c r="AP398" t="s">
        <v>83</v>
      </c>
      <c r="AQ398" t="s">
        <v>83</v>
      </c>
      <c r="AR398" t="s">
        <v>82</v>
      </c>
      <c r="AS398" t="s">
        <v>90</v>
      </c>
      <c r="AT398" t="s">
        <v>83</v>
      </c>
      <c r="AU398" t="s">
        <v>84</v>
      </c>
      <c r="AV398" t="s">
        <v>80</v>
      </c>
      <c r="AW398" t="s">
        <v>85</v>
      </c>
      <c r="AX398" t="s">
        <v>199</v>
      </c>
      <c r="AZ398" t="s">
        <v>73</v>
      </c>
      <c r="BA398" t="s">
        <v>87</v>
      </c>
      <c r="BB398" t="s">
        <v>74</v>
      </c>
      <c r="BC398" t="s">
        <v>87</v>
      </c>
      <c r="BD398" t="s">
        <v>87</v>
      </c>
      <c r="BE398" t="s">
        <v>87</v>
      </c>
      <c r="BF398" t="s">
        <v>75</v>
      </c>
      <c r="BG398" t="s">
        <v>76</v>
      </c>
      <c r="BH398" t="s">
        <v>77</v>
      </c>
      <c r="BI398" t="s">
        <v>73</v>
      </c>
      <c r="BJ398" t="s">
        <v>114</v>
      </c>
      <c r="BK398">
        <v>0</v>
      </c>
      <c r="BL398">
        <v>0</v>
      </c>
      <c r="BM398">
        <v>0</v>
      </c>
      <c r="BN398">
        <v>0</v>
      </c>
      <c r="BO398">
        <v>0</v>
      </c>
      <c r="BP398">
        <v>0</v>
      </c>
      <c r="BQ398">
        <v>0</v>
      </c>
      <c r="BR398">
        <v>1</v>
      </c>
    </row>
    <row r="399" spans="1:71" x14ac:dyDescent="0.2">
      <c r="A399" s="1">
        <v>44580.323611111111</v>
      </c>
      <c r="B399" s="1">
        <v>44580.327777777777</v>
      </c>
      <c r="C399">
        <v>0</v>
      </c>
      <c r="D399">
        <v>1</v>
      </c>
      <c r="E399">
        <v>0</v>
      </c>
      <c r="F399">
        <v>0</v>
      </c>
      <c r="H399">
        <v>1</v>
      </c>
      <c r="I399">
        <v>0</v>
      </c>
      <c r="J399">
        <v>0</v>
      </c>
      <c r="K399">
        <v>0</v>
      </c>
      <c r="L399">
        <v>0</v>
      </c>
      <c r="P399">
        <v>1</v>
      </c>
      <c r="Q399">
        <v>0</v>
      </c>
      <c r="R399">
        <v>0</v>
      </c>
      <c r="S399">
        <v>0</v>
      </c>
      <c r="T399">
        <v>0</v>
      </c>
      <c r="U399">
        <v>0</v>
      </c>
      <c r="V399">
        <v>0</v>
      </c>
      <c r="W399">
        <v>0</v>
      </c>
      <c r="X399">
        <v>0</v>
      </c>
      <c r="Y399">
        <v>0</v>
      </c>
      <c r="Z399">
        <v>0</v>
      </c>
      <c r="AA399">
        <v>0</v>
      </c>
      <c r="AC399">
        <v>0</v>
      </c>
      <c r="AD399">
        <v>0</v>
      </c>
      <c r="AE399">
        <v>1</v>
      </c>
      <c r="AF399">
        <v>0</v>
      </c>
      <c r="AG399">
        <v>1</v>
      </c>
      <c r="AH399">
        <v>0</v>
      </c>
      <c r="AI399">
        <v>0</v>
      </c>
      <c r="AJ399">
        <v>1</v>
      </c>
      <c r="AK399">
        <v>1</v>
      </c>
      <c r="AL399" t="s">
        <v>273</v>
      </c>
      <c r="AX399" t="s">
        <v>146</v>
      </c>
      <c r="AZ399" t="s">
        <v>107</v>
      </c>
      <c r="BA399" t="s">
        <v>87</v>
      </c>
      <c r="BB399" t="s">
        <v>87</v>
      </c>
      <c r="BC399" t="s">
        <v>87</v>
      </c>
      <c r="BD399" t="s">
        <v>87</v>
      </c>
      <c r="BE399" t="s">
        <v>87</v>
      </c>
      <c r="BF399" t="s">
        <v>75</v>
      </c>
      <c r="BG399" t="s">
        <v>76</v>
      </c>
      <c r="BH399" t="s">
        <v>98</v>
      </c>
      <c r="BI399" t="s">
        <v>107</v>
      </c>
      <c r="BJ399" t="s">
        <v>78</v>
      </c>
      <c r="BK399">
        <v>0</v>
      </c>
      <c r="BL399">
        <v>0</v>
      </c>
      <c r="BM399">
        <v>0</v>
      </c>
      <c r="BN399">
        <v>0</v>
      </c>
      <c r="BO399">
        <v>0</v>
      </c>
      <c r="BP399">
        <v>1</v>
      </c>
      <c r="BQ399">
        <v>0</v>
      </c>
      <c r="BR399">
        <v>0</v>
      </c>
    </row>
    <row r="400" spans="1:71" x14ac:dyDescent="0.2">
      <c r="A400" s="1">
        <v>44585.570138888892</v>
      </c>
      <c r="B400" s="1">
        <v>44585.572222222225</v>
      </c>
      <c r="C400">
        <v>1</v>
      </c>
      <c r="D400">
        <v>0</v>
      </c>
      <c r="E400">
        <v>0</v>
      </c>
      <c r="F400">
        <v>0</v>
      </c>
      <c r="H400">
        <v>0</v>
      </c>
      <c r="I400">
        <v>1</v>
      </c>
      <c r="J400">
        <v>1</v>
      </c>
      <c r="K400">
        <v>0</v>
      </c>
      <c r="L400">
        <v>0</v>
      </c>
      <c r="N400" t="s">
        <v>88</v>
      </c>
      <c r="O400" t="s">
        <v>89</v>
      </c>
      <c r="P400">
        <v>0</v>
      </c>
      <c r="Q400">
        <v>0</v>
      </c>
      <c r="R400">
        <v>1</v>
      </c>
      <c r="S400">
        <v>0</v>
      </c>
      <c r="T400">
        <v>0</v>
      </c>
      <c r="U400">
        <v>0</v>
      </c>
      <c r="V400">
        <v>0</v>
      </c>
      <c r="W400">
        <v>0</v>
      </c>
      <c r="X400">
        <v>0</v>
      </c>
      <c r="Y400">
        <v>0</v>
      </c>
      <c r="Z400">
        <v>0</v>
      </c>
      <c r="AA400">
        <v>0</v>
      </c>
      <c r="AM400" t="s">
        <v>83</v>
      </c>
      <c r="AN400" t="s">
        <v>82</v>
      </c>
      <c r="AO400" t="s">
        <v>83</v>
      </c>
      <c r="AP400" t="s">
        <v>81</v>
      </c>
      <c r="AQ400" t="s">
        <v>83</v>
      </c>
      <c r="AR400" t="s">
        <v>83</v>
      </c>
      <c r="AS400" t="s">
        <v>83</v>
      </c>
      <c r="AT400" t="s">
        <v>83</v>
      </c>
      <c r="AU400" t="s">
        <v>88</v>
      </c>
      <c r="AV400" t="s">
        <v>89</v>
      </c>
      <c r="AW400" t="s">
        <v>100</v>
      </c>
      <c r="AX400" t="s">
        <v>118</v>
      </c>
      <c r="AZ400" t="s">
        <v>73</v>
      </c>
      <c r="BA400" t="s">
        <v>87</v>
      </c>
      <c r="BB400" t="s">
        <v>87</v>
      </c>
      <c r="BC400" t="s">
        <v>87</v>
      </c>
      <c r="BD400" t="s">
        <v>87</v>
      </c>
      <c r="BE400" t="s">
        <v>87</v>
      </c>
      <c r="BF400" t="s">
        <v>75</v>
      </c>
      <c r="BG400" t="s">
        <v>76</v>
      </c>
      <c r="BH400" t="s">
        <v>98</v>
      </c>
      <c r="BI400" t="s">
        <v>73</v>
      </c>
      <c r="BJ400" t="s">
        <v>78</v>
      </c>
      <c r="BK400">
        <v>1</v>
      </c>
      <c r="BL400">
        <v>0</v>
      </c>
      <c r="BM400">
        <v>0</v>
      </c>
      <c r="BN400">
        <v>0</v>
      </c>
      <c r="BO400">
        <v>0</v>
      </c>
      <c r="BP400">
        <v>0</v>
      </c>
      <c r="BQ400">
        <v>0</v>
      </c>
      <c r="BR400">
        <v>0</v>
      </c>
    </row>
    <row r="401" spans="1:72" x14ac:dyDescent="0.2">
      <c r="A401" s="1">
        <v>44585.624305555553</v>
      </c>
      <c r="B401" s="1">
        <v>44585.627083333333</v>
      </c>
      <c r="C401">
        <v>1</v>
      </c>
      <c r="D401">
        <v>0</v>
      </c>
      <c r="E401">
        <v>0</v>
      </c>
      <c r="F401">
        <v>0</v>
      </c>
      <c r="H401">
        <v>1</v>
      </c>
      <c r="I401">
        <v>0</v>
      </c>
      <c r="J401">
        <v>0</v>
      </c>
      <c r="K401">
        <v>0</v>
      </c>
      <c r="L401">
        <v>0</v>
      </c>
      <c r="P401">
        <v>0</v>
      </c>
      <c r="Q401">
        <v>1</v>
      </c>
      <c r="R401">
        <v>1</v>
      </c>
      <c r="S401">
        <v>0</v>
      </c>
      <c r="T401">
        <v>0</v>
      </c>
      <c r="U401">
        <v>0</v>
      </c>
      <c r="V401">
        <v>0</v>
      </c>
      <c r="W401">
        <v>0</v>
      </c>
      <c r="X401">
        <v>0</v>
      </c>
      <c r="Y401">
        <v>0</v>
      </c>
      <c r="Z401">
        <v>0</v>
      </c>
      <c r="AA401">
        <v>0</v>
      </c>
      <c r="AM401" t="s">
        <v>82</v>
      </c>
      <c r="AN401" t="s">
        <v>81</v>
      </c>
      <c r="AO401" t="s">
        <v>81</v>
      </c>
      <c r="AP401" t="s">
        <v>81</v>
      </c>
      <c r="AQ401" t="s">
        <v>81</v>
      </c>
      <c r="AR401" t="s">
        <v>82</v>
      </c>
      <c r="AS401" t="s">
        <v>81</v>
      </c>
      <c r="AT401" t="s">
        <v>81</v>
      </c>
      <c r="AU401" t="s">
        <v>135</v>
      </c>
      <c r="AV401" t="s">
        <v>89</v>
      </c>
      <c r="AW401" t="s">
        <v>85</v>
      </c>
      <c r="AX401" t="s">
        <v>126</v>
      </c>
      <c r="AZ401" t="s">
        <v>120</v>
      </c>
      <c r="BA401" t="s">
        <v>86</v>
      </c>
      <c r="BB401" t="s">
        <v>87</v>
      </c>
      <c r="BC401" t="s">
        <v>87</v>
      </c>
      <c r="BD401" t="s">
        <v>74</v>
      </c>
      <c r="BE401" t="s">
        <v>87</v>
      </c>
      <c r="BF401" t="s">
        <v>75</v>
      </c>
      <c r="BG401" t="s">
        <v>76</v>
      </c>
      <c r="BH401" t="s">
        <v>98</v>
      </c>
      <c r="BI401" t="s">
        <v>120</v>
      </c>
      <c r="BK401">
        <v>1</v>
      </c>
      <c r="BL401">
        <v>0</v>
      </c>
      <c r="BM401">
        <v>0</v>
      </c>
      <c r="BN401">
        <v>0</v>
      </c>
      <c r="BO401">
        <v>0</v>
      </c>
      <c r="BP401">
        <v>0</v>
      </c>
      <c r="BQ401">
        <v>0</v>
      </c>
      <c r="BR401">
        <v>0</v>
      </c>
      <c r="BT401" t="s">
        <v>188</v>
      </c>
    </row>
    <row r="402" spans="1:72" x14ac:dyDescent="0.2">
      <c r="A402" s="1">
        <v>44589.73333333333</v>
      </c>
      <c r="B402" s="1">
        <v>44589.73541666667</v>
      </c>
      <c r="C402">
        <v>0</v>
      </c>
      <c r="D402">
        <v>0</v>
      </c>
      <c r="E402">
        <v>0</v>
      </c>
      <c r="F402">
        <v>1</v>
      </c>
      <c r="P402">
        <v>1</v>
      </c>
      <c r="Q402">
        <v>0</v>
      </c>
      <c r="R402">
        <v>0</v>
      </c>
      <c r="S402">
        <v>0</v>
      </c>
      <c r="T402">
        <v>0</v>
      </c>
      <c r="U402">
        <v>0</v>
      </c>
      <c r="V402">
        <v>0</v>
      </c>
      <c r="W402">
        <v>0</v>
      </c>
      <c r="X402">
        <v>0</v>
      </c>
      <c r="Y402">
        <v>0</v>
      </c>
      <c r="Z402">
        <v>0</v>
      </c>
      <c r="AA402">
        <v>0</v>
      </c>
      <c r="AC402">
        <v>0</v>
      </c>
      <c r="AD402">
        <v>0</v>
      </c>
      <c r="AE402">
        <v>1</v>
      </c>
      <c r="AF402">
        <v>0</v>
      </c>
      <c r="AG402">
        <v>0</v>
      </c>
      <c r="AH402">
        <v>0</v>
      </c>
      <c r="AI402">
        <v>0</v>
      </c>
      <c r="AJ402">
        <v>0</v>
      </c>
      <c r="AK402">
        <v>0</v>
      </c>
      <c r="AZ402" t="s">
        <v>96</v>
      </c>
      <c r="BF402" t="s">
        <v>97</v>
      </c>
      <c r="BG402" t="s">
        <v>76</v>
      </c>
      <c r="BH402" t="s">
        <v>158</v>
      </c>
      <c r="BI402" t="s">
        <v>96</v>
      </c>
      <c r="BJ402" t="s">
        <v>109</v>
      </c>
      <c r="BK402">
        <v>0</v>
      </c>
      <c r="BL402">
        <v>0</v>
      </c>
      <c r="BM402">
        <v>0</v>
      </c>
      <c r="BN402">
        <v>0</v>
      </c>
      <c r="BO402">
        <v>0</v>
      </c>
      <c r="BP402">
        <v>0</v>
      </c>
      <c r="BQ402">
        <v>0</v>
      </c>
      <c r="BR402">
        <v>1</v>
      </c>
    </row>
    <row r="403" spans="1:72" x14ac:dyDescent="0.2">
      <c r="A403" s="1">
        <v>44585.591666666667</v>
      </c>
      <c r="B403" s="1">
        <v>44585.593055555553</v>
      </c>
      <c r="C403">
        <v>0</v>
      </c>
      <c r="D403">
        <v>1</v>
      </c>
      <c r="E403">
        <v>0</v>
      </c>
      <c r="F403">
        <v>0</v>
      </c>
      <c r="H403">
        <v>1</v>
      </c>
      <c r="I403">
        <v>0</v>
      </c>
      <c r="J403">
        <v>0</v>
      </c>
      <c r="K403">
        <v>0</v>
      </c>
      <c r="L403">
        <v>0</v>
      </c>
      <c r="P403">
        <v>0</v>
      </c>
      <c r="Q403">
        <v>1</v>
      </c>
      <c r="R403">
        <v>0</v>
      </c>
      <c r="S403">
        <v>0</v>
      </c>
      <c r="T403">
        <v>0</v>
      </c>
      <c r="U403">
        <v>0</v>
      </c>
      <c r="V403">
        <v>0</v>
      </c>
      <c r="W403">
        <v>0</v>
      </c>
      <c r="X403">
        <v>0</v>
      </c>
      <c r="Y403">
        <v>0</v>
      </c>
      <c r="Z403">
        <v>0</v>
      </c>
      <c r="AA403">
        <v>0</v>
      </c>
      <c r="AM403" t="s">
        <v>90</v>
      </c>
      <c r="AN403" t="s">
        <v>82</v>
      </c>
      <c r="AO403" t="s">
        <v>90</v>
      </c>
      <c r="AP403" t="s">
        <v>90</v>
      </c>
      <c r="AQ403" t="s">
        <v>90</v>
      </c>
      <c r="AR403" t="s">
        <v>90</v>
      </c>
      <c r="AS403" t="s">
        <v>90</v>
      </c>
      <c r="AT403" t="s">
        <v>90</v>
      </c>
      <c r="AU403" t="s">
        <v>127</v>
      </c>
      <c r="AV403" t="s">
        <v>127</v>
      </c>
      <c r="AZ403" t="s">
        <v>107</v>
      </c>
      <c r="BA403" t="s">
        <v>74</v>
      </c>
      <c r="BF403" t="s">
        <v>97</v>
      </c>
      <c r="BG403" t="s">
        <v>76</v>
      </c>
      <c r="BH403" t="s">
        <v>98</v>
      </c>
      <c r="BI403" t="s">
        <v>107</v>
      </c>
      <c r="BJ403" t="s">
        <v>147</v>
      </c>
      <c r="BK403">
        <v>1</v>
      </c>
      <c r="BL403">
        <v>0</v>
      </c>
      <c r="BM403">
        <v>0</v>
      </c>
      <c r="BN403">
        <v>0</v>
      </c>
      <c r="BO403">
        <v>0</v>
      </c>
      <c r="BP403">
        <v>0</v>
      </c>
      <c r="BQ403">
        <v>0</v>
      </c>
      <c r="BR403">
        <v>0</v>
      </c>
    </row>
    <row r="404" spans="1:72" x14ac:dyDescent="0.2">
      <c r="A404" s="1">
        <v>44579.908333333333</v>
      </c>
      <c r="B404" s="1">
        <v>44579.911111111112</v>
      </c>
      <c r="C404">
        <v>1</v>
      </c>
      <c r="D404">
        <v>0</v>
      </c>
      <c r="E404">
        <v>0</v>
      </c>
      <c r="F404">
        <v>0</v>
      </c>
      <c r="H404">
        <v>0</v>
      </c>
      <c r="I404">
        <v>0</v>
      </c>
      <c r="J404">
        <v>1</v>
      </c>
      <c r="K404">
        <v>0</v>
      </c>
      <c r="L404">
        <v>0</v>
      </c>
      <c r="N404" t="s">
        <v>79</v>
      </c>
      <c r="O404" t="s">
        <v>80</v>
      </c>
      <c r="P404">
        <v>0</v>
      </c>
      <c r="Q404">
        <v>0</v>
      </c>
      <c r="R404">
        <v>1</v>
      </c>
      <c r="S404">
        <v>0</v>
      </c>
      <c r="T404">
        <v>0</v>
      </c>
      <c r="U404">
        <v>0</v>
      </c>
      <c r="V404">
        <v>0</v>
      </c>
      <c r="W404">
        <v>0</v>
      </c>
      <c r="X404">
        <v>0</v>
      </c>
      <c r="Y404">
        <v>0</v>
      </c>
      <c r="Z404">
        <v>0</v>
      </c>
      <c r="AA404">
        <v>0</v>
      </c>
      <c r="AM404" t="s">
        <v>81</v>
      </c>
      <c r="AN404" t="s">
        <v>83</v>
      </c>
      <c r="AO404" t="s">
        <v>83</v>
      </c>
      <c r="AP404" t="s">
        <v>81</v>
      </c>
      <c r="AQ404" t="s">
        <v>82</v>
      </c>
      <c r="AR404" t="s">
        <v>83</v>
      </c>
      <c r="AS404" t="s">
        <v>83</v>
      </c>
      <c r="AT404" t="s">
        <v>83</v>
      </c>
      <c r="AU404" t="s">
        <v>88</v>
      </c>
      <c r="AV404" t="s">
        <v>89</v>
      </c>
      <c r="AW404" t="s">
        <v>85</v>
      </c>
      <c r="AX404" t="s">
        <v>146</v>
      </c>
      <c r="AZ404" t="s">
        <v>107</v>
      </c>
      <c r="BA404" t="s">
        <v>86</v>
      </c>
      <c r="BB404" t="s">
        <v>87</v>
      </c>
      <c r="BC404" t="s">
        <v>86</v>
      </c>
      <c r="BD404" t="s">
        <v>86</v>
      </c>
      <c r="BE404" t="s">
        <v>87</v>
      </c>
      <c r="BF404" t="s">
        <v>75</v>
      </c>
      <c r="BG404" t="s">
        <v>76</v>
      </c>
      <c r="BH404" t="s">
        <v>98</v>
      </c>
      <c r="BI404" t="s">
        <v>107</v>
      </c>
      <c r="BJ404" t="s">
        <v>114</v>
      </c>
      <c r="BK404">
        <v>1</v>
      </c>
      <c r="BL404">
        <v>0</v>
      </c>
      <c r="BM404">
        <v>0</v>
      </c>
      <c r="BN404">
        <v>0</v>
      </c>
      <c r="BO404">
        <v>0</v>
      </c>
      <c r="BP404">
        <v>0</v>
      </c>
      <c r="BQ404">
        <v>0</v>
      </c>
      <c r="BR404">
        <v>0</v>
      </c>
    </row>
    <row r="405" spans="1:72" x14ac:dyDescent="0.2">
      <c r="A405" s="1">
        <v>44588.885416666664</v>
      </c>
      <c r="B405" s="1">
        <v>44588.888194444444</v>
      </c>
      <c r="C405">
        <v>0</v>
      </c>
      <c r="D405">
        <v>1</v>
      </c>
      <c r="E405">
        <v>0</v>
      </c>
      <c r="F405">
        <v>0</v>
      </c>
      <c r="H405">
        <v>0</v>
      </c>
      <c r="I405">
        <v>0</v>
      </c>
      <c r="J405">
        <v>1</v>
      </c>
      <c r="K405">
        <v>0</v>
      </c>
      <c r="L405">
        <v>0</v>
      </c>
      <c r="N405" t="s">
        <v>135</v>
      </c>
      <c r="O405" t="s">
        <v>127</v>
      </c>
      <c r="P405">
        <v>0</v>
      </c>
      <c r="Q405">
        <v>1</v>
      </c>
      <c r="R405">
        <v>0</v>
      </c>
      <c r="S405">
        <v>0</v>
      </c>
      <c r="T405">
        <v>0</v>
      </c>
      <c r="U405">
        <v>0</v>
      </c>
      <c r="V405">
        <v>0</v>
      </c>
      <c r="W405">
        <v>0</v>
      </c>
      <c r="X405">
        <v>0</v>
      </c>
      <c r="Y405">
        <v>0</v>
      </c>
      <c r="Z405">
        <v>0</v>
      </c>
      <c r="AA405">
        <v>0</v>
      </c>
      <c r="AM405" t="s">
        <v>81</v>
      </c>
      <c r="AN405" t="s">
        <v>82</v>
      </c>
      <c r="AO405" t="s">
        <v>83</v>
      </c>
      <c r="AP405" t="s">
        <v>81</v>
      </c>
      <c r="AQ405" t="s">
        <v>81</v>
      </c>
      <c r="AR405" t="s">
        <v>83</v>
      </c>
      <c r="AS405" t="s">
        <v>83</v>
      </c>
      <c r="AT405" t="s">
        <v>83</v>
      </c>
      <c r="AU405" t="s">
        <v>88</v>
      </c>
      <c r="AV405" t="s">
        <v>127</v>
      </c>
      <c r="AW405" t="s">
        <v>85</v>
      </c>
      <c r="AX405" t="s">
        <v>106</v>
      </c>
      <c r="AZ405" t="s">
        <v>107</v>
      </c>
      <c r="BA405" t="s">
        <v>87</v>
      </c>
      <c r="BB405" t="s">
        <v>87</v>
      </c>
      <c r="BC405" t="s">
        <v>87</v>
      </c>
      <c r="BD405" t="s">
        <v>87</v>
      </c>
      <c r="BE405" t="s">
        <v>87</v>
      </c>
      <c r="BF405" t="s">
        <v>75</v>
      </c>
      <c r="BG405" t="s">
        <v>76</v>
      </c>
      <c r="BH405" t="s">
        <v>98</v>
      </c>
      <c r="BI405" t="s">
        <v>107</v>
      </c>
      <c r="BJ405" t="s">
        <v>78</v>
      </c>
      <c r="BK405">
        <v>1</v>
      </c>
      <c r="BL405">
        <v>0</v>
      </c>
      <c r="BM405">
        <v>0</v>
      </c>
      <c r="BN405">
        <v>0</v>
      </c>
      <c r="BO405">
        <v>0</v>
      </c>
      <c r="BP405">
        <v>0</v>
      </c>
      <c r="BQ405">
        <v>0</v>
      </c>
      <c r="BR405">
        <v>0</v>
      </c>
    </row>
    <row r="406" spans="1:72" x14ac:dyDescent="0.2">
      <c r="A406" s="1">
        <v>44585.572916666664</v>
      </c>
      <c r="B406" s="1">
        <v>44585.574305555558</v>
      </c>
      <c r="C406">
        <v>0</v>
      </c>
      <c r="D406">
        <v>1</v>
      </c>
      <c r="E406">
        <v>0</v>
      </c>
      <c r="F406">
        <v>0</v>
      </c>
      <c r="H406">
        <v>1</v>
      </c>
      <c r="I406">
        <v>0</v>
      </c>
      <c r="J406">
        <v>0</v>
      </c>
      <c r="K406">
        <v>0</v>
      </c>
      <c r="L406">
        <v>0</v>
      </c>
      <c r="P406">
        <v>1</v>
      </c>
      <c r="Q406">
        <v>0</v>
      </c>
      <c r="R406">
        <v>0</v>
      </c>
      <c r="S406">
        <v>0</v>
      </c>
      <c r="T406">
        <v>0</v>
      </c>
      <c r="U406">
        <v>0</v>
      </c>
      <c r="V406">
        <v>0</v>
      </c>
      <c r="W406">
        <v>0</v>
      </c>
      <c r="X406">
        <v>0</v>
      </c>
      <c r="Y406">
        <v>0</v>
      </c>
      <c r="Z406">
        <v>0</v>
      </c>
      <c r="AA406">
        <v>0</v>
      </c>
      <c r="AC406">
        <v>0</v>
      </c>
      <c r="AD406">
        <v>0</v>
      </c>
      <c r="AE406">
        <v>1</v>
      </c>
      <c r="AF406">
        <v>0</v>
      </c>
      <c r="AG406">
        <v>1</v>
      </c>
      <c r="AH406">
        <v>0</v>
      </c>
      <c r="AI406">
        <v>0</v>
      </c>
      <c r="AJ406">
        <v>0</v>
      </c>
      <c r="AK406">
        <v>0</v>
      </c>
      <c r="AX406" t="s">
        <v>110</v>
      </c>
      <c r="AY406" t="s">
        <v>139</v>
      </c>
      <c r="AZ406" t="s">
        <v>96</v>
      </c>
      <c r="BA406" t="s">
        <v>74</v>
      </c>
      <c r="BF406" t="s">
        <v>75</v>
      </c>
      <c r="BG406" t="s">
        <v>76</v>
      </c>
      <c r="BH406" t="s">
        <v>98</v>
      </c>
      <c r="BI406" t="s">
        <v>96</v>
      </c>
      <c r="BJ406" t="s">
        <v>154</v>
      </c>
      <c r="BK406">
        <v>1</v>
      </c>
      <c r="BL406">
        <v>0</v>
      </c>
      <c r="BM406">
        <v>0</v>
      </c>
      <c r="BN406">
        <v>0</v>
      </c>
      <c r="BO406">
        <v>0</v>
      </c>
      <c r="BP406">
        <v>0</v>
      </c>
      <c r="BQ406">
        <v>0</v>
      </c>
      <c r="BR406">
        <v>0</v>
      </c>
    </row>
    <row r="407" spans="1:72" x14ac:dyDescent="0.2">
      <c r="A407" s="1">
        <v>44579.993055555555</v>
      </c>
      <c r="B407" s="1">
        <v>44579.995138888888</v>
      </c>
      <c r="C407">
        <v>1</v>
      </c>
      <c r="D407">
        <v>0</v>
      </c>
      <c r="E407">
        <v>0</v>
      </c>
      <c r="F407">
        <v>0</v>
      </c>
      <c r="H407">
        <v>0</v>
      </c>
      <c r="I407">
        <v>1</v>
      </c>
      <c r="J407">
        <v>0</v>
      </c>
      <c r="K407">
        <v>0</v>
      </c>
      <c r="L407">
        <v>0</v>
      </c>
      <c r="N407" t="s">
        <v>88</v>
      </c>
      <c r="O407" t="s">
        <v>80</v>
      </c>
      <c r="P407">
        <v>1</v>
      </c>
      <c r="Q407">
        <v>0</v>
      </c>
      <c r="R407">
        <v>0</v>
      </c>
      <c r="S407">
        <v>0</v>
      </c>
      <c r="T407">
        <v>0</v>
      </c>
      <c r="U407">
        <v>0</v>
      </c>
      <c r="V407">
        <v>0</v>
      </c>
      <c r="W407">
        <v>0</v>
      </c>
      <c r="X407">
        <v>0</v>
      </c>
      <c r="Y407">
        <v>0</v>
      </c>
      <c r="Z407">
        <v>0</v>
      </c>
      <c r="AA407">
        <v>0</v>
      </c>
      <c r="AC407">
        <v>0</v>
      </c>
      <c r="AD407">
        <v>0</v>
      </c>
      <c r="AE407">
        <v>0</v>
      </c>
      <c r="AF407">
        <v>0</v>
      </c>
      <c r="AG407">
        <v>0</v>
      </c>
      <c r="AH407">
        <v>0</v>
      </c>
      <c r="AI407">
        <v>0</v>
      </c>
      <c r="AJ407">
        <v>0</v>
      </c>
      <c r="AK407">
        <v>1</v>
      </c>
      <c r="AL407" t="s">
        <v>274</v>
      </c>
      <c r="AX407" t="s">
        <v>110</v>
      </c>
      <c r="AY407" t="s">
        <v>275</v>
      </c>
      <c r="AZ407" t="s">
        <v>73</v>
      </c>
      <c r="BA407" t="s">
        <v>86</v>
      </c>
      <c r="BB407" t="s">
        <v>74</v>
      </c>
      <c r="BC407" t="s">
        <v>86</v>
      </c>
      <c r="BD407" t="s">
        <v>74</v>
      </c>
      <c r="BE407" t="s">
        <v>86</v>
      </c>
      <c r="BF407" t="s">
        <v>75</v>
      </c>
      <c r="BG407" t="s">
        <v>76</v>
      </c>
      <c r="BH407" t="s">
        <v>98</v>
      </c>
      <c r="BI407" t="s">
        <v>73</v>
      </c>
      <c r="BJ407" t="s">
        <v>114</v>
      </c>
      <c r="BK407">
        <v>0</v>
      </c>
      <c r="BL407">
        <v>0</v>
      </c>
      <c r="BM407">
        <v>0</v>
      </c>
      <c r="BN407">
        <v>0</v>
      </c>
      <c r="BO407">
        <v>1</v>
      </c>
      <c r="BP407">
        <v>1</v>
      </c>
      <c r="BQ407">
        <v>0</v>
      </c>
      <c r="BR407">
        <v>0</v>
      </c>
    </row>
    <row r="408" spans="1:72" x14ac:dyDescent="0.2">
      <c r="A408" s="1">
        <v>44580.5625</v>
      </c>
      <c r="B408" s="1">
        <v>44580.566666666666</v>
      </c>
      <c r="C408">
        <v>0</v>
      </c>
      <c r="D408">
        <v>1</v>
      </c>
      <c r="E408">
        <v>0</v>
      </c>
      <c r="F408">
        <v>0</v>
      </c>
      <c r="H408">
        <v>0</v>
      </c>
      <c r="I408">
        <v>1</v>
      </c>
      <c r="J408">
        <v>0</v>
      </c>
      <c r="K408">
        <v>1</v>
      </c>
      <c r="L408">
        <v>0</v>
      </c>
      <c r="N408" t="s">
        <v>79</v>
      </c>
      <c r="O408" t="s">
        <v>89</v>
      </c>
      <c r="P408">
        <v>1</v>
      </c>
      <c r="Q408">
        <v>0</v>
      </c>
      <c r="R408">
        <v>0</v>
      </c>
      <c r="S408">
        <v>0</v>
      </c>
      <c r="T408">
        <v>0</v>
      </c>
      <c r="U408">
        <v>0</v>
      </c>
      <c r="V408">
        <v>0</v>
      </c>
      <c r="W408">
        <v>0</v>
      </c>
      <c r="X408">
        <v>0</v>
      </c>
      <c r="Y408">
        <v>0</v>
      </c>
      <c r="Z408">
        <v>0</v>
      </c>
      <c r="AA408">
        <v>0</v>
      </c>
      <c r="AC408">
        <v>0</v>
      </c>
      <c r="AD408">
        <v>0</v>
      </c>
      <c r="AE408">
        <v>1</v>
      </c>
      <c r="AF408">
        <v>0</v>
      </c>
      <c r="AG408">
        <v>0</v>
      </c>
      <c r="AH408">
        <v>0</v>
      </c>
      <c r="AI408">
        <v>0</v>
      </c>
      <c r="AJ408">
        <v>0</v>
      </c>
      <c r="AK408">
        <v>0</v>
      </c>
      <c r="AX408" t="s">
        <v>72</v>
      </c>
      <c r="AZ408" t="s">
        <v>107</v>
      </c>
      <c r="BA408" t="s">
        <v>86</v>
      </c>
      <c r="BB408" t="s">
        <v>74</v>
      </c>
      <c r="BC408" t="s">
        <v>87</v>
      </c>
      <c r="BD408" t="s">
        <v>87</v>
      </c>
      <c r="BE408" t="s">
        <v>86</v>
      </c>
      <c r="BF408" t="s">
        <v>75</v>
      </c>
      <c r="BG408" t="s">
        <v>76</v>
      </c>
      <c r="BH408" t="s">
        <v>98</v>
      </c>
      <c r="BI408" t="s">
        <v>107</v>
      </c>
      <c r="BJ408" t="s">
        <v>114</v>
      </c>
      <c r="BK408">
        <v>1</v>
      </c>
      <c r="BL408">
        <v>0</v>
      </c>
      <c r="BM408">
        <v>0</v>
      </c>
      <c r="BN408">
        <v>0</v>
      </c>
      <c r="BO408">
        <v>0</v>
      </c>
      <c r="BP408">
        <v>0</v>
      </c>
      <c r="BQ408">
        <v>0</v>
      </c>
      <c r="BR408">
        <v>0</v>
      </c>
    </row>
    <row r="409" spans="1:72" x14ac:dyDescent="0.2">
      <c r="A409" s="1">
        <v>44579.886805555558</v>
      </c>
      <c r="B409" s="1">
        <v>44579.88958333333</v>
      </c>
      <c r="C409">
        <v>0</v>
      </c>
      <c r="D409">
        <v>1</v>
      </c>
      <c r="E409">
        <v>0</v>
      </c>
      <c r="F409">
        <v>0</v>
      </c>
      <c r="H409">
        <v>0</v>
      </c>
      <c r="I409">
        <v>1</v>
      </c>
      <c r="J409">
        <v>0</v>
      </c>
      <c r="K409">
        <v>1</v>
      </c>
      <c r="L409">
        <v>0</v>
      </c>
      <c r="N409" t="s">
        <v>79</v>
      </c>
      <c r="O409" t="s">
        <v>80</v>
      </c>
      <c r="P409">
        <v>0</v>
      </c>
      <c r="Q409">
        <v>1</v>
      </c>
      <c r="R409">
        <v>0</v>
      </c>
      <c r="S409">
        <v>0</v>
      </c>
      <c r="T409">
        <v>0</v>
      </c>
      <c r="U409">
        <v>0</v>
      </c>
      <c r="V409">
        <v>0</v>
      </c>
      <c r="W409">
        <v>0</v>
      </c>
      <c r="X409">
        <v>0</v>
      </c>
      <c r="Y409">
        <v>0</v>
      </c>
      <c r="Z409">
        <v>0</v>
      </c>
      <c r="AA409">
        <v>0</v>
      </c>
      <c r="AM409" t="s">
        <v>90</v>
      </c>
      <c r="AN409" t="s">
        <v>82</v>
      </c>
      <c r="AO409" t="s">
        <v>81</v>
      </c>
      <c r="AP409" t="s">
        <v>90</v>
      </c>
      <c r="AQ409" t="s">
        <v>90</v>
      </c>
      <c r="AR409" t="s">
        <v>90</v>
      </c>
      <c r="AS409" t="s">
        <v>90</v>
      </c>
      <c r="AT409" t="s">
        <v>90</v>
      </c>
      <c r="AU409" t="s">
        <v>88</v>
      </c>
      <c r="AV409" t="s">
        <v>89</v>
      </c>
      <c r="AW409" t="s">
        <v>100</v>
      </c>
      <c r="AX409" t="s">
        <v>119</v>
      </c>
      <c r="AZ409" t="s">
        <v>73</v>
      </c>
      <c r="BA409" t="s">
        <v>87</v>
      </c>
      <c r="BB409" t="s">
        <v>87</v>
      </c>
      <c r="BC409" t="s">
        <v>87</v>
      </c>
      <c r="BD409" t="s">
        <v>87</v>
      </c>
      <c r="BE409" t="s">
        <v>87</v>
      </c>
      <c r="BF409" t="s">
        <v>75</v>
      </c>
      <c r="BG409" t="s">
        <v>76</v>
      </c>
      <c r="BH409" t="s">
        <v>77</v>
      </c>
      <c r="BI409" t="s">
        <v>73</v>
      </c>
      <c r="BJ409" t="s">
        <v>78</v>
      </c>
      <c r="BK409">
        <v>1</v>
      </c>
      <c r="BL409">
        <v>0</v>
      </c>
      <c r="BM409">
        <v>0</v>
      </c>
      <c r="BN409">
        <v>0</v>
      </c>
      <c r="BO409">
        <v>0</v>
      </c>
      <c r="BP409">
        <v>0</v>
      </c>
      <c r="BQ409">
        <v>0</v>
      </c>
      <c r="BR409">
        <v>0</v>
      </c>
    </row>
    <row r="410" spans="1:72" x14ac:dyDescent="0.2">
      <c r="A410" s="1">
        <v>44582.76458333333</v>
      </c>
      <c r="B410" s="1">
        <v>44582.767361111109</v>
      </c>
      <c r="C410">
        <v>0</v>
      </c>
      <c r="D410">
        <v>1</v>
      </c>
      <c r="E410">
        <v>0</v>
      </c>
      <c r="F410">
        <v>0</v>
      </c>
      <c r="H410">
        <v>0</v>
      </c>
      <c r="I410">
        <v>1</v>
      </c>
      <c r="J410">
        <v>0</v>
      </c>
      <c r="K410">
        <v>1</v>
      </c>
      <c r="L410">
        <v>0</v>
      </c>
      <c r="N410" t="s">
        <v>88</v>
      </c>
      <c r="O410" t="s">
        <v>80</v>
      </c>
      <c r="P410">
        <v>1</v>
      </c>
      <c r="Q410">
        <v>0</v>
      </c>
      <c r="R410">
        <v>0</v>
      </c>
      <c r="S410">
        <v>0</v>
      </c>
      <c r="T410">
        <v>0</v>
      </c>
      <c r="U410">
        <v>0</v>
      </c>
      <c r="V410">
        <v>0</v>
      </c>
      <c r="W410">
        <v>0</v>
      </c>
      <c r="X410">
        <v>0</v>
      </c>
      <c r="Y410">
        <v>0</v>
      </c>
      <c r="Z410">
        <v>0</v>
      </c>
      <c r="AA410">
        <v>0</v>
      </c>
      <c r="AC410">
        <v>1</v>
      </c>
      <c r="AD410">
        <v>0</v>
      </c>
      <c r="AE410">
        <v>0</v>
      </c>
      <c r="AF410">
        <v>0</v>
      </c>
      <c r="AG410">
        <v>0</v>
      </c>
      <c r="AH410">
        <v>0</v>
      </c>
      <c r="AI410">
        <v>0</v>
      </c>
      <c r="AJ410">
        <v>0</v>
      </c>
      <c r="AK410">
        <v>0</v>
      </c>
      <c r="AZ410" t="s">
        <v>73</v>
      </c>
      <c r="BA410" t="s">
        <v>87</v>
      </c>
      <c r="BB410" t="s">
        <v>87</v>
      </c>
      <c r="BC410" t="s">
        <v>87</v>
      </c>
      <c r="BD410" t="s">
        <v>87</v>
      </c>
      <c r="BE410" t="s">
        <v>87</v>
      </c>
      <c r="BF410" t="s">
        <v>97</v>
      </c>
      <c r="BG410" t="s">
        <v>76</v>
      </c>
      <c r="BH410" t="s">
        <v>98</v>
      </c>
      <c r="BI410" t="s">
        <v>73</v>
      </c>
      <c r="BJ410" t="s">
        <v>114</v>
      </c>
      <c r="BK410">
        <v>1</v>
      </c>
      <c r="BL410">
        <v>0</v>
      </c>
      <c r="BM410">
        <v>0</v>
      </c>
      <c r="BN410">
        <v>0</v>
      </c>
      <c r="BO410">
        <v>0</v>
      </c>
      <c r="BP410">
        <v>0</v>
      </c>
      <c r="BQ410">
        <v>0</v>
      </c>
      <c r="BR410">
        <v>0</v>
      </c>
    </row>
    <row r="411" spans="1:72" x14ac:dyDescent="0.2">
      <c r="A411" s="1">
        <v>44588.897222222222</v>
      </c>
      <c r="B411" s="1">
        <v>44588.901388888888</v>
      </c>
      <c r="C411">
        <v>0</v>
      </c>
      <c r="D411">
        <v>1</v>
      </c>
      <c r="E411">
        <v>0</v>
      </c>
      <c r="F411">
        <v>0</v>
      </c>
      <c r="H411">
        <v>1</v>
      </c>
      <c r="I411">
        <v>0</v>
      </c>
      <c r="J411">
        <v>0</v>
      </c>
      <c r="K411">
        <v>0</v>
      </c>
      <c r="L411">
        <v>0</v>
      </c>
      <c r="P411">
        <v>0</v>
      </c>
      <c r="Q411">
        <v>1</v>
      </c>
      <c r="R411">
        <v>0</v>
      </c>
      <c r="S411">
        <v>0</v>
      </c>
      <c r="T411">
        <v>0</v>
      </c>
      <c r="U411">
        <v>0</v>
      </c>
      <c r="V411">
        <v>0</v>
      </c>
      <c r="W411">
        <v>0</v>
      </c>
      <c r="X411">
        <v>0</v>
      </c>
      <c r="Y411">
        <v>0</v>
      </c>
      <c r="Z411">
        <v>0</v>
      </c>
      <c r="AA411">
        <v>0</v>
      </c>
      <c r="AM411" t="s">
        <v>83</v>
      </c>
      <c r="AN411" t="s">
        <v>81</v>
      </c>
      <c r="AO411" t="s">
        <v>90</v>
      </c>
      <c r="AP411" t="s">
        <v>82</v>
      </c>
      <c r="AQ411" t="s">
        <v>83</v>
      </c>
      <c r="AR411" t="s">
        <v>83</v>
      </c>
      <c r="AS411" t="s">
        <v>83</v>
      </c>
      <c r="AT411" t="s">
        <v>83</v>
      </c>
      <c r="AU411" t="s">
        <v>88</v>
      </c>
      <c r="AV411" t="s">
        <v>89</v>
      </c>
      <c r="AW411" t="s">
        <v>100</v>
      </c>
      <c r="AZ411" t="s">
        <v>73</v>
      </c>
      <c r="BA411" t="s">
        <v>74</v>
      </c>
      <c r="BF411" t="s">
        <v>97</v>
      </c>
      <c r="BG411" t="s">
        <v>76</v>
      </c>
      <c r="BH411" t="s">
        <v>158</v>
      </c>
      <c r="BI411" t="s">
        <v>73</v>
      </c>
      <c r="BJ411" t="s">
        <v>114</v>
      </c>
      <c r="BK411">
        <v>0</v>
      </c>
      <c r="BL411">
        <v>0</v>
      </c>
      <c r="BM411">
        <v>0</v>
      </c>
      <c r="BN411">
        <v>0</v>
      </c>
      <c r="BO411">
        <v>0</v>
      </c>
      <c r="BP411">
        <v>0</v>
      </c>
      <c r="BQ411">
        <v>0</v>
      </c>
      <c r="BR411">
        <v>1</v>
      </c>
    </row>
    <row r="412" spans="1:72" x14ac:dyDescent="0.2">
      <c r="A412" s="1">
        <v>44579.921527777777</v>
      </c>
      <c r="B412" s="1">
        <v>44579.927083333336</v>
      </c>
      <c r="C412">
        <v>1</v>
      </c>
      <c r="D412">
        <v>0</v>
      </c>
      <c r="E412">
        <v>0</v>
      </c>
      <c r="F412">
        <v>0</v>
      </c>
      <c r="H412">
        <v>1</v>
      </c>
      <c r="I412">
        <v>0</v>
      </c>
      <c r="J412">
        <v>0</v>
      </c>
      <c r="K412">
        <v>0</v>
      </c>
      <c r="L412">
        <v>0</v>
      </c>
      <c r="P412">
        <v>1</v>
      </c>
      <c r="Q412">
        <v>0</v>
      </c>
      <c r="R412">
        <v>0</v>
      </c>
      <c r="S412">
        <v>0</v>
      </c>
      <c r="T412">
        <v>0</v>
      </c>
      <c r="U412">
        <v>0</v>
      </c>
      <c r="V412">
        <v>0</v>
      </c>
      <c r="W412">
        <v>0</v>
      </c>
      <c r="X412">
        <v>0</v>
      </c>
      <c r="Y412">
        <v>0</v>
      </c>
      <c r="Z412">
        <v>0</v>
      </c>
      <c r="AA412">
        <v>0</v>
      </c>
      <c r="AC412">
        <v>0</v>
      </c>
      <c r="AD412">
        <v>1</v>
      </c>
      <c r="AE412">
        <v>0</v>
      </c>
      <c r="AF412">
        <v>0</v>
      </c>
      <c r="AG412">
        <v>0</v>
      </c>
      <c r="AH412">
        <v>0</v>
      </c>
      <c r="AI412">
        <v>0</v>
      </c>
      <c r="AJ412">
        <v>0</v>
      </c>
      <c r="AK412">
        <v>0</v>
      </c>
      <c r="AZ412" t="s">
        <v>96</v>
      </c>
      <c r="BA412" t="s">
        <v>74</v>
      </c>
      <c r="BF412" t="s">
        <v>97</v>
      </c>
      <c r="BG412" t="s">
        <v>76</v>
      </c>
      <c r="BH412" t="s">
        <v>98</v>
      </c>
      <c r="BI412" t="s">
        <v>96</v>
      </c>
      <c r="BJ412" t="s">
        <v>78</v>
      </c>
      <c r="BK412">
        <v>1</v>
      </c>
      <c r="BL412">
        <v>0</v>
      </c>
      <c r="BM412">
        <v>0</v>
      </c>
      <c r="BN412">
        <v>0</v>
      </c>
      <c r="BO412">
        <v>0</v>
      </c>
      <c r="BP412">
        <v>0</v>
      </c>
      <c r="BQ412">
        <v>0</v>
      </c>
      <c r="BR412">
        <v>0</v>
      </c>
    </row>
    <row r="413" spans="1:72" x14ac:dyDescent="0.2">
      <c r="A413" s="1">
        <v>44580.586805555555</v>
      </c>
      <c r="B413" s="1">
        <v>44580.588194444441</v>
      </c>
      <c r="C413">
        <v>0</v>
      </c>
      <c r="D413">
        <v>1</v>
      </c>
      <c r="E413">
        <v>0</v>
      </c>
      <c r="F413">
        <v>0</v>
      </c>
      <c r="H413">
        <v>0</v>
      </c>
      <c r="I413">
        <v>1</v>
      </c>
      <c r="J413">
        <v>1</v>
      </c>
      <c r="K413">
        <v>0</v>
      </c>
      <c r="L413">
        <v>0</v>
      </c>
      <c r="N413" t="s">
        <v>135</v>
      </c>
      <c r="O413" t="s">
        <v>127</v>
      </c>
      <c r="P413">
        <v>1</v>
      </c>
      <c r="Q413">
        <v>0</v>
      </c>
      <c r="R413">
        <v>0</v>
      </c>
      <c r="S413">
        <v>0</v>
      </c>
      <c r="T413">
        <v>0</v>
      </c>
      <c r="U413">
        <v>0</v>
      </c>
      <c r="V413">
        <v>0</v>
      </c>
      <c r="W413">
        <v>0</v>
      </c>
      <c r="X413">
        <v>0</v>
      </c>
      <c r="Y413">
        <v>0</v>
      </c>
      <c r="Z413">
        <v>0</v>
      </c>
      <c r="AA413">
        <v>0</v>
      </c>
      <c r="AC413">
        <v>0</v>
      </c>
      <c r="AD413">
        <v>0</v>
      </c>
      <c r="AE413">
        <v>1</v>
      </c>
      <c r="AF413">
        <v>0</v>
      </c>
      <c r="AG413">
        <v>0</v>
      </c>
      <c r="AH413">
        <v>0</v>
      </c>
      <c r="AI413">
        <v>0</v>
      </c>
      <c r="AJ413">
        <v>0</v>
      </c>
      <c r="AK413">
        <v>0</v>
      </c>
      <c r="AX413" t="s">
        <v>146</v>
      </c>
      <c r="AZ413" t="s">
        <v>73</v>
      </c>
      <c r="BA413" t="s">
        <v>86</v>
      </c>
      <c r="BB413" t="s">
        <v>86</v>
      </c>
      <c r="BC413" t="s">
        <v>86</v>
      </c>
      <c r="BD413" t="s">
        <v>86</v>
      </c>
      <c r="BE413" t="s">
        <v>86</v>
      </c>
      <c r="BF413" t="s">
        <v>75</v>
      </c>
      <c r="BG413" t="s">
        <v>76</v>
      </c>
      <c r="BH413" t="s">
        <v>98</v>
      </c>
      <c r="BI413" t="s">
        <v>73</v>
      </c>
      <c r="BJ413" t="s">
        <v>109</v>
      </c>
      <c r="BK413">
        <v>1</v>
      </c>
      <c r="BL413">
        <v>0</v>
      </c>
      <c r="BM413">
        <v>0</v>
      </c>
      <c r="BN413">
        <v>0</v>
      </c>
      <c r="BO413">
        <v>0</v>
      </c>
      <c r="BP413">
        <v>0</v>
      </c>
      <c r="BQ413">
        <v>0</v>
      </c>
      <c r="BR413">
        <v>0</v>
      </c>
    </row>
    <row r="414" spans="1:72" x14ac:dyDescent="0.2">
      <c r="A414" s="1">
        <v>44580.726388888892</v>
      </c>
      <c r="B414" s="1">
        <v>44580.729166666664</v>
      </c>
      <c r="C414">
        <v>0</v>
      </c>
      <c r="D414">
        <v>1</v>
      </c>
      <c r="E414">
        <v>0</v>
      </c>
      <c r="F414">
        <v>0</v>
      </c>
      <c r="H414">
        <v>0</v>
      </c>
      <c r="I414">
        <v>0</v>
      </c>
      <c r="J414">
        <v>1</v>
      </c>
      <c r="K414">
        <v>1</v>
      </c>
      <c r="L414">
        <v>0</v>
      </c>
      <c r="N414" t="s">
        <v>88</v>
      </c>
      <c r="O414" t="s">
        <v>89</v>
      </c>
      <c r="P414">
        <v>0</v>
      </c>
      <c r="Q414">
        <v>0</v>
      </c>
      <c r="R414">
        <v>0</v>
      </c>
      <c r="S414">
        <v>0</v>
      </c>
      <c r="T414">
        <v>0</v>
      </c>
      <c r="U414">
        <v>0</v>
      </c>
      <c r="V414">
        <v>0</v>
      </c>
      <c r="W414">
        <v>0</v>
      </c>
      <c r="X414">
        <v>0</v>
      </c>
      <c r="Y414">
        <v>0</v>
      </c>
      <c r="Z414">
        <v>0</v>
      </c>
      <c r="AA414">
        <v>1</v>
      </c>
      <c r="AB414" t="s">
        <v>276</v>
      </c>
      <c r="AM414" t="s">
        <v>90</v>
      </c>
      <c r="AN414" t="s">
        <v>83</v>
      </c>
      <c r="AO414" t="s">
        <v>82</v>
      </c>
      <c r="AP414" t="s">
        <v>82</v>
      </c>
      <c r="AQ414" t="s">
        <v>81</v>
      </c>
      <c r="AR414" t="s">
        <v>90</v>
      </c>
      <c r="AS414" t="s">
        <v>90</v>
      </c>
      <c r="AT414" t="s">
        <v>83</v>
      </c>
      <c r="AU414" t="s">
        <v>84</v>
      </c>
      <c r="AV414" t="s">
        <v>80</v>
      </c>
      <c r="AW414" t="s">
        <v>100</v>
      </c>
      <c r="AX414" t="s">
        <v>122</v>
      </c>
      <c r="AZ414" t="s">
        <v>73</v>
      </c>
      <c r="BA414" t="s">
        <v>87</v>
      </c>
      <c r="BB414" t="s">
        <v>87</v>
      </c>
      <c r="BC414" t="s">
        <v>74</v>
      </c>
      <c r="BD414" t="s">
        <v>87</v>
      </c>
      <c r="BE414" t="s">
        <v>74</v>
      </c>
      <c r="BF414" t="s">
        <v>75</v>
      </c>
      <c r="BG414" t="s">
        <v>76</v>
      </c>
      <c r="BH414" t="s">
        <v>158</v>
      </c>
      <c r="BI414" t="s">
        <v>73</v>
      </c>
      <c r="BJ414" t="s">
        <v>99</v>
      </c>
      <c r="BK414">
        <v>1</v>
      </c>
      <c r="BL414">
        <v>0</v>
      </c>
      <c r="BM414">
        <v>0</v>
      </c>
      <c r="BN414">
        <v>0</v>
      </c>
      <c r="BO414">
        <v>0</v>
      </c>
      <c r="BP414">
        <v>0</v>
      </c>
      <c r="BQ414">
        <v>0</v>
      </c>
      <c r="BR414">
        <v>0</v>
      </c>
    </row>
    <row r="415" spans="1:72" x14ac:dyDescent="0.2">
      <c r="A415" s="1">
        <v>44589.161805555559</v>
      </c>
      <c r="B415" s="1">
        <v>44589.165972222225</v>
      </c>
      <c r="C415">
        <v>1</v>
      </c>
      <c r="D415">
        <v>0</v>
      </c>
      <c r="E415">
        <v>0</v>
      </c>
      <c r="F415">
        <v>0</v>
      </c>
      <c r="H415">
        <v>0</v>
      </c>
      <c r="I415">
        <v>1</v>
      </c>
      <c r="J415">
        <v>0</v>
      </c>
      <c r="K415">
        <v>1</v>
      </c>
      <c r="L415">
        <v>0</v>
      </c>
      <c r="N415" t="s">
        <v>88</v>
      </c>
      <c r="O415" t="s">
        <v>89</v>
      </c>
      <c r="P415">
        <v>1</v>
      </c>
      <c r="Q415">
        <v>0</v>
      </c>
      <c r="R415">
        <v>0</v>
      </c>
      <c r="S415">
        <v>0</v>
      </c>
      <c r="T415">
        <v>0</v>
      </c>
      <c r="U415">
        <v>0</v>
      </c>
      <c r="V415">
        <v>0</v>
      </c>
      <c r="W415">
        <v>0</v>
      </c>
      <c r="X415">
        <v>0</v>
      </c>
      <c r="Y415">
        <v>0</v>
      </c>
      <c r="Z415">
        <v>0</v>
      </c>
      <c r="AA415">
        <v>0</v>
      </c>
      <c r="AC415">
        <v>1</v>
      </c>
      <c r="AD415">
        <v>0</v>
      </c>
      <c r="AE415">
        <v>0</v>
      </c>
      <c r="AF415">
        <v>0</v>
      </c>
      <c r="AG415">
        <v>0</v>
      </c>
      <c r="AH415">
        <v>0</v>
      </c>
      <c r="AI415">
        <v>0</v>
      </c>
      <c r="AJ415">
        <v>0</v>
      </c>
      <c r="AK415">
        <v>0</v>
      </c>
      <c r="AZ415" t="s">
        <v>96</v>
      </c>
      <c r="BA415" t="s">
        <v>87</v>
      </c>
      <c r="BB415" t="s">
        <v>87</v>
      </c>
      <c r="BC415" t="s">
        <v>87</v>
      </c>
      <c r="BD415" t="s">
        <v>87</v>
      </c>
      <c r="BE415" t="s">
        <v>87</v>
      </c>
      <c r="BF415" t="s">
        <v>97</v>
      </c>
      <c r="BG415" t="s">
        <v>92</v>
      </c>
      <c r="BH415" t="s">
        <v>158</v>
      </c>
      <c r="BI415" t="s">
        <v>96</v>
      </c>
      <c r="BJ415" t="s">
        <v>147</v>
      </c>
      <c r="BK415">
        <v>1</v>
      </c>
      <c r="BL415">
        <v>0</v>
      </c>
      <c r="BM415">
        <v>0</v>
      </c>
      <c r="BN415">
        <v>0</v>
      </c>
      <c r="BO415">
        <v>0</v>
      </c>
      <c r="BP415">
        <v>0</v>
      </c>
      <c r="BQ415">
        <v>0</v>
      </c>
      <c r="BR415">
        <v>0</v>
      </c>
    </row>
    <row r="416" spans="1:72" x14ac:dyDescent="0.2">
      <c r="A416" s="1">
        <v>44588.87777777778</v>
      </c>
      <c r="B416" s="1">
        <v>44588.879166666666</v>
      </c>
      <c r="C416">
        <v>1</v>
      </c>
      <c r="D416">
        <v>0</v>
      </c>
      <c r="E416">
        <v>0</v>
      </c>
      <c r="F416">
        <v>0</v>
      </c>
      <c r="H416">
        <v>0</v>
      </c>
      <c r="I416">
        <v>1</v>
      </c>
      <c r="J416">
        <v>1</v>
      </c>
      <c r="K416">
        <v>1</v>
      </c>
      <c r="L416">
        <v>0</v>
      </c>
      <c r="N416" t="s">
        <v>88</v>
      </c>
      <c r="O416" t="s">
        <v>89</v>
      </c>
      <c r="P416">
        <v>0</v>
      </c>
      <c r="Q416">
        <v>1</v>
      </c>
      <c r="R416">
        <v>1</v>
      </c>
      <c r="S416">
        <v>0</v>
      </c>
      <c r="T416">
        <v>0</v>
      </c>
      <c r="U416">
        <v>0</v>
      </c>
      <c r="V416">
        <v>0</v>
      </c>
      <c r="W416">
        <v>0</v>
      </c>
      <c r="X416">
        <v>0</v>
      </c>
      <c r="Y416">
        <v>0</v>
      </c>
      <c r="Z416">
        <v>0</v>
      </c>
      <c r="AA416">
        <v>0</v>
      </c>
      <c r="AM416" t="s">
        <v>83</v>
      </c>
      <c r="AN416" t="s">
        <v>82</v>
      </c>
      <c r="AO416" t="s">
        <v>82</v>
      </c>
      <c r="AP416" t="s">
        <v>82</v>
      </c>
      <c r="AQ416" t="s">
        <v>82</v>
      </c>
      <c r="AR416" t="s">
        <v>83</v>
      </c>
      <c r="AS416" t="s">
        <v>81</v>
      </c>
      <c r="AT416" t="s">
        <v>83</v>
      </c>
      <c r="AU416" t="s">
        <v>88</v>
      </c>
      <c r="AV416" t="s">
        <v>89</v>
      </c>
      <c r="AW416" t="s">
        <v>100</v>
      </c>
      <c r="AX416" t="s">
        <v>91</v>
      </c>
      <c r="AZ416" t="s">
        <v>96</v>
      </c>
      <c r="BA416" t="s">
        <v>87</v>
      </c>
      <c r="BB416" t="s">
        <v>87</v>
      </c>
      <c r="BC416" t="s">
        <v>87</v>
      </c>
      <c r="BD416" t="s">
        <v>87</v>
      </c>
      <c r="BE416" t="s">
        <v>87</v>
      </c>
      <c r="BF416" t="s">
        <v>75</v>
      </c>
      <c r="BG416" t="s">
        <v>76</v>
      </c>
      <c r="BH416" t="s">
        <v>77</v>
      </c>
      <c r="BI416" t="s">
        <v>96</v>
      </c>
      <c r="BJ416" t="s">
        <v>114</v>
      </c>
      <c r="BK416">
        <v>1</v>
      </c>
      <c r="BL416">
        <v>0</v>
      </c>
      <c r="BM416">
        <v>0</v>
      </c>
      <c r="BN416">
        <v>0</v>
      </c>
      <c r="BO416">
        <v>0</v>
      </c>
      <c r="BP416">
        <v>0</v>
      </c>
      <c r="BQ416">
        <v>0</v>
      </c>
      <c r="BR416">
        <v>0</v>
      </c>
    </row>
    <row r="417" spans="1:72" x14ac:dyDescent="0.2">
      <c r="A417" s="1">
        <v>44579.919444444444</v>
      </c>
      <c r="B417" s="1">
        <v>44579.921527777777</v>
      </c>
      <c r="C417">
        <v>1</v>
      </c>
      <c r="D417">
        <v>0</v>
      </c>
      <c r="E417">
        <v>0</v>
      </c>
      <c r="F417">
        <v>0</v>
      </c>
      <c r="H417">
        <v>0</v>
      </c>
      <c r="I417">
        <v>1</v>
      </c>
      <c r="J417">
        <v>0</v>
      </c>
      <c r="K417">
        <v>0</v>
      </c>
      <c r="L417">
        <v>0</v>
      </c>
      <c r="N417" t="s">
        <v>135</v>
      </c>
      <c r="O417" t="s">
        <v>80</v>
      </c>
      <c r="P417">
        <v>0</v>
      </c>
      <c r="Q417">
        <v>0</v>
      </c>
      <c r="R417">
        <v>1</v>
      </c>
      <c r="S417">
        <v>0</v>
      </c>
      <c r="T417">
        <v>0</v>
      </c>
      <c r="U417">
        <v>0</v>
      </c>
      <c r="V417">
        <v>0</v>
      </c>
      <c r="W417">
        <v>0</v>
      </c>
      <c r="X417">
        <v>0</v>
      </c>
      <c r="Y417">
        <v>0</v>
      </c>
      <c r="Z417">
        <v>0</v>
      </c>
      <c r="AA417">
        <v>0</v>
      </c>
      <c r="AM417" t="s">
        <v>81</v>
      </c>
      <c r="AN417" t="s">
        <v>83</v>
      </c>
      <c r="AO417" t="s">
        <v>83</v>
      </c>
      <c r="AP417" t="s">
        <v>83</v>
      </c>
      <c r="AQ417" t="s">
        <v>82</v>
      </c>
      <c r="AR417" t="s">
        <v>81</v>
      </c>
      <c r="AS417" t="s">
        <v>81</v>
      </c>
      <c r="AT417" t="s">
        <v>83</v>
      </c>
      <c r="AU417" t="s">
        <v>135</v>
      </c>
      <c r="AV417" t="s">
        <v>80</v>
      </c>
      <c r="AW417" t="s">
        <v>85</v>
      </c>
      <c r="AX417" t="s">
        <v>175</v>
      </c>
      <c r="AZ417" t="s">
        <v>73</v>
      </c>
      <c r="BA417" t="s">
        <v>86</v>
      </c>
      <c r="BB417" t="s">
        <v>74</v>
      </c>
      <c r="BC417" t="s">
        <v>86</v>
      </c>
      <c r="BD417" t="s">
        <v>74</v>
      </c>
      <c r="BE417" t="s">
        <v>74</v>
      </c>
      <c r="BF417" t="s">
        <v>75</v>
      </c>
      <c r="BG417" t="s">
        <v>92</v>
      </c>
      <c r="BH417" t="s">
        <v>98</v>
      </c>
      <c r="BI417" t="s">
        <v>73</v>
      </c>
      <c r="BK417">
        <v>1</v>
      </c>
      <c r="BL417">
        <v>0</v>
      </c>
      <c r="BM417">
        <v>0</v>
      </c>
      <c r="BN417">
        <v>0</v>
      </c>
      <c r="BO417">
        <v>0</v>
      </c>
      <c r="BP417">
        <v>0</v>
      </c>
      <c r="BQ417">
        <v>0</v>
      </c>
      <c r="BR417">
        <v>0</v>
      </c>
      <c r="BT417" t="s">
        <v>188</v>
      </c>
    </row>
    <row r="418" spans="1:72" x14ac:dyDescent="0.2">
      <c r="A418" s="1">
        <v>44580.963888888888</v>
      </c>
      <c r="B418" s="1">
        <v>44580.966666666667</v>
      </c>
      <c r="C418">
        <v>0</v>
      </c>
      <c r="D418">
        <v>1</v>
      </c>
      <c r="E418">
        <v>0</v>
      </c>
      <c r="F418">
        <v>0</v>
      </c>
      <c r="H418">
        <v>0</v>
      </c>
      <c r="I418">
        <v>1</v>
      </c>
      <c r="J418">
        <v>0</v>
      </c>
      <c r="K418">
        <v>0</v>
      </c>
      <c r="L418">
        <v>0</v>
      </c>
      <c r="N418" t="s">
        <v>88</v>
      </c>
      <c r="O418" t="s">
        <v>89</v>
      </c>
      <c r="P418">
        <v>0</v>
      </c>
      <c r="Q418">
        <v>0</v>
      </c>
      <c r="R418">
        <v>0</v>
      </c>
      <c r="S418">
        <v>1</v>
      </c>
      <c r="T418">
        <v>0</v>
      </c>
      <c r="U418">
        <v>0</v>
      </c>
      <c r="V418">
        <v>0</v>
      </c>
      <c r="W418">
        <v>0</v>
      </c>
      <c r="X418">
        <v>0</v>
      </c>
      <c r="Y418">
        <v>0</v>
      </c>
      <c r="Z418">
        <v>0</v>
      </c>
      <c r="AA418">
        <v>0</v>
      </c>
      <c r="AM418" t="s">
        <v>90</v>
      </c>
      <c r="AN418" t="s">
        <v>81</v>
      </c>
      <c r="AO418" t="s">
        <v>90</v>
      </c>
      <c r="AP418" t="s">
        <v>83</v>
      </c>
      <c r="AQ418" t="s">
        <v>82</v>
      </c>
      <c r="AR418" t="s">
        <v>90</v>
      </c>
      <c r="AS418" t="s">
        <v>90</v>
      </c>
      <c r="AT418" t="s">
        <v>90</v>
      </c>
      <c r="AU418" t="s">
        <v>88</v>
      </c>
      <c r="AV418" t="s">
        <v>89</v>
      </c>
      <c r="AW418" t="s">
        <v>100</v>
      </c>
      <c r="AZ418" t="s">
        <v>107</v>
      </c>
      <c r="BA418" t="s">
        <v>87</v>
      </c>
      <c r="BB418" t="s">
        <v>87</v>
      </c>
      <c r="BC418" t="s">
        <v>87</v>
      </c>
      <c r="BD418" t="s">
        <v>74</v>
      </c>
      <c r="BE418" t="s">
        <v>87</v>
      </c>
      <c r="BF418" t="s">
        <v>97</v>
      </c>
      <c r="BG418" t="s">
        <v>92</v>
      </c>
      <c r="BH418" t="s">
        <v>98</v>
      </c>
      <c r="BI418" t="s">
        <v>107</v>
      </c>
      <c r="BJ418" t="s">
        <v>109</v>
      </c>
      <c r="BK418">
        <v>1</v>
      </c>
      <c r="BL418">
        <v>0</v>
      </c>
      <c r="BM418">
        <v>0</v>
      </c>
      <c r="BN418">
        <v>0</v>
      </c>
      <c r="BO418">
        <v>0</v>
      </c>
      <c r="BP418">
        <v>0</v>
      </c>
      <c r="BQ418">
        <v>0</v>
      </c>
      <c r="BR418">
        <v>0</v>
      </c>
    </row>
    <row r="419" spans="1:72" x14ac:dyDescent="0.2">
      <c r="A419" s="1">
        <v>44581.651388888888</v>
      </c>
      <c r="B419" s="1">
        <v>44581.654166666667</v>
      </c>
      <c r="C419">
        <v>1</v>
      </c>
      <c r="D419">
        <v>0</v>
      </c>
      <c r="E419">
        <v>0</v>
      </c>
      <c r="F419">
        <v>0</v>
      </c>
      <c r="H419">
        <v>0</v>
      </c>
      <c r="I419">
        <v>1</v>
      </c>
      <c r="J419">
        <v>1</v>
      </c>
      <c r="K419">
        <v>0</v>
      </c>
      <c r="L419">
        <v>0</v>
      </c>
      <c r="N419" t="s">
        <v>88</v>
      </c>
      <c r="O419" t="s">
        <v>80</v>
      </c>
      <c r="P419">
        <v>0</v>
      </c>
      <c r="Q419">
        <v>0</v>
      </c>
      <c r="R419">
        <v>1</v>
      </c>
      <c r="S419">
        <v>0</v>
      </c>
      <c r="T419">
        <v>0</v>
      </c>
      <c r="U419">
        <v>0</v>
      </c>
      <c r="V419">
        <v>0</v>
      </c>
      <c r="W419">
        <v>0</v>
      </c>
      <c r="X419">
        <v>0</v>
      </c>
      <c r="Y419">
        <v>0</v>
      </c>
      <c r="Z419">
        <v>0</v>
      </c>
      <c r="AA419">
        <v>0</v>
      </c>
      <c r="AM419" t="s">
        <v>83</v>
      </c>
      <c r="AN419" t="s">
        <v>81</v>
      </c>
      <c r="AO419" t="s">
        <v>83</v>
      </c>
      <c r="AP419" t="s">
        <v>82</v>
      </c>
      <c r="AQ419" t="s">
        <v>81</v>
      </c>
      <c r="AR419" t="s">
        <v>83</v>
      </c>
      <c r="AS419" t="s">
        <v>83</v>
      </c>
      <c r="AT419" t="s">
        <v>83</v>
      </c>
      <c r="AU419" t="s">
        <v>88</v>
      </c>
      <c r="AV419" t="s">
        <v>80</v>
      </c>
      <c r="AW419" t="s">
        <v>85</v>
      </c>
      <c r="AZ419" t="s">
        <v>73</v>
      </c>
      <c r="BA419" t="s">
        <v>87</v>
      </c>
      <c r="BB419" t="s">
        <v>87</v>
      </c>
      <c r="BC419" t="s">
        <v>87</v>
      </c>
      <c r="BD419" t="s">
        <v>87</v>
      </c>
      <c r="BE419" t="s">
        <v>87</v>
      </c>
      <c r="BF419" t="s">
        <v>97</v>
      </c>
      <c r="BG419" t="s">
        <v>92</v>
      </c>
      <c r="BH419" t="s">
        <v>98</v>
      </c>
      <c r="BI419" t="s">
        <v>73</v>
      </c>
      <c r="BJ419" t="s">
        <v>176</v>
      </c>
      <c r="BK419">
        <v>1</v>
      </c>
      <c r="BL419">
        <v>0</v>
      </c>
      <c r="BM419">
        <v>0</v>
      </c>
      <c r="BN419">
        <v>0</v>
      </c>
      <c r="BO419">
        <v>0</v>
      </c>
      <c r="BP419">
        <v>0</v>
      </c>
      <c r="BQ419">
        <v>0</v>
      </c>
      <c r="BR419">
        <v>0</v>
      </c>
    </row>
    <row r="420" spans="1:72" x14ac:dyDescent="0.2">
      <c r="A420" s="1">
        <v>44586.259722222225</v>
      </c>
      <c r="B420" s="1">
        <v>44586.261805555558</v>
      </c>
      <c r="C420">
        <v>1</v>
      </c>
      <c r="D420">
        <v>0</v>
      </c>
      <c r="E420">
        <v>0</v>
      </c>
      <c r="F420">
        <v>0</v>
      </c>
      <c r="H420">
        <v>1</v>
      </c>
      <c r="I420">
        <v>0</v>
      </c>
      <c r="J420">
        <v>0</v>
      </c>
      <c r="K420">
        <v>0</v>
      </c>
      <c r="L420">
        <v>0</v>
      </c>
      <c r="P420">
        <v>0</v>
      </c>
      <c r="Q420">
        <v>0</v>
      </c>
      <c r="R420">
        <v>1</v>
      </c>
      <c r="S420">
        <v>0</v>
      </c>
      <c r="T420">
        <v>0</v>
      </c>
      <c r="U420">
        <v>0</v>
      </c>
      <c r="V420">
        <v>0</v>
      </c>
      <c r="W420">
        <v>0</v>
      </c>
      <c r="X420">
        <v>0</v>
      </c>
      <c r="Y420">
        <v>0</v>
      </c>
      <c r="Z420">
        <v>0</v>
      </c>
      <c r="AA420">
        <v>0</v>
      </c>
      <c r="AM420" t="s">
        <v>81</v>
      </c>
      <c r="AN420" t="s">
        <v>82</v>
      </c>
      <c r="AO420" t="s">
        <v>81</v>
      </c>
      <c r="AP420" t="s">
        <v>83</v>
      </c>
      <c r="AQ420" t="s">
        <v>82</v>
      </c>
      <c r="AR420" t="s">
        <v>83</v>
      </c>
      <c r="AS420" t="s">
        <v>83</v>
      </c>
      <c r="AT420" t="s">
        <v>82</v>
      </c>
      <c r="AU420" t="s">
        <v>84</v>
      </c>
      <c r="AV420" t="s">
        <v>89</v>
      </c>
      <c r="AW420" t="s">
        <v>153</v>
      </c>
      <c r="AX420" t="s">
        <v>118</v>
      </c>
      <c r="AZ420" t="s">
        <v>107</v>
      </c>
      <c r="BA420" t="s">
        <v>87</v>
      </c>
      <c r="BB420" t="s">
        <v>87</v>
      </c>
      <c r="BC420" t="s">
        <v>87</v>
      </c>
      <c r="BD420" t="s">
        <v>86</v>
      </c>
      <c r="BE420" t="s">
        <v>86</v>
      </c>
      <c r="BF420" t="s">
        <v>75</v>
      </c>
      <c r="BG420" t="s">
        <v>92</v>
      </c>
      <c r="BH420" t="s">
        <v>98</v>
      </c>
      <c r="BI420" t="s">
        <v>107</v>
      </c>
      <c r="BJ420" t="s">
        <v>174</v>
      </c>
      <c r="BK420">
        <v>1</v>
      </c>
      <c r="BL420">
        <v>0</v>
      </c>
      <c r="BM420">
        <v>0</v>
      </c>
      <c r="BN420">
        <v>0</v>
      </c>
      <c r="BO420">
        <v>0</v>
      </c>
      <c r="BP420">
        <v>0</v>
      </c>
      <c r="BQ420">
        <v>0</v>
      </c>
      <c r="BR420">
        <v>0</v>
      </c>
    </row>
    <row r="421" spans="1:72" x14ac:dyDescent="0.2">
      <c r="A421" s="1">
        <v>44579.886805555558</v>
      </c>
      <c r="B421" s="1">
        <v>44579.890277777777</v>
      </c>
      <c r="C421">
        <v>1</v>
      </c>
      <c r="D421">
        <v>0</v>
      </c>
      <c r="E421">
        <v>0</v>
      </c>
      <c r="F421">
        <v>0</v>
      </c>
      <c r="H421">
        <v>1</v>
      </c>
      <c r="I421">
        <v>0</v>
      </c>
      <c r="J421">
        <v>0</v>
      </c>
      <c r="K421">
        <v>0</v>
      </c>
      <c r="L421">
        <v>0</v>
      </c>
      <c r="P421">
        <v>1</v>
      </c>
      <c r="Q421">
        <v>0</v>
      </c>
      <c r="R421">
        <v>0</v>
      </c>
      <c r="S421">
        <v>0</v>
      </c>
      <c r="T421">
        <v>0</v>
      </c>
      <c r="U421">
        <v>0</v>
      </c>
      <c r="V421">
        <v>0</v>
      </c>
      <c r="W421">
        <v>0</v>
      </c>
      <c r="X421">
        <v>0</v>
      </c>
      <c r="Y421">
        <v>0</v>
      </c>
      <c r="Z421">
        <v>0</v>
      </c>
      <c r="AA421">
        <v>0</v>
      </c>
      <c r="AC421">
        <v>0</v>
      </c>
      <c r="AD421">
        <v>0</v>
      </c>
      <c r="AE421">
        <v>0</v>
      </c>
      <c r="AF421">
        <v>0</v>
      </c>
      <c r="AG421">
        <v>0</v>
      </c>
      <c r="AH421">
        <v>0</v>
      </c>
      <c r="AI421">
        <v>1</v>
      </c>
      <c r="AJ421">
        <v>1</v>
      </c>
      <c r="AK421">
        <v>0</v>
      </c>
      <c r="AX421" t="s">
        <v>72</v>
      </c>
      <c r="AZ421" t="s">
        <v>96</v>
      </c>
      <c r="BA421" t="s">
        <v>86</v>
      </c>
      <c r="BB421" t="s">
        <v>86</v>
      </c>
      <c r="BC421" t="s">
        <v>86</v>
      </c>
      <c r="BD421" t="s">
        <v>74</v>
      </c>
      <c r="BE421" t="s">
        <v>86</v>
      </c>
      <c r="BF421" t="s">
        <v>75</v>
      </c>
      <c r="BG421" t="s">
        <v>76</v>
      </c>
      <c r="BH421" t="s">
        <v>98</v>
      </c>
      <c r="BI421" t="s">
        <v>96</v>
      </c>
      <c r="BJ421" t="s">
        <v>137</v>
      </c>
      <c r="BK421">
        <v>0</v>
      </c>
      <c r="BL421">
        <v>0</v>
      </c>
      <c r="BM421">
        <v>0</v>
      </c>
      <c r="BN421">
        <v>0</v>
      </c>
      <c r="BO421">
        <v>0</v>
      </c>
      <c r="BP421">
        <v>1</v>
      </c>
      <c r="BQ421">
        <v>0</v>
      </c>
      <c r="BR421">
        <v>0</v>
      </c>
    </row>
    <row r="422" spans="1:72" x14ac:dyDescent="0.2">
      <c r="A422" s="1">
        <v>44579.909722222219</v>
      </c>
      <c r="B422" s="1">
        <v>44579.910416666666</v>
      </c>
      <c r="C422">
        <v>1</v>
      </c>
      <c r="D422">
        <v>0</v>
      </c>
      <c r="E422">
        <v>0</v>
      </c>
      <c r="F422">
        <v>0</v>
      </c>
      <c r="H422">
        <v>1</v>
      </c>
      <c r="I422">
        <v>0</v>
      </c>
      <c r="J422">
        <v>0</v>
      </c>
      <c r="K422">
        <v>0</v>
      </c>
      <c r="L422">
        <v>0</v>
      </c>
      <c r="P422">
        <v>1</v>
      </c>
      <c r="Q422">
        <v>0</v>
      </c>
      <c r="R422">
        <v>0</v>
      </c>
      <c r="S422">
        <v>0</v>
      </c>
      <c r="T422">
        <v>0</v>
      </c>
      <c r="U422">
        <v>0</v>
      </c>
      <c r="V422">
        <v>0</v>
      </c>
      <c r="W422">
        <v>0</v>
      </c>
      <c r="X422">
        <v>0</v>
      </c>
      <c r="Y422">
        <v>0</v>
      </c>
      <c r="Z422">
        <v>0</v>
      </c>
      <c r="AA422">
        <v>0</v>
      </c>
      <c r="AC422">
        <v>0</v>
      </c>
      <c r="AD422">
        <v>0</v>
      </c>
      <c r="AE422">
        <v>1</v>
      </c>
      <c r="AF422">
        <v>0</v>
      </c>
      <c r="AG422">
        <v>0</v>
      </c>
      <c r="AH422">
        <v>0</v>
      </c>
      <c r="AI422">
        <v>0</v>
      </c>
      <c r="AJ422">
        <v>0</v>
      </c>
      <c r="AK422">
        <v>0</v>
      </c>
      <c r="AZ422" t="s">
        <v>107</v>
      </c>
      <c r="BA422" t="s">
        <v>86</v>
      </c>
      <c r="BB422" t="s">
        <v>86</v>
      </c>
      <c r="BC422" t="s">
        <v>86</v>
      </c>
      <c r="BD422" t="s">
        <v>86</v>
      </c>
      <c r="BE422" t="s">
        <v>74</v>
      </c>
      <c r="BF422" t="s">
        <v>97</v>
      </c>
      <c r="BG422" t="s">
        <v>92</v>
      </c>
      <c r="BH422" t="s">
        <v>98</v>
      </c>
      <c r="BI422" t="s">
        <v>107</v>
      </c>
      <c r="BJ422" t="s">
        <v>94</v>
      </c>
      <c r="BK422">
        <v>1</v>
      </c>
      <c r="BL422">
        <v>0</v>
      </c>
      <c r="BM422">
        <v>0</v>
      </c>
      <c r="BN422">
        <v>0</v>
      </c>
      <c r="BO422">
        <v>0</v>
      </c>
      <c r="BP422">
        <v>0</v>
      </c>
      <c r="BQ422">
        <v>0</v>
      </c>
      <c r="BR422">
        <v>0</v>
      </c>
    </row>
    <row r="423" spans="1:72" x14ac:dyDescent="0.2">
      <c r="A423" s="1">
        <v>44579.878472222219</v>
      </c>
      <c r="B423" s="1">
        <v>44579.881249999999</v>
      </c>
      <c r="C423">
        <v>1</v>
      </c>
      <c r="D423">
        <v>0</v>
      </c>
      <c r="E423">
        <v>0</v>
      </c>
      <c r="F423">
        <v>0</v>
      </c>
      <c r="H423">
        <v>1</v>
      </c>
      <c r="I423">
        <v>0</v>
      </c>
      <c r="J423">
        <v>0</v>
      </c>
      <c r="K423">
        <v>0</v>
      </c>
      <c r="L423">
        <v>0</v>
      </c>
      <c r="P423">
        <v>0</v>
      </c>
      <c r="Q423">
        <v>0</v>
      </c>
      <c r="R423">
        <v>1</v>
      </c>
      <c r="S423">
        <v>0</v>
      </c>
      <c r="T423">
        <v>0</v>
      </c>
      <c r="U423">
        <v>0</v>
      </c>
      <c r="V423">
        <v>0</v>
      </c>
      <c r="W423">
        <v>0</v>
      </c>
      <c r="X423">
        <v>0</v>
      </c>
      <c r="Y423">
        <v>0</v>
      </c>
      <c r="Z423">
        <v>0</v>
      </c>
      <c r="AA423">
        <v>0</v>
      </c>
      <c r="AM423" t="s">
        <v>82</v>
      </c>
      <c r="AN423" t="s">
        <v>83</v>
      </c>
      <c r="AO423" t="s">
        <v>83</v>
      </c>
      <c r="AP423" t="s">
        <v>83</v>
      </c>
      <c r="AQ423" t="s">
        <v>82</v>
      </c>
      <c r="AR423" t="s">
        <v>83</v>
      </c>
      <c r="AS423" t="s">
        <v>81</v>
      </c>
      <c r="AT423" t="s">
        <v>81</v>
      </c>
      <c r="AU423" t="s">
        <v>88</v>
      </c>
      <c r="AV423" t="s">
        <v>89</v>
      </c>
      <c r="AW423" t="s">
        <v>85</v>
      </c>
      <c r="AZ423" t="s">
        <v>107</v>
      </c>
      <c r="BA423" t="s">
        <v>87</v>
      </c>
      <c r="BB423" t="s">
        <v>87</v>
      </c>
      <c r="BC423" t="s">
        <v>87</v>
      </c>
      <c r="BD423" t="s">
        <v>87</v>
      </c>
      <c r="BE423" t="s">
        <v>87</v>
      </c>
      <c r="BF423" t="s">
        <v>97</v>
      </c>
      <c r="BG423" t="s">
        <v>92</v>
      </c>
      <c r="BH423" t="s">
        <v>98</v>
      </c>
      <c r="BI423" t="s">
        <v>107</v>
      </c>
      <c r="BK423">
        <v>1</v>
      </c>
      <c r="BL423">
        <v>0</v>
      </c>
      <c r="BM423">
        <v>0</v>
      </c>
      <c r="BN423">
        <v>0</v>
      </c>
      <c r="BO423">
        <v>0</v>
      </c>
      <c r="BP423">
        <v>0</v>
      </c>
      <c r="BQ423">
        <v>0</v>
      </c>
      <c r="BR423">
        <v>0</v>
      </c>
      <c r="BT423" t="s">
        <v>230</v>
      </c>
    </row>
    <row r="424" spans="1:72" x14ac:dyDescent="0.2">
      <c r="A424" s="1">
        <v>44579.927083333336</v>
      </c>
      <c r="B424" s="1">
        <v>44579.927777777775</v>
      </c>
      <c r="C424">
        <v>1</v>
      </c>
      <c r="D424">
        <v>0</v>
      </c>
      <c r="E424">
        <v>0</v>
      </c>
      <c r="F424">
        <v>0</v>
      </c>
      <c r="H424">
        <v>1</v>
      </c>
      <c r="I424">
        <v>0</v>
      </c>
      <c r="J424">
        <v>0</v>
      </c>
      <c r="K424">
        <v>0</v>
      </c>
      <c r="L424">
        <v>0</v>
      </c>
      <c r="P424">
        <v>1</v>
      </c>
      <c r="Q424">
        <v>0</v>
      </c>
      <c r="R424">
        <v>0</v>
      </c>
      <c r="S424">
        <v>0</v>
      </c>
      <c r="T424">
        <v>0</v>
      </c>
      <c r="U424">
        <v>0</v>
      </c>
      <c r="V424">
        <v>0</v>
      </c>
      <c r="W424">
        <v>0</v>
      </c>
      <c r="X424">
        <v>0</v>
      </c>
      <c r="Y424">
        <v>0</v>
      </c>
      <c r="Z424">
        <v>0</v>
      </c>
      <c r="AA424">
        <v>0</v>
      </c>
      <c r="AC424">
        <v>0</v>
      </c>
      <c r="AD424">
        <v>0</v>
      </c>
      <c r="AE424">
        <v>0</v>
      </c>
      <c r="AF424">
        <v>0</v>
      </c>
      <c r="AG424">
        <v>0</v>
      </c>
      <c r="AH424">
        <v>1</v>
      </c>
      <c r="AI424">
        <v>0</v>
      </c>
      <c r="AJ424">
        <v>0</v>
      </c>
      <c r="AK424">
        <v>0</v>
      </c>
      <c r="AZ424" t="s">
        <v>107</v>
      </c>
      <c r="BA424" t="s">
        <v>86</v>
      </c>
      <c r="BB424" t="s">
        <v>87</v>
      </c>
      <c r="BC424" t="s">
        <v>87</v>
      </c>
      <c r="BD424" t="s">
        <v>74</v>
      </c>
      <c r="BE424" t="s">
        <v>87</v>
      </c>
      <c r="BF424" t="s">
        <v>97</v>
      </c>
      <c r="BG424" t="s">
        <v>92</v>
      </c>
      <c r="BH424" t="s">
        <v>98</v>
      </c>
      <c r="BI424" t="s">
        <v>107</v>
      </c>
      <c r="BJ424" t="s">
        <v>114</v>
      </c>
      <c r="BK424">
        <v>0</v>
      </c>
      <c r="BL424">
        <v>0</v>
      </c>
      <c r="BM424">
        <v>0</v>
      </c>
      <c r="BN424">
        <v>0</v>
      </c>
      <c r="BO424">
        <v>0</v>
      </c>
      <c r="BP424">
        <v>1</v>
      </c>
      <c r="BQ424">
        <v>0</v>
      </c>
      <c r="BR424">
        <v>0</v>
      </c>
    </row>
    <row r="425" spans="1:72" x14ac:dyDescent="0.2">
      <c r="A425" s="1">
        <v>44585.644444444442</v>
      </c>
      <c r="B425" s="1">
        <v>44585.646527777775</v>
      </c>
      <c r="C425">
        <v>0</v>
      </c>
      <c r="D425">
        <v>1</v>
      </c>
      <c r="E425">
        <v>0</v>
      </c>
      <c r="F425">
        <v>0</v>
      </c>
      <c r="H425">
        <v>1</v>
      </c>
      <c r="I425">
        <v>0</v>
      </c>
      <c r="J425">
        <v>0</v>
      </c>
      <c r="K425">
        <v>0</v>
      </c>
      <c r="L425">
        <v>0</v>
      </c>
      <c r="P425">
        <v>1</v>
      </c>
      <c r="Q425">
        <v>0</v>
      </c>
      <c r="R425">
        <v>0</v>
      </c>
      <c r="S425">
        <v>0</v>
      </c>
      <c r="T425">
        <v>0</v>
      </c>
      <c r="U425">
        <v>0</v>
      </c>
      <c r="V425">
        <v>0</v>
      </c>
      <c r="W425">
        <v>0</v>
      </c>
      <c r="X425">
        <v>0</v>
      </c>
      <c r="Y425">
        <v>0</v>
      </c>
      <c r="Z425">
        <v>0</v>
      </c>
      <c r="AA425">
        <v>0</v>
      </c>
      <c r="AC425">
        <v>0</v>
      </c>
      <c r="AD425">
        <v>0</v>
      </c>
      <c r="AE425">
        <v>1</v>
      </c>
      <c r="AF425">
        <v>0</v>
      </c>
      <c r="AG425">
        <v>0</v>
      </c>
      <c r="AH425">
        <v>0</v>
      </c>
      <c r="AI425">
        <v>0</v>
      </c>
      <c r="AJ425">
        <v>0</v>
      </c>
      <c r="AK425">
        <v>0</v>
      </c>
      <c r="AZ425" t="s">
        <v>96</v>
      </c>
      <c r="BA425" t="s">
        <v>87</v>
      </c>
      <c r="BB425" t="s">
        <v>87</v>
      </c>
      <c r="BC425" t="s">
        <v>87</v>
      </c>
      <c r="BD425" t="s">
        <v>87</v>
      </c>
      <c r="BE425" t="s">
        <v>87</v>
      </c>
      <c r="BF425" t="s">
        <v>97</v>
      </c>
      <c r="BG425" t="s">
        <v>92</v>
      </c>
      <c r="BH425" t="s">
        <v>98</v>
      </c>
      <c r="BI425" t="s">
        <v>96</v>
      </c>
      <c r="BJ425" t="s">
        <v>114</v>
      </c>
      <c r="BK425">
        <v>1</v>
      </c>
      <c r="BL425">
        <v>0</v>
      </c>
      <c r="BM425">
        <v>0</v>
      </c>
      <c r="BN425">
        <v>0</v>
      </c>
      <c r="BO425">
        <v>0</v>
      </c>
      <c r="BP425">
        <v>0</v>
      </c>
      <c r="BQ425">
        <v>0</v>
      </c>
      <c r="BR425">
        <v>0</v>
      </c>
    </row>
    <row r="426" spans="1:72" x14ac:dyDescent="0.2">
      <c r="A426" s="1">
        <v>44588.995833333334</v>
      </c>
      <c r="B426" s="1">
        <v>44588.997916666667</v>
      </c>
      <c r="C426">
        <v>0</v>
      </c>
      <c r="D426">
        <v>1</v>
      </c>
      <c r="E426">
        <v>0</v>
      </c>
      <c r="F426">
        <v>0</v>
      </c>
      <c r="H426">
        <v>1</v>
      </c>
      <c r="I426">
        <v>0</v>
      </c>
      <c r="J426">
        <v>0</v>
      </c>
      <c r="K426">
        <v>0</v>
      </c>
      <c r="L426">
        <v>0</v>
      </c>
      <c r="P426">
        <v>0</v>
      </c>
      <c r="Q426">
        <v>1</v>
      </c>
      <c r="R426">
        <v>0</v>
      </c>
      <c r="S426">
        <v>0</v>
      </c>
      <c r="T426">
        <v>0</v>
      </c>
      <c r="U426">
        <v>0</v>
      </c>
      <c r="V426">
        <v>0</v>
      </c>
      <c r="W426">
        <v>0</v>
      </c>
      <c r="X426">
        <v>0</v>
      </c>
      <c r="Y426">
        <v>0</v>
      </c>
      <c r="Z426">
        <v>0</v>
      </c>
      <c r="AA426">
        <v>0</v>
      </c>
      <c r="AM426" t="s">
        <v>83</v>
      </c>
      <c r="AN426" t="s">
        <v>83</v>
      </c>
      <c r="AO426" t="s">
        <v>83</v>
      </c>
      <c r="AP426" t="s">
        <v>83</v>
      </c>
      <c r="AQ426" t="s">
        <v>83</v>
      </c>
      <c r="AR426" t="s">
        <v>83</v>
      </c>
      <c r="AS426" t="s">
        <v>83</v>
      </c>
      <c r="AT426" t="s">
        <v>83</v>
      </c>
      <c r="AU426" t="s">
        <v>88</v>
      </c>
      <c r="AV426" t="s">
        <v>89</v>
      </c>
      <c r="AW426" t="s">
        <v>100</v>
      </c>
      <c r="AX426" t="s">
        <v>126</v>
      </c>
      <c r="AZ426" t="s">
        <v>107</v>
      </c>
      <c r="BA426" t="s">
        <v>87</v>
      </c>
      <c r="BB426" t="s">
        <v>87</v>
      </c>
      <c r="BC426" t="s">
        <v>87</v>
      </c>
      <c r="BD426" t="s">
        <v>87</v>
      </c>
      <c r="BE426" t="s">
        <v>87</v>
      </c>
      <c r="BF426" t="s">
        <v>113</v>
      </c>
      <c r="BG426" t="s">
        <v>76</v>
      </c>
      <c r="BH426" t="s">
        <v>98</v>
      </c>
      <c r="BI426" t="s">
        <v>107</v>
      </c>
      <c r="BJ426" t="s">
        <v>78</v>
      </c>
      <c r="BK426">
        <v>1</v>
      </c>
      <c r="BL426">
        <v>0</v>
      </c>
      <c r="BM426">
        <v>0</v>
      </c>
      <c r="BN426">
        <v>0</v>
      </c>
      <c r="BO426">
        <v>0</v>
      </c>
      <c r="BP426">
        <v>0</v>
      </c>
      <c r="BQ426">
        <v>0</v>
      </c>
      <c r="BR426">
        <v>0</v>
      </c>
    </row>
    <row r="427" spans="1:72" x14ac:dyDescent="0.2">
      <c r="A427" s="1">
        <v>44587.611111111109</v>
      </c>
      <c r="B427" s="1">
        <v>44587.612500000003</v>
      </c>
      <c r="C427">
        <v>0</v>
      </c>
      <c r="D427">
        <v>1</v>
      </c>
      <c r="E427">
        <v>0</v>
      </c>
      <c r="F427">
        <v>0</v>
      </c>
      <c r="H427">
        <v>0</v>
      </c>
      <c r="I427">
        <v>1</v>
      </c>
      <c r="J427">
        <v>0</v>
      </c>
      <c r="K427">
        <v>0</v>
      </c>
      <c r="L427">
        <v>0</v>
      </c>
      <c r="N427" t="s">
        <v>88</v>
      </c>
      <c r="O427" t="s">
        <v>89</v>
      </c>
      <c r="P427">
        <v>0</v>
      </c>
      <c r="Q427">
        <v>0</v>
      </c>
      <c r="R427">
        <v>0</v>
      </c>
      <c r="S427">
        <v>0</v>
      </c>
      <c r="T427">
        <v>1</v>
      </c>
      <c r="U427">
        <v>0</v>
      </c>
      <c r="V427">
        <v>0</v>
      </c>
      <c r="W427">
        <v>0</v>
      </c>
      <c r="X427">
        <v>0</v>
      </c>
      <c r="Y427">
        <v>0</v>
      </c>
      <c r="Z427">
        <v>0</v>
      </c>
      <c r="AA427">
        <v>0</v>
      </c>
      <c r="AM427" t="s">
        <v>83</v>
      </c>
      <c r="AN427" t="s">
        <v>82</v>
      </c>
      <c r="AO427" t="s">
        <v>83</v>
      </c>
      <c r="AP427" t="s">
        <v>82</v>
      </c>
      <c r="AQ427" t="s">
        <v>81</v>
      </c>
      <c r="AR427" t="s">
        <v>83</v>
      </c>
      <c r="AS427" t="s">
        <v>83</v>
      </c>
      <c r="AT427" t="s">
        <v>81</v>
      </c>
      <c r="AU427" t="s">
        <v>88</v>
      </c>
      <c r="AV427" t="s">
        <v>89</v>
      </c>
      <c r="AW427" t="s">
        <v>85</v>
      </c>
      <c r="AX427" t="s">
        <v>106</v>
      </c>
      <c r="AZ427" t="s">
        <v>107</v>
      </c>
      <c r="BA427" t="s">
        <v>87</v>
      </c>
      <c r="BB427" t="s">
        <v>87</v>
      </c>
      <c r="BC427" t="s">
        <v>87</v>
      </c>
      <c r="BD427" t="s">
        <v>86</v>
      </c>
      <c r="BE427" t="s">
        <v>87</v>
      </c>
      <c r="BF427" t="s">
        <v>75</v>
      </c>
      <c r="BG427" t="s">
        <v>76</v>
      </c>
      <c r="BH427" t="s">
        <v>77</v>
      </c>
      <c r="BI427" t="s">
        <v>107</v>
      </c>
      <c r="BJ427" t="s">
        <v>114</v>
      </c>
      <c r="BK427">
        <v>1</v>
      </c>
      <c r="BL427">
        <v>0</v>
      </c>
      <c r="BM427">
        <v>0</v>
      </c>
      <c r="BN427">
        <v>0</v>
      </c>
      <c r="BO427">
        <v>0</v>
      </c>
      <c r="BP427">
        <v>0</v>
      </c>
      <c r="BQ427">
        <v>0</v>
      </c>
      <c r="BR427">
        <v>0</v>
      </c>
    </row>
    <row r="428" spans="1:72" x14ac:dyDescent="0.2">
      <c r="A428" s="1">
        <v>44579.979166666664</v>
      </c>
      <c r="B428" s="1">
        <v>44579.982638888891</v>
      </c>
      <c r="C428">
        <v>1</v>
      </c>
      <c r="D428">
        <v>1</v>
      </c>
      <c r="E428">
        <v>0</v>
      </c>
      <c r="F428">
        <v>0</v>
      </c>
      <c r="H428">
        <v>0</v>
      </c>
      <c r="I428">
        <v>1</v>
      </c>
      <c r="J428">
        <v>0</v>
      </c>
      <c r="K428">
        <v>1</v>
      </c>
      <c r="L428">
        <v>0</v>
      </c>
      <c r="N428" t="s">
        <v>88</v>
      </c>
      <c r="O428" t="s">
        <v>89</v>
      </c>
      <c r="P428">
        <v>0</v>
      </c>
      <c r="Q428">
        <v>1</v>
      </c>
      <c r="R428">
        <v>0</v>
      </c>
      <c r="S428">
        <v>0</v>
      </c>
      <c r="T428">
        <v>1</v>
      </c>
      <c r="U428">
        <v>0</v>
      </c>
      <c r="V428">
        <v>0</v>
      </c>
      <c r="W428">
        <v>0</v>
      </c>
      <c r="X428">
        <v>0</v>
      </c>
      <c r="Y428">
        <v>0</v>
      </c>
      <c r="Z428">
        <v>0</v>
      </c>
      <c r="AA428">
        <v>0</v>
      </c>
      <c r="AM428" t="s">
        <v>83</v>
      </c>
      <c r="AN428" t="s">
        <v>82</v>
      </c>
      <c r="AO428" t="s">
        <v>81</v>
      </c>
      <c r="AP428" t="s">
        <v>82</v>
      </c>
      <c r="AQ428" t="s">
        <v>81</v>
      </c>
      <c r="AR428" t="s">
        <v>81</v>
      </c>
      <c r="AS428" t="s">
        <v>83</v>
      </c>
      <c r="AT428" t="s">
        <v>83</v>
      </c>
      <c r="AU428" t="s">
        <v>88</v>
      </c>
      <c r="AV428" t="s">
        <v>89</v>
      </c>
      <c r="AW428" t="s">
        <v>100</v>
      </c>
      <c r="AX428" t="s">
        <v>146</v>
      </c>
      <c r="AZ428" t="s">
        <v>107</v>
      </c>
      <c r="BA428" t="s">
        <v>86</v>
      </c>
      <c r="BB428" t="s">
        <v>86</v>
      </c>
      <c r="BC428" t="s">
        <v>87</v>
      </c>
      <c r="BD428" t="s">
        <v>87</v>
      </c>
      <c r="BE428" t="s">
        <v>86</v>
      </c>
      <c r="BF428" t="s">
        <v>75</v>
      </c>
      <c r="BG428" t="s">
        <v>76</v>
      </c>
      <c r="BH428" t="s">
        <v>98</v>
      </c>
      <c r="BI428" t="s">
        <v>107</v>
      </c>
      <c r="BJ428" t="s">
        <v>114</v>
      </c>
      <c r="BK428">
        <v>1</v>
      </c>
      <c r="BL428">
        <v>0</v>
      </c>
      <c r="BM428">
        <v>0</v>
      </c>
      <c r="BN428">
        <v>0</v>
      </c>
      <c r="BO428">
        <v>0</v>
      </c>
      <c r="BP428">
        <v>0</v>
      </c>
      <c r="BQ428">
        <v>0</v>
      </c>
      <c r="BR428">
        <v>0</v>
      </c>
    </row>
    <row r="429" spans="1:72" x14ac:dyDescent="0.2">
      <c r="A429" s="1">
        <v>44580.158333333333</v>
      </c>
      <c r="B429" s="1">
        <v>44580.161805555559</v>
      </c>
      <c r="C429">
        <v>1</v>
      </c>
      <c r="D429">
        <v>0</v>
      </c>
      <c r="E429">
        <v>0</v>
      </c>
      <c r="F429">
        <v>0</v>
      </c>
      <c r="H429">
        <v>0</v>
      </c>
      <c r="I429">
        <v>1</v>
      </c>
      <c r="J429">
        <v>0</v>
      </c>
      <c r="K429">
        <v>0</v>
      </c>
      <c r="L429">
        <v>0</v>
      </c>
      <c r="N429" t="s">
        <v>79</v>
      </c>
      <c r="O429" t="s">
        <v>89</v>
      </c>
      <c r="P429">
        <v>1</v>
      </c>
      <c r="Q429">
        <v>0</v>
      </c>
      <c r="R429">
        <v>0</v>
      </c>
      <c r="S429">
        <v>0</v>
      </c>
      <c r="T429">
        <v>0</v>
      </c>
      <c r="U429">
        <v>0</v>
      </c>
      <c r="V429">
        <v>0</v>
      </c>
      <c r="W429">
        <v>0</v>
      </c>
      <c r="X429">
        <v>0</v>
      </c>
      <c r="Y429">
        <v>0</v>
      </c>
      <c r="Z429">
        <v>0</v>
      </c>
      <c r="AA429">
        <v>0</v>
      </c>
      <c r="AC429">
        <v>0</v>
      </c>
      <c r="AD429">
        <v>0</v>
      </c>
      <c r="AE429">
        <v>1</v>
      </c>
      <c r="AF429">
        <v>0</v>
      </c>
      <c r="AG429">
        <v>0</v>
      </c>
      <c r="AH429">
        <v>0</v>
      </c>
      <c r="AI429">
        <v>0</v>
      </c>
      <c r="AJ429">
        <v>0</v>
      </c>
      <c r="AK429">
        <v>0</v>
      </c>
      <c r="AZ429" t="s">
        <v>73</v>
      </c>
      <c r="BA429" t="s">
        <v>86</v>
      </c>
      <c r="BB429" t="s">
        <v>74</v>
      </c>
      <c r="BC429" t="s">
        <v>87</v>
      </c>
      <c r="BD429" t="s">
        <v>74</v>
      </c>
      <c r="BE429" t="s">
        <v>87</v>
      </c>
      <c r="BF429" t="s">
        <v>97</v>
      </c>
      <c r="BG429" t="s">
        <v>76</v>
      </c>
      <c r="BH429" t="s">
        <v>98</v>
      </c>
      <c r="BI429" t="s">
        <v>73</v>
      </c>
      <c r="BJ429" t="s">
        <v>114</v>
      </c>
      <c r="BK429">
        <v>1</v>
      </c>
      <c r="BL429">
        <v>0</v>
      </c>
      <c r="BM429">
        <v>0</v>
      </c>
      <c r="BN429">
        <v>0</v>
      </c>
      <c r="BO429">
        <v>0</v>
      </c>
      <c r="BP429">
        <v>0</v>
      </c>
      <c r="BQ429">
        <v>0</v>
      </c>
      <c r="BR429">
        <v>0</v>
      </c>
    </row>
    <row r="430" spans="1:72" x14ac:dyDescent="0.2">
      <c r="A430" s="1">
        <v>44585.635416666664</v>
      </c>
      <c r="B430" s="1">
        <v>44585.63958333333</v>
      </c>
      <c r="C430">
        <v>0</v>
      </c>
      <c r="D430">
        <v>1</v>
      </c>
      <c r="E430">
        <v>0</v>
      </c>
      <c r="F430">
        <v>0</v>
      </c>
      <c r="H430">
        <v>1</v>
      </c>
      <c r="I430">
        <v>0</v>
      </c>
      <c r="J430">
        <v>0</v>
      </c>
      <c r="K430">
        <v>0</v>
      </c>
      <c r="L430">
        <v>0</v>
      </c>
      <c r="P430">
        <v>1</v>
      </c>
      <c r="Q430">
        <v>0</v>
      </c>
      <c r="R430">
        <v>0</v>
      </c>
      <c r="S430">
        <v>0</v>
      </c>
      <c r="T430">
        <v>0</v>
      </c>
      <c r="U430">
        <v>0</v>
      </c>
      <c r="V430">
        <v>0</v>
      </c>
      <c r="W430">
        <v>0</v>
      </c>
      <c r="X430">
        <v>0</v>
      </c>
      <c r="Y430">
        <v>0</v>
      </c>
      <c r="Z430">
        <v>0</v>
      </c>
      <c r="AA430">
        <v>0</v>
      </c>
      <c r="AC430">
        <v>1</v>
      </c>
      <c r="AD430">
        <v>0</v>
      </c>
      <c r="AE430">
        <v>0</v>
      </c>
      <c r="AF430">
        <v>0</v>
      </c>
      <c r="AG430">
        <v>0</v>
      </c>
      <c r="AH430">
        <v>0</v>
      </c>
      <c r="AI430">
        <v>0</v>
      </c>
      <c r="AJ430">
        <v>0</v>
      </c>
      <c r="AK430">
        <v>0</v>
      </c>
      <c r="AZ430" t="s">
        <v>107</v>
      </c>
      <c r="BA430" t="s">
        <v>87</v>
      </c>
      <c r="BB430" t="s">
        <v>87</v>
      </c>
      <c r="BC430" t="s">
        <v>87</v>
      </c>
      <c r="BD430" t="s">
        <v>87</v>
      </c>
      <c r="BE430" t="s">
        <v>87</v>
      </c>
      <c r="BF430" t="s">
        <v>97</v>
      </c>
      <c r="BG430" t="s">
        <v>92</v>
      </c>
      <c r="BH430" t="s">
        <v>98</v>
      </c>
      <c r="BI430" t="s">
        <v>107</v>
      </c>
      <c r="BK430">
        <v>1</v>
      </c>
      <c r="BL430">
        <v>0</v>
      </c>
      <c r="BM430">
        <v>0</v>
      </c>
      <c r="BN430">
        <v>0</v>
      </c>
      <c r="BO430">
        <v>0</v>
      </c>
      <c r="BP430">
        <v>0</v>
      </c>
      <c r="BQ430">
        <v>0</v>
      </c>
      <c r="BR430">
        <v>0</v>
      </c>
      <c r="BT430" t="s">
        <v>138</v>
      </c>
    </row>
    <row r="431" spans="1:72" x14ac:dyDescent="0.2">
      <c r="A431" s="1">
        <v>44582.581944444442</v>
      </c>
      <c r="B431" s="1">
        <v>44582.584027777775</v>
      </c>
      <c r="C431">
        <v>1</v>
      </c>
      <c r="D431">
        <v>0</v>
      </c>
      <c r="E431">
        <v>0</v>
      </c>
      <c r="F431">
        <v>0</v>
      </c>
      <c r="H431">
        <v>0</v>
      </c>
      <c r="I431">
        <v>1</v>
      </c>
      <c r="J431">
        <v>0</v>
      </c>
      <c r="K431">
        <v>0</v>
      </c>
      <c r="L431">
        <v>0</v>
      </c>
      <c r="N431" t="s">
        <v>88</v>
      </c>
      <c r="O431" t="s">
        <v>89</v>
      </c>
      <c r="P431">
        <v>0</v>
      </c>
      <c r="Q431">
        <v>0</v>
      </c>
      <c r="R431">
        <v>1</v>
      </c>
      <c r="S431">
        <v>0</v>
      </c>
      <c r="T431">
        <v>0</v>
      </c>
      <c r="U431">
        <v>0</v>
      </c>
      <c r="V431">
        <v>0</v>
      </c>
      <c r="W431">
        <v>0</v>
      </c>
      <c r="X431">
        <v>0</v>
      </c>
      <c r="Y431">
        <v>0</v>
      </c>
      <c r="Z431">
        <v>0</v>
      </c>
      <c r="AA431">
        <v>0</v>
      </c>
      <c r="AM431" t="s">
        <v>83</v>
      </c>
      <c r="AN431" t="s">
        <v>83</v>
      </c>
      <c r="AO431" t="s">
        <v>83</v>
      </c>
      <c r="AP431" t="s">
        <v>90</v>
      </c>
      <c r="AQ431" t="s">
        <v>83</v>
      </c>
      <c r="AR431" t="s">
        <v>83</v>
      </c>
      <c r="AS431" t="s">
        <v>81</v>
      </c>
      <c r="AT431" t="s">
        <v>83</v>
      </c>
      <c r="AU431" t="s">
        <v>88</v>
      </c>
      <c r="AV431" t="s">
        <v>89</v>
      </c>
      <c r="AW431" t="s">
        <v>85</v>
      </c>
      <c r="AZ431" t="s">
        <v>107</v>
      </c>
      <c r="BA431" t="s">
        <v>86</v>
      </c>
      <c r="BB431" t="s">
        <v>86</v>
      </c>
      <c r="BC431" t="s">
        <v>86</v>
      </c>
      <c r="BD431" t="s">
        <v>86</v>
      </c>
      <c r="BE431" t="s">
        <v>86</v>
      </c>
      <c r="BF431" t="s">
        <v>97</v>
      </c>
      <c r="BG431" t="s">
        <v>76</v>
      </c>
      <c r="BH431" t="s">
        <v>98</v>
      </c>
      <c r="BI431" t="s">
        <v>107</v>
      </c>
      <c r="BJ431" t="s">
        <v>165</v>
      </c>
      <c r="BK431">
        <v>0</v>
      </c>
      <c r="BL431">
        <v>0</v>
      </c>
      <c r="BM431">
        <v>0</v>
      </c>
      <c r="BN431">
        <v>0</v>
      </c>
      <c r="BO431">
        <v>0</v>
      </c>
      <c r="BP431">
        <v>1</v>
      </c>
      <c r="BQ431">
        <v>0</v>
      </c>
      <c r="BR431">
        <v>0</v>
      </c>
    </row>
    <row r="432" spans="1:72" x14ac:dyDescent="0.2">
      <c r="A432" s="1">
        <v>44589.618750000001</v>
      </c>
      <c r="B432" s="1">
        <v>44589.620833333334</v>
      </c>
      <c r="C432">
        <v>1</v>
      </c>
      <c r="D432">
        <v>0</v>
      </c>
      <c r="E432">
        <v>0</v>
      </c>
      <c r="F432">
        <v>0</v>
      </c>
      <c r="H432">
        <v>1</v>
      </c>
      <c r="I432">
        <v>0</v>
      </c>
      <c r="J432">
        <v>0</v>
      </c>
      <c r="K432">
        <v>0</v>
      </c>
      <c r="L432">
        <v>0</v>
      </c>
      <c r="P432">
        <v>1</v>
      </c>
      <c r="Q432">
        <v>0</v>
      </c>
      <c r="R432">
        <v>0</v>
      </c>
      <c r="S432">
        <v>0</v>
      </c>
      <c r="T432">
        <v>0</v>
      </c>
      <c r="U432">
        <v>0</v>
      </c>
      <c r="V432">
        <v>0</v>
      </c>
      <c r="W432">
        <v>0</v>
      </c>
      <c r="X432">
        <v>0</v>
      </c>
      <c r="Y432">
        <v>0</v>
      </c>
      <c r="Z432">
        <v>0</v>
      </c>
      <c r="AA432">
        <v>0</v>
      </c>
      <c r="AC432">
        <v>1</v>
      </c>
      <c r="AD432">
        <v>0</v>
      </c>
      <c r="AE432">
        <v>0</v>
      </c>
      <c r="AF432">
        <v>0</v>
      </c>
      <c r="AG432">
        <v>0</v>
      </c>
      <c r="AH432">
        <v>0</v>
      </c>
      <c r="AI432">
        <v>0</v>
      </c>
      <c r="AJ432">
        <v>0</v>
      </c>
      <c r="AK432">
        <v>0</v>
      </c>
      <c r="AX432" t="s">
        <v>146</v>
      </c>
      <c r="AZ432" t="s">
        <v>107</v>
      </c>
      <c r="BA432" t="s">
        <v>87</v>
      </c>
      <c r="BB432" t="s">
        <v>87</v>
      </c>
      <c r="BC432" t="s">
        <v>86</v>
      </c>
      <c r="BD432" t="s">
        <v>86</v>
      </c>
      <c r="BE432" t="s">
        <v>86</v>
      </c>
      <c r="BF432" t="s">
        <v>75</v>
      </c>
      <c r="BG432" t="s">
        <v>92</v>
      </c>
      <c r="BH432" t="s">
        <v>98</v>
      </c>
      <c r="BI432" t="s">
        <v>107</v>
      </c>
      <c r="BJ432" t="s">
        <v>78</v>
      </c>
      <c r="BK432">
        <v>1</v>
      </c>
      <c r="BL432">
        <v>0</v>
      </c>
      <c r="BM432">
        <v>0</v>
      </c>
      <c r="BN432">
        <v>0</v>
      </c>
      <c r="BO432">
        <v>0</v>
      </c>
      <c r="BP432">
        <v>0</v>
      </c>
      <c r="BQ432">
        <v>0</v>
      </c>
      <c r="BR432">
        <v>0</v>
      </c>
    </row>
    <row r="433" spans="1:70" x14ac:dyDescent="0.2">
      <c r="A433" s="1">
        <v>44585.819444444445</v>
      </c>
      <c r="B433" s="1">
        <v>44585.822222222225</v>
      </c>
      <c r="C433">
        <v>1</v>
      </c>
      <c r="D433">
        <v>0</v>
      </c>
      <c r="E433">
        <v>0</v>
      </c>
      <c r="F433">
        <v>0</v>
      </c>
      <c r="H433">
        <v>0</v>
      </c>
      <c r="I433">
        <v>1</v>
      </c>
      <c r="J433">
        <v>0</v>
      </c>
      <c r="K433">
        <v>1</v>
      </c>
      <c r="L433">
        <v>0</v>
      </c>
      <c r="N433" t="s">
        <v>88</v>
      </c>
      <c r="O433" t="s">
        <v>89</v>
      </c>
      <c r="P433">
        <v>0</v>
      </c>
      <c r="Q433">
        <v>1</v>
      </c>
      <c r="R433">
        <v>0</v>
      </c>
      <c r="S433">
        <v>0</v>
      </c>
      <c r="T433">
        <v>0</v>
      </c>
      <c r="U433">
        <v>0</v>
      </c>
      <c r="V433">
        <v>0</v>
      </c>
      <c r="W433">
        <v>0</v>
      </c>
      <c r="X433">
        <v>0</v>
      </c>
      <c r="Y433">
        <v>0</v>
      </c>
      <c r="Z433">
        <v>0</v>
      </c>
      <c r="AA433">
        <v>0</v>
      </c>
      <c r="AM433" t="s">
        <v>83</v>
      </c>
      <c r="AN433" t="s">
        <v>82</v>
      </c>
      <c r="AO433" t="s">
        <v>81</v>
      </c>
      <c r="AP433" t="s">
        <v>81</v>
      </c>
      <c r="AQ433" t="s">
        <v>81</v>
      </c>
      <c r="AR433" t="s">
        <v>83</v>
      </c>
      <c r="AS433" t="s">
        <v>81</v>
      </c>
      <c r="AT433" t="s">
        <v>83</v>
      </c>
      <c r="AU433" t="s">
        <v>88</v>
      </c>
      <c r="AV433" t="s">
        <v>89</v>
      </c>
      <c r="AW433" t="s">
        <v>100</v>
      </c>
      <c r="AZ433" t="s">
        <v>107</v>
      </c>
      <c r="BA433" t="s">
        <v>86</v>
      </c>
      <c r="BB433" t="s">
        <v>86</v>
      </c>
      <c r="BC433" t="s">
        <v>86</v>
      </c>
      <c r="BD433" t="s">
        <v>86</v>
      </c>
      <c r="BE433" t="s">
        <v>86</v>
      </c>
      <c r="BF433" t="s">
        <v>97</v>
      </c>
      <c r="BG433" t="s">
        <v>92</v>
      </c>
      <c r="BH433" t="s">
        <v>98</v>
      </c>
      <c r="BI433" t="s">
        <v>107</v>
      </c>
      <c r="BJ433" t="s">
        <v>114</v>
      </c>
      <c r="BK433">
        <v>1</v>
      </c>
      <c r="BL433">
        <v>0</v>
      </c>
      <c r="BM433">
        <v>0</v>
      </c>
      <c r="BN433">
        <v>0</v>
      </c>
      <c r="BO433">
        <v>0</v>
      </c>
      <c r="BP433">
        <v>0</v>
      </c>
      <c r="BQ433">
        <v>0</v>
      </c>
      <c r="BR433">
        <v>0</v>
      </c>
    </row>
    <row r="434" spans="1:70" x14ac:dyDescent="0.2">
      <c r="A434" s="1">
        <v>44581.787499999999</v>
      </c>
      <c r="B434" s="1">
        <v>44581.791666666664</v>
      </c>
      <c r="C434">
        <v>1</v>
      </c>
      <c r="D434">
        <v>0</v>
      </c>
      <c r="E434">
        <v>0</v>
      </c>
      <c r="F434">
        <v>0</v>
      </c>
      <c r="H434">
        <v>0</v>
      </c>
      <c r="I434">
        <v>1</v>
      </c>
      <c r="J434">
        <v>0</v>
      </c>
      <c r="K434">
        <v>0</v>
      </c>
      <c r="L434">
        <v>0</v>
      </c>
      <c r="N434" t="s">
        <v>79</v>
      </c>
      <c r="O434" t="s">
        <v>80</v>
      </c>
      <c r="P434">
        <v>0</v>
      </c>
      <c r="Q434">
        <v>0</v>
      </c>
      <c r="R434">
        <v>1</v>
      </c>
      <c r="S434">
        <v>0</v>
      </c>
      <c r="T434">
        <v>0</v>
      </c>
      <c r="U434">
        <v>0</v>
      </c>
      <c r="V434">
        <v>0</v>
      </c>
      <c r="W434">
        <v>0</v>
      </c>
      <c r="X434">
        <v>0</v>
      </c>
      <c r="Y434">
        <v>0</v>
      </c>
      <c r="Z434">
        <v>0</v>
      </c>
      <c r="AA434">
        <v>0</v>
      </c>
      <c r="AM434" t="s">
        <v>81</v>
      </c>
      <c r="AN434" t="s">
        <v>82</v>
      </c>
      <c r="AO434" t="s">
        <v>81</v>
      </c>
      <c r="AP434" t="s">
        <v>81</v>
      </c>
      <c r="AQ434" t="s">
        <v>82</v>
      </c>
      <c r="AR434" t="s">
        <v>81</v>
      </c>
      <c r="AS434" t="s">
        <v>81</v>
      </c>
      <c r="AT434" t="s">
        <v>83</v>
      </c>
      <c r="AU434" t="s">
        <v>88</v>
      </c>
      <c r="AV434" t="s">
        <v>89</v>
      </c>
      <c r="AW434" t="s">
        <v>85</v>
      </c>
      <c r="AX434" t="s">
        <v>110</v>
      </c>
      <c r="AY434" t="s">
        <v>277</v>
      </c>
      <c r="AZ434" t="s">
        <v>96</v>
      </c>
      <c r="BA434" t="s">
        <v>87</v>
      </c>
      <c r="BB434" t="s">
        <v>87</v>
      </c>
      <c r="BC434" t="s">
        <v>87</v>
      </c>
      <c r="BD434" t="s">
        <v>86</v>
      </c>
      <c r="BE434" t="s">
        <v>87</v>
      </c>
      <c r="BF434" t="s">
        <v>75</v>
      </c>
      <c r="BG434" t="s">
        <v>92</v>
      </c>
      <c r="BH434" t="s">
        <v>98</v>
      </c>
      <c r="BI434" t="s">
        <v>96</v>
      </c>
      <c r="BJ434" t="s">
        <v>114</v>
      </c>
      <c r="BK434">
        <v>1</v>
      </c>
      <c r="BL434">
        <v>0</v>
      </c>
      <c r="BM434">
        <v>0</v>
      </c>
      <c r="BN434">
        <v>0</v>
      </c>
      <c r="BO434">
        <v>0</v>
      </c>
      <c r="BP434">
        <v>0</v>
      </c>
      <c r="BQ434">
        <v>0</v>
      </c>
      <c r="BR434">
        <v>0</v>
      </c>
    </row>
    <row r="435" spans="1:70" x14ac:dyDescent="0.2">
      <c r="A435" s="1">
        <v>44583.601388888892</v>
      </c>
      <c r="B435" s="1">
        <v>44583.603472222225</v>
      </c>
      <c r="C435">
        <v>0</v>
      </c>
      <c r="D435">
        <v>1</v>
      </c>
      <c r="E435">
        <v>0</v>
      </c>
      <c r="F435">
        <v>0</v>
      </c>
      <c r="H435">
        <v>0</v>
      </c>
      <c r="I435">
        <v>1</v>
      </c>
      <c r="J435">
        <v>0</v>
      </c>
      <c r="K435">
        <v>1</v>
      </c>
      <c r="L435">
        <v>0</v>
      </c>
      <c r="N435" t="s">
        <v>88</v>
      </c>
      <c r="O435" t="s">
        <v>89</v>
      </c>
      <c r="P435">
        <v>0</v>
      </c>
      <c r="Q435">
        <v>1</v>
      </c>
      <c r="R435">
        <v>0</v>
      </c>
      <c r="S435">
        <v>0</v>
      </c>
      <c r="T435">
        <v>0</v>
      </c>
      <c r="U435">
        <v>0</v>
      </c>
      <c r="V435">
        <v>0</v>
      </c>
      <c r="W435">
        <v>0</v>
      </c>
      <c r="X435">
        <v>0</v>
      </c>
      <c r="Y435">
        <v>0</v>
      </c>
      <c r="Z435">
        <v>0</v>
      </c>
      <c r="AA435">
        <v>0</v>
      </c>
      <c r="AM435" t="s">
        <v>90</v>
      </c>
      <c r="AN435" t="s">
        <v>82</v>
      </c>
      <c r="AO435" t="s">
        <v>83</v>
      </c>
      <c r="AP435" t="s">
        <v>90</v>
      </c>
      <c r="AQ435" t="s">
        <v>83</v>
      </c>
      <c r="AR435" t="s">
        <v>90</v>
      </c>
      <c r="AS435" t="s">
        <v>90</v>
      </c>
      <c r="AT435" t="s">
        <v>81</v>
      </c>
      <c r="AU435" t="s">
        <v>88</v>
      </c>
      <c r="AV435" t="s">
        <v>89</v>
      </c>
      <c r="AW435" t="s">
        <v>100</v>
      </c>
      <c r="AX435" t="s">
        <v>199</v>
      </c>
      <c r="AZ435" t="s">
        <v>107</v>
      </c>
      <c r="BA435" t="s">
        <v>74</v>
      </c>
      <c r="BF435" t="s">
        <v>75</v>
      </c>
      <c r="BG435" t="s">
        <v>76</v>
      </c>
      <c r="BH435" t="s">
        <v>98</v>
      </c>
      <c r="BI435" t="s">
        <v>107</v>
      </c>
      <c r="BJ435" t="s">
        <v>109</v>
      </c>
      <c r="BK435">
        <v>1</v>
      </c>
      <c r="BL435">
        <v>0</v>
      </c>
      <c r="BM435">
        <v>0</v>
      </c>
      <c r="BN435">
        <v>0</v>
      </c>
      <c r="BO435">
        <v>0</v>
      </c>
      <c r="BP435">
        <v>0</v>
      </c>
      <c r="BQ435">
        <v>0</v>
      </c>
      <c r="BR435">
        <v>0</v>
      </c>
    </row>
    <row r="436" spans="1:70" x14ac:dyDescent="0.2">
      <c r="A436" s="1">
        <v>44585.534722222219</v>
      </c>
      <c r="B436" s="1">
        <v>44585.536805555559</v>
      </c>
      <c r="C436">
        <v>1</v>
      </c>
      <c r="D436">
        <v>0</v>
      </c>
      <c r="E436">
        <v>0</v>
      </c>
      <c r="F436">
        <v>0</v>
      </c>
      <c r="H436">
        <v>0</v>
      </c>
      <c r="I436">
        <v>1</v>
      </c>
      <c r="J436">
        <v>1</v>
      </c>
      <c r="K436">
        <v>0</v>
      </c>
      <c r="L436">
        <v>0</v>
      </c>
      <c r="N436" t="s">
        <v>79</v>
      </c>
      <c r="O436" t="s">
        <v>80</v>
      </c>
      <c r="P436">
        <v>0</v>
      </c>
      <c r="Q436">
        <v>1</v>
      </c>
      <c r="R436">
        <v>0</v>
      </c>
      <c r="S436">
        <v>0</v>
      </c>
      <c r="T436">
        <v>0</v>
      </c>
      <c r="U436">
        <v>0</v>
      </c>
      <c r="V436">
        <v>0</v>
      </c>
      <c r="W436">
        <v>0</v>
      </c>
      <c r="X436">
        <v>0</v>
      </c>
      <c r="Y436">
        <v>0</v>
      </c>
      <c r="Z436">
        <v>0</v>
      </c>
      <c r="AA436">
        <v>0</v>
      </c>
      <c r="AM436" t="s">
        <v>90</v>
      </c>
      <c r="AN436" t="s">
        <v>82</v>
      </c>
      <c r="AO436" t="s">
        <v>83</v>
      </c>
      <c r="AP436" t="s">
        <v>90</v>
      </c>
      <c r="AQ436" t="s">
        <v>90</v>
      </c>
      <c r="AR436" t="s">
        <v>90</v>
      </c>
      <c r="AS436" t="s">
        <v>90</v>
      </c>
      <c r="AT436" t="s">
        <v>83</v>
      </c>
      <c r="AU436" t="s">
        <v>88</v>
      </c>
      <c r="AV436" t="s">
        <v>89</v>
      </c>
      <c r="AW436" t="s">
        <v>85</v>
      </c>
      <c r="AX436" t="s">
        <v>122</v>
      </c>
      <c r="AZ436" t="s">
        <v>73</v>
      </c>
      <c r="BA436" t="s">
        <v>86</v>
      </c>
      <c r="BB436" t="s">
        <v>86</v>
      </c>
      <c r="BC436" t="s">
        <v>87</v>
      </c>
      <c r="BD436" t="s">
        <v>86</v>
      </c>
      <c r="BE436" t="s">
        <v>86</v>
      </c>
      <c r="BF436" t="s">
        <v>75</v>
      </c>
      <c r="BG436" t="s">
        <v>76</v>
      </c>
      <c r="BH436" t="s">
        <v>93</v>
      </c>
      <c r="BI436" t="s">
        <v>73</v>
      </c>
      <c r="BJ436" t="s">
        <v>114</v>
      </c>
      <c r="BK436">
        <v>0</v>
      </c>
      <c r="BL436">
        <v>0</v>
      </c>
      <c r="BM436">
        <v>0</v>
      </c>
      <c r="BN436">
        <v>0</v>
      </c>
      <c r="BO436">
        <v>0</v>
      </c>
      <c r="BP436">
        <v>1</v>
      </c>
      <c r="BQ436">
        <v>0</v>
      </c>
      <c r="BR436">
        <v>0</v>
      </c>
    </row>
    <row r="437" spans="1:70" x14ac:dyDescent="0.2">
      <c r="A437" s="1">
        <v>44579.879166666666</v>
      </c>
      <c r="B437" s="1">
        <v>44579.880555555559</v>
      </c>
      <c r="C437">
        <v>1</v>
      </c>
      <c r="D437">
        <v>0</v>
      </c>
      <c r="E437">
        <v>0</v>
      </c>
      <c r="F437">
        <v>0</v>
      </c>
      <c r="H437">
        <v>0</v>
      </c>
      <c r="I437">
        <v>1</v>
      </c>
      <c r="J437">
        <v>0</v>
      </c>
      <c r="K437">
        <v>0</v>
      </c>
      <c r="L437">
        <v>0</v>
      </c>
      <c r="N437" t="s">
        <v>79</v>
      </c>
      <c r="O437" t="s">
        <v>80</v>
      </c>
      <c r="P437">
        <v>0</v>
      </c>
      <c r="Q437">
        <v>0</v>
      </c>
      <c r="R437">
        <v>1</v>
      </c>
      <c r="S437">
        <v>0</v>
      </c>
      <c r="T437">
        <v>0</v>
      </c>
      <c r="U437">
        <v>0</v>
      </c>
      <c r="V437">
        <v>0</v>
      </c>
      <c r="W437">
        <v>0</v>
      </c>
      <c r="X437">
        <v>0</v>
      </c>
      <c r="Y437">
        <v>0</v>
      </c>
      <c r="Z437">
        <v>0</v>
      </c>
      <c r="AA437">
        <v>0</v>
      </c>
      <c r="AM437" t="s">
        <v>83</v>
      </c>
      <c r="AN437" t="s">
        <v>82</v>
      </c>
      <c r="AO437" t="s">
        <v>82</v>
      </c>
      <c r="AP437" t="s">
        <v>81</v>
      </c>
      <c r="AQ437" t="s">
        <v>81</v>
      </c>
      <c r="AR437" t="s">
        <v>81</v>
      </c>
      <c r="AS437" t="s">
        <v>83</v>
      </c>
      <c r="AT437" t="s">
        <v>81</v>
      </c>
      <c r="AU437" t="s">
        <v>135</v>
      </c>
      <c r="AV437" t="s">
        <v>80</v>
      </c>
      <c r="AW437" t="s">
        <v>117</v>
      </c>
      <c r="AX437" t="s">
        <v>170</v>
      </c>
      <c r="AZ437" t="s">
        <v>107</v>
      </c>
      <c r="BA437" t="s">
        <v>87</v>
      </c>
      <c r="BB437" t="s">
        <v>87</v>
      </c>
      <c r="BC437" t="s">
        <v>87</v>
      </c>
      <c r="BD437" t="s">
        <v>87</v>
      </c>
      <c r="BE437" t="s">
        <v>87</v>
      </c>
      <c r="BF437" t="s">
        <v>75</v>
      </c>
      <c r="BG437" t="s">
        <v>278</v>
      </c>
      <c r="BH437" t="s">
        <v>93</v>
      </c>
      <c r="BI437" t="s">
        <v>107</v>
      </c>
      <c r="BJ437" t="s">
        <v>78</v>
      </c>
      <c r="BK437">
        <v>0</v>
      </c>
      <c r="BL437">
        <v>0</v>
      </c>
      <c r="BM437">
        <v>0</v>
      </c>
      <c r="BN437">
        <v>0</v>
      </c>
      <c r="BO437">
        <v>0</v>
      </c>
      <c r="BP437">
        <v>1</v>
      </c>
      <c r="BQ437">
        <v>0</v>
      </c>
      <c r="BR437">
        <v>0</v>
      </c>
    </row>
    <row r="438" spans="1:70" x14ac:dyDescent="0.2">
      <c r="A438" s="1">
        <v>44588.875694444447</v>
      </c>
      <c r="B438" s="1">
        <v>44588.877083333333</v>
      </c>
      <c r="C438">
        <v>1</v>
      </c>
      <c r="D438">
        <v>0</v>
      </c>
      <c r="E438">
        <v>0</v>
      </c>
      <c r="F438">
        <v>0</v>
      </c>
      <c r="H438">
        <v>1</v>
      </c>
      <c r="I438">
        <v>0</v>
      </c>
      <c r="J438">
        <v>0</v>
      </c>
      <c r="K438">
        <v>0</v>
      </c>
      <c r="L438">
        <v>0</v>
      </c>
      <c r="P438">
        <v>0</v>
      </c>
      <c r="Q438">
        <v>1</v>
      </c>
      <c r="R438">
        <v>0</v>
      </c>
      <c r="S438">
        <v>0</v>
      </c>
      <c r="T438">
        <v>0</v>
      </c>
      <c r="U438">
        <v>0</v>
      </c>
      <c r="V438">
        <v>0</v>
      </c>
      <c r="W438">
        <v>0</v>
      </c>
      <c r="X438">
        <v>0</v>
      </c>
      <c r="Y438">
        <v>0</v>
      </c>
      <c r="Z438">
        <v>0</v>
      </c>
      <c r="AA438">
        <v>0</v>
      </c>
      <c r="AM438" t="s">
        <v>90</v>
      </c>
      <c r="AN438" t="s">
        <v>82</v>
      </c>
      <c r="AO438" t="s">
        <v>83</v>
      </c>
      <c r="AP438" t="s">
        <v>90</v>
      </c>
      <c r="AQ438" t="s">
        <v>81</v>
      </c>
      <c r="AR438" t="s">
        <v>90</v>
      </c>
      <c r="AS438" t="s">
        <v>90</v>
      </c>
      <c r="AT438" t="s">
        <v>83</v>
      </c>
      <c r="AU438" t="s">
        <v>127</v>
      </c>
      <c r="AV438" t="s">
        <v>127</v>
      </c>
      <c r="AZ438" t="s">
        <v>96</v>
      </c>
      <c r="BA438" t="s">
        <v>87</v>
      </c>
      <c r="BB438" t="s">
        <v>87</v>
      </c>
      <c r="BC438" t="s">
        <v>87</v>
      </c>
      <c r="BD438" t="s">
        <v>87</v>
      </c>
      <c r="BE438" t="s">
        <v>87</v>
      </c>
      <c r="BF438" t="s">
        <v>159</v>
      </c>
      <c r="BG438" t="s">
        <v>76</v>
      </c>
      <c r="BH438" t="s">
        <v>184</v>
      </c>
      <c r="BI438" t="s">
        <v>96</v>
      </c>
      <c r="BK438">
        <v>0</v>
      </c>
      <c r="BL438">
        <v>0</v>
      </c>
      <c r="BM438">
        <v>0</v>
      </c>
      <c r="BN438">
        <v>0</v>
      </c>
      <c r="BO438">
        <v>0</v>
      </c>
      <c r="BP438">
        <v>1</v>
      </c>
      <c r="BQ438">
        <v>0</v>
      </c>
      <c r="BR438">
        <v>0</v>
      </c>
    </row>
    <row r="439" spans="1:70" x14ac:dyDescent="0.2">
      <c r="A439" s="1">
        <v>44579.951388888891</v>
      </c>
      <c r="B439" s="1">
        <v>44579.95416666667</v>
      </c>
      <c r="C439">
        <v>0</v>
      </c>
      <c r="D439">
        <v>1</v>
      </c>
      <c r="E439">
        <v>0</v>
      </c>
      <c r="F439">
        <v>0</v>
      </c>
      <c r="H439">
        <v>1</v>
      </c>
      <c r="I439">
        <v>0</v>
      </c>
      <c r="J439">
        <v>0</v>
      </c>
      <c r="K439">
        <v>0</v>
      </c>
      <c r="L439">
        <v>0</v>
      </c>
      <c r="P439">
        <v>0</v>
      </c>
      <c r="Q439">
        <v>1</v>
      </c>
      <c r="R439">
        <v>0</v>
      </c>
      <c r="S439">
        <v>0</v>
      </c>
      <c r="T439">
        <v>0</v>
      </c>
      <c r="U439">
        <v>0</v>
      </c>
      <c r="V439">
        <v>0</v>
      </c>
      <c r="W439">
        <v>0</v>
      </c>
      <c r="X439">
        <v>0</v>
      </c>
      <c r="Y439">
        <v>0</v>
      </c>
      <c r="Z439">
        <v>0</v>
      </c>
      <c r="AA439">
        <v>0</v>
      </c>
      <c r="AM439" t="s">
        <v>83</v>
      </c>
      <c r="AN439" t="s">
        <v>82</v>
      </c>
      <c r="AO439" t="s">
        <v>83</v>
      </c>
      <c r="AP439" t="s">
        <v>83</v>
      </c>
      <c r="AQ439" t="s">
        <v>83</v>
      </c>
      <c r="AR439" t="s">
        <v>83</v>
      </c>
      <c r="AS439" t="s">
        <v>83</v>
      </c>
      <c r="AT439" t="s">
        <v>83</v>
      </c>
      <c r="AU439" t="s">
        <v>135</v>
      </c>
      <c r="AV439" t="s">
        <v>89</v>
      </c>
      <c r="AW439" t="s">
        <v>85</v>
      </c>
      <c r="AX439" t="s">
        <v>118</v>
      </c>
      <c r="AZ439" t="s">
        <v>73</v>
      </c>
      <c r="BA439" t="s">
        <v>74</v>
      </c>
      <c r="BF439" t="s">
        <v>75</v>
      </c>
      <c r="BG439" t="s">
        <v>76</v>
      </c>
      <c r="BH439" t="s">
        <v>98</v>
      </c>
      <c r="BI439" t="s">
        <v>73</v>
      </c>
      <c r="BJ439" t="s">
        <v>114</v>
      </c>
      <c r="BK439">
        <v>0</v>
      </c>
      <c r="BL439">
        <v>0</v>
      </c>
      <c r="BM439">
        <v>0</v>
      </c>
      <c r="BN439">
        <v>0</v>
      </c>
      <c r="BO439">
        <v>1</v>
      </c>
      <c r="BP439">
        <v>0</v>
      </c>
      <c r="BQ439">
        <v>0</v>
      </c>
      <c r="BR439">
        <v>0</v>
      </c>
    </row>
    <row r="440" spans="1:70" x14ac:dyDescent="0.2">
      <c r="A440" s="1">
        <v>44585.660416666666</v>
      </c>
      <c r="B440" s="1">
        <v>44585.661805555559</v>
      </c>
      <c r="C440">
        <v>1</v>
      </c>
      <c r="D440">
        <v>0</v>
      </c>
      <c r="E440">
        <v>0</v>
      </c>
      <c r="F440">
        <v>0</v>
      </c>
      <c r="H440">
        <v>0</v>
      </c>
      <c r="I440">
        <v>1</v>
      </c>
      <c r="J440">
        <v>1</v>
      </c>
      <c r="K440">
        <v>0</v>
      </c>
      <c r="L440">
        <v>0</v>
      </c>
      <c r="N440" t="s">
        <v>88</v>
      </c>
      <c r="O440" t="s">
        <v>89</v>
      </c>
      <c r="P440">
        <v>0</v>
      </c>
      <c r="Q440">
        <v>0</v>
      </c>
      <c r="R440">
        <v>1</v>
      </c>
      <c r="S440">
        <v>0</v>
      </c>
      <c r="T440">
        <v>0</v>
      </c>
      <c r="U440">
        <v>0</v>
      </c>
      <c r="V440">
        <v>0</v>
      </c>
      <c r="W440">
        <v>0</v>
      </c>
      <c r="X440">
        <v>0</v>
      </c>
      <c r="Y440">
        <v>0</v>
      </c>
      <c r="Z440">
        <v>0</v>
      </c>
      <c r="AA440">
        <v>0</v>
      </c>
      <c r="AM440" t="s">
        <v>83</v>
      </c>
      <c r="AN440" t="s">
        <v>82</v>
      </c>
      <c r="AO440" t="s">
        <v>83</v>
      </c>
      <c r="AP440" t="s">
        <v>81</v>
      </c>
      <c r="AQ440" t="s">
        <v>82</v>
      </c>
      <c r="AR440" t="s">
        <v>81</v>
      </c>
      <c r="AS440" t="s">
        <v>83</v>
      </c>
      <c r="AT440" t="s">
        <v>83</v>
      </c>
      <c r="AU440" t="s">
        <v>88</v>
      </c>
      <c r="AV440" t="s">
        <v>89</v>
      </c>
      <c r="AW440" t="s">
        <v>85</v>
      </c>
      <c r="AX440" t="s">
        <v>118</v>
      </c>
      <c r="AZ440" t="s">
        <v>96</v>
      </c>
      <c r="BA440" t="s">
        <v>86</v>
      </c>
      <c r="BB440" t="s">
        <v>87</v>
      </c>
      <c r="BC440" t="s">
        <v>87</v>
      </c>
      <c r="BD440" t="s">
        <v>87</v>
      </c>
      <c r="BE440" t="s">
        <v>87</v>
      </c>
      <c r="BF440" t="s">
        <v>75</v>
      </c>
      <c r="BG440" t="s">
        <v>76</v>
      </c>
      <c r="BH440" t="s">
        <v>93</v>
      </c>
      <c r="BI440" t="s">
        <v>96</v>
      </c>
      <c r="BJ440" t="s">
        <v>78</v>
      </c>
      <c r="BK440">
        <v>0</v>
      </c>
      <c r="BL440">
        <v>0</v>
      </c>
      <c r="BM440">
        <v>0</v>
      </c>
      <c r="BN440">
        <v>0</v>
      </c>
      <c r="BO440">
        <v>0</v>
      </c>
      <c r="BP440">
        <v>1</v>
      </c>
      <c r="BQ440">
        <v>0</v>
      </c>
      <c r="BR440">
        <v>0</v>
      </c>
    </row>
    <row r="441" spans="1:70" x14ac:dyDescent="0.2">
      <c r="A441" s="1">
        <v>44579.918749999997</v>
      </c>
      <c r="B441" s="1">
        <v>44579.921527777777</v>
      </c>
      <c r="C441">
        <v>0</v>
      </c>
      <c r="D441">
        <v>1</v>
      </c>
      <c r="E441">
        <v>0</v>
      </c>
      <c r="F441">
        <v>0</v>
      </c>
      <c r="H441">
        <v>0</v>
      </c>
      <c r="I441">
        <v>1</v>
      </c>
      <c r="J441">
        <v>0</v>
      </c>
      <c r="K441">
        <v>1</v>
      </c>
      <c r="L441">
        <v>1</v>
      </c>
      <c r="M441" t="s">
        <v>279</v>
      </c>
      <c r="N441" t="s">
        <v>88</v>
      </c>
      <c r="O441" t="s">
        <v>89</v>
      </c>
      <c r="P441">
        <v>0</v>
      </c>
      <c r="Q441">
        <v>0</v>
      </c>
      <c r="R441">
        <v>0</v>
      </c>
      <c r="S441">
        <v>0</v>
      </c>
      <c r="T441">
        <v>0</v>
      </c>
      <c r="U441">
        <v>1</v>
      </c>
      <c r="V441">
        <v>0</v>
      </c>
      <c r="W441">
        <v>1</v>
      </c>
      <c r="X441">
        <v>0</v>
      </c>
      <c r="Y441">
        <v>0</v>
      </c>
      <c r="Z441">
        <v>0</v>
      </c>
      <c r="AA441">
        <v>0</v>
      </c>
      <c r="AM441" t="s">
        <v>90</v>
      </c>
      <c r="AN441" t="s">
        <v>82</v>
      </c>
      <c r="AO441" t="s">
        <v>81</v>
      </c>
      <c r="AP441" t="s">
        <v>82</v>
      </c>
      <c r="AQ441" t="s">
        <v>83</v>
      </c>
      <c r="AR441" t="s">
        <v>90</v>
      </c>
      <c r="AS441" t="s">
        <v>81</v>
      </c>
      <c r="AT441" t="s">
        <v>83</v>
      </c>
      <c r="AU441" t="s">
        <v>135</v>
      </c>
      <c r="AV441" t="s">
        <v>80</v>
      </c>
      <c r="AW441" t="s">
        <v>153</v>
      </c>
      <c r="AX441" t="s">
        <v>91</v>
      </c>
      <c r="AZ441" t="s">
        <v>96</v>
      </c>
      <c r="BA441" t="s">
        <v>86</v>
      </c>
      <c r="BB441" t="s">
        <v>86</v>
      </c>
      <c r="BC441" t="s">
        <v>86</v>
      </c>
      <c r="BD441" t="s">
        <v>86</v>
      </c>
      <c r="BE441" t="s">
        <v>86</v>
      </c>
      <c r="BF441" t="s">
        <v>75</v>
      </c>
      <c r="BG441" t="s">
        <v>76</v>
      </c>
      <c r="BH441" t="s">
        <v>77</v>
      </c>
      <c r="BI441" t="s">
        <v>96</v>
      </c>
      <c r="BJ441" t="s">
        <v>114</v>
      </c>
      <c r="BK441">
        <v>1</v>
      </c>
      <c r="BL441">
        <v>0</v>
      </c>
      <c r="BM441">
        <v>0</v>
      </c>
      <c r="BN441">
        <v>0</v>
      </c>
      <c r="BO441">
        <v>0</v>
      </c>
      <c r="BP441">
        <v>0</v>
      </c>
      <c r="BQ441">
        <v>0</v>
      </c>
      <c r="BR441">
        <v>0</v>
      </c>
    </row>
    <row r="442" spans="1:70" x14ac:dyDescent="0.2">
      <c r="A442" s="1">
        <v>44579.970138888886</v>
      </c>
      <c r="B442" s="1">
        <v>44579.97152777778</v>
      </c>
      <c r="C442">
        <v>1</v>
      </c>
      <c r="D442">
        <v>0</v>
      </c>
      <c r="E442">
        <v>0</v>
      </c>
      <c r="F442">
        <v>0</v>
      </c>
      <c r="H442">
        <v>1</v>
      </c>
      <c r="I442">
        <v>0</v>
      </c>
      <c r="J442">
        <v>0</v>
      </c>
      <c r="K442">
        <v>0</v>
      </c>
      <c r="L442">
        <v>0</v>
      </c>
      <c r="P442">
        <v>1</v>
      </c>
      <c r="Q442">
        <v>0</v>
      </c>
      <c r="R442">
        <v>0</v>
      </c>
      <c r="S442">
        <v>0</v>
      </c>
      <c r="T442">
        <v>0</v>
      </c>
      <c r="U442">
        <v>0</v>
      </c>
      <c r="V442">
        <v>0</v>
      </c>
      <c r="W442">
        <v>0</v>
      </c>
      <c r="X442">
        <v>0</v>
      </c>
      <c r="Y442">
        <v>0</v>
      </c>
      <c r="Z442">
        <v>0</v>
      </c>
      <c r="AA442">
        <v>0</v>
      </c>
      <c r="AC442">
        <v>0</v>
      </c>
      <c r="AD442">
        <v>1</v>
      </c>
      <c r="AE442">
        <v>0</v>
      </c>
      <c r="AF442">
        <v>0</v>
      </c>
      <c r="AG442">
        <v>0</v>
      </c>
      <c r="AH442">
        <v>0</v>
      </c>
      <c r="AI442">
        <v>0</v>
      </c>
      <c r="AJ442">
        <v>0</v>
      </c>
      <c r="AK442">
        <v>0</v>
      </c>
      <c r="AX442" t="s">
        <v>126</v>
      </c>
      <c r="AZ442" t="s">
        <v>96</v>
      </c>
      <c r="BA442" t="s">
        <v>87</v>
      </c>
      <c r="BB442" t="s">
        <v>86</v>
      </c>
      <c r="BC442" t="s">
        <v>86</v>
      </c>
      <c r="BD442" t="s">
        <v>87</v>
      </c>
      <c r="BE442" t="s">
        <v>87</v>
      </c>
      <c r="BF442" t="s">
        <v>75</v>
      </c>
      <c r="BG442" t="s">
        <v>92</v>
      </c>
      <c r="BH442" t="s">
        <v>93</v>
      </c>
      <c r="BI442" t="s">
        <v>96</v>
      </c>
      <c r="BJ442" t="s">
        <v>78</v>
      </c>
      <c r="BK442">
        <v>1</v>
      </c>
      <c r="BL442">
        <v>0</v>
      </c>
      <c r="BM442">
        <v>0</v>
      </c>
      <c r="BN442">
        <v>0</v>
      </c>
      <c r="BO442">
        <v>0</v>
      </c>
      <c r="BP442">
        <v>0</v>
      </c>
      <c r="BQ442">
        <v>0</v>
      </c>
      <c r="BR442">
        <v>0</v>
      </c>
    </row>
    <row r="443" spans="1:70" x14ac:dyDescent="0.2">
      <c r="A443" s="1">
        <v>44581.515277777777</v>
      </c>
      <c r="B443" s="1">
        <v>44586.196527777778</v>
      </c>
      <c r="C443">
        <v>0</v>
      </c>
      <c r="D443">
        <v>1</v>
      </c>
      <c r="E443">
        <v>0</v>
      </c>
      <c r="F443">
        <v>0</v>
      </c>
      <c r="H443">
        <v>1</v>
      </c>
      <c r="I443">
        <v>0</v>
      </c>
      <c r="J443">
        <v>0</v>
      </c>
      <c r="K443">
        <v>0</v>
      </c>
      <c r="L443">
        <v>0</v>
      </c>
      <c r="P443">
        <v>1</v>
      </c>
      <c r="Q443">
        <v>0</v>
      </c>
      <c r="R443">
        <v>0</v>
      </c>
      <c r="S443">
        <v>0</v>
      </c>
      <c r="T443">
        <v>0</v>
      </c>
      <c r="U443">
        <v>0</v>
      </c>
      <c r="V443">
        <v>0</v>
      </c>
      <c r="W443">
        <v>0</v>
      </c>
      <c r="X443">
        <v>0</v>
      </c>
      <c r="Y443">
        <v>0</v>
      </c>
      <c r="Z443">
        <v>0</v>
      </c>
      <c r="AA443">
        <v>0</v>
      </c>
      <c r="AC443">
        <v>1</v>
      </c>
      <c r="AD443">
        <v>0</v>
      </c>
      <c r="AE443">
        <v>0</v>
      </c>
      <c r="AF443">
        <v>0</v>
      </c>
      <c r="AG443">
        <v>0</v>
      </c>
      <c r="AH443">
        <v>0</v>
      </c>
      <c r="AI443">
        <v>0</v>
      </c>
      <c r="AJ443">
        <v>0</v>
      </c>
      <c r="AK443">
        <v>0</v>
      </c>
      <c r="AX443" t="s">
        <v>72</v>
      </c>
      <c r="AZ443" t="s">
        <v>107</v>
      </c>
      <c r="BA443" t="s">
        <v>87</v>
      </c>
      <c r="BB443" t="s">
        <v>87</v>
      </c>
      <c r="BC443" t="s">
        <v>87</v>
      </c>
      <c r="BD443" t="s">
        <v>87</v>
      </c>
      <c r="BE443" t="s">
        <v>87</v>
      </c>
      <c r="BF443" t="s">
        <v>113</v>
      </c>
      <c r="BG443" t="s">
        <v>76</v>
      </c>
      <c r="BH443" t="s">
        <v>98</v>
      </c>
      <c r="BI443" t="s">
        <v>107</v>
      </c>
      <c r="BJ443" t="s">
        <v>99</v>
      </c>
      <c r="BK443">
        <v>1</v>
      </c>
      <c r="BL443">
        <v>0</v>
      </c>
      <c r="BM443">
        <v>0</v>
      </c>
      <c r="BN443">
        <v>0</v>
      </c>
      <c r="BO443">
        <v>0</v>
      </c>
      <c r="BP443">
        <v>0</v>
      </c>
      <c r="BQ443">
        <v>0</v>
      </c>
      <c r="BR443">
        <v>0</v>
      </c>
    </row>
    <row r="444" spans="1:70" x14ac:dyDescent="0.2">
      <c r="A444" s="1">
        <v>44585.645138888889</v>
      </c>
      <c r="B444" s="1">
        <v>44585.646527777775</v>
      </c>
      <c r="C444">
        <v>1</v>
      </c>
      <c r="D444">
        <v>0</v>
      </c>
      <c r="E444">
        <v>0</v>
      </c>
      <c r="F444">
        <v>0</v>
      </c>
      <c r="H444">
        <v>0</v>
      </c>
      <c r="I444">
        <v>1</v>
      </c>
      <c r="J444">
        <v>0</v>
      </c>
      <c r="K444">
        <v>0</v>
      </c>
      <c r="L444">
        <v>0</v>
      </c>
      <c r="N444" t="s">
        <v>135</v>
      </c>
      <c r="O444" t="s">
        <v>127</v>
      </c>
      <c r="P444">
        <v>0</v>
      </c>
      <c r="Q444">
        <v>1</v>
      </c>
      <c r="R444">
        <v>0</v>
      </c>
      <c r="S444">
        <v>0</v>
      </c>
      <c r="T444">
        <v>0</v>
      </c>
      <c r="U444">
        <v>0</v>
      </c>
      <c r="V444">
        <v>0</v>
      </c>
      <c r="W444">
        <v>0</v>
      </c>
      <c r="X444">
        <v>0</v>
      </c>
      <c r="Y444">
        <v>0</v>
      </c>
      <c r="Z444">
        <v>0</v>
      </c>
      <c r="AA444">
        <v>0</v>
      </c>
      <c r="AM444" t="s">
        <v>83</v>
      </c>
      <c r="AN444" t="s">
        <v>83</v>
      </c>
      <c r="AO444" t="s">
        <v>83</v>
      </c>
      <c r="AP444" t="s">
        <v>83</v>
      </c>
      <c r="AQ444" t="s">
        <v>82</v>
      </c>
      <c r="AR444" t="s">
        <v>83</v>
      </c>
      <c r="AS444" t="s">
        <v>81</v>
      </c>
      <c r="AT444" t="s">
        <v>83</v>
      </c>
      <c r="AU444" t="s">
        <v>135</v>
      </c>
      <c r="AV444" t="s">
        <v>127</v>
      </c>
      <c r="AW444" t="s">
        <v>85</v>
      </c>
      <c r="AZ444" t="s">
        <v>107</v>
      </c>
      <c r="BA444" t="s">
        <v>87</v>
      </c>
      <c r="BB444" t="s">
        <v>86</v>
      </c>
      <c r="BC444" t="s">
        <v>87</v>
      </c>
      <c r="BD444" t="s">
        <v>87</v>
      </c>
      <c r="BE444" t="s">
        <v>74</v>
      </c>
      <c r="BF444" t="s">
        <v>159</v>
      </c>
      <c r="BG444" t="s">
        <v>76</v>
      </c>
      <c r="BH444" t="s">
        <v>77</v>
      </c>
      <c r="BI444" t="s">
        <v>107</v>
      </c>
      <c r="BJ444" t="s">
        <v>109</v>
      </c>
      <c r="BK444">
        <v>0</v>
      </c>
      <c r="BL444">
        <v>0</v>
      </c>
      <c r="BM444">
        <v>0</v>
      </c>
      <c r="BN444">
        <v>0</v>
      </c>
      <c r="BO444">
        <v>0</v>
      </c>
      <c r="BP444">
        <v>1</v>
      </c>
      <c r="BQ444">
        <v>0</v>
      </c>
      <c r="BR444">
        <v>0</v>
      </c>
    </row>
    <row r="445" spans="1:70" x14ac:dyDescent="0.2">
      <c r="A445" s="1">
        <v>44589.509027777778</v>
      </c>
      <c r="B445" s="1">
        <v>44589.513888888891</v>
      </c>
      <c r="C445">
        <v>1</v>
      </c>
      <c r="D445">
        <v>0</v>
      </c>
      <c r="E445">
        <v>0</v>
      </c>
      <c r="F445">
        <v>0</v>
      </c>
      <c r="H445">
        <v>0</v>
      </c>
      <c r="I445">
        <v>1</v>
      </c>
      <c r="J445">
        <v>0</v>
      </c>
      <c r="K445">
        <v>0</v>
      </c>
      <c r="L445">
        <v>0</v>
      </c>
      <c r="N445" t="s">
        <v>135</v>
      </c>
      <c r="O445" t="s">
        <v>80</v>
      </c>
      <c r="P445">
        <v>1</v>
      </c>
      <c r="Q445">
        <v>0</v>
      </c>
      <c r="R445">
        <v>0</v>
      </c>
      <c r="S445">
        <v>0</v>
      </c>
      <c r="T445">
        <v>0</v>
      </c>
      <c r="U445">
        <v>0</v>
      </c>
      <c r="V445">
        <v>0</v>
      </c>
      <c r="W445">
        <v>0</v>
      </c>
      <c r="X445">
        <v>0</v>
      </c>
      <c r="Y445">
        <v>0</v>
      </c>
      <c r="Z445">
        <v>0</v>
      </c>
      <c r="AA445">
        <v>0</v>
      </c>
      <c r="AC445">
        <v>0</v>
      </c>
      <c r="AD445">
        <v>0</v>
      </c>
      <c r="AE445">
        <v>0</v>
      </c>
      <c r="AF445">
        <v>0</v>
      </c>
      <c r="AG445">
        <v>0</v>
      </c>
      <c r="AH445">
        <v>0</v>
      </c>
      <c r="AI445">
        <v>1</v>
      </c>
      <c r="AJ445">
        <v>1</v>
      </c>
      <c r="AK445">
        <v>1</v>
      </c>
      <c r="AL445" t="s">
        <v>280</v>
      </c>
      <c r="AX445" t="s">
        <v>110</v>
      </c>
      <c r="AY445" t="s">
        <v>281</v>
      </c>
      <c r="AZ445" t="s">
        <v>107</v>
      </c>
      <c r="BA445" t="s">
        <v>86</v>
      </c>
      <c r="BB445" t="s">
        <v>74</v>
      </c>
      <c r="BC445" t="s">
        <v>86</v>
      </c>
      <c r="BD445" t="s">
        <v>74</v>
      </c>
      <c r="BE445" t="s">
        <v>74</v>
      </c>
      <c r="BF445" t="s">
        <v>108</v>
      </c>
      <c r="BG445" t="s">
        <v>76</v>
      </c>
      <c r="BH445" t="s">
        <v>77</v>
      </c>
      <c r="BI445" t="s">
        <v>107</v>
      </c>
      <c r="BJ445" t="s">
        <v>109</v>
      </c>
      <c r="BK445">
        <v>0</v>
      </c>
      <c r="BL445">
        <v>0</v>
      </c>
      <c r="BM445">
        <v>0</v>
      </c>
      <c r="BN445">
        <v>0</v>
      </c>
      <c r="BO445">
        <v>0</v>
      </c>
      <c r="BP445">
        <v>1</v>
      </c>
      <c r="BQ445">
        <v>0</v>
      </c>
      <c r="BR445">
        <v>0</v>
      </c>
    </row>
    <row r="446" spans="1:70" x14ac:dyDescent="0.2">
      <c r="A446" s="1">
        <v>44585.604166666664</v>
      </c>
      <c r="B446" s="1">
        <v>44585.605555555558</v>
      </c>
      <c r="C446">
        <v>1</v>
      </c>
      <c r="D446">
        <v>0</v>
      </c>
      <c r="E446">
        <v>0</v>
      </c>
      <c r="F446">
        <v>0</v>
      </c>
      <c r="H446">
        <v>0</v>
      </c>
      <c r="I446">
        <v>1</v>
      </c>
      <c r="J446">
        <v>0</v>
      </c>
      <c r="K446">
        <v>1</v>
      </c>
      <c r="L446">
        <v>0</v>
      </c>
      <c r="N446" t="s">
        <v>135</v>
      </c>
      <c r="O446" t="s">
        <v>80</v>
      </c>
      <c r="P446">
        <v>0</v>
      </c>
      <c r="Q446">
        <v>0</v>
      </c>
      <c r="R446">
        <v>1</v>
      </c>
      <c r="S446">
        <v>0</v>
      </c>
      <c r="T446">
        <v>0</v>
      </c>
      <c r="U446">
        <v>0</v>
      </c>
      <c r="V446">
        <v>0</v>
      </c>
      <c r="W446">
        <v>0</v>
      </c>
      <c r="X446">
        <v>0</v>
      </c>
      <c r="Y446">
        <v>0</v>
      </c>
      <c r="Z446">
        <v>0</v>
      </c>
      <c r="AA446">
        <v>0</v>
      </c>
      <c r="AM446" t="s">
        <v>82</v>
      </c>
      <c r="AN446" t="s">
        <v>81</v>
      </c>
      <c r="AO446" t="s">
        <v>83</v>
      </c>
      <c r="AP446" t="s">
        <v>83</v>
      </c>
      <c r="AQ446" t="s">
        <v>82</v>
      </c>
      <c r="AR446" t="s">
        <v>83</v>
      </c>
      <c r="AS446" t="s">
        <v>83</v>
      </c>
      <c r="AT446" t="s">
        <v>83</v>
      </c>
      <c r="AU446" t="s">
        <v>88</v>
      </c>
      <c r="AV446" t="s">
        <v>89</v>
      </c>
      <c r="AW446" t="s">
        <v>100</v>
      </c>
      <c r="AZ446" t="s">
        <v>73</v>
      </c>
      <c r="BA446" t="s">
        <v>86</v>
      </c>
      <c r="BB446" t="s">
        <v>74</v>
      </c>
      <c r="BC446" t="s">
        <v>87</v>
      </c>
      <c r="BD446" t="s">
        <v>74</v>
      </c>
      <c r="BE446" t="s">
        <v>87</v>
      </c>
      <c r="BF446" t="s">
        <v>159</v>
      </c>
      <c r="BG446" t="s">
        <v>76</v>
      </c>
      <c r="BH446" t="s">
        <v>93</v>
      </c>
      <c r="BI446" t="s">
        <v>73</v>
      </c>
      <c r="BJ446" t="s">
        <v>78</v>
      </c>
      <c r="BK446">
        <v>0</v>
      </c>
      <c r="BL446">
        <v>0</v>
      </c>
      <c r="BM446">
        <v>0</v>
      </c>
      <c r="BN446">
        <v>0</v>
      </c>
      <c r="BO446">
        <v>0</v>
      </c>
      <c r="BP446">
        <v>1</v>
      </c>
      <c r="BQ446">
        <v>0</v>
      </c>
      <c r="BR446">
        <v>0</v>
      </c>
    </row>
    <row r="447" spans="1:70" x14ac:dyDescent="0.2">
      <c r="A447" s="1">
        <v>44579.986805555556</v>
      </c>
      <c r="B447" s="1">
        <v>44579.990277777775</v>
      </c>
      <c r="C447">
        <v>1</v>
      </c>
      <c r="D447">
        <v>0</v>
      </c>
      <c r="E447">
        <v>0</v>
      </c>
      <c r="F447">
        <v>0</v>
      </c>
      <c r="H447">
        <v>0</v>
      </c>
      <c r="I447">
        <v>0</v>
      </c>
      <c r="J447">
        <v>1</v>
      </c>
      <c r="K447">
        <v>0</v>
      </c>
      <c r="L447">
        <v>0</v>
      </c>
      <c r="N447" t="s">
        <v>127</v>
      </c>
      <c r="O447" t="s">
        <v>127</v>
      </c>
      <c r="P447">
        <v>1</v>
      </c>
      <c r="Q447">
        <v>0</v>
      </c>
      <c r="R447">
        <v>0</v>
      </c>
      <c r="S447">
        <v>0</v>
      </c>
      <c r="T447">
        <v>0</v>
      </c>
      <c r="U447">
        <v>0</v>
      </c>
      <c r="V447">
        <v>0</v>
      </c>
      <c r="W447">
        <v>0</v>
      </c>
      <c r="X447">
        <v>0</v>
      </c>
      <c r="Y447">
        <v>0</v>
      </c>
      <c r="Z447">
        <v>0</v>
      </c>
      <c r="AA447">
        <v>0</v>
      </c>
      <c r="AC447">
        <v>0</v>
      </c>
      <c r="AD447">
        <v>0</v>
      </c>
      <c r="AE447">
        <v>1</v>
      </c>
      <c r="AF447">
        <v>0</v>
      </c>
      <c r="AG447">
        <v>0</v>
      </c>
      <c r="AH447">
        <v>0</v>
      </c>
      <c r="AI447">
        <v>0</v>
      </c>
      <c r="AJ447">
        <v>0</v>
      </c>
      <c r="AK447">
        <v>0</v>
      </c>
      <c r="AZ447" t="s">
        <v>107</v>
      </c>
      <c r="BA447" t="s">
        <v>87</v>
      </c>
      <c r="BB447" t="s">
        <v>87</v>
      </c>
      <c r="BC447" t="s">
        <v>87</v>
      </c>
      <c r="BD447" t="s">
        <v>86</v>
      </c>
      <c r="BE447" t="s">
        <v>87</v>
      </c>
      <c r="BF447" t="s">
        <v>159</v>
      </c>
      <c r="BG447" t="s">
        <v>76</v>
      </c>
      <c r="BH447" t="s">
        <v>93</v>
      </c>
      <c r="BI447" t="s">
        <v>107</v>
      </c>
      <c r="BJ447" t="s">
        <v>176</v>
      </c>
      <c r="BK447">
        <v>0</v>
      </c>
      <c r="BL447">
        <v>0</v>
      </c>
      <c r="BM447">
        <v>0</v>
      </c>
      <c r="BN447">
        <v>0</v>
      </c>
      <c r="BO447">
        <v>0</v>
      </c>
      <c r="BP447">
        <v>1</v>
      </c>
      <c r="BQ447">
        <v>0</v>
      </c>
      <c r="BR447">
        <v>0</v>
      </c>
    </row>
    <row r="448" spans="1:70" x14ac:dyDescent="0.2">
      <c r="A448" s="1">
        <v>44585.737500000003</v>
      </c>
      <c r="B448" s="1">
        <v>44585.738888888889</v>
      </c>
      <c r="C448">
        <v>0</v>
      </c>
      <c r="D448">
        <v>1</v>
      </c>
      <c r="E448">
        <v>0</v>
      </c>
      <c r="F448">
        <v>0</v>
      </c>
      <c r="H448">
        <v>1</v>
      </c>
      <c r="I448">
        <v>0</v>
      </c>
      <c r="J448">
        <v>0</v>
      </c>
      <c r="K448">
        <v>0</v>
      </c>
      <c r="L448">
        <v>0</v>
      </c>
      <c r="P448">
        <v>1</v>
      </c>
      <c r="Q448">
        <v>0</v>
      </c>
      <c r="R448">
        <v>0</v>
      </c>
      <c r="S448">
        <v>0</v>
      </c>
      <c r="T448">
        <v>0</v>
      </c>
      <c r="U448">
        <v>0</v>
      </c>
      <c r="V448">
        <v>0</v>
      </c>
      <c r="W448">
        <v>0</v>
      </c>
      <c r="X448">
        <v>0</v>
      </c>
      <c r="Y448">
        <v>0</v>
      </c>
      <c r="Z448">
        <v>0</v>
      </c>
      <c r="AA448">
        <v>0</v>
      </c>
      <c r="AC448">
        <v>0</v>
      </c>
      <c r="AD448">
        <v>0</v>
      </c>
      <c r="AE448">
        <v>0</v>
      </c>
      <c r="AF448">
        <v>0</v>
      </c>
      <c r="AG448">
        <v>0</v>
      </c>
      <c r="AH448">
        <v>0</v>
      </c>
      <c r="AI448">
        <v>1</v>
      </c>
      <c r="AJ448">
        <v>0</v>
      </c>
      <c r="AK448">
        <v>0</v>
      </c>
      <c r="AX448" t="s">
        <v>106</v>
      </c>
      <c r="AZ448" t="s">
        <v>107</v>
      </c>
      <c r="BA448" t="s">
        <v>74</v>
      </c>
      <c r="BF448" t="s">
        <v>75</v>
      </c>
      <c r="BG448" t="s">
        <v>76</v>
      </c>
      <c r="BH448" t="s">
        <v>93</v>
      </c>
      <c r="BI448" t="s">
        <v>107</v>
      </c>
      <c r="BJ448" t="s">
        <v>78</v>
      </c>
      <c r="BK448">
        <v>0</v>
      </c>
      <c r="BL448">
        <v>0</v>
      </c>
      <c r="BM448">
        <v>0</v>
      </c>
      <c r="BN448">
        <v>0</v>
      </c>
      <c r="BO448">
        <v>0</v>
      </c>
      <c r="BP448">
        <v>1</v>
      </c>
      <c r="BQ448">
        <v>0</v>
      </c>
      <c r="BR448">
        <v>0</v>
      </c>
    </row>
    <row r="449" spans="1:72" x14ac:dyDescent="0.2">
      <c r="A449" s="1">
        <v>44579.87777777778</v>
      </c>
      <c r="B449" s="1">
        <v>44579.888194444444</v>
      </c>
      <c r="C449">
        <v>1</v>
      </c>
      <c r="D449">
        <v>0</v>
      </c>
      <c r="E449">
        <v>0</v>
      </c>
      <c r="F449">
        <v>0</v>
      </c>
      <c r="H449">
        <v>0</v>
      </c>
      <c r="I449">
        <v>0</v>
      </c>
      <c r="J449">
        <v>1</v>
      </c>
      <c r="K449">
        <v>0</v>
      </c>
      <c r="L449">
        <v>0</v>
      </c>
      <c r="N449" t="s">
        <v>79</v>
      </c>
      <c r="O449" t="s">
        <v>80</v>
      </c>
      <c r="P449">
        <v>0</v>
      </c>
      <c r="Q449">
        <v>1</v>
      </c>
      <c r="R449">
        <v>0</v>
      </c>
      <c r="S449">
        <v>0</v>
      </c>
      <c r="T449">
        <v>0</v>
      </c>
      <c r="U449">
        <v>0</v>
      </c>
      <c r="V449">
        <v>0</v>
      </c>
      <c r="W449">
        <v>0</v>
      </c>
      <c r="X449">
        <v>0</v>
      </c>
      <c r="Y449">
        <v>0</v>
      </c>
      <c r="Z449">
        <v>0</v>
      </c>
      <c r="AA449">
        <v>0</v>
      </c>
      <c r="AM449" t="s">
        <v>90</v>
      </c>
      <c r="AN449" t="s">
        <v>82</v>
      </c>
      <c r="AO449" t="s">
        <v>82</v>
      </c>
      <c r="AP449" t="s">
        <v>82</v>
      </c>
      <c r="AQ449" t="s">
        <v>81</v>
      </c>
      <c r="AR449" t="s">
        <v>83</v>
      </c>
      <c r="AS449" t="s">
        <v>90</v>
      </c>
      <c r="AT449" t="s">
        <v>83</v>
      </c>
      <c r="AU449" t="s">
        <v>88</v>
      </c>
      <c r="AV449" t="s">
        <v>89</v>
      </c>
      <c r="AW449" t="s">
        <v>100</v>
      </c>
      <c r="AX449" t="s">
        <v>118</v>
      </c>
      <c r="AZ449" t="s">
        <v>73</v>
      </c>
      <c r="BA449" t="s">
        <v>87</v>
      </c>
      <c r="BB449" t="s">
        <v>87</v>
      </c>
      <c r="BC449" t="s">
        <v>87</v>
      </c>
      <c r="BD449" t="s">
        <v>87</v>
      </c>
      <c r="BE449" t="s">
        <v>87</v>
      </c>
      <c r="BF449" t="s">
        <v>75</v>
      </c>
      <c r="BG449" t="s">
        <v>76</v>
      </c>
      <c r="BH449" t="s">
        <v>93</v>
      </c>
      <c r="BI449" t="s">
        <v>73</v>
      </c>
      <c r="BJ449" t="s">
        <v>78</v>
      </c>
      <c r="BK449">
        <v>0</v>
      </c>
      <c r="BL449">
        <v>0</v>
      </c>
      <c r="BM449">
        <v>0</v>
      </c>
      <c r="BN449">
        <v>0</v>
      </c>
      <c r="BO449">
        <v>1</v>
      </c>
      <c r="BP449">
        <v>0</v>
      </c>
      <c r="BQ449">
        <v>0</v>
      </c>
      <c r="BR449">
        <v>0</v>
      </c>
    </row>
    <row r="450" spans="1:72" x14ac:dyDescent="0.2">
      <c r="A450" s="1">
        <v>44580.713194444441</v>
      </c>
      <c r="B450" s="1">
        <v>44580.715277777781</v>
      </c>
      <c r="C450">
        <v>1</v>
      </c>
      <c r="D450">
        <v>0</v>
      </c>
      <c r="E450">
        <v>0</v>
      </c>
      <c r="F450">
        <v>0</v>
      </c>
      <c r="H450">
        <v>0</v>
      </c>
      <c r="I450">
        <v>1</v>
      </c>
      <c r="J450">
        <v>1</v>
      </c>
      <c r="K450">
        <v>1</v>
      </c>
      <c r="L450">
        <v>0</v>
      </c>
      <c r="N450" t="s">
        <v>135</v>
      </c>
      <c r="O450" t="s">
        <v>80</v>
      </c>
      <c r="P450">
        <v>0</v>
      </c>
      <c r="Q450">
        <v>1</v>
      </c>
      <c r="R450">
        <v>0</v>
      </c>
      <c r="S450">
        <v>0</v>
      </c>
      <c r="T450">
        <v>0</v>
      </c>
      <c r="U450">
        <v>0</v>
      </c>
      <c r="V450">
        <v>0</v>
      </c>
      <c r="W450">
        <v>0</v>
      </c>
      <c r="X450">
        <v>0</v>
      </c>
      <c r="Y450">
        <v>0</v>
      </c>
      <c r="Z450">
        <v>0</v>
      </c>
      <c r="AA450">
        <v>0</v>
      </c>
      <c r="AM450" t="s">
        <v>83</v>
      </c>
      <c r="AN450" t="s">
        <v>82</v>
      </c>
      <c r="AO450" t="s">
        <v>82</v>
      </c>
      <c r="AP450" t="s">
        <v>82</v>
      </c>
      <c r="AQ450" t="s">
        <v>82</v>
      </c>
      <c r="AR450" t="s">
        <v>81</v>
      </c>
      <c r="AS450" t="s">
        <v>83</v>
      </c>
      <c r="AT450" t="s">
        <v>83</v>
      </c>
      <c r="AU450" t="s">
        <v>88</v>
      </c>
      <c r="AV450" t="s">
        <v>89</v>
      </c>
      <c r="AW450" t="s">
        <v>100</v>
      </c>
      <c r="AX450" t="s">
        <v>110</v>
      </c>
      <c r="AY450" t="s">
        <v>282</v>
      </c>
      <c r="AZ450" t="s">
        <v>107</v>
      </c>
      <c r="BA450" t="s">
        <v>86</v>
      </c>
      <c r="BB450" t="s">
        <v>86</v>
      </c>
      <c r="BC450" t="s">
        <v>86</v>
      </c>
      <c r="BD450" t="s">
        <v>86</v>
      </c>
      <c r="BE450" t="s">
        <v>86</v>
      </c>
      <c r="BF450" t="s">
        <v>75</v>
      </c>
      <c r="BG450" t="s">
        <v>76</v>
      </c>
      <c r="BH450" t="s">
        <v>93</v>
      </c>
      <c r="BI450" t="s">
        <v>107</v>
      </c>
      <c r="BJ450" t="s">
        <v>114</v>
      </c>
      <c r="BK450">
        <v>0</v>
      </c>
      <c r="BL450">
        <v>0</v>
      </c>
      <c r="BM450">
        <v>0</v>
      </c>
      <c r="BN450">
        <v>0</v>
      </c>
      <c r="BO450">
        <v>0</v>
      </c>
      <c r="BP450">
        <v>1</v>
      </c>
      <c r="BQ450">
        <v>0</v>
      </c>
      <c r="BR450">
        <v>0</v>
      </c>
    </row>
    <row r="451" spans="1:72" x14ac:dyDescent="0.2">
      <c r="A451" s="1">
        <v>44579.876388888886</v>
      </c>
      <c r="B451" s="1">
        <v>44579.879166666666</v>
      </c>
      <c r="C451">
        <v>1</v>
      </c>
      <c r="D451">
        <v>0</v>
      </c>
      <c r="E451">
        <v>0</v>
      </c>
      <c r="F451">
        <v>0</v>
      </c>
      <c r="H451">
        <v>0</v>
      </c>
      <c r="I451">
        <v>1</v>
      </c>
      <c r="J451">
        <v>1</v>
      </c>
      <c r="K451">
        <v>1</v>
      </c>
      <c r="L451">
        <v>0</v>
      </c>
      <c r="N451" t="s">
        <v>88</v>
      </c>
      <c r="O451" t="s">
        <v>89</v>
      </c>
      <c r="P451">
        <v>0</v>
      </c>
      <c r="Q451">
        <v>1</v>
      </c>
      <c r="R451">
        <v>0</v>
      </c>
      <c r="S451">
        <v>0</v>
      </c>
      <c r="T451">
        <v>0</v>
      </c>
      <c r="U451">
        <v>0</v>
      </c>
      <c r="V451">
        <v>0</v>
      </c>
      <c r="W451">
        <v>0</v>
      </c>
      <c r="X451">
        <v>0</v>
      </c>
      <c r="Y451">
        <v>0</v>
      </c>
      <c r="Z451">
        <v>0</v>
      </c>
      <c r="AA451">
        <v>0</v>
      </c>
      <c r="AM451" t="s">
        <v>83</v>
      </c>
      <c r="AN451" t="s">
        <v>82</v>
      </c>
      <c r="AO451" t="s">
        <v>83</v>
      </c>
      <c r="AP451" t="s">
        <v>81</v>
      </c>
      <c r="AQ451" t="s">
        <v>81</v>
      </c>
      <c r="AR451" t="s">
        <v>83</v>
      </c>
      <c r="AS451" t="s">
        <v>81</v>
      </c>
      <c r="AT451" t="s">
        <v>82</v>
      </c>
      <c r="AU451" t="s">
        <v>88</v>
      </c>
      <c r="AV451" t="s">
        <v>89</v>
      </c>
      <c r="AW451" t="s">
        <v>100</v>
      </c>
      <c r="AX451" t="s">
        <v>110</v>
      </c>
      <c r="AY451" t="s">
        <v>283</v>
      </c>
      <c r="AZ451" t="s">
        <v>107</v>
      </c>
      <c r="BA451" t="s">
        <v>74</v>
      </c>
      <c r="BF451" t="s">
        <v>75</v>
      </c>
      <c r="BG451" t="s">
        <v>76</v>
      </c>
      <c r="BH451" t="s">
        <v>93</v>
      </c>
      <c r="BI451" t="s">
        <v>107</v>
      </c>
      <c r="BJ451" t="s">
        <v>147</v>
      </c>
      <c r="BK451">
        <v>0</v>
      </c>
      <c r="BL451">
        <v>0</v>
      </c>
      <c r="BM451">
        <v>0</v>
      </c>
      <c r="BN451">
        <v>0</v>
      </c>
      <c r="BO451">
        <v>1</v>
      </c>
      <c r="BP451">
        <v>1</v>
      </c>
      <c r="BQ451">
        <v>0</v>
      </c>
      <c r="BR451">
        <v>0</v>
      </c>
    </row>
    <row r="452" spans="1:72" x14ac:dyDescent="0.2">
      <c r="A452" s="1">
        <v>44579.879861111112</v>
      </c>
      <c r="B452" s="1">
        <v>44579.881249999999</v>
      </c>
      <c r="C452">
        <v>0</v>
      </c>
      <c r="D452">
        <v>1</v>
      </c>
      <c r="E452">
        <v>0</v>
      </c>
      <c r="F452">
        <v>0</v>
      </c>
      <c r="H452">
        <v>0</v>
      </c>
      <c r="I452">
        <v>1</v>
      </c>
      <c r="J452">
        <v>1</v>
      </c>
      <c r="K452">
        <v>0</v>
      </c>
      <c r="L452">
        <v>0</v>
      </c>
      <c r="N452" t="s">
        <v>88</v>
      </c>
      <c r="O452" t="s">
        <v>80</v>
      </c>
      <c r="P452">
        <v>0</v>
      </c>
      <c r="Q452">
        <v>0</v>
      </c>
      <c r="R452">
        <v>0</v>
      </c>
      <c r="S452">
        <v>1</v>
      </c>
      <c r="T452">
        <v>0</v>
      </c>
      <c r="U452">
        <v>0</v>
      </c>
      <c r="V452">
        <v>0</v>
      </c>
      <c r="W452">
        <v>0</v>
      </c>
      <c r="X452">
        <v>0</v>
      </c>
      <c r="Y452">
        <v>0</v>
      </c>
      <c r="Z452">
        <v>0</v>
      </c>
      <c r="AA452">
        <v>0</v>
      </c>
      <c r="AM452" t="s">
        <v>83</v>
      </c>
      <c r="AN452" t="s">
        <v>82</v>
      </c>
      <c r="AO452" t="s">
        <v>81</v>
      </c>
      <c r="AP452" t="s">
        <v>81</v>
      </c>
      <c r="AQ452" t="s">
        <v>81</v>
      </c>
      <c r="AR452" t="s">
        <v>81</v>
      </c>
      <c r="AS452" t="s">
        <v>90</v>
      </c>
      <c r="AT452" t="s">
        <v>81</v>
      </c>
      <c r="AU452" t="s">
        <v>88</v>
      </c>
      <c r="AV452" t="s">
        <v>89</v>
      </c>
      <c r="AW452" t="s">
        <v>85</v>
      </c>
      <c r="AX452" t="s">
        <v>122</v>
      </c>
      <c r="AZ452" t="s">
        <v>73</v>
      </c>
      <c r="BA452" t="s">
        <v>86</v>
      </c>
      <c r="BB452" t="s">
        <v>86</v>
      </c>
      <c r="BC452" t="s">
        <v>86</v>
      </c>
      <c r="BD452" t="s">
        <v>74</v>
      </c>
      <c r="BE452" t="s">
        <v>86</v>
      </c>
      <c r="BF452" t="s">
        <v>75</v>
      </c>
      <c r="BG452" t="s">
        <v>76</v>
      </c>
      <c r="BH452" t="s">
        <v>93</v>
      </c>
      <c r="BI452" t="s">
        <v>73</v>
      </c>
      <c r="BJ452" t="s">
        <v>114</v>
      </c>
      <c r="BK452">
        <v>0</v>
      </c>
      <c r="BL452">
        <v>0</v>
      </c>
      <c r="BM452">
        <v>0</v>
      </c>
      <c r="BN452">
        <v>0</v>
      </c>
      <c r="BO452">
        <v>0</v>
      </c>
      <c r="BP452">
        <v>1</v>
      </c>
      <c r="BQ452">
        <v>0</v>
      </c>
      <c r="BR452">
        <v>0</v>
      </c>
    </row>
    <row r="453" spans="1:72" x14ac:dyDescent="0.2">
      <c r="A453" s="1">
        <v>44585.537499999999</v>
      </c>
      <c r="B453" s="1">
        <v>44585.539583333331</v>
      </c>
      <c r="C453">
        <v>1</v>
      </c>
      <c r="D453">
        <v>0</v>
      </c>
      <c r="E453">
        <v>0</v>
      </c>
      <c r="F453">
        <v>0</v>
      </c>
      <c r="H453">
        <v>1</v>
      </c>
      <c r="I453">
        <v>0</v>
      </c>
      <c r="J453">
        <v>0</v>
      </c>
      <c r="K453">
        <v>0</v>
      </c>
      <c r="L453">
        <v>0</v>
      </c>
      <c r="P453">
        <v>0</v>
      </c>
      <c r="Q453">
        <v>1</v>
      </c>
      <c r="R453">
        <v>0</v>
      </c>
      <c r="S453">
        <v>0</v>
      </c>
      <c r="T453">
        <v>0</v>
      </c>
      <c r="U453">
        <v>0</v>
      </c>
      <c r="V453">
        <v>0</v>
      </c>
      <c r="W453">
        <v>0</v>
      </c>
      <c r="X453">
        <v>0</v>
      </c>
      <c r="Y453">
        <v>0</v>
      </c>
      <c r="Z453">
        <v>0</v>
      </c>
      <c r="AA453">
        <v>0</v>
      </c>
      <c r="AM453" t="s">
        <v>90</v>
      </c>
      <c r="AN453" t="s">
        <v>82</v>
      </c>
      <c r="AO453" t="s">
        <v>81</v>
      </c>
      <c r="AP453" t="s">
        <v>81</v>
      </c>
      <c r="AQ453" t="s">
        <v>81</v>
      </c>
      <c r="AR453" t="s">
        <v>90</v>
      </c>
      <c r="AS453" t="s">
        <v>83</v>
      </c>
      <c r="AT453" t="s">
        <v>90</v>
      </c>
      <c r="AU453" t="s">
        <v>88</v>
      </c>
      <c r="AV453" t="s">
        <v>89</v>
      </c>
      <c r="AW453" t="s">
        <v>100</v>
      </c>
      <c r="AX453" t="s">
        <v>175</v>
      </c>
      <c r="AZ453" t="s">
        <v>107</v>
      </c>
      <c r="BA453" t="s">
        <v>86</v>
      </c>
      <c r="BB453" t="s">
        <v>86</v>
      </c>
      <c r="BC453" t="s">
        <v>86</v>
      </c>
      <c r="BD453" t="s">
        <v>86</v>
      </c>
      <c r="BE453" t="s">
        <v>86</v>
      </c>
      <c r="BF453" t="s">
        <v>108</v>
      </c>
      <c r="BG453" t="s">
        <v>76</v>
      </c>
      <c r="BH453" t="s">
        <v>98</v>
      </c>
      <c r="BI453" t="s">
        <v>107</v>
      </c>
      <c r="BJ453" t="s">
        <v>78</v>
      </c>
      <c r="BK453">
        <v>0</v>
      </c>
      <c r="BL453">
        <v>0</v>
      </c>
      <c r="BM453">
        <v>0</v>
      </c>
      <c r="BN453">
        <v>0</v>
      </c>
      <c r="BO453">
        <v>0</v>
      </c>
      <c r="BP453">
        <v>1</v>
      </c>
      <c r="BQ453">
        <v>0</v>
      </c>
      <c r="BR453">
        <v>0</v>
      </c>
    </row>
    <row r="454" spans="1:72" x14ac:dyDescent="0.2">
      <c r="A454" s="1">
        <v>44579.875</v>
      </c>
      <c r="B454" s="1">
        <v>44579.877083333333</v>
      </c>
      <c r="C454">
        <v>1</v>
      </c>
      <c r="D454">
        <v>0</v>
      </c>
      <c r="E454">
        <v>0</v>
      </c>
      <c r="F454">
        <v>0</v>
      </c>
      <c r="H454">
        <v>0</v>
      </c>
      <c r="I454">
        <v>0</v>
      </c>
      <c r="J454">
        <v>1</v>
      </c>
      <c r="K454">
        <v>0</v>
      </c>
      <c r="L454">
        <v>0</v>
      </c>
      <c r="N454" t="s">
        <v>88</v>
      </c>
      <c r="O454" t="s">
        <v>89</v>
      </c>
      <c r="P454">
        <v>1</v>
      </c>
      <c r="Q454">
        <v>0</v>
      </c>
      <c r="R454">
        <v>0</v>
      </c>
      <c r="S454">
        <v>0</v>
      </c>
      <c r="T454">
        <v>0</v>
      </c>
      <c r="U454">
        <v>0</v>
      </c>
      <c r="V454">
        <v>0</v>
      </c>
      <c r="W454">
        <v>0</v>
      </c>
      <c r="X454">
        <v>0</v>
      </c>
      <c r="Y454">
        <v>0</v>
      </c>
      <c r="Z454">
        <v>0</v>
      </c>
      <c r="AA454">
        <v>0</v>
      </c>
      <c r="AC454">
        <v>1</v>
      </c>
      <c r="AD454">
        <v>0</v>
      </c>
      <c r="AE454">
        <v>0</v>
      </c>
      <c r="AF454">
        <v>0</v>
      </c>
      <c r="AG454">
        <v>0</v>
      </c>
      <c r="AH454">
        <v>0</v>
      </c>
      <c r="AI454">
        <v>0</v>
      </c>
      <c r="AJ454">
        <v>0</v>
      </c>
      <c r="AK454">
        <v>0</v>
      </c>
      <c r="AX454" t="s">
        <v>91</v>
      </c>
      <c r="AZ454" t="s">
        <v>96</v>
      </c>
      <c r="BA454" t="s">
        <v>87</v>
      </c>
      <c r="BB454" t="s">
        <v>87</v>
      </c>
      <c r="BC454" t="s">
        <v>86</v>
      </c>
      <c r="BD454" t="s">
        <v>87</v>
      </c>
      <c r="BE454" t="s">
        <v>86</v>
      </c>
      <c r="BF454" t="s">
        <v>75</v>
      </c>
      <c r="BG454" t="s">
        <v>92</v>
      </c>
      <c r="BH454" t="s">
        <v>77</v>
      </c>
      <c r="BI454" t="s">
        <v>96</v>
      </c>
      <c r="BJ454" t="s">
        <v>102</v>
      </c>
      <c r="BK454">
        <v>0</v>
      </c>
      <c r="BL454">
        <v>0</v>
      </c>
      <c r="BM454">
        <v>0</v>
      </c>
      <c r="BN454">
        <v>0</v>
      </c>
      <c r="BO454">
        <v>0</v>
      </c>
      <c r="BP454">
        <v>1</v>
      </c>
      <c r="BQ454">
        <v>0</v>
      </c>
      <c r="BR454">
        <v>0</v>
      </c>
    </row>
    <row r="455" spans="1:72" x14ac:dyDescent="0.2">
      <c r="A455" s="1">
        <v>44579.880555555559</v>
      </c>
      <c r="B455" s="1">
        <v>44579.882638888892</v>
      </c>
      <c r="C455">
        <v>1</v>
      </c>
      <c r="D455">
        <v>0</v>
      </c>
      <c r="E455">
        <v>0</v>
      </c>
      <c r="F455">
        <v>0</v>
      </c>
      <c r="H455">
        <v>0</v>
      </c>
      <c r="I455">
        <v>1</v>
      </c>
      <c r="J455">
        <v>1</v>
      </c>
      <c r="K455">
        <v>1</v>
      </c>
      <c r="L455">
        <v>0</v>
      </c>
      <c r="N455" t="s">
        <v>88</v>
      </c>
      <c r="O455" t="s">
        <v>89</v>
      </c>
      <c r="P455">
        <v>0</v>
      </c>
      <c r="Q455">
        <v>0</v>
      </c>
      <c r="R455">
        <v>0</v>
      </c>
      <c r="S455">
        <v>1</v>
      </c>
      <c r="T455">
        <v>0</v>
      </c>
      <c r="U455">
        <v>0</v>
      </c>
      <c r="V455">
        <v>0</v>
      </c>
      <c r="W455">
        <v>0</v>
      </c>
      <c r="X455">
        <v>0</v>
      </c>
      <c r="Y455">
        <v>0</v>
      </c>
      <c r="Z455">
        <v>0</v>
      </c>
      <c r="AA455">
        <v>0</v>
      </c>
      <c r="AM455" t="s">
        <v>90</v>
      </c>
      <c r="AN455" t="s">
        <v>82</v>
      </c>
      <c r="AO455" t="s">
        <v>82</v>
      </c>
      <c r="AP455" t="s">
        <v>82</v>
      </c>
      <c r="AQ455" t="s">
        <v>83</v>
      </c>
      <c r="AR455" t="s">
        <v>81</v>
      </c>
      <c r="AS455" t="s">
        <v>83</v>
      </c>
      <c r="AT455" t="s">
        <v>83</v>
      </c>
      <c r="AU455" t="s">
        <v>88</v>
      </c>
      <c r="AV455" t="s">
        <v>89</v>
      </c>
      <c r="AW455" t="s">
        <v>100</v>
      </c>
      <c r="AX455" t="s">
        <v>146</v>
      </c>
      <c r="AZ455" t="s">
        <v>107</v>
      </c>
      <c r="BA455" t="s">
        <v>87</v>
      </c>
      <c r="BB455" t="s">
        <v>87</v>
      </c>
      <c r="BC455" t="s">
        <v>87</v>
      </c>
      <c r="BD455" t="s">
        <v>87</v>
      </c>
      <c r="BE455" t="s">
        <v>87</v>
      </c>
      <c r="BF455" t="s">
        <v>75</v>
      </c>
      <c r="BG455" t="s">
        <v>92</v>
      </c>
      <c r="BH455" t="s">
        <v>77</v>
      </c>
      <c r="BI455" t="s">
        <v>107</v>
      </c>
      <c r="BJ455" t="s">
        <v>114</v>
      </c>
      <c r="BK455">
        <v>0</v>
      </c>
      <c r="BL455">
        <v>0</v>
      </c>
      <c r="BM455">
        <v>0</v>
      </c>
      <c r="BN455">
        <v>0</v>
      </c>
      <c r="BO455">
        <v>0</v>
      </c>
      <c r="BP455">
        <v>1</v>
      </c>
      <c r="BQ455">
        <v>0</v>
      </c>
      <c r="BR455">
        <v>0</v>
      </c>
    </row>
    <row r="456" spans="1:72" x14ac:dyDescent="0.2">
      <c r="A456" s="1">
        <v>44589.060416666667</v>
      </c>
      <c r="B456" s="1">
        <v>44589.065972222219</v>
      </c>
      <c r="C456">
        <v>0</v>
      </c>
      <c r="D456">
        <v>1</v>
      </c>
      <c r="E456">
        <v>0</v>
      </c>
      <c r="F456">
        <v>0</v>
      </c>
      <c r="H456">
        <v>0</v>
      </c>
      <c r="I456">
        <v>0</v>
      </c>
      <c r="J456">
        <v>1</v>
      </c>
      <c r="K456">
        <v>1</v>
      </c>
      <c r="L456">
        <v>1</v>
      </c>
      <c r="M456" t="s">
        <v>284</v>
      </c>
      <c r="N456" t="s">
        <v>79</v>
      </c>
      <c r="O456" t="s">
        <v>127</v>
      </c>
      <c r="P456">
        <v>0</v>
      </c>
      <c r="Q456">
        <v>0</v>
      </c>
      <c r="R456">
        <v>0</v>
      </c>
      <c r="S456">
        <v>0</v>
      </c>
      <c r="T456">
        <v>1</v>
      </c>
      <c r="U456">
        <v>0</v>
      </c>
      <c r="V456">
        <v>0</v>
      </c>
      <c r="W456">
        <v>0</v>
      </c>
      <c r="X456">
        <v>0</v>
      </c>
      <c r="Y456">
        <v>0</v>
      </c>
      <c r="Z456">
        <v>0</v>
      </c>
      <c r="AA456">
        <v>0</v>
      </c>
      <c r="AM456" t="s">
        <v>81</v>
      </c>
      <c r="AN456" t="s">
        <v>81</v>
      </c>
      <c r="AO456" t="s">
        <v>81</v>
      </c>
      <c r="AP456" t="s">
        <v>82</v>
      </c>
      <c r="AQ456" t="s">
        <v>81</v>
      </c>
      <c r="AR456" t="s">
        <v>81</v>
      </c>
      <c r="AS456" t="s">
        <v>81</v>
      </c>
      <c r="AT456" t="s">
        <v>83</v>
      </c>
      <c r="AU456" t="s">
        <v>135</v>
      </c>
      <c r="AV456" t="s">
        <v>89</v>
      </c>
      <c r="AW456" t="s">
        <v>169</v>
      </c>
      <c r="AX456" t="s">
        <v>259</v>
      </c>
      <c r="AZ456" t="s">
        <v>96</v>
      </c>
      <c r="BA456" t="s">
        <v>87</v>
      </c>
      <c r="BB456" t="s">
        <v>86</v>
      </c>
      <c r="BC456" t="s">
        <v>74</v>
      </c>
      <c r="BD456" t="s">
        <v>87</v>
      </c>
      <c r="BE456" t="s">
        <v>74</v>
      </c>
      <c r="BF456" t="s">
        <v>108</v>
      </c>
      <c r="BG456" t="s">
        <v>92</v>
      </c>
      <c r="BH456" t="s">
        <v>93</v>
      </c>
      <c r="BI456" t="s">
        <v>96</v>
      </c>
      <c r="BJ456" t="s">
        <v>78</v>
      </c>
      <c r="BK456">
        <v>0</v>
      </c>
      <c r="BL456">
        <v>0</v>
      </c>
      <c r="BM456">
        <v>0</v>
      </c>
      <c r="BN456">
        <v>0</v>
      </c>
      <c r="BO456">
        <v>1</v>
      </c>
      <c r="BP456">
        <v>0</v>
      </c>
      <c r="BQ456">
        <v>0</v>
      </c>
      <c r="BR456">
        <v>0</v>
      </c>
    </row>
    <row r="457" spans="1:72" x14ac:dyDescent="0.2">
      <c r="A457" s="1">
        <v>44585.504166666666</v>
      </c>
      <c r="B457" s="1">
        <v>44585.505555555559</v>
      </c>
      <c r="C457">
        <v>1</v>
      </c>
      <c r="D457">
        <v>0</v>
      </c>
      <c r="E457">
        <v>0</v>
      </c>
      <c r="F457">
        <v>0</v>
      </c>
      <c r="H457">
        <v>1</v>
      </c>
      <c r="I457">
        <v>0</v>
      </c>
      <c r="J457">
        <v>0</v>
      </c>
      <c r="K457">
        <v>0</v>
      </c>
      <c r="L457">
        <v>0</v>
      </c>
      <c r="P457">
        <v>1</v>
      </c>
      <c r="Q457">
        <v>0</v>
      </c>
      <c r="R457">
        <v>0</v>
      </c>
      <c r="S457">
        <v>0</v>
      </c>
      <c r="T457">
        <v>0</v>
      </c>
      <c r="U457">
        <v>0</v>
      </c>
      <c r="V457">
        <v>0</v>
      </c>
      <c r="W457">
        <v>0</v>
      </c>
      <c r="X457">
        <v>0</v>
      </c>
      <c r="Y457">
        <v>0</v>
      </c>
      <c r="Z457">
        <v>0</v>
      </c>
      <c r="AA457">
        <v>0</v>
      </c>
      <c r="AC457">
        <v>0</v>
      </c>
      <c r="AD457">
        <v>0</v>
      </c>
      <c r="AE457">
        <v>0</v>
      </c>
      <c r="AF457">
        <v>0</v>
      </c>
      <c r="AG457">
        <v>0</v>
      </c>
      <c r="AH457">
        <v>0</v>
      </c>
      <c r="AI457">
        <v>1</v>
      </c>
      <c r="AJ457">
        <v>0</v>
      </c>
      <c r="AK457">
        <v>0</v>
      </c>
      <c r="AZ457" t="s">
        <v>107</v>
      </c>
      <c r="BA457" t="s">
        <v>74</v>
      </c>
      <c r="BF457" t="s">
        <v>97</v>
      </c>
      <c r="BG457" t="s">
        <v>76</v>
      </c>
      <c r="BH457" t="s">
        <v>158</v>
      </c>
      <c r="BI457" t="s">
        <v>107</v>
      </c>
      <c r="BJ457" t="s">
        <v>147</v>
      </c>
      <c r="BK457">
        <v>0</v>
      </c>
      <c r="BL457">
        <v>0</v>
      </c>
      <c r="BM457">
        <v>0</v>
      </c>
      <c r="BN457">
        <v>0</v>
      </c>
      <c r="BO457">
        <v>0</v>
      </c>
      <c r="BP457">
        <v>1</v>
      </c>
      <c r="BQ457">
        <v>0</v>
      </c>
      <c r="BR457">
        <v>0</v>
      </c>
    </row>
    <row r="458" spans="1:72" x14ac:dyDescent="0.2">
      <c r="A458" s="1">
        <v>44588.881944444445</v>
      </c>
      <c r="B458" s="1">
        <v>44588.886805555558</v>
      </c>
      <c r="C458">
        <v>0</v>
      </c>
      <c r="D458">
        <v>1</v>
      </c>
      <c r="E458">
        <v>0</v>
      </c>
      <c r="F458">
        <v>0</v>
      </c>
      <c r="H458">
        <v>1</v>
      </c>
      <c r="I458">
        <v>0</v>
      </c>
      <c r="J458">
        <v>0</v>
      </c>
      <c r="K458">
        <v>0</v>
      </c>
      <c r="L458">
        <v>0</v>
      </c>
      <c r="P458">
        <v>0</v>
      </c>
      <c r="Q458">
        <v>0</v>
      </c>
      <c r="R458">
        <v>0</v>
      </c>
      <c r="S458">
        <v>1</v>
      </c>
      <c r="T458">
        <v>0</v>
      </c>
      <c r="U458">
        <v>0</v>
      </c>
      <c r="V458">
        <v>0</v>
      </c>
      <c r="W458">
        <v>0</v>
      </c>
      <c r="X458">
        <v>0</v>
      </c>
      <c r="Y458">
        <v>0</v>
      </c>
      <c r="Z458">
        <v>0</v>
      </c>
      <c r="AA458">
        <v>0</v>
      </c>
      <c r="AM458" t="s">
        <v>83</v>
      </c>
      <c r="AN458" t="s">
        <v>82</v>
      </c>
      <c r="AO458" t="s">
        <v>81</v>
      </c>
      <c r="AP458" t="s">
        <v>81</v>
      </c>
      <c r="AQ458" t="s">
        <v>81</v>
      </c>
      <c r="AR458" t="s">
        <v>83</v>
      </c>
      <c r="AS458" t="s">
        <v>83</v>
      </c>
      <c r="AT458" t="s">
        <v>83</v>
      </c>
      <c r="AU458" t="s">
        <v>88</v>
      </c>
      <c r="AV458" t="s">
        <v>89</v>
      </c>
      <c r="AW458" t="s">
        <v>100</v>
      </c>
      <c r="AX458" t="s">
        <v>199</v>
      </c>
      <c r="AZ458" t="s">
        <v>96</v>
      </c>
      <c r="BA458" t="s">
        <v>86</v>
      </c>
      <c r="BB458" t="s">
        <v>86</v>
      </c>
      <c r="BC458" t="s">
        <v>87</v>
      </c>
      <c r="BD458" t="s">
        <v>87</v>
      </c>
      <c r="BE458" t="s">
        <v>86</v>
      </c>
      <c r="BF458" t="s">
        <v>75</v>
      </c>
      <c r="BG458" t="s">
        <v>92</v>
      </c>
      <c r="BH458" t="s">
        <v>98</v>
      </c>
      <c r="BI458" t="s">
        <v>96</v>
      </c>
      <c r="BJ458" t="s">
        <v>114</v>
      </c>
      <c r="BK458">
        <v>0</v>
      </c>
      <c r="BL458">
        <v>0</v>
      </c>
      <c r="BM458">
        <v>0</v>
      </c>
      <c r="BN458">
        <v>0</v>
      </c>
      <c r="BO458">
        <v>0</v>
      </c>
      <c r="BP458">
        <v>1</v>
      </c>
      <c r="BQ458">
        <v>0</v>
      </c>
      <c r="BR458">
        <v>0</v>
      </c>
    </row>
    <row r="459" spans="1:72" x14ac:dyDescent="0.2">
      <c r="A459" s="1">
        <v>44579.880555555559</v>
      </c>
      <c r="B459" s="1">
        <v>44579.882638888892</v>
      </c>
      <c r="C459">
        <v>0</v>
      </c>
      <c r="D459">
        <v>1</v>
      </c>
      <c r="E459">
        <v>0</v>
      </c>
      <c r="F459">
        <v>0</v>
      </c>
      <c r="H459">
        <v>1</v>
      </c>
      <c r="I459">
        <v>0</v>
      </c>
      <c r="J459">
        <v>0</v>
      </c>
      <c r="K459">
        <v>0</v>
      </c>
      <c r="L459">
        <v>0</v>
      </c>
      <c r="P459">
        <v>1</v>
      </c>
      <c r="Q459">
        <v>0</v>
      </c>
      <c r="R459">
        <v>0</v>
      </c>
      <c r="S459">
        <v>0</v>
      </c>
      <c r="T459">
        <v>0</v>
      </c>
      <c r="U459">
        <v>0</v>
      </c>
      <c r="V459">
        <v>0</v>
      </c>
      <c r="W459">
        <v>0</v>
      </c>
      <c r="X459">
        <v>0</v>
      </c>
      <c r="Y459">
        <v>0</v>
      </c>
      <c r="Z459">
        <v>0</v>
      </c>
      <c r="AA459">
        <v>0</v>
      </c>
      <c r="AC459">
        <v>1</v>
      </c>
      <c r="AD459">
        <v>0</v>
      </c>
      <c r="AE459">
        <v>0</v>
      </c>
      <c r="AF459">
        <v>0</v>
      </c>
      <c r="AG459">
        <v>0</v>
      </c>
      <c r="AH459">
        <v>0</v>
      </c>
      <c r="AI459">
        <v>0</v>
      </c>
      <c r="AJ459">
        <v>0</v>
      </c>
      <c r="AK459">
        <v>0</v>
      </c>
      <c r="AZ459" t="s">
        <v>107</v>
      </c>
      <c r="BA459" t="s">
        <v>87</v>
      </c>
      <c r="BB459" t="s">
        <v>87</v>
      </c>
      <c r="BC459" t="s">
        <v>87</v>
      </c>
      <c r="BD459" t="s">
        <v>87</v>
      </c>
      <c r="BE459" t="s">
        <v>86</v>
      </c>
      <c r="BF459" t="s">
        <v>97</v>
      </c>
      <c r="BG459" t="s">
        <v>92</v>
      </c>
      <c r="BH459" t="s">
        <v>98</v>
      </c>
      <c r="BI459" t="s">
        <v>107</v>
      </c>
      <c r="BJ459" t="s">
        <v>102</v>
      </c>
      <c r="BK459">
        <v>0</v>
      </c>
      <c r="BL459">
        <v>0</v>
      </c>
      <c r="BM459">
        <v>0</v>
      </c>
      <c r="BN459">
        <v>0</v>
      </c>
      <c r="BO459">
        <v>0</v>
      </c>
      <c r="BP459">
        <v>1</v>
      </c>
      <c r="BQ459">
        <v>0</v>
      </c>
      <c r="BR459">
        <v>0</v>
      </c>
    </row>
    <row r="460" spans="1:72" x14ac:dyDescent="0.2">
      <c r="A460" s="1">
        <v>44579.956944444442</v>
      </c>
      <c r="B460" s="1">
        <v>44579.959722222222</v>
      </c>
      <c r="C460">
        <v>0</v>
      </c>
      <c r="D460">
        <v>1</v>
      </c>
      <c r="E460">
        <v>0</v>
      </c>
      <c r="F460">
        <v>0</v>
      </c>
      <c r="H460">
        <v>0</v>
      </c>
      <c r="I460">
        <v>0</v>
      </c>
      <c r="J460">
        <v>0</v>
      </c>
      <c r="K460">
        <v>0</v>
      </c>
      <c r="L460">
        <v>1</v>
      </c>
      <c r="M460" t="s">
        <v>285</v>
      </c>
      <c r="N460" t="s">
        <v>88</v>
      </c>
      <c r="O460" t="s">
        <v>89</v>
      </c>
      <c r="P460">
        <v>1</v>
      </c>
      <c r="Q460">
        <v>0</v>
      </c>
      <c r="R460">
        <v>0</v>
      </c>
      <c r="S460">
        <v>0</v>
      </c>
      <c r="T460">
        <v>0</v>
      </c>
      <c r="U460">
        <v>0</v>
      </c>
      <c r="V460">
        <v>0</v>
      </c>
      <c r="W460">
        <v>0</v>
      </c>
      <c r="X460">
        <v>0</v>
      </c>
      <c r="Y460">
        <v>0</v>
      </c>
      <c r="Z460">
        <v>0</v>
      </c>
      <c r="AA460">
        <v>0</v>
      </c>
      <c r="AC460">
        <v>0</v>
      </c>
      <c r="AD460">
        <v>1</v>
      </c>
      <c r="AE460">
        <v>0</v>
      </c>
      <c r="AF460">
        <v>0</v>
      </c>
      <c r="AG460">
        <v>0</v>
      </c>
      <c r="AH460">
        <v>0</v>
      </c>
      <c r="AI460">
        <v>0</v>
      </c>
      <c r="AJ460">
        <v>0</v>
      </c>
      <c r="AK460">
        <v>0</v>
      </c>
      <c r="AZ460" t="s">
        <v>73</v>
      </c>
      <c r="BA460" t="s">
        <v>87</v>
      </c>
      <c r="BB460" t="s">
        <v>74</v>
      </c>
      <c r="BC460" t="s">
        <v>74</v>
      </c>
      <c r="BD460" t="s">
        <v>74</v>
      </c>
      <c r="BE460" t="s">
        <v>86</v>
      </c>
      <c r="BF460" t="s">
        <v>97</v>
      </c>
      <c r="BG460" t="s">
        <v>92</v>
      </c>
      <c r="BH460" t="s">
        <v>98</v>
      </c>
      <c r="BI460" t="s">
        <v>73</v>
      </c>
      <c r="BJ460" t="s">
        <v>78</v>
      </c>
      <c r="BK460">
        <v>0</v>
      </c>
      <c r="BL460">
        <v>0</v>
      </c>
      <c r="BM460">
        <v>0</v>
      </c>
      <c r="BN460">
        <v>0</v>
      </c>
      <c r="BO460">
        <v>0</v>
      </c>
      <c r="BP460">
        <v>1</v>
      </c>
      <c r="BQ460">
        <v>0</v>
      </c>
      <c r="BR460">
        <v>0</v>
      </c>
    </row>
    <row r="461" spans="1:72" x14ac:dyDescent="0.2">
      <c r="A461" s="1">
        <v>44579.947222222225</v>
      </c>
      <c r="B461" s="1">
        <v>44579.949305555558</v>
      </c>
      <c r="C461">
        <v>1</v>
      </c>
      <c r="D461">
        <v>1</v>
      </c>
      <c r="E461">
        <v>0</v>
      </c>
      <c r="F461">
        <v>0</v>
      </c>
      <c r="H461">
        <v>0</v>
      </c>
      <c r="I461">
        <v>1</v>
      </c>
      <c r="J461">
        <v>0</v>
      </c>
      <c r="K461">
        <v>0</v>
      </c>
      <c r="L461">
        <v>0</v>
      </c>
      <c r="N461" t="s">
        <v>135</v>
      </c>
      <c r="O461" t="s">
        <v>127</v>
      </c>
      <c r="P461">
        <v>0</v>
      </c>
      <c r="Q461">
        <v>0</v>
      </c>
      <c r="R461">
        <v>0</v>
      </c>
      <c r="S461">
        <v>0</v>
      </c>
      <c r="T461">
        <v>1</v>
      </c>
      <c r="U461">
        <v>0</v>
      </c>
      <c r="V461">
        <v>0</v>
      </c>
      <c r="W461">
        <v>0</v>
      </c>
      <c r="X461">
        <v>0</v>
      </c>
      <c r="Y461">
        <v>0</v>
      </c>
      <c r="Z461">
        <v>0</v>
      </c>
      <c r="AA461">
        <v>0</v>
      </c>
      <c r="AM461" t="s">
        <v>83</v>
      </c>
      <c r="AN461" t="s">
        <v>82</v>
      </c>
      <c r="AO461" t="s">
        <v>81</v>
      </c>
      <c r="AP461" t="s">
        <v>82</v>
      </c>
      <c r="AQ461" t="s">
        <v>81</v>
      </c>
      <c r="AR461" t="s">
        <v>83</v>
      </c>
      <c r="AS461" t="s">
        <v>90</v>
      </c>
      <c r="AT461" t="s">
        <v>83</v>
      </c>
      <c r="AU461" t="s">
        <v>88</v>
      </c>
      <c r="AV461" t="s">
        <v>89</v>
      </c>
      <c r="AW461" t="s">
        <v>85</v>
      </c>
      <c r="AX461" t="s">
        <v>242</v>
      </c>
      <c r="AZ461" t="s">
        <v>73</v>
      </c>
      <c r="BA461" t="s">
        <v>87</v>
      </c>
      <c r="BB461" t="s">
        <v>87</v>
      </c>
      <c r="BC461" t="s">
        <v>87</v>
      </c>
      <c r="BD461" t="s">
        <v>87</v>
      </c>
      <c r="BE461" t="s">
        <v>87</v>
      </c>
      <c r="BF461" t="s">
        <v>75</v>
      </c>
      <c r="BG461" t="s">
        <v>92</v>
      </c>
      <c r="BH461" t="s">
        <v>93</v>
      </c>
      <c r="BI461" t="s">
        <v>73</v>
      </c>
      <c r="BJ461" t="s">
        <v>94</v>
      </c>
      <c r="BK461">
        <v>0</v>
      </c>
      <c r="BL461">
        <v>0</v>
      </c>
      <c r="BM461">
        <v>0</v>
      </c>
      <c r="BN461">
        <v>1</v>
      </c>
      <c r="BO461">
        <v>0</v>
      </c>
      <c r="BP461">
        <v>0</v>
      </c>
      <c r="BQ461">
        <v>0</v>
      </c>
      <c r="BR461">
        <v>0</v>
      </c>
    </row>
    <row r="462" spans="1:72" x14ac:dyDescent="0.2">
      <c r="A462" s="1">
        <v>44579.927777777775</v>
      </c>
      <c r="B462" s="1">
        <v>44579.930555555555</v>
      </c>
      <c r="C462">
        <v>1</v>
      </c>
      <c r="D462">
        <v>0</v>
      </c>
      <c r="E462">
        <v>0</v>
      </c>
      <c r="F462">
        <v>0</v>
      </c>
      <c r="H462">
        <v>0</v>
      </c>
      <c r="I462">
        <v>1</v>
      </c>
      <c r="J462">
        <v>0</v>
      </c>
      <c r="K462">
        <v>0</v>
      </c>
      <c r="L462">
        <v>0</v>
      </c>
      <c r="N462" t="s">
        <v>88</v>
      </c>
      <c r="O462" t="s">
        <v>89</v>
      </c>
      <c r="P462">
        <v>0</v>
      </c>
      <c r="Q462">
        <v>0</v>
      </c>
      <c r="R462">
        <v>1</v>
      </c>
      <c r="S462">
        <v>0</v>
      </c>
      <c r="T462">
        <v>0</v>
      </c>
      <c r="U462">
        <v>0</v>
      </c>
      <c r="V462">
        <v>0</v>
      </c>
      <c r="W462">
        <v>0</v>
      </c>
      <c r="X462">
        <v>0</v>
      </c>
      <c r="Y462">
        <v>0</v>
      </c>
      <c r="Z462">
        <v>0</v>
      </c>
      <c r="AA462">
        <v>0</v>
      </c>
      <c r="AM462" t="s">
        <v>83</v>
      </c>
      <c r="AN462" t="s">
        <v>81</v>
      </c>
      <c r="AO462" t="s">
        <v>83</v>
      </c>
      <c r="AP462" t="s">
        <v>83</v>
      </c>
      <c r="AQ462" t="s">
        <v>82</v>
      </c>
      <c r="AR462" t="s">
        <v>82</v>
      </c>
      <c r="AS462" t="s">
        <v>83</v>
      </c>
      <c r="AT462" t="s">
        <v>83</v>
      </c>
      <c r="AU462" t="s">
        <v>88</v>
      </c>
      <c r="AV462" t="s">
        <v>89</v>
      </c>
      <c r="AW462" t="s">
        <v>85</v>
      </c>
      <c r="AZ462" t="s">
        <v>73</v>
      </c>
      <c r="BA462" t="s">
        <v>86</v>
      </c>
      <c r="BB462" t="s">
        <v>87</v>
      </c>
      <c r="BC462" t="s">
        <v>87</v>
      </c>
      <c r="BD462" t="s">
        <v>74</v>
      </c>
      <c r="BE462" t="s">
        <v>87</v>
      </c>
      <c r="BF462" t="s">
        <v>97</v>
      </c>
      <c r="BG462" t="s">
        <v>92</v>
      </c>
      <c r="BH462" t="s">
        <v>98</v>
      </c>
      <c r="BI462" t="s">
        <v>73</v>
      </c>
      <c r="BJ462" t="s">
        <v>165</v>
      </c>
      <c r="BK462">
        <v>0</v>
      </c>
      <c r="BL462">
        <v>0</v>
      </c>
      <c r="BM462">
        <v>0</v>
      </c>
      <c r="BN462">
        <v>0</v>
      </c>
      <c r="BO462">
        <v>0</v>
      </c>
      <c r="BP462">
        <v>1</v>
      </c>
      <c r="BQ462">
        <v>0</v>
      </c>
      <c r="BR462">
        <v>0</v>
      </c>
    </row>
    <row r="463" spans="1:72" x14ac:dyDescent="0.2">
      <c r="A463" s="1">
        <v>44579.977083333331</v>
      </c>
      <c r="B463" s="1">
        <v>44579.979166666664</v>
      </c>
      <c r="C463">
        <v>1</v>
      </c>
      <c r="D463">
        <v>0</v>
      </c>
      <c r="E463">
        <v>0</v>
      </c>
      <c r="F463">
        <v>0</v>
      </c>
      <c r="H463">
        <v>1</v>
      </c>
      <c r="I463">
        <v>0</v>
      </c>
      <c r="J463">
        <v>0</v>
      </c>
      <c r="K463">
        <v>0</v>
      </c>
      <c r="L463">
        <v>0</v>
      </c>
      <c r="P463">
        <v>1</v>
      </c>
      <c r="Q463">
        <v>0</v>
      </c>
      <c r="R463">
        <v>0</v>
      </c>
      <c r="S463">
        <v>0</v>
      </c>
      <c r="T463">
        <v>0</v>
      </c>
      <c r="U463">
        <v>0</v>
      </c>
      <c r="V463">
        <v>0</v>
      </c>
      <c r="W463">
        <v>0</v>
      </c>
      <c r="X463">
        <v>0</v>
      </c>
      <c r="Y463">
        <v>0</v>
      </c>
      <c r="Z463">
        <v>0</v>
      </c>
      <c r="AA463">
        <v>0</v>
      </c>
      <c r="AC463">
        <v>0</v>
      </c>
      <c r="AD463">
        <v>1</v>
      </c>
      <c r="AE463">
        <v>0</v>
      </c>
      <c r="AF463">
        <v>0</v>
      </c>
      <c r="AG463">
        <v>0</v>
      </c>
      <c r="AH463">
        <v>0</v>
      </c>
      <c r="AI463">
        <v>0</v>
      </c>
      <c r="AJ463">
        <v>0</v>
      </c>
      <c r="AK463">
        <v>0</v>
      </c>
      <c r="AZ463" t="s">
        <v>96</v>
      </c>
      <c r="BA463" t="s">
        <v>86</v>
      </c>
      <c r="BB463" t="s">
        <v>86</v>
      </c>
      <c r="BC463" t="s">
        <v>86</v>
      </c>
      <c r="BD463" t="s">
        <v>86</v>
      </c>
      <c r="BE463" t="s">
        <v>74</v>
      </c>
      <c r="BF463" t="s">
        <v>97</v>
      </c>
      <c r="BG463" t="s">
        <v>92</v>
      </c>
      <c r="BH463" t="s">
        <v>158</v>
      </c>
      <c r="BI463" t="s">
        <v>96</v>
      </c>
      <c r="BK463">
        <v>0</v>
      </c>
      <c r="BL463">
        <v>0</v>
      </c>
      <c r="BM463">
        <v>0</v>
      </c>
      <c r="BN463">
        <v>0</v>
      </c>
      <c r="BO463">
        <v>0</v>
      </c>
      <c r="BP463">
        <v>1</v>
      </c>
      <c r="BQ463">
        <v>0</v>
      </c>
      <c r="BR463">
        <v>0</v>
      </c>
      <c r="BT463" t="s">
        <v>109</v>
      </c>
    </row>
    <row r="464" spans="1:72" x14ac:dyDescent="0.2">
      <c r="A464" s="1">
        <v>44579.879166666666</v>
      </c>
      <c r="B464" s="1">
        <v>44579.880555555559</v>
      </c>
      <c r="C464">
        <v>1</v>
      </c>
      <c r="D464">
        <v>0</v>
      </c>
      <c r="E464">
        <v>0</v>
      </c>
      <c r="F464">
        <v>0</v>
      </c>
      <c r="H464">
        <v>1</v>
      </c>
      <c r="I464">
        <v>0</v>
      </c>
      <c r="J464">
        <v>0</v>
      </c>
      <c r="K464">
        <v>0</v>
      </c>
      <c r="L464">
        <v>0</v>
      </c>
      <c r="P464">
        <v>1</v>
      </c>
      <c r="Q464">
        <v>0</v>
      </c>
      <c r="R464">
        <v>0</v>
      </c>
      <c r="S464">
        <v>0</v>
      </c>
      <c r="T464">
        <v>0</v>
      </c>
      <c r="U464">
        <v>0</v>
      </c>
      <c r="V464">
        <v>0</v>
      </c>
      <c r="W464">
        <v>0</v>
      </c>
      <c r="X464">
        <v>0</v>
      </c>
      <c r="Y464">
        <v>0</v>
      </c>
      <c r="Z464">
        <v>0</v>
      </c>
      <c r="AA464">
        <v>0</v>
      </c>
      <c r="AC464">
        <v>0</v>
      </c>
      <c r="AD464">
        <v>0</v>
      </c>
      <c r="AE464">
        <v>0</v>
      </c>
      <c r="AF464">
        <v>0</v>
      </c>
      <c r="AG464">
        <v>0</v>
      </c>
      <c r="AH464">
        <v>0</v>
      </c>
      <c r="AI464">
        <v>0</v>
      </c>
      <c r="AJ464">
        <v>0</v>
      </c>
      <c r="AK464">
        <v>1</v>
      </c>
      <c r="AL464" t="s">
        <v>286</v>
      </c>
      <c r="AZ464" t="s">
        <v>120</v>
      </c>
      <c r="BA464" t="s">
        <v>87</v>
      </c>
      <c r="BB464" t="s">
        <v>87</v>
      </c>
      <c r="BC464" t="s">
        <v>87</v>
      </c>
      <c r="BD464" t="s">
        <v>87</v>
      </c>
      <c r="BE464" t="s">
        <v>87</v>
      </c>
      <c r="BF464" t="s">
        <v>101</v>
      </c>
      <c r="BG464" t="s">
        <v>92</v>
      </c>
      <c r="BH464" t="s">
        <v>77</v>
      </c>
      <c r="BI464" t="s">
        <v>120</v>
      </c>
      <c r="BJ464" t="s">
        <v>78</v>
      </c>
      <c r="BK464">
        <v>0</v>
      </c>
      <c r="BL464">
        <v>0</v>
      </c>
      <c r="BM464">
        <v>0</v>
      </c>
      <c r="BN464">
        <v>0</v>
      </c>
      <c r="BO464">
        <v>0</v>
      </c>
      <c r="BP464">
        <v>1</v>
      </c>
      <c r="BQ464">
        <v>0</v>
      </c>
      <c r="BR464">
        <v>0</v>
      </c>
    </row>
    <row r="465" spans="1:70" x14ac:dyDescent="0.2">
      <c r="A465" s="1">
        <v>44589.068749999999</v>
      </c>
      <c r="B465" s="1">
        <v>44589.070833333331</v>
      </c>
      <c r="C465">
        <v>0</v>
      </c>
      <c r="D465">
        <v>1</v>
      </c>
      <c r="E465">
        <v>0</v>
      </c>
      <c r="F465">
        <v>0</v>
      </c>
      <c r="H465">
        <v>1</v>
      </c>
      <c r="I465">
        <v>0</v>
      </c>
      <c r="J465">
        <v>0</v>
      </c>
      <c r="K465">
        <v>0</v>
      </c>
      <c r="L465">
        <v>0</v>
      </c>
      <c r="P465">
        <v>1</v>
      </c>
      <c r="Q465">
        <v>0</v>
      </c>
      <c r="R465">
        <v>0</v>
      </c>
      <c r="S465">
        <v>0</v>
      </c>
      <c r="T465">
        <v>0</v>
      </c>
      <c r="U465">
        <v>0</v>
      </c>
      <c r="V465">
        <v>0</v>
      </c>
      <c r="W465">
        <v>0</v>
      </c>
      <c r="X465">
        <v>0</v>
      </c>
      <c r="Y465">
        <v>0</v>
      </c>
      <c r="Z465">
        <v>0</v>
      </c>
      <c r="AA465">
        <v>0</v>
      </c>
      <c r="AC465">
        <v>1</v>
      </c>
      <c r="AD465">
        <v>0</v>
      </c>
      <c r="AE465">
        <v>0</v>
      </c>
      <c r="AF465">
        <v>0</v>
      </c>
      <c r="AG465">
        <v>0</v>
      </c>
      <c r="AH465">
        <v>0</v>
      </c>
      <c r="AI465">
        <v>0</v>
      </c>
      <c r="AJ465">
        <v>0</v>
      </c>
      <c r="AK465">
        <v>0</v>
      </c>
      <c r="AZ465" t="s">
        <v>107</v>
      </c>
      <c r="BA465" t="s">
        <v>86</v>
      </c>
      <c r="BB465" t="s">
        <v>87</v>
      </c>
      <c r="BC465" t="s">
        <v>87</v>
      </c>
      <c r="BD465" t="s">
        <v>87</v>
      </c>
      <c r="BE465" t="s">
        <v>86</v>
      </c>
      <c r="BF465" t="s">
        <v>97</v>
      </c>
      <c r="BG465" t="s">
        <v>92</v>
      </c>
      <c r="BH465" t="s">
        <v>158</v>
      </c>
      <c r="BI465" t="s">
        <v>107</v>
      </c>
      <c r="BJ465" t="s">
        <v>78</v>
      </c>
      <c r="BK465">
        <v>0</v>
      </c>
      <c r="BL465">
        <v>0</v>
      </c>
      <c r="BM465">
        <v>0</v>
      </c>
      <c r="BN465">
        <v>0</v>
      </c>
      <c r="BO465">
        <v>0</v>
      </c>
      <c r="BP465">
        <v>1</v>
      </c>
      <c r="BQ465">
        <v>0</v>
      </c>
      <c r="BR465">
        <v>0</v>
      </c>
    </row>
    <row r="466" spans="1:70" x14ac:dyDescent="0.2">
      <c r="A466" s="1">
        <v>44580.068749999999</v>
      </c>
      <c r="B466" s="1">
        <v>44580.071527777778</v>
      </c>
      <c r="C466">
        <v>0</v>
      </c>
      <c r="D466">
        <v>1</v>
      </c>
      <c r="E466">
        <v>0</v>
      </c>
      <c r="F466">
        <v>0</v>
      </c>
      <c r="H466">
        <v>0</v>
      </c>
      <c r="I466">
        <v>1</v>
      </c>
      <c r="J466">
        <v>0</v>
      </c>
      <c r="K466">
        <v>0</v>
      </c>
      <c r="L466">
        <v>0</v>
      </c>
      <c r="N466" t="s">
        <v>88</v>
      </c>
      <c r="O466" t="s">
        <v>80</v>
      </c>
      <c r="P466">
        <v>0</v>
      </c>
      <c r="Q466">
        <v>1</v>
      </c>
      <c r="R466">
        <v>0</v>
      </c>
      <c r="S466">
        <v>0</v>
      </c>
      <c r="T466">
        <v>0</v>
      </c>
      <c r="U466">
        <v>0</v>
      </c>
      <c r="V466">
        <v>0</v>
      </c>
      <c r="W466">
        <v>0</v>
      </c>
      <c r="X466">
        <v>0</v>
      </c>
      <c r="Y466">
        <v>0</v>
      </c>
      <c r="Z466">
        <v>0</v>
      </c>
      <c r="AA466">
        <v>0</v>
      </c>
      <c r="AM466" t="s">
        <v>83</v>
      </c>
      <c r="AN466" t="s">
        <v>82</v>
      </c>
      <c r="AO466" t="s">
        <v>90</v>
      </c>
      <c r="AP466" t="s">
        <v>83</v>
      </c>
      <c r="AQ466" t="s">
        <v>81</v>
      </c>
      <c r="AR466" t="s">
        <v>83</v>
      </c>
      <c r="AS466" t="s">
        <v>83</v>
      </c>
      <c r="AT466" t="s">
        <v>90</v>
      </c>
      <c r="AU466" t="s">
        <v>135</v>
      </c>
      <c r="AV466" t="s">
        <v>80</v>
      </c>
      <c r="AW466" t="s">
        <v>85</v>
      </c>
      <c r="AZ466" t="s">
        <v>73</v>
      </c>
      <c r="BA466" t="s">
        <v>87</v>
      </c>
      <c r="BB466" t="s">
        <v>87</v>
      </c>
      <c r="BC466" t="s">
        <v>87</v>
      </c>
      <c r="BD466" t="s">
        <v>86</v>
      </c>
      <c r="BE466" t="s">
        <v>87</v>
      </c>
      <c r="BF466" t="s">
        <v>97</v>
      </c>
      <c r="BG466" t="s">
        <v>92</v>
      </c>
      <c r="BH466" t="s">
        <v>98</v>
      </c>
      <c r="BI466" t="s">
        <v>73</v>
      </c>
      <c r="BJ466" t="s">
        <v>78</v>
      </c>
      <c r="BK466">
        <v>0</v>
      </c>
      <c r="BL466">
        <v>0</v>
      </c>
      <c r="BM466">
        <v>0</v>
      </c>
      <c r="BN466">
        <v>0</v>
      </c>
      <c r="BO466">
        <v>1</v>
      </c>
      <c r="BP466">
        <v>0</v>
      </c>
      <c r="BQ466">
        <v>0</v>
      </c>
      <c r="BR466">
        <v>0</v>
      </c>
    </row>
    <row r="467" spans="1:70" x14ac:dyDescent="0.2">
      <c r="A467" s="1">
        <v>44579.743055555555</v>
      </c>
      <c r="B467" s="1">
        <v>44579.745833333334</v>
      </c>
      <c r="C467">
        <v>0</v>
      </c>
      <c r="D467">
        <v>1</v>
      </c>
      <c r="E467">
        <v>0</v>
      </c>
      <c r="F467">
        <v>0</v>
      </c>
      <c r="H467">
        <v>1</v>
      </c>
      <c r="I467">
        <v>0</v>
      </c>
      <c r="J467">
        <v>0</v>
      </c>
      <c r="K467">
        <v>0</v>
      </c>
      <c r="L467">
        <v>0</v>
      </c>
      <c r="P467">
        <v>1</v>
      </c>
      <c r="Q467">
        <v>0</v>
      </c>
      <c r="R467">
        <v>0</v>
      </c>
      <c r="S467">
        <v>0</v>
      </c>
      <c r="T467">
        <v>0</v>
      </c>
      <c r="U467">
        <v>0</v>
      </c>
      <c r="V467">
        <v>0</v>
      </c>
      <c r="W467">
        <v>0</v>
      </c>
      <c r="X467">
        <v>0</v>
      </c>
      <c r="Y467">
        <v>0</v>
      </c>
      <c r="Z467">
        <v>0</v>
      </c>
      <c r="AA467">
        <v>0</v>
      </c>
      <c r="AC467">
        <v>0</v>
      </c>
      <c r="AD467">
        <v>0</v>
      </c>
      <c r="AE467">
        <v>1</v>
      </c>
      <c r="AF467">
        <v>0</v>
      </c>
      <c r="AG467">
        <v>0</v>
      </c>
      <c r="AH467">
        <v>0</v>
      </c>
      <c r="AI467">
        <v>0</v>
      </c>
      <c r="AJ467">
        <v>0</v>
      </c>
      <c r="AK467">
        <v>0</v>
      </c>
      <c r="AZ467" t="s">
        <v>96</v>
      </c>
      <c r="BA467" t="s">
        <v>86</v>
      </c>
      <c r="BB467" t="s">
        <v>87</v>
      </c>
      <c r="BC467" t="s">
        <v>87</v>
      </c>
      <c r="BD467" t="s">
        <v>87</v>
      </c>
      <c r="BE467" t="s">
        <v>74</v>
      </c>
      <c r="BF467" t="s">
        <v>97</v>
      </c>
      <c r="BG467" t="s">
        <v>92</v>
      </c>
      <c r="BH467" t="s">
        <v>98</v>
      </c>
      <c r="BI467" t="s">
        <v>96</v>
      </c>
      <c r="BJ467" t="s">
        <v>78</v>
      </c>
      <c r="BK467">
        <v>0</v>
      </c>
      <c r="BL467">
        <v>0</v>
      </c>
      <c r="BM467">
        <v>0</v>
      </c>
      <c r="BN467">
        <v>0</v>
      </c>
      <c r="BO467">
        <v>0</v>
      </c>
      <c r="BP467">
        <v>1</v>
      </c>
      <c r="BQ467">
        <v>0</v>
      </c>
      <c r="BR467">
        <v>0</v>
      </c>
    </row>
    <row r="468" spans="1:70" x14ac:dyDescent="0.2">
      <c r="A468" s="1">
        <v>44579.888888888891</v>
      </c>
      <c r="B468" s="1">
        <v>44579.890972222223</v>
      </c>
      <c r="C468">
        <v>1</v>
      </c>
      <c r="D468">
        <v>0</v>
      </c>
      <c r="E468">
        <v>0</v>
      </c>
      <c r="F468">
        <v>0</v>
      </c>
      <c r="H468">
        <v>1</v>
      </c>
      <c r="I468">
        <v>0</v>
      </c>
      <c r="J468">
        <v>0</v>
      </c>
      <c r="K468">
        <v>0</v>
      </c>
      <c r="L468">
        <v>0</v>
      </c>
      <c r="P468">
        <v>1</v>
      </c>
      <c r="Q468">
        <v>0</v>
      </c>
      <c r="R468">
        <v>0</v>
      </c>
      <c r="S468">
        <v>0</v>
      </c>
      <c r="T468">
        <v>0</v>
      </c>
      <c r="U468">
        <v>0</v>
      </c>
      <c r="V468">
        <v>0</v>
      </c>
      <c r="W468">
        <v>0</v>
      </c>
      <c r="X468">
        <v>0</v>
      </c>
      <c r="Y468">
        <v>0</v>
      </c>
      <c r="Z468">
        <v>0</v>
      </c>
      <c r="AA468">
        <v>0</v>
      </c>
      <c r="AC468">
        <v>0</v>
      </c>
      <c r="AD468">
        <v>0</v>
      </c>
      <c r="AE468">
        <v>0</v>
      </c>
      <c r="AF468">
        <v>0</v>
      </c>
      <c r="AG468">
        <v>0</v>
      </c>
      <c r="AH468">
        <v>0</v>
      </c>
      <c r="AI468">
        <v>1</v>
      </c>
      <c r="AJ468">
        <v>0</v>
      </c>
      <c r="AK468">
        <v>0</v>
      </c>
      <c r="AX468" t="s">
        <v>146</v>
      </c>
      <c r="AZ468" t="s">
        <v>107</v>
      </c>
      <c r="BA468" t="s">
        <v>87</v>
      </c>
      <c r="BB468" t="s">
        <v>74</v>
      </c>
      <c r="BC468" t="s">
        <v>74</v>
      </c>
      <c r="BD468" t="s">
        <v>74</v>
      </c>
      <c r="BE468" t="s">
        <v>74</v>
      </c>
      <c r="BF468" t="s">
        <v>75</v>
      </c>
      <c r="BG468" t="s">
        <v>92</v>
      </c>
      <c r="BH468" t="s">
        <v>98</v>
      </c>
      <c r="BI468" t="s">
        <v>107</v>
      </c>
      <c r="BJ468" t="s">
        <v>147</v>
      </c>
      <c r="BK468">
        <v>0</v>
      </c>
      <c r="BL468">
        <v>0</v>
      </c>
      <c r="BM468">
        <v>0</v>
      </c>
      <c r="BN468">
        <v>0</v>
      </c>
      <c r="BO468">
        <v>0</v>
      </c>
      <c r="BP468">
        <v>1</v>
      </c>
      <c r="BQ468">
        <v>0</v>
      </c>
      <c r="BR468">
        <v>0</v>
      </c>
    </row>
    <row r="469" spans="1:70" x14ac:dyDescent="0.2">
      <c r="A469" s="1">
        <v>44579.876388888886</v>
      </c>
      <c r="B469" s="1">
        <v>44579.87777777778</v>
      </c>
      <c r="C469">
        <v>0</v>
      </c>
      <c r="D469">
        <v>1</v>
      </c>
      <c r="E469">
        <v>0</v>
      </c>
      <c r="F469">
        <v>0</v>
      </c>
      <c r="H469">
        <v>1</v>
      </c>
      <c r="I469">
        <v>0</v>
      </c>
      <c r="J469">
        <v>0</v>
      </c>
      <c r="K469">
        <v>0</v>
      </c>
      <c r="L469">
        <v>0</v>
      </c>
      <c r="P469">
        <v>1</v>
      </c>
      <c r="Q469">
        <v>0</v>
      </c>
      <c r="R469">
        <v>0</v>
      </c>
      <c r="S469">
        <v>0</v>
      </c>
      <c r="T469">
        <v>0</v>
      </c>
      <c r="U469">
        <v>0</v>
      </c>
      <c r="V469">
        <v>0</v>
      </c>
      <c r="W469">
        <v>0</v>
      </c>
      <c r="X469">
        <v>0</v>
      </c>
      <c r="Y469">
        <v>0</v>
      </c>
      <c r="Z469">
        <v>0</v>
      </c>
      <c r="AA469">
        <v>0</v>
      </c>
      <c r="AC469">
        <v>0</v>
      </c>
      <c r="AD469">
        <v>0</v>
      </c>
      <c r="AE469">
        <v>0</v>
      </c>
      <c r="AF469">
        <v>0</v>
      </c>
      <c r="AG469">
        <v>0</v>
      </c>
      <c r="AH469">
        <v>0</v>
      </c>
      <c r="AI469">
        <v>0</v>
      </c>
      <c r="AJ469">
        <v>1</v>
      </c>
      <c r="AK469">
        <v>0</v>
      </c>
      <c r="AX469" t="s">
        <v>146</v>
      </c>
      <c r="AZ469" t="s">
        <v>73</v>
      </c>
      <c r="BA469" t="s">
        <v>87</v>
      </c>
      <c r="BB469" t="s">
        <v>87</v>
      </c>
      <c r="BC469" t="s">
        <v>86</v>
      </c>
      <c r="BD469" t="s">
        <v>87</v>
      </c>
      <c r="BE469" t="s">
        <v>87</v>
      </c>
      <c r="BF469" t="s">
        <v>75</v>
      </c>
      <c r="BG469" t="s">
        <v>92</v>
      </c>
      <c r="BH469" t="s">
        <v>93</v>
      </c>
      <c r="BI469" t="s">
        <v>73</v>
      </c>
      <c r="BJ469" t="s">
        <v>78</v>
      </c>
      <c r="BK469">
        <v>0</v>
      </c>
      <c r="BL469">
        <v>0</v>
      </c>
      <c r="BM469">
        <v>0</v>
      </c>
      <c r="BN469">
        <v>0</v>
      </c>
      <c r="BO469">
        <v>0</v>
      </c>
      <c r="BP469">
        <v>1</v>
      </c>
      <c r="BQ469">
        <v>0</v>
      </c>
      <c r="BR469">
        <v>0</v>
      </c>
    </row>
    <row r="470" spans="1:70" x14ac:dyDescent="0.2">
      <c r="A470" s="1">
        <v>44585.754166666666</v>
      </c>
      <c r="B470" s="1">
        <v>44585.756944444445</v>
      </c>
      <c r="C470">
        <v>1</v>
      </c>
      <c r="D470">
        <v>0</v>
      </c>
      <c r="E470">
        <v>0</v>
      </c>
      <c r="F470">
        <v>0</v>
      </c>
      <c r="H470">
        <v>0</v>
      </c>
      <c r="I470">
        <v>1</v>
      </c>
      <c r="J470">
        <v>0</v>
      </c>
      <c r="K470">
        <v>1</v>
      </c>
      <c r="L470">
        <v>0</v>
      </c>
      <c r="N470" t="s">
        <v>79</v>
      </c>
      <c r="O470" t="s">
        <v>80</v>
      </c>
      <c r="P470">
        <v>0</v>
      </c>
      <c r="Q470">
        <v>1</v>
      </c>
      <c r="R470">
        <v>1</v>
      </c>
      <c r="S470">
        <v>1</v>
      </c>
      <c r="T470">
        <v>0</v>
      </c>
      <c r="U470">
        <v>0</v>
      </c>
      <c r="V470">
        <v>0</v>
      </c>
      <c r="W470">
        <v>0</v>
      </c>
      <c r="X470">
        <v>0</v>
      </c>
      <c r="Y470">
        <v>0</v>
      </c>
      <c r="Z470">
        <v>0</v>
      </c>
      <c r="AA470">
        <v>0</v>
      </c>
      <c r="AM470" t="s">
        <v>83</v>
      </c>
      <c r="AN470" t="s">
        <v>82</v>
      </c>
      <c r="AO470" t="s">
        <v>82</v>
      </c>
      <c r="AP470" t="s">
        <v>83</v>
      </c>
      <c r="AQ470" t="s">
        <v>81</v>
      </c>
      <c r="AR470" t="s">
        <v>83</v>
      </c>
      <c r="AS470" t="s">
        <v>81</v>
      </c>
      <c r="AT470" t="s">
        <v>83</v>
      </c>
      <c r="AU470" t="s">
        <v>88</v>
      </c>
      <c r="AV470" t="s">
        <v>89</v>
      </c>
      <c r="AW470" t="s">
        <v>100</v>
      </c>
      <c r="AX470" t="s">
        <v>242</v>
      </c>
      <c r="AZ470" t="s">
        <v>73</v>
      </c>
      <c r="BA470" t="s">
        <v>87</v>
      </c>
      <c r="BB470" t="s">
        <v>87</v>
      </c>
      <c r="BC470" t="s">
        <v>87</v>
      </c>
      <c r="BD470" t="s">
        <v>87</v>
      </c>
      <c r="BE470" t="s">
        <v>87</v>
      </c>
      <c r="BF470" t="s">
        <v>75</v>
      </c>
      <c r="BG470" t="s">
        <v>92</v>
      </c>
      <c r="BH470" t="s">
        <v>77</v>
      </c>
      <c r="BI470" t="s">
        <v>73</v>
      </c>
      <c r="BJ470" t="s">
        <v>78</v>
      </c>
      <c r="BK470">
        <v>0</v>
      </c>
      <c r="BL470">
        <v>0</v>
      </c>
      <c r="BM470">
        <v>0</v>
      </c>
      <c r="BN470">
        <v>0</v>
      </c>
      <c r="BO470">
        <v>0</v>
      </c>
      <c r="BP470">
        <v>1</v>
      </c>
      <c r="BQ470">
        <v>0</v>
      </c>
      <c r="BR470">
        <v>0</v>
      </c>
    </row>
    <row r="471" spans="1:70" x14ac:dyDescent="0.2">
      <c r="A471" s="1">
        <v>44579.877083333333</v>
      </c>
      <c r="B471" s="1">
        <v>44579.879861111112</v>
      </c>
      <c r="C471">
        <v>0</v>
      </c>
      <c r="D471">
        <v>1</v>
      </c>
      <c r="E471">
        <v>0</v>
      </c>
      <c r="F471">
        <v>0</v>
      </c>
      <c r="H471">
        <v>0</v>
      </c>
      <c r="I471">
        <v>0</v>
      </c>
      <c r="J471">
        <v>1</v>
      </c>
      <c r="K471">
        <v>0</v>
      </c>
      <c r="L471">
        <v>0</v>
      </c>
      <c r="N471" t="s">
        <v>135</v>
      </c>
      <c r="O471" t="s">
        <v>80</v>
      </c>
      <c r="P471">
        <v>0</v>
      </c>
      <c r="Q471">
        <v>0</v>
      </c>
      <c r="R471">
        <v>0</v>
      </c>
      <c r="S471">
        <v>0</v>
      </c>
      <c r="T471">
        <v>1</v>
      </c>
      <c r="U471">
        <v>0</v>
      </c>
      <c r="V471">
        <v>0</v>
      </c>
      <c r="W471">
        <v>0</v>
      </c>
      <c r="X471">
        <v>0</v>
      </c>
      <c r="Y471">
        <v>0</v>
      </c>
      <c r="Z471">
        <v>0</v>
      </c>
      <c r="AA471">
        <v>0</v>
      </c>
      <c r="AM471" t="s">
        <v>83</v>
      </c>
      <c r="AN471" t="s">
        <v>81</v>
      </c>
      <c r="AO471" t="s">
        <v>83</v>
      </c>
      <c r="AP471" t="s">
        <v>81</v>
      </c>
      <c r="AQ471" t="s">
        <v>82</v>
      </c>
      <c r="AR471" t="s">
        <v>83</v>
      </c>
      <c r="AS471" t="s">
        <v>83</v>
      </c>
      <c r="AT471" t="s">
        <v>83</v>
      </c>
      <c r="AU471" t="s">
        <v>88</v>
      </c>
      <c r="AV471" t="s">
        <v>89</v>
      </c>
      <c r="AW471" t="s">
        <v>85</v>
      </c>
      <c r="AZ471" t="s">
        <v>73</v>
      </c>
      <c r="BA471" t="s">
        <v>87</v>
      </c>
      <c r="BB471" t="s">
        <v>87</v>
      </c>
      <c r="BC471" t="s">
        <v>87</v>
      </c>
      <c r="BD471" t="s">
        <v>87</v>
      </c>
      <c r="BE471" t="s">
        <v>87</v>
      </c>
      <c r="BF471" t="s">
        <v>97</v>
      </c>
      <c r="BG471" t="s">
        <v>92</v>
      </c>
      <c r="BH471" t="s">
        <v>158</v>
      </c>
      <c r="BI471" t="s">
        <v>73</v>
      </c>
      <c r="BK471">
        <v>0</v>
      </c>
      <c r="BL471">
        <v>0</v>
      </c>
      <c r="BM471">
        <v>0</v>
      </c>
      <c r="BN471">
        <v>0</v>
      </c>
      <c r="BO471">
        <v>0</v>
      </c>
      <c r="BP471">
        <v>1</v>
      </c>
      <c r="BQ471">
        <v>0</v>
      </c>
      <c r="BR471">
        <v>0</v>
      </c>
    </row>
    <row r="472" spans="1:70" x14ac:dyDescent="0.2">
      <c r="A472" s="1">
        <v>44580.049305555556</v>
      </c>
      <c r="B472" s="1">
        <v>44580.051388888889</v>
      </c>
      <c r="C472">
        <v>1</v>
      </c>
      <c r="D472">
        <v>0</v>
      </c>
      <c r="E472">
        <v>0</v>
      </c>
      <c r="F472">
        <v>0</v>
      </c>
      <c r="H472">
        <v>0</v>
      </c>
      <c r="I472">
        <v>1</v>
      </c>
      <c r="J472">
        <v>0</v>
      </c>
      <c r="K472">
        <v>0</v>
      </c>
      <c r="L472">
        <v>0</v>
      </c>
      <c r="N472" t="s">
        <v>88</v>
      </c>
      <c r="O472" t="s">
        <v>89</v>
      </c>
      <c r="P472">
        <v>1</v>
      </c>
      <c r="Q472">
        <v>0</v>
      </c>
      <c r="R472">
        <v>0</v>
      </c>
      <c r="S472">
        <v>0</v>
      </c>
      <c r="T472">
        <v>0</v>
      </c>
      <c r="U472">
        <v>0</v>
      </c>
      <c r="V472">
        <v>0</v>
      </c>
      <c r="W472">
        <v>0</v>
      </c>
      <c r="X472">
        <v>0</v>
      </c>
      <c r="Y472">
        <v>0</v>
      </c>
      <c r="Z472">
        <v>0</v>
      </c>
      <c r="AA472">
        <v>0</v>
      </c>
      <c r="AC472">
        <v>0</v>
      </c>
      <c r="AD472">
        <v>0</v>
      </c>
      <c r="AE472">
        <v>0</v>
      </c>
      <c r="AF472">
        <v>0</v>
      </c>
      <c r="AG472">
        <v>0</v>
      </c>
      <c r="AH472">
        <v>0</v>
      </c>
      <c r="AI472">
        <v>0</v>
      </c>
      <c r="AJ472">
        <v>0</v>
      </c>
      <c r="AK472">
        <v>1</v>
      </c>
      <c r="AL472" t="s">
        <v>287</v>
      </c>
      <c r="AZ472" t="s">
        <v>73</v>
      </c>
      <c r="BA472" t="s">
        <v>87</v>
      </c>
      <c r="BB472" t="s">
        <v>74</v>
      </c>
      <c r="BC472" t="s">
        <v>87</v>
      </c>
      <c r="BD472" t="s">
        <v>74</v>
      </c>
      <c r="BE472" t="s">
        <v>86</v>
      </c>
      <c r="BF472" t="s">
        <v>97</v>
      </c>
      <c r="BG472" t="s">
        <v>92</v>
      </c>
      <c r="BH472" t="s">
        <v>158</v>
      </c>
      <c r="BI472" t="s">
        <v>73</v>
      </c>
      <c r="BJ472" t="s">
        <v>94</v>
      </c>
      <c r="BK472">
        <v>0</v>
      </c>
      <c r="BL472">
        <v>0</v>
      </c>
      <c r="BM472">
        <v>0</v>
      </c>
      <c r="BN472">
        <v>0</v>
      </c>
      <c r="BO472">
        <v>0</v>
      </c>
      <c r="BP472">
        <v>1</v>
      </c>
      <c r="BQ472">
        <v>0</v>
      </c>
      <c r="BR472">
        <v>0</v>
      </c>
    </row>
    <row r="473" spans="1:70" x14ac:dyDescent="0.2">
      <c r="A473" s="1">
        <v>44579.919444444444</v>
      </c>
      <c r="B473" s="1">
        <v>44579.92083333333</v>
      </c>
      <c r="C473">
        <v>1</v>
      </c>
      <c r="D473">
        <v>0</v>
      </c>
      <c r="E473">
        <v>0</v>
      </c>
      <c r="F473">
        <v>0</v>
      </c>
      <c r="H473">
        <v>1</v>
      </c>
      <c r="I473">
        <v>0</v>
      </c>
      <c r="J473">
        <v>0</v>
      </c>
      <c r="K473">
        <v>0</v>
      </c>
      <c r="L473">
        <v>0</v>
      </c>
      <c r="P473">
        <v>1</v>
      </c>
      <c r="Q473">
        <v>0</v>
      </c>
      <c r="R473">
        <v>0</v>
      </c>
      <c r="S473">
        <v>0</v>
      </c>
      <c r="T473">
        <v>0</v>
      </c>
      <c r="U473">
        <v>0</v>
      </c>
      <c r="V473">
        <v>0</v>
      </c>
      <c r="W473">
        <v>0</v>
      </c>
      <c r="X473">
        <v>0</v>
      </c>
      <c r="Y473">
        <v>0</v>
      </c>
      <c r="Z473">
        <v>0</v>
      </c>
      <c r="AA473">
        <v>0</v>
      </c>
      <c r="AC473">
        <v>0</v>
      </c>
      <c r="AD473">
        <v>0</v>
      </c>
      <c r="AE473">
        <v>1</v>
      </c>
      <c r="AF473">
        <v>0</v>
      </c>
      <c r="AG473">
        <v>0</v>
      </c>
      <c r="AH473">
        <v>0</v>
      </c>
      <c r="AI473">
        <v>0</v>
      </c>
      <c r="AJ473">
        <v>0</v>
      </c>
      <c r="AK473">
        <v>0</v>
      </c>
      <c r="AZ473" t="s">
        <v>107</v>
      </c>
      <c r="BA473" t="s">
        <v>87</v>
      </c>
      <c r="BB473" t="s">
        <v>87</v>
      </c>
      <c r="BC473" t="s">
        <v>87</v>
      </c>
      <c r="BD473" t="s">
        <v>87</v>
      </c>
      <c r="BE473" t="s">
        <v>87</v>
      </c>
      <c r="BF473" t="s">
        <v>97</v>
      </c>
      <c r="BG473" t="s">
        <v>92</v>
      </c>
      <c r="BH473" t="s">
        <v>158</v>
      </c>
      <c r="BI473" t="s">
        <v>107</v>
      </c>
      <c r="BJ473" t="s">
        <v>78</v>
      </c>
      <c r="BK473">
        <v>0</v>
      </c>
      <c r="BL473">
        <v>0</v>
      </c>
      <c r="BM473">
        <v>0</v>
      </c>
      <c r="BN473">
        <v>0</v>
      </c>
      <c r="BO473">
        <v>0</v>
      </c>
      <c r="BP473">
        <v>1</v>
      </c>
      <c r="BQ473">
        <v>0</v>
      </c>
      <c r="BR473">
        <v>0</v>
      </c>
    </row>
    <row r="474" spans="1:70" x14ac:dyDescent="0.2">
      <c r="A474" s="1">
        <v>44589.84097222222</v>
      </c>
      <c r="B474" s="1">
        <v>44589.842361111114</v>
      </c>
      <c r="C474">
        <v>0</v>
      </c>
      <c r="D474">
        <v>1</v>
      </c>
      <c r="E474">
        <v>0</v>
      </c>
      <c r="F474">
        <v>0</v>
      </c>
      <c r="H474">
        <v>1</v>
      </c>
      <c r="I474">
        <v>0</v>
      </c>
      <c r="J474">
        <v>0</v>
      </c>
      <c r="K474">
        <v>0</v>
      </c>
      <c r="L474">
        <v>0</v>
      </c>
      <c r="P474">
        <v>1</v>
      </c>
      <c r="Q474">
        <v>0</v>
      </c>
      <c r="R474">
        <v>0</v>
      </c>
      <c r="S474">
        <v>0</v>
      </c>
      <c r="T474">
        <v>0</v>
      </c>
      <c r="U474">
        <v>0</v>
      </c>
      <c r="V474">
        <v>0</v>
      </c>
      <c r="W474">
        <v>0</v>
      </c>
      <c r="X474">
        <v>0</v>
      </c>
      <c r="Y474">
        <v>0</v>
      </c>
      <c r="Z474">
        <v>0</v>
      </c>
      <c r="AA474">
        <v>0</v>
      </c>
      <c r="AC474">
        <v>0</v>
      </c>
      <c r="AD474">
        <v>1</v>
      </c>
      <c r="AE474">
        <v>0</v>
      </c>
      <c r="AF474">
        <v>0</v>
      </c>
      <c r="AG474">
        <v>0</v>
      </c>
      <c r="AH474">
        <v>0</v>
      </c>
      <c r="AI474">
        <v>0</v>
      </c>
      <c r="AJ474">
        <v>0</v>
      </c>
      <c r="AK474">
        <v>0</v>
      </c>
      <c r="AX474" t="s">
        <v>146</v>
      </c>
      <c r="AZ474" t="s">
        <v>107</v>
      </c>
      <c r="BA474" t="s">
        <v>74</v>
      </c>
      <c r="BF474" t="s">
        <v>75</v>
      </c>
      <c r="BG474" t="s">
        <v>92</v>
      </c>
      <c r="BH474" t="s">
        <v>98</v>
      </c>
      <c r="BI474" t="s">
        <v>107</v>
      </c>
      <c r="BJ474" t="s">
        <v>78</v>
      </c>
      <c r="BK474">
        <v>0</v>
      </c>
      <c r="BL474">
        <v>0</v>
      </c>
      <c r="BM474">
        <v>0</v>
      </c>
      <c r="BN474">
        <v>0</v>
      </c>
      <c r="BO474">
        <v>0</v>
      </c>
      <c r="BP474">
        <v>1</v>
      </c>
      <c r="BQ474">
        <v>0</v>
      </c>
      <c r="BR474">
        <v>0</v>
      </c>
    </row>
    <row r="475" spans="1:70" x14ac:dyDescent="0.2">
      <c r="A475" s="1">
        <v>44579.890972222223</v>
      </c>
      <c r="B475" s="1">
        <v>44579.894444444442</v>
      </c>
      <c r="C475">
        <v>1</v>
      </c>
      <c r="D475">
        <v>0</v>
      </c>
      <c r="E475">
        <v>0</v>
      </c>
      <c r="F475">
        <v>0</v>
      </c>
      <c r="H475">
        <v>0</v>
      </c>
      <c r="I475">
        <v>1</v>
      </c>
      <c r="J475">
        <v>0</v>
      </c>
      <c r="K475">
        <v>0</v>
      </c>
      <c r="L475">
        <v>1</v>
      </c>
      <c r="M475" t="s">
        <v>288</v>
      </c>
      <c r="N475" t="s">
        <v>88</v>
      </c>
      <c r="O475" t="s">
        <v>80</v>
      </c>
      <c r="P475">
        <v>0</v>
      </c>
      <c r="Q475">
        <v>0</v>
      </c>
      <c r="R475">
        <v>1</v>
      </c>
      <c r="S475">
        <v>0</v>
      </c>
      <c r="T475">
        <v>0</v>
      </c>
      <c r="U475">
        <v>0</v>
      </c>
      <c r="V475">
        <v>0</v>
      </c>
      <c r="W475">
        <v>0</v>
      </c>
      <c r="X475">
        <v>0</v>
      </c>
      <c r="Y475">
        <v>0</v>
      </c>
      <c r="Z475">
        <v>0</v>
      </c>
      <c r="AA475">
        <v>0</v>
      </c>
      <c r="AM475" t="s">
        <v>81</v>
      </c>
      <c r="AN475" t="s">
        <v>82</v>
      </c>
      <c r="AO475" t="s">
        <v>81</v>
      </c>
      <c r="AP475" t="s">
        <v>90</v>
      </c>
      <c r="AQ475" t="s">
        <v>83</v>
      </c>
      <c r="AR475" t="s">
        <v>81</v>
      </c>
      <c r="AS475" t="s">
        <v>81</v>
      </c>
      <c r="AT475" t="s">
        <v>83</v>
      </c>
      <c r="AU475" t="s">
        <v>88</v>
      </c>
      <c r="AV475" t="s">
        <v>89</v>
      </c>
      <c r="AW475" t="s">
        <v>85</v>
      </c>
      <c r="AZ475" t="s">
        <v>107</v>
      </c>
      <c r="BA475" t="s">
        <v>87</v>
      </c>
      <c r="BB475" t="s">
        <v>86</v>
      </c>
      <c r="BC475" t="s">
        <v>87</v>
      </c>
      <c r="BD475" t="s">
        <v>86</v>
      </c>
      <c r="BE475" t="s">
        <v>74</v>
      </c>
      <c r="BF475" t="s">
        <v>97</v>
      </c>
      <c r="BG475" t="s">
        <v>92</v>
      </c>
      <c r="BH475" t="s">
        <v>98</v>
      </c>
      <c r="BI475" t="s">
        <v>107</v>
      </c>
      <c r="BJ475" t="s">
        <v>78</v>
      </c>
      <c r="BK475">
        <v>0</v>
      </c>
      <c r="BL475">
        <v>0</v>
      </c>
      <c r="BM475">
        <v>0</v>
      </c>
      <c r="BN475">
        <v>0</v>
      </c>
      <c r="BO475">
        <v>0</v>
      </c>
      <c r="BP475">
        <v>1</v>
      </c>
      <c r="BQ475">
        <v>0</v>
      </c>
      <c r="BR475">
        <v>0</v>
      </c>
    </row>
    <row r="476" spans="1:70" x14ac:dyDescent="0.2">
      <c r="A476" s="1">
        <v>44579.982638888891</v>
      </c>
      <c r="B476" s="1">
        <v>44579.984722222223</v>
      </c>
      <c r="C476">
        <v>1</v>
      </c>
      <c r="D476">
        <v>0</v>
      </c>
      <c r="E476">
        <v>0</v>
      </c>
      <c r="F476">
        <v>0</v>
      </c>
      <c r="H476">
        <v>0</v>
      </c>
      <c r="I476">
        <v>1</v>
      </c>
      <c r="J476">
        <v>0</v>
      </c>
      <c r="K476">
        <v>0</v>
      </c>
      <c r="L476">
        <v>0</v>
      </c>
      <c r="N476" t="s">
        <v>79</v>
      </c>
      <c r="O476" t="s">
        <v>89</v>
      </c>
      <c r="P476">
        <v>0</v>
      </c>
      <c r="Q476">
        <v>1</v>
      </c>
      <c r="R476">
        <v>0</v>
      </c>
      <c r="S476">
        <v>0</v>
      </c>
      <c r="T476">
        <v>0</v>
      </c>
      <c r="U476">
        <v>0</v>
      </c>
      <c r="V476">
        <v>0</v>
      </c>
      <c r="W476">
        <v>0</v>
      </c>
      <c r="X476">
        <v>0</v>
      </c>
      <c r="Y476">
        <v>0</v>
      </c>
      <c r="Z476">
        <v>0</v>
      </c>
      <c r="AA476">
        <v>0</v>
      </c>
      <c r="AM476" t="s">
        <v>90</v>
      </c>
      <c r="AN476" t="s">
        <v>82</v>
      </c>
      <c r="AO476" t="s">
        <v>90</v>
      </c>
      <c r="AP476" t="s">
        <v>90</v>
      </c>
      <c r="AQ476" t="s">
        <v>90</v>
      </c>
      <c r="AR476" t="s">
        <v>90</v>
      </c>
      <c r="AS476" t="s">
        <v>90</v>
      </c>
      <c r="AT476" t="s">
        <v>90</v>
      </c>
      <c r="AU476" t="s">
        <v>88</v>
      </c>
      <c r="AV476" t="s">
        <v>89</v>
      </c>
      <c r="AW476" t="s">
        <v>100</v>
      </c>
      <c r="AZ476" t="s">
        <v>107</v>
      </c>
      <c r="BA476" t="s">
        <v>87</v>
      </c>
      <c r="BB476" t="s">
        <v>74</v>
      </c>
      <c r="BC476" t="s">
        <v>87</v>
      </c>
      <c r="BD476" t="s">
        <v>74</v>
      </c>
      <c r="BE476" t="s">
        <v>86</v>
      </c>
      <c r="BF476" t="s">
        <v>97</v>
      </c>
      <c r="BG476" t="s">
        <v>92</v>
      </c>
      <c r="BH476" t="s">
        <v>98</v>
      </c>
      <c r="BI476" t="s">
        <v>107</v>
      </c>
      <c r="BJ476" t="s">
        <v>114</v>
      </c>
      <c r="BK476">
        <v>0</v>
      </c>
      <c r="BL476">
        <v>0</v>
      </c>
      <c r="BM476">
        <v>0</v>
      </c>
      <c r="BN476">
        <v>0</v>
      </c>
      <c r="BO476">
        <v>0</v>
      </c>
      <c r="BP476">
        <v>1</v>
      </c>
      <c r="BQ476">
        <v>0</v>
      </c>
      <c r="BR476">
        <v>0</v>
      </c>
    </row>
    <row r="477" spans="1:70" x14ac:dyDescent="0.2">
      <c r="A477" s="1">
        <v>44580.918055555558</v>
      </c>
      <c r="B477" s="1">
        <v>44580.920138888891</v>
      </c>
      <c r="C477">
        <v>1</v>
      </c>
      <c r="D477">
        <v>0</v>
      </c>
      <c r="E477">
        <v>0</v>
      </c>
      <c r="F477">
        <v>0</v>
      </c>
      <c r="H477">
        <v>1</v>
      </c>
      <c r="I477">
        <v>0</v>
      </c>
      <c r="J477">
        <v>0</v>
      </c>
      <c r="K477">
        <v>0</v>
      </c>
      <c r="L477">
        <v>0</v>
      </c>
      <c r="P477">
        <v>0</v>
      </c>
      <c r="Q477">
        <v>0</v>
      </c>
      <c r="R477">
        <v>0</v>
      </c>
      <c r="S477">
        <v>0</v>
      </c>
      <c r="T477">
        <v>0</v>
      </c>
      <c r="U477">
        <v>0</v>
      </c>
      <c r="V477">
        <v>0</v>
      </c>
      <c r="W477">
        <v>0</v>
      </c>
      <c r="X477">
        <v>0</v>
      </c>
      <c r="Y477">
        <v>0</v>
      </c>
      <c r="Z477">
        <v>0</v>
      </c>
      <c r="AA477">
        <v>1</v>
      </c>
      <c r="AB477" t="s">
        <v>289</v>
      </c>
      <c r="AM477" t="s">
        <v>90</v>
      </c>
      <c r="AN477" t="s">
        <v>82</v>
      </c>
      <c r="AO477" t="s">
        <v>90</v>
      </c>
      <c r="AP477" t="s">
        <v>90</v>
      </c>
      <c r="AQ477" t="s">
        <v>90</v>
      </c>
      <c r="AR477" t="s">
        <v>90</v>
      </c>
      <c r="AS477" t="s">
        <v>90</v>
      </c>
      <c r="AT477" t="s">
        <v>83</v>
      </c>
      <c r="AU477" t="s">
        <v>88</v>
      </c>
      <c r="AV477" t="s">
        <v>89</v>
      </c>
      <c r="AW477" t="s">
        <v>100</v>
      </c>
      <c r="AZ477" t="s">
        <v>73</v>
      </c>
      <c r="BA477" t="s">
        <v>87</v>
      </c>
      <c r="BB477" t="s">
        <v>87</v>
      </c>
      <c r="BC477" t="s">
        <v>87</v>
      </c>
      <c r="BD477" t="s">
        <v>87</v>
      </c>
      <c r="BE477" t="s">
        <v>86</v>
      </c>
      <c r="BF477" t="s">
        <v>97</v>
      </c>
      <c r="BG477" t="s">
        <v>92</v>
      </c>
      <c r="BH477" t="s">
        <v>98</v>
      </c>
      <c r="BI477" t="s">
        <v>73</v>
      </c>
      <c r="BJ477" t="s">
        <v>78</v>
      </c>
      <c r="BK477">
        <v>0</v>
      </c>
      <c r="BL477">
        <v>0</v>
      </c>
      <c r="BM477">
        <v>0</v>
      </c>
      <c r="BN477">
        <v>0</v>
      </c>
      <c r="BO477">
        <v>0</v>
      </c>
      <c r="BP477">
        <v>1</v>
      </c>
      <c r="BQ477">
        <v>0</v>
      </c>
      <c r="BR477">
        <v>0</v>
      </c>
    </row>
    <row r="478" spans="1:70" x14ac:dyDescent="0.2">
      <c r="A478" s="1">
        <v>44586.838194444441</v>
      </c>
      <c r="B478" s="1">
        <v>44586.841666666667</v>
      </c>
      <c r="C478">
        <v>1</v>
      </c>
      <c r="D478">
        <v>0</v>
      </c>
      <c r="E478">
        <v>0</v>
      </c>
      <c r="F478">
        <v>0</v>
      </c>
      <c r="H478">
        <v>0</v>
      </c>
      <c r="I478">
        <v>1</v>
      </c>
      <c r="J478">
        <v>0</v>
      </c>
      <c r="K478">
        <v>0</v>
      </c>
      <c r="L478">
        <v>0</v>
      </c>
      <c r="N478" t="s">
        <v>79</v>
      </c>
      <c r="O478" t="s">
        <v>80</v>
      </c>
      <c r="P478">
        <v>0</v>
      </c>
      <c r="Q478">
        <v>1</v>
      </c>
      <c r="R478">
        <v>0</v>
      </c>
      <c r="S478">
        <v>0</v>
      </c>
      <c r="T478">
        <v>0</v>
      </c>
      <c r="U478">
        <v>0</v>
      </c>
      <c r="V478">
        <v>0</v>
      </c>
      <c r="W478">
        <v>0</v>
      </c>
      <c r="X478">
        <v>0</v>
      </c>
      <c r="Y478">
        <v>0</v>
      </c>
      <c r="Z478">
        <v>0</v>
      </c>
      <c r="AA478">
        <v>0</v>
      </c>
      <c r="AM478" t="s">
        <v>83</v>
      </c>
      <c r="AN478" t="s">
        <v>82</v>
      </c>
      <c r="AO478" t="s">
        <v>83</v>
      </c>
      <c r="AP478" t="s">
        <v>83</v>
      </c>
      <c r="AQ478" t="s">
        <v>83</v>
      </c>
      <c r="AR478" t="s">
        <v>83</v>
      </c>
      <c r="AS478" t="s">
        <v>83</v>
      </c>
      <c r="AT478" t="s">
        <v>83</v>
      </c>
      <c r="AU478" t="s">
        <v>88</v>
      </c>
      <c r="AV478" t="s">
        <v>89</v>
      </c>
      <c r="AW478" t="s">
        <v>85</v>
      </c>
      <c r="AZ478" t="s">
        <v>73</v>
      </c>
      <c r="BA478" t="s">
        <v>86</v>
      </c>
      <c r="BB478" t="s">
        <v>74</v>
      </c>
      <c r="BC478" t="s">
        <v>87</v>
      </c>
      <c r="BD478" t="s">
        <v>86</v>
      </c>
      <c r="BE478" t="s">
        <v>74</v>
      </c>
      <c r="BF478" t="s">
        <v>97</v>
      </c>
      <c r="BG478" t="s">
        <v>92</v>
      </c>
      <c r="BH478" t="s">
        <v>158</v>
      </c>
      <c r="BI478" t="s">
        <v>73</v>
      </c>
      <c r="BJ478" t="s">
        <v>114</v>
      </c>
      <c r="BK478">
        <v>0</v>
      </c>
      <c r="BL478">
        <v>0</v>
      </c>
      <c r="BM478">
        <v>0</v>
      </c>
      <c r="BN478">
        <v>0</v>
      </c>
      <c r="BO478">
        <v>0</v>
      </c>
      <c r="BP478">
        <v>1</v>
      </c>
      <c r="BQ478">
        <v>0</v>
      </c>
      <c r="BR478">
        <v>0</v>
      </c>
    </row>
    <row r="479" spans="1:70" x14ac:dyDescent="0.2">
      <c r="A479" s="1">
        <v>44580.539583333331</v>
      </c>
      <c r="B479" s="1">
        <v>44580.542361111111</v>
      </c>
      <c r="C479">
        <v>1</v>
      </c>
      <c r="D479">
        <v>0</v>
      </c>
      <c r="E479">
        <v>0</v>
      </c>
      <c r="F479">
        <v>0</v>
      </c>
      <c r="H479">
        <v>0</v>
      </c>
      <c r="I479">
        <v>1</v>
      </c>
      <c r="J479">
        <v>0</v>
      </c>
      <c r="K479">
        <v>1</v>
      </c>
      <c r="L479">
        <v>0</v>
      </c>
      <c r="N479" t="s">
        <v>135</v>
      </c>
      <c r="O479" t="s">
        <v>80</v>
      </c>
      <c r="P479">
        <v>0</v>
      </c>
      <c r="Q479">
        <v>0</v>
      </c>
      <c r="R479">
        <v>0</v>
      </c>
      <c r="S479">
        <v>1</v>
      </c>
      <c r="T479">
        <v>0</v>
      </c>
      <c r="U479">
        <v>0</v>
      </c>
      <c r="V479">
        <v>0</v>
      </c>
      <c r="W479">
        <v>0</v>
      </c>
      <c r="X479">
        <v>0</v>
      </c>
      <c r="Y479">
        <v>0</v>
      </c>
      <c r="Z479">
        <v>0</v>
      </c>
      <c r="AA479">
        <v>0</v>
      </c>
      <c r="AM479" t="s">
        <v>83</v>
      </c>
      <c r="AN479" t="s">
        <v>82</v>
      </c>
      <c r="AO479" t="s">
        <v>81</v>
      </c>
      <c r="AP479" t="s">
        <v>83</v>
      </c>
      <c r="AQ479" t="s">
        <v>83</v>
      </c>
      <c r="AR479" t="s">
        <v>83</v>
      </c>
      <c r="AS479" t="s">
        <v>81</v>
      </c>
      <c r="AT479" t="s">
        <v>83</v>
      </c>
      <c r="AU479" t="s">
        <v>88</v>
      </c>
      <c r="AV479" t="s">
        <v>89</v>
      </c>
      <c r="AW479" t="s">
        <v>100</v>
      </c>
      <c r="AZ479" t="s">
        <v>73</v>
      </c>
      <c r="BA479" t="s">
        <v>87</v>
      </c>
      <c r="BB479" t="s">
        <v>74</v>
      </c>
      <c r="BC479" t="s">
        <v>87</v>
      </c>
      <c r="BD479" t="s">
        <v>87</v>
      </c>
      <c r="BE479" t="s">
        <v>86</v>
      </c>
      <c r="BF479" t="s">
        <v>97</v>
      </c>
      <c r="BG479" t="s">
        <v>92</v>
      </c>
      <c r="BH479" t="s">
        <v>158</v>
      </c>
      <c r="BI479" t="s">
        <v>73</v>
      </c>
      <c r="BJ479" t="s">
        <v>78</v>
      </c>
      <c r="BK479">
        <v>0</v>
      </c>
      <c r="BL479">
        <v>0</v>
      </c>
      <c r="BM479">
        <v>0</v>
      </c>
      <c r="BN479">
        <v>0</v>
      </c>
      <c r="BO479">
        <v>0</v>
      </c>
      <c r="BP479">
        <v>1</v>
      </c>
      <c r="BQ479">
        <v>0</v>
      </c>
      <c r="BR479">
        <v>0</v>
      </c>
    </row>
    <row r="480" spans="1:70" x14ac:dyDescent="0.2">
      <c r="A480" s="1">
        <v>44580.623611111114</v>
      </c>
      <c r="B480" s="1">
        <v>44580.625694444447</v>
      </c>
      <c r="C480">
        <v>0</v>
      </c>
      <c r="D480">
        <v>1</v>
      </c>
      <c r="E480">
        <v>0</v>
      </c>
      <c r="F480">
        <v>0</v>
      </c>
      <c r="H480">
        <v>1</v>
      </c>
      <c r="I480">
        <v>0</v>
      </c>
      <c r="J480">
        <v>0</v>
      </c>
      <c r="K480">
        <v>0</v>
      </c>
      <c r="L480">
        <v>0</v>
      </c>
      <c r="P480">
        <v>0</v>
      </c>
      <c r="Q480">
        <v>1</v>
      </c>
      <c r="R480">
        <v>0</v>
      </c>
      <c r="S480">
        <v>0</v>
      </c>
      <c r="T480">
        <v>0</v>
      </c>
      <c r="U480">
        <v>0</v>
      </c>
      <c r="V480">
        <v>0</v>
      </c>
      <c r="W480">
        <v>0</v>
      </c>
      <c r="X480">
        <v>0</v>
      </c>
      <c r="Y480">
        <v>0</v>
      </c>
      <c r="Z480">
        <v>0</v>
      </c>
      <c r="AA480">
        <v>0</v>
      </c>
      <c r="AM480" t="s">
        <v>90</v>
      </c>
      <c r="AN480" t="s">
        <v>82</v>
      </c>
      <c r="AO480" t="s">
        <v>82</v>
      </c>
      <c r="AP480" t="s">
        <v>82</v>
      </c>
      <c r="AQ480" t="s">
        <v>90</v>
      </c>
      <c r="AR480" t="s">
        <v>90</v>
      </c>
      <c r="AS480" t="s">
        <v>90</v>
      </c>
      <c r="AT480" t="s">
        <v>90</v>
      </c>
      <c r="AU480" t="s">
        <v>135</v>
      </c>
      <c r="AV480" t="s">
        <v>80</v>
      </c>
      <c r="AW480" t="s">
        <v>85</v>
      </c>
      <c r="AZ480" t="s">
        <v>96</v>
      </c>
      <c r="BA480" t="s">
        <v>86</v>
      </c>
      <c r="BB480" t="s">
        <v>86</v>
      </c>
      <c r="BC480" t="s">
        <v>86</v>
      </c>
      <c r="BD480" t="s">
        <v>86</v>
      </c>
      <c r="BE480" t="s">
        <v>86</v>
      </c>
      <c r="BF480" t="s">
        <v>97</v>
      </c>
      <c r="BG480" t="s">
        <v>92</v>
      </c>
      <c r="BH480" t="s">
        <v>98</v>
      </c>
      <c r="BI480" t="s">
        <v>96</v>
      </c>
      <c r="BJ480" t="s">
        <v>78</v>
      </c>
      <c r="BK480">
        <v>0</v>
      </c>
      <c r="BL480">
        <v>0</v>
      </c>
      <c r="BM480">
        <v>0</v>
      </c>
      <c r="BN480">
        <v>0</v>
      </c>
      <c r="BO480">
        <v>0</v>
      </c>
      <c r="BP480">
        <v>1</v>
      </c>
      <c r="BQ480">
        <v>0</v>
      </c>
      <c r="BR480">
        <v>0</v>
      </c>
    </row>
    <row r="481" spans="1:70" x14ac:dyDescent="0.2">
      <c r="A481" s="1">
        <v>44579.896527777775</v>
      </c>
      <c r="B481" s="1">
        <v>44579.9</v>
      </c>
      <c r="C481">
        <v>1</v>
      </c>
      <c r="D481">
        <v>0</v>
      </c>
      <c r="E481">
        <v>0</v>
      </c>
      <c r="F481">
        <v>0</v>
      </c>
      <c r="H481">
        <v>0</v>
      </c>
      <c r="I481">
        <v>1</v>
      </c>
      <c r="J481">
        <v>1</v>
      </c>
      <c r="K481">
        <v>0</v>
      </c>
      <c r="L481">
        <v>0</v>
      </c>
      <c r="N481" t="s">
        <v>88</v>
      </c>
      <c r="O481" t="s">
        <v>89</v>
      </c>
      <c r="P481">
        <v>0</v>
      </c>
      <c r="Q481">
        <v>0</v>
      </c>
      <c r="R481">
        <v>1</v>
      </c>
      <c r="S481">
        <v>0</v>
      </c>
      <c r="T481">
        <v>0</v>
      </c>
      <c r="U481">
        <v>0</v>
      </c>
      <c r="V481">
        <v>0</v>
      </c>
      <c r="W481">
        <v>0</v>
      </c>
      <c r="X481">
        <v>0</v>
      </c>
      <c r="Y481">
        <v>0</v>
      </c>
      <c r="Z481">
        <v>0</v>
      </c>
      <c r="AA481">
        <v>0</v>
      </c>
      <c r="AM481" t="s">
        <v>83</v>
      </c>
      <c r="AN481" t="s">
        <v>82</v>
      </c>
      <c r="AO481" t="s">
        <v>83</v>
      </c>
      <c r="AP481" t="s">
        <v>82</v>
      </c>
      <c r="AQ481" t="s">
        <v>81</v>
      </c>
      <c r="AR481" t="s">
        <v>83</v>
      </c>
      <c r="AS481" t="s">
        <v>83</v>
      </c>
      <c r="AT481" t="s">
        <v>83</v>
      </c>
      <c r="AU481" t="s">
        <v>88</v>
      </c>
      <c r="AV481" t="s">
        <v>89</v>
      </c>
      <c r="AW481" t="s">
        <v>85</v>
      </c>
      <c r="AZ481" t="s">
        <v>107</v>
      </c>
      <c r="BA481" t="s">
        <v>87</v>
      </c>
      <c r="BB481" t="s">
        <v>87</v>
      </c>
      <c r="BC481" t="s">
        <v>87</v>
      </c>
      <c r="BD481" t="s">
        <v>87</v>
      </c>
      <c r="BE481" t="s">
        <v>87</v>
      </c>
      <c r="BF481" t="s">
        <v>97</v>
      </c>
      <c r="BG481" t="s">
        <v>92</v>
      </c>
      <c r="BH481" t="s">
        <v>98</v>
      </c>
      <c r="BI481" t="s">
        <v>107</v>
      </c>
      <c r="BJ481" t="s">
        <v>102</v>
      </c>
      <c r="BK481">
        <v>0</v>
      </c>
      <c r="BL481">
        <v>0</v>
      </c>
      <c r="BM481">
        <v>0</v>
      </c>
      <c r="BN481">
        <v>0</v>
      </c>
      <c r="BO481">
        <v>0</v>
      </c>
      <c r="BP481">
        <v>1</v>
      </c>
      <c r="BQ481">
        <v>0</v>
      </c>
      <c r="BR481">
        <v>0</v>
      </c>
    </row>
    <row r="482" spans="1:70" x14ac:dyDescent="0.2">
      <c r="A482" s="1">
        <v>44579.881944444445</v>
      </c>
      <c r="B482" s="1">
        <v>44579.884027777778</v>
      </c>
      <c r="C482">
        <v>1</v>
      </c>
      <c r="D482">
        <v>0</v>
      </c>
      <c r="E482">
        <v>0</v>
      </c>
      <c r="F482">
        <v>0</v>
      </c>
      <c r="H482">
        <v>1</v>
      </c>
      <c r="I482">
        <v>0</v>
      </c>
      <c r="J482">
        <v>0</v>
      </c>
      <c r="K482">
        <v>0</v>
      </c>
      <c r="L482">
        <v>0</v>
      </c>
      <c r="P482">
        <v>1</v>
      </c>
      <c r="Q482">
        <v>0</v>
      </c>
      <c r="R482">
        <v>0</v>
      </c>
      <c r="S482">
        <v>0</v>
      </c>
      <c r="T482">
        <v>0</v>
      </c>
      <c r="U482">
        <v>0</v>
      </c>
      <c r="V482">
        <v>0</v>
      </c>
      <c r="W482">
        <v>0</v>
      </c>
      <c r="X482">
        <v>0</v>
      </c>
      <c r="Y482">
        <v>0</v>
      </c>
      <c r="Z482">
        <v>0</v>
      </c>
      <c r="AA482">
        <v>0</v>
      </c>
      <c r="AC482">
        <v>0</v>
      </c>
      <c r="AD482">
        <v>0</v>
      </c>
      <c r="AE482">
        <v>0</v>
      </c>
      <c r="AF482">
        <v>0</v>
      </c>
      <c r="AG482">
        <v>0</v>
      </c>
      <c r="AH482">
        <v>0</v>
      </c>
      <c r="AI482">
        <v>0</v>
      </c>
      <c r="AJ482">
        <v>0</v>
      </c>
      <c r="AK482">
        <v>1</v>
      </c>
      <c r="AL482" t="s">
        <v>290</v>
      </c>
      <c r="AZ482" t="s">
        <v>73</v>
      </c>
      <c r="BA482" t="s">
        <v>87</v>
      </c>
      <c r="BB482" t="s">
        <v>87</v>
      </c>
      <c r="BC482" t="s">
        <v>87</v>
      </c>
      <c r="BD482" t="s">
        <v>87</v>
      </c>
      <c r="BE482" t="s">
        <v>86</v>
      </c>
      <c r="BF482" t="s">
        <v>97</v>
      </c>
      <c r="BG482" t="s">
        <v>92</v>
      </c>
      <c r="BH482" t="s">
        <v>98</v>
      </c>
      <c r="BI482" t="s">
        <v>73</v>
      </c>
      <c r="BJ482" t="s">
        <v>165</v>
      </c>
      <c r="BK482">
        <v>0</v>
      </c>
      <c r="BL482">
        <v>0</v>
      </c>
      <c r="BM482">
        <v>0</v>
      </c>
      <c r="BN482">
        <v>0</v>
      </c>
      <c r="BO482">
        <v>0</v>
      </c>
      <c r="BP482">
        <v>1</v>
      </c>
      <c r="BQ482">
        <v>0</v>
      </c>
      <c r="BR482">
        <v>0</v>
      </c>
    </row>
    <row r="483" spans="1:70" x14ac:dyDescent="0.2">
      <c r="A483" s="1">
        <v>44588.895833333336</v>
      </c>
      <c r="B483" s="1">
        <v>44588.898611111108</v>
      </c>
      <c r="C483">
        <v>1</v>
      </c>
      <c r="D483">
        <v>0</v>
      </c>
      <c r="E483">
        <v>0</v>
      </c>
      <c r="F483">
        <v>0</v>
      </c>
      <c r="H483">
        <v>1</v>
      </c>
      <c r="I483">
        <v>0</v>
      </c>
      <c r="J483">
        <v>0</v>
      </c>
      <c r="K483">
        <v>0</v>
      </c>
      <c r="L483">
        <v>0</v>
      </c>
      <c r="P483">
        <v>1</v>
      </c>
      <c r="Q483">
        <v>0</v>
      </c>
      <c r="R483">
        <v>0</v>
      </c>
      <c r="S483">
        <v>0</v>
      </c>
      <c r="T483">
        <v>0</v>
      </c>
      <c r="U483">
        <v>0</v>
      </c>
      <c r="V483">
        <v>0</v>
      </c>
      <c r="W483">
        <v>0</v>
      </c>
      <c r="X483">
        <v>0</v>
      </c>
      <c r="Y483">
        <v>0</v>
      </c>
      <c r="Z483">
        <v>0</v>
      </c>
      <c r="AA483">
        <v>0</v>
      </c>
      <c r="AC483">
        <v>0</v>
      </c>
      <c r="AD483">
        <v>0</v>
      </c>
      <c r="AE483">
        <v>0</v>
      </c>
      <c r="AF483">
        <v>0</v>
      </c>
      <c r="AG483">
        <v>0</v>
      </c>
      <c r="AH483">
        <v>1</v>
      </c>
      <c r="AI483">
        <v>0</v>
      </c>
      <c r="AJ483">
        <v>0</v>
      </c>
      <c r="AK483">
        <v>0</v>
      </c>
      <c r="AX483" t="s">
        <v>146</v>
      </c>
      <c r="AZ483" t="s">
        <v>107</v>
      </c>
      <c r="BA483" t="s">
        <v>86</v>
      </c>
      <c r="BB483" t="s">
        <v>74</v>
      </c>
      <c r="BC483" t="s">
        <v>87</v>
      </c>
      <c r="BD483" t="s">
        <v>87</v>
      </c>
      <c r="BE483" t="s">
        <v>74</v>
      </c>
      <c r="BF483" t="s">
        <v>75</v>
      </c>
      <c r="BG483" t="s">
        <v>92</v>
      </c>
      <c r="BH483" t="s">
        <v>98</v>
      </c>
      <c r="BI483" t="s">
        <v>107</v>
      </c>
      <c r="BK483">
        <v>0</v>
      </c>
      <c r="BL483">
        <v>0</v>
      </c>
      <c r="BM483">
        <v>0</v>
      </c>
      <c r="BN483">
        <v>0</v>
      </c>
      <c r="BO483">
        <v>0</v>
      </c>
      <c r="BP483">
        <v>1</v>
      </c>
      <c r="BQ483">
        <v>0</v>
      </c>
      <c r="BR483">
        <v>0</v>
      </c>
    </row>
    <row r="484" spans="1:70" x14ac:dyDescent="0.2">
      <c r="A484" s="1">
        <v>44579.881944444445</v>
      </c>
      <c r="B484" s="1">
        <v>44579.883333333331</v>
      </c>
      <c r="C484">
        <v>1</v>
      </c>
      <c r="D484">
        <v>0</v>
      </c>
      <c r="E484">
        <v>0</v>
      </c>
      <c r="F484">
        <v>0</v>
      </c>
      <c r="H484">
        <v>1</v>
      </c>
      <c r="I484">
        <v>0</v>
      </c>
      <c r="J484">
        <v>0</v>
      </c>
      <c r="K484">
        <v>0</v>
      </c>
      <c r="L484">
        <v>0</v>
      </c>
      <c r="P484">
        <v>1</v>
      </c>
      <c r="Q484">
        <v>0</v>
      </c>
      <c r="R484">
        <v>0</v>
      </c>
      <c r="S484">
        <v>0</v>
      </c>
      <c r="T484">
        <v>0</v>
      </c>
      <c r="U484">
        <v>0</v>
      </c>
      <c r="V484">
        <v>0</v>
      </c>
      <c r="W484">
        <v>0</v>
      </c>
      <c r="X484">
        <v>0</v>
      </c>
      <c r="Y484">
        <v>0</v>
      </c>
      <c r="Z484">
        <v>0</v>
      </c>
      <c r="AA484">
        <v>0</v>
      </c>
      <c r="AC484">
        <v>0</v>
      </c>
      <c r="AD484">
        <v>0</v>
      </c>
      <c r="AE484">
        <v>1</v>
      </c>
      <c r="AF484">
        <v>0</v>
      </c>
      <c r="AG484">
        <v>0</v>
      </c>
      <c r="AH484">
        <v>0</v>
      </c>
      <c r="AI484">
        <v>1</v>
      </c>
      <c r="AJ484">
        <v>1</v>
      </c>
      <c r="AK484">
        <v>0</v>
      </c>
      <c r="AX484" t="s">
        <v>242</v>
      </c>
      <c r="AZ484" t="s">
        <v>107</v>
      </c>
      <c r="BA484" t="s">
        <v>74</v>
      </c>
      <c r="BF484" t="s">
        <v>75</v>
      </c>
      <c r="BG484" t="s">
        <v>92</v>
      </c>
      <c r="BH484" t="s">
        <v>98</v>
      </c>
      <c r="BI484" t="s">
        <v>107</v>
      </c>
      <c r="BJ484" t="s">
        <v>176</v>
      </c>
      <c r="BK484">
        <v>0</v>
      </c>
      <c r="BL484">
        <v>0</v>
      </c>
      <c r="BM484">
        <v>0</v>
      </c>
      <c r="BN484">
        <v>0</v>
      </c>
      <c r="BO484">
        <v>0</v>
      </c>
      <c r="BP484">
        <v>1</v>
      </c>
      <c r="BQ484">
        <v>0</v>
      </c>
      <c r="BR484">
        <v>0</v>
      </c>
    </row>
    <row r="485" spans="1:70" x14ac:dyDescent="0.2">
      <c r="A485" s="1">
        <v>44581.86041666667</v>
      </c>
      <c r="B485" s="1">
        <v>44581.863194444442</v>
      </c>
      <c r="C485">
        <v>1</v>
      </c>
      <c r="D485">
        <v>0</v>
      </c>
      <c r="E485">
        <v>0</v>
      </c>
      <c r="F485">
        <v>0</v>
      </c>
      <c r="H485">
        <v>0</v>
      </c>
      <c r="I485">
        <v>1</v>
      </c>
      <c r="J485">
        <v>1</v>
      </c>
      <c r="K485">
        <v>1</v>
      </c>
      <c r="L485">
        <v>0</v>
      </c>
      <c r="N485" t="s">
        <v>79</v>
      </c>
      <c r="O485" t="s">
        <v>80</v>
      </c>
      <c r="P485">
        <v>0</v>
      </c>
      <c r="Q485">
        <v>0</v>
      </c>
      <c r="R485">
        <v>1</v>
      </c>
      <c r="S485">
        <v>0</v>
      </c>
      <c r="T485">
        <v>0</v>
      </c>
      <c r="U485">
        <v>0</v>
      </c>
      <c r="V485">
        <v>0</v>
      </c>
      <c r="W485">
        <v>0</v>
      </c>
      <c r="X485">
        <v>0</v>
      </c>
      <c r="Y485">
        <v>0</v>
      </c>
      <c r="Z485">
        <v>0</v>
      </c>
      <c r="AA485">
        <v>0</v>
      </c>
      <c r="AM485" t="s">
        <v>81</v>
      </c>
      <c r="AN485" t="s">
        <v>82</v>
      </c>
      <c r="AO485" t="s">
        <v>81</v>
      </c>
      <c r="AP485" t="s">
        <v>82</v>
      </c>
      <c r="AQ485" t="s">
        <v>82</v>
      </c>
      <c r="AR485" t="s">
        <v>81</v>
      </c>
      <c r="AS485" t="s">
        <v>81</v>
      </c>
      <c r="AT485" t="s">
        <v>83</v>
      </c>
      <c r="AU485" t="s">
        <v>88</v>
      </c>
      <c r="AV485" t="s">
        <v>89</v>
      </c>
      <c r="AW485" t="s">
        <v>85</v>
      </c>
      <c r="AZ485" t="s">
        <v>73</v>
      </c>
      <c r="BA485" t="s">
        <v>86</v>
      </c>
      <c r="BB485" t="s">
        <v>86</v>
      </c>
      <c r="BC485" t="s">
        <v>86</v>
      </c>
      <c r="BD485" t="s">
        <v>74</v>
      </c>
      <c r="BE485" t="s">
        <v>74</v>
      </c>
      <c r="BF485" t="s">
        <v>97</v>
      </c>
      <c r="BG485" t="s">
        <v>92</v>
      </c>
      <c r="BH485" t="s">
        <v>98</v>
      </c>
      <c r="BI485" t="s">
        <v>73</v>
      </c>
      <c r="BJ485" t="s">
        <v>78</v>
      </c>
      <c r="BK485">
        <v>0</v>
      </c>
      <c r="BL485">
        <v>0</v>
      </c>
      <c r="BM485">
        <v>0</v>
      </c>
      <c r="BN485">
        <v>0</v>
      </c>
      <c r="BO485">
        <v>0</v>
      </c>
      <c r="BP485">
        <v>1</v>
      </c>
      <c r="BQ485">
        <v>0</v>
      </c>
      <c r="BR485">
        <v>0</v>
      </c>
    </row>
    <row r="486" spans="1:70" x14ac:dyDescent="0.2">
      <c r="A486" s="1">
        <v>44585.540972222225</v>
      </c>
      <c r="B486" s="1">
        <v>44585.541666666664</v>
      </c>
      <c r="C486">
        <v>0</v>
      </c>
      <c r="D486">
        <v>0</v>
      </c>
      <c r="E486">
        <v>0</v>
      </c>
      <c r="F486">
        <v>1</v>
      </c>
      <c r="P486">
        <v>1</v>
      </c>
      <c r="Q486">
        <v>0</v>
      </c>
      <c r="R486">
        <v>0</v>
      </c>
      <c r="S486">
        <v>0</v>
      </c>
      <c r="T486">
        <v>0</v>
      </c>
      <c r="U486">
        <v>0</v>
      </c>
      <c r="V486">
        <v>0</v>
      </c>
      <c r="W486">
        <v>0</v>
      </c>
      <c r="X486">
        <v>0</v>
      </c>
      <c r="Y486">
        <v>0</v>
      </c>
      <c r="Z486">
        <v>0</v>
      </c>
      <c r="AA486">
        <v>0</v>
      </c>
      <c r="AC486">
        <v>0</v>
      </c>
      <c r="AD486">
        <v>0</v>
      </c>
      <c r="AE486">
        <v>0</v>
      </c>
      <c r="AF486">
        <v>0</v>
      </c>
      <c r="AG486">
        <v>0</v>
      </c>
      <c r="AH486">
        <v>0</v>
      </c>
      <c r="AI486">
        <v>1</v>
      </c>
      <c r="AJ486">
        <v>1</v>
      </c>
      <c r="AK486">
        <v>0</v>
      </c>
      <c r="AZ486" t="s">
        <v>107</v>
      </c>
      <c r="BF486" t="s">
        <v>97</v>
      </c>
      <c r="BG486" t="s">
        <v>92</v>
      </c>
      <c r="BH486" t="s">
        <v>158</v>
      </c>
      <c r="BI486" t="s">
        <v>107</v>
      </c>
      <c r="BJ486" t="s">
        <v>114</v>
      </c>
      <c r="BK486">
        <v>0</v>
      </c>
      <c r="BL486">
        <v>0</v>
      </c>
      <c r="BM486">
        <v>0</v>
      </c>
      <c r="BN486">
        <v>0</v>
      </c>
      <c r="BO486">
        <v>0</v>
      </c>
      <c r="BP486">
        <v>1</v>
      </c>
      <c r="BQ486">
        <v>0</v>
      </c>
      <c r="BR486">
        <v>0</v>
      </c>
    </row>
    <row r="487" spans="1:70" x14ac:dyDescent="0.2">
      <c r="A487" s="1">
        <v>44580.068749999999</v>
      </c>
      <c r="B487" s="1">
        <v>44580.070833333331</v>
      </c>
      <c r="C487">
        <v>1</v>
      </c>
      <c r="D487">
        <v>0</v>
      </c>
      <c r="E487">
        <v>0</v>
      </c>
      <c r="F487">
        <v>0</v>
      </c>
      <c r="H487">
        <v>0</v>
      </c>
      <c r="I487">
        <v>1</v>
      </c>
      <c r="J487">
        <v>0</v>
      </c>
      <c r="K487">
        <v>0</v>
      </c>
      <c r="L487">
        <v>0</v>
      </c>
      <c r="N487" t="s">
        <v>79</v>
      </c>
      <c r="O487" t="s">
        <v>80</v>
      </c>
      <c r="P487">
        <v>0</v>
      </c>
      <c r="Q487">
        <v>0</v>
      </c>
      <c r="R487">
        <v>1</v>
      </c>
      <c r="S487">
        <v>0</v>
      </c>
      <c r="T487">
        <v>0</v>
      </c>
      <c r="U487">
        <v>0</v>
      </c>
      <c r="V487">
        <v>0</v>
      </c>
      <c r="W487">
        <v>0</v>
      </c>
      <c r="X487">
        <v>0</v>
      </c>
      <c r="Y487">
        <v>0</v>
      </c>
      <c r="Z487">
        <v>0</v>
      </c>
      <c r="AA487">
        <v>0</v>
      </c>
      <c r="AM487" t="s">
        <v>81</v>
      </c>
      <c r="AN487" t="s">
        <v>82</v>
      </c>
      <c r="AO487" t="s">
        <v>83</v>
      </c>
      <c r="AP487" t="s">
        <v>82</v>
      </c>
      <c r="AQ487" t="s">
        <v>81</v>
      </c>
      <c r="AR487" t="s">
        <v>81</v>
      </c>
      <c r="AS487" t="s">
        <v>83</v>
      </c>
      <c r="AT487" t="s">
        <v>83</v>
      </c>
      <c r="AU487" t="s">
        <v>84</v>
      </c>
      <c r="AV487" t="s">
        <v>80</v>
      </c>
      <c r="AW487" t="s">
        <v>85</v>
      </c>
      <c r="AZ487" t="s">
        <v>107</v>
      </c>
      <c r="BA487" t="s">
        <v>74</v>
      </c>
      <c r="BF487" t="s">
        <v>97</v>
      </c>
      <c r="BG487" t="s">
        <v>92</v>
      </c>
      <c r="BH487" t="s">
        <v>98</v>
      </c>
      <c r="BI487" t="s">
        <v>107</v>
      </c>
      <c r="BJ487" t="s">
        <v>78</v>
      </c>
      <c r="BK487">
        <v>0</v>
      </c>
      <c r="BL487">
        <v>0</v>
      </c>
      <c r="BM487">
        <v>0</v>
      </c>
      <c r="BN487">
        <v>0</v>
      </c>
      <c r="BO487">
        <v>0</v>
      </c>
      <c r="BP487">
        <v>1</v>
      </c>
      <c r="BQ487">
        <v>0</v>
      </c>
      <c r="BR487">
        <v>0</v>
      </c>
    </row>
    <row r="488" spans="1:70" x14ac:dyDescent="0.2">
      <c r="A488" s="1">
        <v>44588.967361111114</v>
      </c>
      <c r="B488" s="1">
        <v>44588.972222222219</v>
      </c>
      <c r="C488">
        <v>1</v>
      </c>
      <c r="D488">
        <v>0</v>
      </c>
      <c r="E488">
        <v>0</v>
      </c>
      <c r="F488">
        <v>0</v>
      </c>
      <c r="H488">
        <v>0</v>
      </c>
      <c r="I488">
        <v>1</v>
      </c>
      <c r="J488">
        <v>0</v>
      </c>
      <c r="K488">
        <v>0</v>
      </c>
      <c r="L488">
        <v>0</v>
      </c>
      <c r="N488" t="s">
        <v>79</v>
      </c>
      <c r="O488" t="s">
        <v>80</v>
      </c>
      <c r="P488">
        <v>0</v>
      </c>
      <c r="Q488">
        <v>0</v>
      </c>
      <c r="R488">
        <v>1</v>
      </c>
      <c r="S488">
        <v>0</v>
      </c>
      <c r="T488">
        <v>0</v>
      </c>
      <c r="U488">
        <v>0</v>
      </c>
      <c r="V488">
        <v>0</v>
      </c>
      <c r="W488">
        <v>0</v>
      </c>
      <c r="X488">
        <v>0</v>
      </c>
      <c r="Y488">
        <v>0</v>
      </c>
      <c r="Z488">
        <v>0</v>
      </c>
      <c r="AA488">
        <v>1</v>
      </c>
      <c r="AB488" t="s">
        <v>291</v>
      </c>
      <c r="AM488" t="s">
        <v>83</v>
      </c>
      <c r="AN488" t="s">
        <v>82</v>
      </c>
      <c r="AO488" t="s">
        <v>83</v>
      </c>
      <c r="AP488" t="s">
        <v>82</v>
      </c>
      <c r="AQ488" t="s">
        <v>82</v>
      </c>
      <c r="AR488" t="s">
        <v>81</v>
      </c>
      <c r="AS488" t="s">
        <v>83</v>
      </c>
      <c r="AT488" t="s">
        <v>83</v>
      </c>
      <c r="AU488" t="s">
        <v>84</v>
      </c>
      <c r="AV488" t="s">
        <v>80</v>
      </c>
      <c r="AW488" t="s">
        <v>85</v>
      </c>
      <c r="AZ488" t="s">
        <v>107</v>
      </c>
      <c r="BA488" t="s">
        <v>86</v>
      </c>
      <c r="BB488" t="s">
        <v>87</v>
      </c>
      <c r="BC488" t="s">
        <v>87</v>
      </c>
      <c r="BD488" t="s">
        <v>74</v>
      </c>
      <c r="BE488" t="s">
        <v>74</v>
      </c>
      <c r="BF488" t="s">
        <v>101</v>
      </c>
      <c r="BG488" t="s">
        <v>92</v>
      </c>
      <c r="BH488" t="s">
        <v>98</v>
      </c>
      <c r="BI488" t="s">
        <v>107</v>
      </c>
      <c r="BJ488" t="s">
        <v>78</v>
      </c>
      <c r="BK488">
        <v>0</v>
      </c>
      <c r="BL488">
        <v>0</v>
      </c>
      <c r="BM488">
        <v>0</v>
      </c>
      <c r="BN488">
        <v>0</v>
      </c>
      <c r="BO488">
        <v>0</v>
      </c>
      <c r="BP488">
        <v>1</v>
      </c>
      <c r="BQ488">
        <v>0</v>
      </c>
      <c r="BR488">
        <v>0</v>
      </c>
    </row>
    <row r="489" spans="1:70" x14ac:dyDescent="0.2">
      <c r="A489" s="1">
        <v>44580.005555555559</v>
      </c>
      <c r="B489" s="1">
        <v>44580.009027777778</v>
      </c>
      <c r="C489">
        <v>0</v>
      </c>
      <c r="D489">
        <v>1</v>
      </c>
      <c r="E489">
        <v>0</v>
      </c>
      <c r="F489">
        <v>0</v>
      </c>
      <c r="H489">
        <v>0</v>
      </c>
      <c r="I489">
        <v>1</v>
      </c>
      <c r="J489">
        <v>1</v>
      </c>
      <c r="K489">
        <v>1</v>
      </c>
      <c r="L489">
        <v>0</v>
      </c>
      <c r="N489" t="s">
        <v>88</v>
      </c>
      <c r="O489" t="s">
        <v>89</v>
      </c>
      <c r="P489">
        <v>0</v>
      </c>
      <c r="Q489">
        <v>0</v>
      </c>
      <c r="R489">
        <v>0</v>
      </c>
      <c r="S489">
        <v>0</v>
      </c>
      <c r="T489">
        <v>0</v>
      </c>
      <c r="U489">
        <v>0</v>
      </c>
      <c r="V489">
        <v>0</v>
      </c>
      <c r="W489">
        <v>0</v>
      </c>
      <c r="X489">
        <v>0</v>
      </c>
      <c r="Y489">
        <v>0</v>
      </c>
      <c r="Z489">
        <v>0</v>
      </c>
      <c r="AA489">
        <v>1</v>
      </c>
      <c r="AB489" t="s">
        <v>292</v>
      </c>
      <c r="AM489" t="s">
        <v>83</v>
      </c>
      <c r="AN489" t="s">
        <v>82</v>
      </c>
      <c r="AO489" t="s">
        <v>82</v>
      </c>
      <c r="AP489" t="s">
        <v>82</v>
      </c>
      <c r="AQ489" t="s">
        <v>81</v>
      </c>
      <c r="AR489" t="s">
        <v>83</v>
      </c>
      <c r="AS489" t="s">
        <v>83</v>
      </c>
      <c r="AT489" t="s">
        <v>83</v>
      </c>
      <c r="AU489" t="s">
        <v>88</v>
      </c>
      <c r="AV489" t="s">
        <v>89</v>
      </c>
      <c r="AW489" t="s">
        <v>100</v>
      </c>
      <c r="AZ489" t="s">
        <v>107</v>
      </c>
      <c r="BA489" t="s">
        <v>87</v>
      </c>
      <c r="BB489" t="s">
        <v>87</v>
      </c>
      <c r="BC489" t="s">
        <v>87</v>
      </c>
      <c r="BD489" t="s">
        <v>87</v>
      </c>
      <c r="BE489" t="s">
        <v>74</v>
      </c>
      <c r="BF489" t="s">
        <v>97</v>
      </c>
      <c r="BG489" t="s">
        <v>92</v>
      </c>
      <c r="BH489" t="s">
        <v>98</v>
      </c>
      <c r="BI489" t="s">
        <v>107</v>
      </c>
      <c r="BJ489" t="s">
        <v>167</v>
      </c>
      <c r="BK489">
        <v>0</v>
      </c>
      <c r="BL489">
        <v>0</v>
      </c>
      <c r="BM489">
        <v>0</v>
      </c>
      <c r="BN489">
        <v>0</v>
      </c>
      <c r="BO489">
        <v>0</v>
      </c>
      <c r="BP489">
        <v>1</v>
      </c>
      <c r="BQ489">
        <v>0</v>
      </c>
      <c r="BR489">
        <v>0</v>
      </c>
    </row>
    <row r="490" spans="1:70" x14ac:dyDescent="0.2">
      <c r="A490" s="1">
        <v>44579.879861111112</v>
      </c>
      <c r="B490" s="1">
        <v>44579.881944444445</v>
      </c>
      <c r="C490">
        <v>1</v>
      </c>
      <c r="D490">
        <v>0</v>
      </c>
      <c r="E490">
        <v>0</v>
      </c>
      <c r="F490">
        <v>0</v>
      </c>
      <c r="H490">
        <v>1</v>
      </c>
      <c r="I490">
        <v>0</v>
      </c>
      <c r="J490">
        <v>0</v>
      </c>
      <c r="K490">
        <v>0</v>
      </c>
      <c r="L490">
        <v>0</v>
      </c>
      <c r="P490">
        <v>0</v>
      </c>
      <c r="Q490">
        <v>1</v>
      </c>
      <c r="R490">
        <v>0</v>
      </c>
      <c r="S490">
        <v>0</v>
      </c>
      <c r="T490">
        <v>0</v>
      </c>
      <c r="U490">
        <v>0</v>
      </c>
      <c r="V490">
        <v>0</v>
      </c>
      <c r="W490">
        <v>0</v>
      </c>
      <c r="X490">
        <v>0</v>
      </c>
      <c r="Y490">
        <v>0</v>
      </c>
      <c r="Z490">
        <v>0</v>
      </c>
      <c r="AA490">
        <v>0</v>
      </c>
      <c r="AM490" t="s">
        <v>90</v>
      </c>
      <c r="AN490" t="s">
        <v>82</v>
      </c>
      <c r="AO490" t="s">
        <v>83</v>
      </c>
      <c r="AP490" t="s">
        <v>81</v>
      </c>
      <c r="AQ490" t="s">
        <v>90</v>
      </c>
      <c r="AR490" t="s">
        <v>90</v>
      </c>
      <c r="AS490" t="s">
        <v>90</v>
      </c>
      <c r="AT490" t="s">
        <v>90</v>
      </c>
      <c r="AU490" t="s">
        <v>88</v>
      </c>
      <c r="AV490" t="s">
        <v>89</v>
      </c>
      <c r="AW490" t="s">
        <v>100</v>
      </c>
      <c r="AX490" t="s">
        <v>110</v>
      </c>
      <c r="AY490" t="s">
        <v>293</v>
      </c>
      <c r="AZ490" t="s">
        <v>73</v>
      </c>
      <c r="BA490" t="s">
        <v>86</v>
      </c>
      <c r="BB490" t="s">
        <v>87</v>
      </c>
      <c r="BC490" t="s">
        <v>87</v>
      </c>
      <c r="BD490" t="s">
        <v>74</v>
      </c>
      <c r="BE490" t="s">
        <v>74</v>
      </c>
      <c r="BF490" t="s">
        <v>75</v>
      </c>
      <c r="BG490" t="s">
        <v>92</v>
      </c>
      <c r="BH490" t="s">
        <v>98</v>
      </c>
      <c r="BI490" t="s">
        <v>73</v>
      </c>
      <c r="BJ490" t="s">
        <v>109</v>
      </c>
      <c r="BK490">
        <v>0</v>
      </c>
      <c r="BL490">
        <v>0</v>
      </c>
      <c r="BM490">
        <v>0</v>
      </c>
      <c r="BN490">
        <v>0</v>
      </c>
      <c r="BO490">
        <v>0</v>
      </c>
      <c r="BP490">
        <v>1</v>
      </c>
      <c r="BQ490">
        <v>0</v>
      </c>
      <c r="BR490">
        <v>0</v>
      </c>
    </row>
    <row r="491" spans="1:70" x14ac:dyDescent="0.2">
      <c r="A491" s="1">
        <v>44588.901388888888</v>
      </c>
      <c r="B491" s="1">
        <v>44588.90347222222</v>
      </c>
      <c r="C491">
        <v>1</v>
      </c>
      <c r="D491">
        <v>0</v>
      </c>
      <c r="E491">
        <v>0</v>
      </c>
      <c r="F491">
        <v>0</v>
      </c>
      <c r="H491">
        <v>0</v>
      </c>
      <c r="I491">
        <v>1</v>
      </c>
      <c r="J491">
        <v>0</v>
      </c>
      <c r="K491">
        <v>0</v>
      </c>
      <c r="L491">
        <v>0</v>
      </c>
      <c r="N491" t="s">
        <v>79</v>
      </c>
      <c r="O491" t="s">
        <v>80</v>
      </c>
      <c r="P491">
        <v>0</v>
      </c>
      <c r="Q491">
        <v>0</v>
      </c>
      <c r="R491">
        <v>1</v>
      </c>
      <c r="S491">
        <v>0</v>
      </c>
      <c r="T491">
        <v>0</v>
      </c>
      <c r="U491">
        <v>0</v>
      </c>
      <c r="V491">
        <v>0</v>
      </c>
      <c r="W491">
        <v>0</v>
      </c>
      <c r="X491">
        <v>0</v>
      </c>
      <c r="Y491">
        <v>0</v>
      </c>
      <c r="Z491">
        <v>0</v>
      </c>
      <c r="AA491">
        <v>0</v>
      </c>
      <c r="AM491" t="s">
        <v>81</v>
      </c>
      <c r="AN491" t="s">
        <v>81</v>
      </c>
      <c r="AO491" t="s">
        <v>83</v>
      </c>
      <c r="AP491" t="s">
        <v>83</v>
      </c>
      <c r="AQ491" t="s">
        <v>83</v>
      </c>
      <c r="AR491" t="s">
        <v>83</v>
      </c>
      <c r="AS491" t="s">
        <v>83</v>
      </c>
      <c r="AT491" t="s">
        <v>83</v>
      </c>
      <c r="AU491" t="s">
        <v>84</v>
      </c>
      <c r="AV491" t="s">
        <v>80</v>
      </c>
      <c r="AW491" t="s">
        <v>117</v>
      </c>
      <c r="AZ491" t="s">
        <v>107</v>
      </c>
      <c r="BA491" t="s">
        <v>87</v>
      </c>
      <c r="BB491" t="s">
        <v>86</v>
      </c>
      <c r="BC491" t="s">
        <v>86</v>
      </c>
      <c r="BD491" t="s">
        <v>86</v>
      </c>
      <c r="BE491" t="s">
        <v>86</v>
      </c>
      <c r="BF491" t="s">
        <v>97</v>
      </c>
      <c r="BG491" t="s">
        <v>92</v>
      </c>
      <c r="BH491" t="s">
        <v>98</v>
      </c>
      <c r="BI491" t="s">
        <v>107</v>
      </c>
      <c r="BJ491" t="s">
        <v>165</v>
      </c>
      <c r="BK491">
        <v>0</v>
      </c>
      <c r="BL491">
        <v>0</v>
      </c>
      <c r="BM491">
        <v>0</v>
      </c>
      <c r="BN491">
        <v>0</v>
      </c>
      <c r="BO491">
        <v>1</v>
      </c>
      <c r="BP491">
        <v>0</v>
      </c>
      <c r="BQ491">
        <v>0</v>
      </c>
      <c r="BR491">
        <v>0</v>
      </c>
    </row>
    <row r="492" spans="1:70" x14ac:dyDescent="0.2">
      <c r="A492" s="1">
        <v>44579.87777777778</v>
      </c>
      <c r="B492" s="1">
        <v>44579.880555555559</v>
      </c>
      <c r="C492">
        <v>1</v>
      </c>
      <c r="D492">
        <v>0</v>
      </c>
      <c r="E492">
        <v>0</v>
      </c>
      <c r="F492">
        <v>0</v>
      </c>
      <c r="H492">
        <v>1</v>
      </c>
      <c r="I492">
        <v>0</v>
      </c>
      <c r="J492">
        <v>0</v>
      </c>
      <c r="K492">
        <v>0</v>
      </c>
      <c r="L492">
        <v>0</v>
      </c>
      <c r="P492">
        <v>1</v>
      </c>
      <c r="Q492">
        <v>0</v>
      </c>
      <c r="R492">
        <v>0</v>
      </c>
      <c r="S492">
        <v>0</v>
      </c>
      <c r="T492">
        <v>0</v>
      </c>
      <c r="U492">
        <v>0</v>
      </c>
      <c r="V492">
        <v>0</v>
      </c>
      <c r="W492">
        <v>0</v>
      </c>
      <c r="X492">
        <v>0</v>
      </c>
      <c r="Y492">
        <v>0</v>
      </c>
      <c r="Z492">
        <v>0</v>
      </c>
      <c r="AA492">
        <v>0</v>
      </c>
      <c r="AC492">
        <v>0</v>
      </c>
      <c r="AD492">
        <v>1</v>
      </c>
      <c r="AE492">
        <v>0</v>
      </c>
      <c r="AF492">
        <v>0</v>
      </c>
      <c r="AG492">
        <v>0</v>
      </c>
      <c r="AH492">
        <v>0</v>
      </c>
      <c r="AI492">
        <v>0</v>
      </c>
      <c r="AJ492">
        <v>0</v>
      </c>
      <c r="AK492">
        <v>0</v>
      </c>
      <c r="AZ492" t="s">
        <v>73</v>
      </c>
      <c r="BA492" t="s">
        <v>86</v>
      </c>
      <c r="BB492" t="s">
        <v>86</v>
      </c>
      <c r="BC492" t="s">
        <v>86</v>
      </c>
      <c r="BD492" t="s">
        <v>86</v>
      </c>
      <c r="BE492" t="s">
        <v>86</v>
      </c>
      <c r="BF492" t="s">
        <v>97</v>
      </c>
      <c r="BG492" t="s">
        <v>92</v>
      </c>
      <c r="BH492" t="s">
        <v>158</v>
      </c>
      <c r="BI492" t="s">
        <v>73</v>
      </c>
      <c r="BJ492" t="s">
        <v>94</v>
      </c>
      <c r="BK492">
        <v>0</v>
      </c>
      <c r="BL492">
        <v>0</v>
      </c>
      <c r="BM492">
        <v>0</v>
      </c>
      <c r="BN492">
        <v>0</v>
      </c>
      <c r="BO492">
        <v>0</v>
      </c>
      <c r="BP492">
        <v>1</v>
      </c>
      <c r="BQ492">
        <v>0</v>
      </c>
      <c r="BR492">
        <v>0</v>
      </c>
    </row>
    <row r="493" spans="1:70" x14ac:dyDescent="0.2">
      <c r="A493" s="1">
        <v>44589.127083333333</v>
      </c>
      <c r="B493" s="1">
        <v>44589.128472222219</v>
      </c>
      <c r="C493">
        <v>1</v>
      </c>
      <c r="D493">
        <v>0</v>
      </c>
      <c r="E493">
        <v>0</v>
      </c>
      <c r="F493">
        <v>0</v>
      </c>
      <c r="H493">
        <v>0</v>
      </c>
      <c r="I493">
        <v>0</v>
      </c>
      <c r="J493">
        <v>0</v>
      </c>
      <c r="K493">
        <v>0</v>
      </c>
      <c r="L493">
        <v>1</v>
      </c>
      <c r="M493" t="s">
        <v>294</v>
      </c>
      <c r="N493" t="s">
        <v>88</v>
      </c>
      <c r="O493" t="s">
        <v>89</v>
      </c>
      <c r="P493">
        <v>1</v>
      </c>
      <c r="Q493">
        <v>0</v>
      </c>
      <c r="R493">
        <v>0</v>
      </c>
      <c r="S493">
        <v>0</v>
      </c>
      <c r="T493">
        <v>0</v>
      </c>
      <c r="U493">
        <v>0</v>
      </c>
      <c r="V493">
        <v>0</v>
      </c>
      <c r="W493">
        <v>0</v>
      </c>
      <c r="X493">
        <v>0</v>
      </c>
      <c r="Y493">
        <v>0</v>
      </c>
      <c r="Z493">
        <v>0</v>
      </c>
      <c r="AA493">
        <v>0</v>
      </c>
      <c r="AC493">
        <v>0</v>
      </c>
      <c r="AD493">
        <v>0</v>
      </c>
      <c r="AE493">
        <v>0</v>
      </c>
      <c r="AF493">
        <v>0</v>
      </c>
      <c r="AG493">
        <v>0</v>
      </c>
      <c r="AH493">
        <v>0</v>
      </c>
      <c r="AI493">
        <v>1</v>
      </c>
      <c r="AJ493">
        <v>0</v>
      </c>
      <c r="AK493">
        <v>0</v>
      </c>
      <c r="AX493" t="s">
        <v>91</v>
      </c>
      <c r="AZ493" t="s">
        <v>107</v>
      </c>
      <c r="BA493" t="s">
        <v>74</v>
      </c>
      <c r="BF493" t="s">
        <v>75</v>
      </c>
      <c r="BG493" t="s">
        <v>92</v>
      </c>
      <c r="BH493" t="s">
        <v>98</v>
      </c>
      <c r="BI493" t="s">
        <v>107</v>
      </c>
      <c r="BJ493" t="s">
        <v>78</v>
      </c>
      <c r="BK493">
        <v>0</v>
      </c>
      <c r="BL493">
        <v>0</v>
      </c>
      <c r="BM493">
        <v>0</v>
      </c>
      <c r="BN493">
        <v>0</v>
      </c>
      <c r="BO493">
        <v>0</v>
      </c>
      <c r="BP493">
        <v>1</v>
      </c>
      <c r="BQ493">
        <v>0</v>
      </c>
      <c r="BR493">
        <v>0</v>
      </c>
    </row>
    <row r="494" spans="1:70" x14ac:dyDescent="0.2">
      <c r="A494" s="1">
        <v>44589.1</v>
      </c>
      <c r="B494" s="1">
        <v>44589.102083333331</v>
      </c>
      <c r="C494">
        <v>1</v>
      </c>
      <c r="D494">
        <v>0</v>
      </c>
      <c r="E494">
        <v>0</v>
      </c>
      <c r="F494">
        <v>0</v>
      </c>
      <c r="H494">
        <v>0</v>
      </c>
      <c r="I494">
        <v>0</v>
      </c>
      <c r="J494">
        <v>1</v>
      </c>
      <c r="K494">
        <v>0</v>
      </c>
      <c r="L494">
        <v>0</v>
      </c>
      <c r="N494" t="s">
        <v>135</v>
      </c>
      <c r="O494" t="s">
        <v>80</v>
      </c>
      <c r="P494">
        <v>0</v>
      </c>
      <c r="Q494">
        <v>0</v>
      </c>
      <c r="R494">
        <v>1</v>
      </c>
      <c r="S494">
        <v>0</v>
      </c>
      <c r="T494">
        <v>0</v>
      </c>
      <c r="U494">
        <v>0</v>
      </c>
      <c r="V494">
        <v>0</v>
      </c>
      <c r="W494">
        <v>0</v>
      </c>
      <c r="X494">
        <v>0</v>
      </c>
      <c r="Y494">
        <v>0</v>
      </c>
      <c r="Z494">
        <v>0</v>
      </c>
      <c r="AA494">
        <v>0</v>
      </c>
      <c r="AM494" t="s">
        <v>81</v>
      </c>
      <c r="AN494" t="s">
        <v>81</v>
      </c>
      <c r="AO494" t="s">
        <v>83</v>
      </c>
      <c r="AP494" t="s">
        <v>82</v>
      </c>
      <c r="AQ494" t="s">
        <v>81</v>
      </c>
      <c r="AR494" t="s">
        <v>81</v>
      </c>
      <c r="AS494" t="s">
        <v>81</v>
      </c>
      <c r="AT494" t="s">
        <v>83</v>
      </c>
      <c r="AU494" t="s">
        <v>84</v>
      </c>
      <c r="AV494" t="s">
        <v>80</v>
      </c>
      <c r="AW494" t="s">
        <v>117</v>
      </c>
      <c r="AX494" t="s">
        <v>91</v>
      </c>
      <c r="AZ494" t="s">
        <v>107</v>
      </c>
      <c r="BA494" t="s">
        <v>87</v>
      </c>
      <c r="BB494" t="s">
        <v>87</v>
      </c>
      <c r="BC494" t="s">
        <v>87</v>
      </c>
      <c r="BD494" t="s">
        <v>87</v>
      </c>
      <c r="BE494" t="s">
        <v>87</v>
      </c>
      <c r="BF494" t="s">
        <v>75</v>
      </c>
      <c r="BG494" t="s">
        <v>92</v>
      </c>
      <c r="BH494" t="s">
        <v>98</v>
      </c>
      <c r="BI494" t="s">
        <v>107</v>
      </c>
      <c r="BJ494" t="s">
        <v>137</v>
      </c>
      <c r="BK494">
        <v>0</v>
      </c>
      <c r="BL494">
        <v>0</v>
      </c>
      <c r="BM494">
        <v>0</v>
      </c>
      <c r="BN494">
        <v>0</v>
      </c>
      <c r="BO494">
        <v>0</v>
      </c>
      <c r="BP494">
        <v>1</v>
      </c>
      <c r="BQ494">
        <v>0</v>
      </c>
      <c r="BR494">
        <v>0</v>
      </c>
    </row>
    <row r="495" spans="1:70" x14ac:dyDescent="0.2">
      <c r="A495" s="1">
        <v>44585.675694444442</v>
      </c>
      <c r="B495" s="1">
        <v>44585.677777777775</v>
      </c>
      <c r="C495">
        <v>0</v>
      </c>
      <c r="D495">
        <v>1</v>
      </c>
      <c r="E495">
        <v>0</v>
      </c>
      <c r="F495">
        <v>0</v>
      </c>
      <c r="H495">
        <v>1</v>
      </c>
      <c r="I495">
        <v>0</v>
      </c>
      <c r="J495">
        <v>0</v>
      </c>
      <c r="K495">
        <v>0</v>
      </c>
      <c r="L495">
        <v>0</v>
      </c>
      <c r="P495">
        <v>1</v>
      </c>
      <c r="Q495">
        <v>0</v>
      </c>
      <c r="R495">
        <v>0</v>
      </c>
      <c r="S495">
        <v>0</v>
      </c>
      <c r="T495">
        <v>0</v>
      </c>
      <c r="U495">
        <v>0</v>
      </c>
      <c r="V495">
        <v>0</v>
      </c>
      <c r="W495">
        <v>0</v>
      </c>
      <c r="X495">
        <v>0</v>
      </c>
      <c r="Y495">
        <v>0</v>
      </c>
      <c r="Z495">
        <v>0</v>
      </c>
      <c r="AA495">
        <v>0</v>
      </c>
      <c r="AC495">
        <v>0</v>
      </c>
      <c r="AD495">
        <v>0</v>
      </c>
      <c r="AE495">
        <v>1</v>
      </c>
      <c r="AF495">
        <v>0</v>
      </c>
      <c r="AG495">
        <v>0</v>
      </c>
      <c r="AH495">
        <v>0</v>
      </c>
      <c r="AI495">
        <v>0</v>
      </c>
      <c r="AJ495">
        <v>0</v>
      </c>
      <c r="AK495">
        <v>0</v>
      </c>
      <c r="AZ495" t="s">
        <v>120</v>
      </c>
      <c r="BA495" t="s">
        <v>86</v>
      </c>
      <c r="BB495" t="s">
        <v>74</v>
      </c>
      <c r="BC495" t="s">
        <v>74</v>
      </c>
      <c r="BD495" t="s">
        <v>86</v>
      </c>
      <c r="BE495" t="s">
        <v>87</v>
      </c>
      <c r="BF495" t="s">
        <v>101</v>
      </c>
      <c r="BG495" t="s">
        <v>92</v>
      </c>
      <c r="BH495" t="s">
        <v>98</v>
      </c>
      <c r="BI495" t="s">
        <v>120</v>
      </c>
      <c r="BJ495" t="s">
        <v>109</v>
      </c>
      <c r="BK495">
        <v>0</v>
      </c>
      <c r="BL495">
        <v>0</v>
      </c>
      <c r="BM495">
        <v>0</v>
      </c>
      <c r="BN495">
        <v>0</v>
      </c>
      <c r="BO495">
        <v>0</v>
      </c>
      <c r="BP495">
        <v>1</v>
      </c>
      <c r="BQ495">
        <v>0</v>
      </c>
      <c r="BR495">
        <v>0</v>
      </c>
    </row>
    <row r="496" spans="1:70" x14ac:dyDescent="0.2">
      <c r="A496" s="1">
        <v>44588.877083333333</v>
      </c>
      <c r="B496" s="1">
        <v>44588.878472222219</v>
      </c>
      <c r="C496">
        <v>1</v>
      </c>
      <c r="D496">
        <v>0</v>
      </c>
      <c r="E496">
        <v>0</v>
      </c>
      <c r="F496">
        <v>0</v>
      </c>
      <c r="H496">
        <v>1</v>
      </c>
      <c r="I496">
        <v>0</v>
      </c>
      <c r="J496">
        <v>0</v>
      </c>
      <c r="K496">
        <v>0</v>
      </c>
      <c r="L496">
        <v>0</v>
      </c>
      <c r="P496">
        <v>1</v>
      </c>
      <c r="Q496">
        <v>0</v>
      </c>
      <c r="R496">
        <v>0</v>
      </c>
      <c r="S496">
        <v>0</v>
      </c>
      <c r="T496">
        <v>0</v>
      </c>
      <c r="U496">
        <v>0</v>
      </c>
      <c r="V496">
        <v>0</v>
      </c>
      <c r="W496">
        <v>0</v>
      </c>
      <c r="X496">
        <v>0</v>
      </c>
      <c r="Y496">
        <v>0</v>
      </c>
      <c r="Z496">
        <v>0</v>
      </c>
      <c r="AA496">
        <v>0</v>
      </c>
      <c r="AC496">
        <v>0</v>
      </c>
      <c r="AD496">
        <v>0</v>
      </c>
      <c r="AE496">
        <v>1</v>
      </c>
      <c r="AF496">
        <v>0</v>
      </c>
      <c r="AG496">
        <v>0</v>
      </c>
      <c r="AH496">
        <v>1</v>
      </c>
      <c r="AI496">
        <v>0</v>
      </c>
      <c r="AJ496">
        <v>0</v>
      </c>
      <c r="AK496">
        <v>0</v>
      </c>
      <c r="AX496" t="s">
        <v>191</v>
      </c>
      <c r="AZ496" t="s">
        <v>73</v>
      </c>
      <c r="BA496" t="s">
        <v>87</v>
      </c>
      <c r="BB496" t="s">
        <v>87</v>
      </c>
      <c r="BC496" t="s">
        <v>87</v>
      </c>
      <c r="BD496" t="s">
        <v>87</v>
      </c>
      <c r="BE496" t="s">
        <v>87</v>
      </c>
      <c r="BF496" t="s">
        <v>108</v>
      </c>
      <c r="BG496" t="s">
        <v>92</v>
      </c>
      <c r="BH496" t="s">
        <v>98</v>
      </c>
      <c r="BI496" t="s">
        <v>73</v>
      </c>
      <c r="BJ496" t="s">
        <v>109</v>
      </c>
      <c r="BK496">
        <v>0</v>
      </c>
      <c r="BL496">
        <v>0</v>
      </c>
      <c r="BM496">
        <v>0</v>
      </c>
      <c r="BN496">
        <v>0</v>
      </c>
      <c r="BO496">
        <v>0</v>
      </c>
      <c r="BP496">
        <v>1</v>
      </c>
      <c r="BQ496">
        <v>0</v>
      </c>
      <c r="BR496">
        <v>0</v>
      </c>
    </row>
    <row r="497" spans="1:72" x14ac:dyDescent="0.2">
      <c r="A497" s="1">
        <v>44580.59652777778</v>
      </c>
      <c r="B497" s="1">
        <v>44580.597916666666</v>
      </c>
      <c r="C497">
        <v>0</v>
      </c>
      <c r="D497">
        <v>1</v>
      </c>
      <c r="E497">
        <v>0</v>
      </c>
      <c r="F497">
        <v>0</v>
      </c>
      <c r="H497">
        <v>1</v>
      </c>
      <c r="I497">
        <v>0</v>
      </c>
      <c r="J497">
        <v>0</v>
      </c>
      <c r="K497">
        <v>0</v>
      </c>
      <c r="L497">
        <v>0</v>
      </c>
      <c r="P497">
        <v>1</v>
      </c>
      <c r="Q497">
        <v>0</v>
      </c>
      <c r="R497">
        <v>0</v>
      </c>
      <c r="S497">
        <v>0</v>
      </c>
      <c r="T497">
        <v>0</v>
      </c>
      <c r="U497">
        <v>0</v>
      </c>
      <c r="V497">
        <v>0</v>
      </c>
      <c r="W497">
        <v>0</v>
      </c>
      <c r="X497">
        <v>0</v>
      </c>
      <c r="Y497">
        <v>0</v>
      </c>
      <c r="Z497">
        <v>0</v>
      </c>
      <c r="AA497">
        <v>0</v>
      </c>
      <c r="AC497">
        <v>0</v>
      </c>
      <c r="AD497">
        <v>1</v>
      </c>
      <c r="AE497">
        <v>0</v>
      </c>
      <c r="AF497">
        <v>0</v>
      </c>
      <c r="AG497">
        <v>0</v>
      </c>
      <c r="AH497">
        <v>0</v>
      </c>
      <c r="AI497">
        <v>0</v>
      </c>
      <c r="AJ497">
        <v>0</v>
      </c>
      <c r="AK497">
        <v>0</v>
      </c>
      <c r="AZ497" t="s">
        <v>73</v>
      </c>
      <c r="BA497" t="s">
        <v>74</v>
      </c>
      <c r="BF497" t="s">
        <v>97</v>
      </c>
      <c r="BG497" t="s">
        <v>92</v>
      </c>
      <c r="BH497" t="s">
        <v>98</v>
      </c>
      <c r="BI497" t="s">
        <v>73</v>
      </c>
      <c r="BJ497" t="s">
        <v>114</v>
      </c>
      <c r="BK497">
        <v>0</v>
      </c>
      <c r="BL497">
        <v>0</v>
      </c>
      <c r="BM497">
        <v>0</v>
      </c>
      <c r="BN497">
        <v>0</v>
      </c>
      <c r="BO497">
        <v>0</v>
      </c>
      <c r="BP497">
        <v>1</v>
      </c>
      <c r="BQ497">
        <v>0</v>
      </c>
      <c r="BR497">
        <v>0</v>
      </c>
    </row>
    <row r="498" spans="1:72" x14ac:dyDescent="0.2">
      <c r="A498" s="1">
        <v>44585.594444444447</v>
      </c>
      <c r="B498" s="1">
        <v>44585.595138888886</v>
      </c>
      <c r="C498">
        <v>0</v>
      </c>
      <c r="D498">
        <v>1</v>
      </c>
      <c r="E498">
        <v>0</v>
      </c>
      <c r="F498">
        <v>0</v>
      </c>
      <c r="H498">
        <v>1</v>
      </c>
      <c r="I498">
        <v>0</v>
      </c>
      <c r="J498">
        <v>0</v>
      </c>
      <c r="K498">
        <v>0</v>
      </c>
      <c r="L498">
        <v>0</v>
      </c>
      <c r="P498">
        <v>1</v>
      </c>
      <c r="Q498">
        <v>0</v>
      </c>
      <c r="R498">
        <v>0</v>
      </c>
      <c r="S498">
        <v>0</v>
      </c>
      <c r="T498">
        <v>0</v>
      </c>
      <c r="U498">
        <v>0</v>
      </c>
      <c r="V498">
        <v>0</v>
      </c>
      <c r="W498">
        <v>0</v>
      </c>
      <c r="X498">
        <v>0</v>
      </c>
      <c r="Y498">
        <v>0</v>
      </c>
      <c r="Z498">
        <v>0</v>
      </c>
      <c r="AA498">
        <v>0</v>
      </c>
      <c r="AC498">
        <v>0</v>
      </c>
      <c r="AD498">
        <v>1</v>
      </c>
      <c r="AE498">
        <v>0</v>
      </c>
      <c r="AF498">
        <v>0</v>
      </c>
      <c r="AG498">
        <v>0</v>
      </c>
      <c r="AH498">
        <v>0</v>
      </c>
      <c r="AI498">
        <v>0</v>
      </c>
      <c r="AJ498">
        <v>0</v>
      </c>
      <c r="AK498">
        <v>0</v>
      </c>
      <c r="AZ498" t="s">
        <v>120</v>
      </c>
      <c r="BA498" t="s">
        <v>87</v>
      </c>
      <c r="BB498" t="s">
        <v>87</v>
      </c>
      <c r="BC498" t="s">
        <v>87</v>
      </c>
      <c r="BD498" t="s">
        <v>87</v>
      </c>
      <c r="BE498" t="s">
        <v>87</v>
      </c>
      <c r="BF498" t="s">
        <v>97</v>
      </c>
      <c r="BG498" t="s">
        <v>92</v>
      </c>
      <c r="BH498" t="s">
        <v>98</v>
      </c>
      <c r="BI498" t="s">
        <v>120</v>
      </c>
      <c r="BJ498" t="s">
        <v>94</v>
      </c>
      <c r="BK498">
        <v>0</v>
      </c>
      <c r="BL498">
        <v>0</v>
      </c>
      <c r="BM498">
        <v>0</v>
      </c>
      <c r="BN498">
        <v>0</v>
      </c>
      <c r="BO498">
        <v>0</v>
      </c>
      <c r="BP498">
        <v>1</v>
      </c>
      <c r="BQ498">
        <v>0</v>
      </c>
      <c r="BR498">
        <v>0</v>
      </c>
    </row>
    <row r="499" spans="1:72" x14ac:dyDescent="0.2">
      <c r="A499" s="1">
        <v>44582.693749999999</v>
      </c>
      <c r="B499" s="1">
        <v>44585.709027777775</v>
      </c>
      <c r="C499">
        <v>1</v>
      </c>
      <c r="D499">
        <v>0</v>
      </c>
      <c r="E499">
        <v>0</v>
      </c>
      <c r="F499">
        <v>0</v>
      </c>
      <c r="H499">
        <v>0</v>
      </c>
      <c r="I499">
        <v>1</v>
      </c>
      <c r="J499">
        <v>1</v>
      </c>
      <c r="K499">
        <v>1</v>
      </c>
      <c r="L499">
        <v>1</v>
      </c>
      <c r="M499" t="s">
        <v>295</v>
      </c>
      <c r="N499" t="s">
        <v>88</v>
      </c>
      <c r="O499" t="s">
        <v>89</v>
      </c>
      <c r="P499">
        <v>0</v>
      </c>
      <c r="Q499">
        <v>0</v>
      </c>
      <c r="R499">
        <v>1</v>
      </c>
      <c r="S499">
        <v>0</v>
      </c>
      <c r="T499">
        <v>0</v>
      </c>
      <c r="U499">
        <v>0</v>
      </c>
      <c r="V499">
        <v>0</v>
      </c>
      <c r="W499">
        <v>0</v>
      </c>
      <c r="X499">
        <v>0</v>
      </c>
      <c r="Y499">
        <v>0</v>
      </c>
      <c r="Z499">
        <v>0</v>
      </c>
      <c r="AA499">
        <v>0</v>
      </c>
      <c r="AM499" t="s">
        <v>81</v>
      </c>
      <c r="AN499" t="s">
        <v>82</v>
      </c>
      <c r="AO499" t="s">
        <v>82</v>
      </c>
      <c r="AP499" t="s">
        <v>82</v>
      </c>
      <c r="AQ499" t="s">
        <v>83</v>
      </c>
      <c r="AR499" t="s">
        <v>81</v>
      </c>
      <c r="AS499" t="s">
        <v>81</v>
      </c>
      <c r="AT499" t="s">
        <v>83</v>
      </c>
      <c r="AU499" t="s">
        <v>88</v>
      </c>
      <c r="AV499" t="s">
        <v>89</v>
      </c>
      <c r="AW499" t="s">
        <v>100</v>
      </c>
      <c r="AZ499" t="s">
        <v>96</v>
      </c>
      <c r="BA499" t="s">
        <v>87</v>
      </c>
      <c r="BB499" t="s">
        <v>87</v>
      </c>
      <c r="BC499" t="s">
        <v>87</v>
      </c>
      <c r="BD499" t="s">
        <v>87</v>
      </c>
      <c r="BE499" t="s">
        <v>87</v>
      </c>
      <c r="BF499" t="s">
        <v>97</v>
      </c>
      <c r="BG499" t="s">
        <v>92</v>
      </c>
      <c r="BH499" t="s">
        <v>98</v>
      </c>
      <c r="BI499" t="s">
        <v>96</v>
      </c>
      <c r="BJ499" t="s">
        <v>78</v>
      </c>
      <c r="BK499">
        <v>0</v>
      </c>
      <c r="BL499">
        <v>0</v>
      </c>
      <c r="BM499">
        <v>0</v>
      </c>
      <c r="BN499">
        <v>0</v>
      </c>
      <c r="BO499">
        <v>0</v>
      </c>
      <c r="BP499">
        <v>1</v>
      </c>
      <c r="BQ499">
        <v>0</v>
      </c>
      <c r="BR499">
        <v>0</v>
      </c>
    </row>
    <row r="500" spans="1:72" x14ac:dyDescent="0.2">
      <c r="A500" s="1">
        <v>44585.646527777775</v>
      </c>
      <c r="B500" s="1">
        <v>44585.65</v>
      </c>
      <c r="C500">
        <v>1</v>
      </c>
      <c r="D500">
        <v>0</v>
      </c>
      <c r="E500">
        <v>0</v>
      </c>
      <c r="F500">
        <v>0</v>
      </c>
      <c r="H500">
        <v>1</v>
      </c>
      <c r="I500">
        <v>0</v>
      </c>
      <c r="J500">
        <v>0</v>
      </c>
      <c r="K500">
        <v>0</v>
      </c>
      <c r="L500">
        <v>0</v>
      </c>
      <c r="P500">
        <v>0</v>
      </c>
      <c r="Q500">
        <v>1</v>
      </c>
      <c r="R500">
        <v>0</v>
      </c>
      <c r="S500">
        <v>1</v>
      </c>
      <c r="T500">
        <v>1</v>
      </c>
      <c r="U500">
        <v>0</v>
      </c>
      <c r="V500">
        <v>0</v>
      </c>
      <c r="W500">
        <v>0</v>
      </c>
      <c r="X500">
        <v>0</v>
      </c>
      <c r="Y500">
        <v>0</v>
      </c>
      <c r="Z500">
        <v>0</v>
      </c>
      <c r="AA500">
        <v>0</v>
      </c>
      <c r="AM500" t="s">
        <v>83</v>
      </c>
      <c r="AN500" t="s">
        <v>83</v>
      </c>
      <c r="AO500" t="s">
        <v>83</v>
      </c>
      <c r="AP500" t="s">
        <v>83</v>
      </c>
      <c r="AQ500" t="s">
        <v>82</v>
      </c>
      <c r="AR500" t="s">
        <v>83</v>
      </c>
      <c r="AS500" t="s">
        <v>83</v>
      </c>
      <c r="AT500" t="s">
        <v>83</v>
      </c>
      <c r="AU500" t="s">
        <v>135</v>
      </c>
      <c r="AV500" t="s">
        <v>80</v>
      </c>
      <c r="AW500" t="s">
        <v>85</v>
      </c>
      <c r="AZ500" t="s">
        <v>73</v>
      </c>
      <c r="BA500" t="s">
        <v>74</v>
      </c>
      <c r="BF500" t="s">
        <v>97</v>
      </c>
      <c r="BG500" t="s">
        <v>92</v>
      </c>
      <c r="BH500" t="s">
        <v>158</v>
      </c>
      <c r="BI500" t="s">
        <v>73</v>
      </c>
      <c r="BJ500" t="s">
        <v>114</v>
      </c>
      <c r="BK500">
        <v>0</v>
      </c>
      <c r="BL500">
        <v>0</v>
      </c>
      <c r="BM500">
        <v>0</v>
      </c>
      <c r="BN500">
        <v>0</v>
      </c>
      <c r="BO500">
        <v>0</v>
      </c>
      <c r="BP500">
        <v>1</v>
      </c>
      <c r="BQ500">
        <v>0</v>
      </c>
      <c r="BR500">
        <v>0</v>
      </c>
    </row>
    <row r="501" spans="1:72" x14ac:dyDescent="0.2">
      <c r="A501" s="1">
        <v>44579.979861111111</v>
      </c>
      <c r="B501" s="1">
        <v>44579.981944444444</v>
      </c>
      <c r="C501">
        <v>1</v>
      </c>
      <c r="D501">
        <v>0</v>
      </c>
      <c r="E501">
        <v>0</v>
      </c>
      <c r="F501">
        <v>0</v>
      </c>
      <c r="H501">
        <v>1</v>
      </c>
      <c r="I501">
        <v>0</v>
      </c>
      <c r="J501">
        <v>0</v>
      </c>
      <c r="K501">
        <v>0</v>
      </c>
      <c r="L501">
        <v>0</v>
      </c>
      <c r="P501">
        <v>1</v>
      </c>
      <c r="Q501">
        <v>0</v>
      </c>
      <c r="R501">
        <v>0</v>
      </c>
      <c r="S501">
        <v>0</v>
      </c>
      <c r="T501">
        <v>0</v>
      </c>
      <c r="U501">
        <v>0</v>
      </c>
      <c r="V501">
        <v>0</v>
      </c>
      <c r="W501">
        <v>0</v>
      </c>
      <c r="X501">
        <v>0</v>
      </c>
      <c r="Y501">
        <v>0</v>
      </c>
      <c r="Z501">
        <v>0</v>
      </c>
      <c r="AA501">
        <v>0</v>
      </c>
      <c r="AC501">
        <v>0</v>
      </c>
      <c r="AD501">
        <v>0</v>
      </c>
      <c r="AE501">
        <v>0</v>
      </c>
      <c r="AF501">
        <v>0</v>
      </c>
      <c r="AG501">
        <v>0</v>
      </c>
      <c r="AH501">
        <v>0</v>
      </c>
      <c r="AI501">
        <v>1</v>
      </c>
      <c r="AJ501">
        <v>1</v>
      </c>
      <c r="AK501">
        <v>1</v>
      </c>
      <c r="AL501" t="s">
        <v>296</v>
      </c>
      <c r="AX501" t="s">
        <v>146</v>
      </c>
      <c r="AZ501" t="s">
        <v>96</v>
      </c>
      <c r="BA501" t="s">
        <v>86</v>
      </c>
      <c r="BB501" t="s">
        <v>86</v>
      </c>
      <c r="BC501" t="s">
        <v>74</v>
      </c>
      <c r="BD501" t="s">
        <v>86</v>
      </c>
      <c r="BE501" t="s">
        <v>74</v>
      </c>
      <c r="BF501" t="s">
        <v>108</v>
      </c>
      <c r="BG501" t="s">
        <v>76</v>
      </c>
      <c r="BH501" t="s">
        <v>77</v>
      </c>
      <c r="BI501" t="s">
        <v>96</v>
      </c>
      <c r="BK501">
        <v>0</v>
      </c>
      <c r="BL501">
        <v>0</v>
      </c>
      <c r="BM501">
        <v>0</v>
      </c>
      <c r="BN501">
        <v>0</v>
      </c>
      <c r="BO501">
        <v>0</v>
      </c>
      <c r="BP501">
        <v>1</v>
      </c>
      <c r="BQ501">
        <v>0</v>
      </c>
      <c r="BR501">
        <v>0</v>
      </c>
      <c r="BT501" t="s">
        <v>163</v>
      </c>
    </row>
    <row r="502" spans="1:72" x14ac:dyDescent="0.2">
      <c r="A502" s="1">
        <v>44579.976388888892</v>
      </c>
      <c r="B502" s="1">
        <v>44579.979166666664</v>
      </c>
      <c r="C502">
        <v>1</v>
      </c>
      <c r="D502">
        <v>0</v>
      </c>
      <c r="E502">
        <v>0</v>
      </c>
      <c r="F502">
        <v>0</v>
      </c>
      <c r="H502">
        <v>1</v>
      </c>
      <c r="I502">
        <v>0</v>
      </c>
      <c r="J502">
        <v>0</v>
      </c>
      <c r="K502">
        <v>0</v>
      </c>
      <c r="L502">
        <v>0</v>
      </c>
      <c r="P502">
        <v>0</v>
      </c>
      <c r="Q502">
        <v>0</v>
      </c>
      <c r="R502">
        <v>1</v>
      </c>
      <c r="S502">
        <v>0</v>
      </c>
      <c r="T502">
        <v>0</v>
      </c>
      <c r="U502">
        <v>0</v>
      </c>
      <c r="V502">
        <v>0</v>
      </c>
      <c r="W502">
        <v>0</v>
      </c>
      <c r="X502">
        <v>0</v>
      </c>
      <c r="Y502">
        <v>0</v>
      </c>
      <c r="Z502">
        <v>0</v>
      </c>
      <c r="AA502">
        <v>0</v>
      </c>
      <c r="AM502" t="s">
        <v>82</v>
      </c>
      <c r="AN502" t="s">
        <v>81</v>
      </c>
      <c r="AO502" t="s">
        <v>83</v>
      </c>
      <c r="AP502" t="s">
        <v>83</v>
      </c>
      <c r="AQ502" t="s">
        <v>82</v>
      </c>
      <c r="AR502" t="s">
        <v>83</v>
      </c>
      <c r="AS502" t="s">
        <v>82</v>
      </c>
      <c r="AT502" t="s">
        <v>83</v>
      </c>
      <c r="AU502" t="s">
        <v>127</v>
      </c>
      <c r="AV502" t="s">
        <v>127</v>
      </c>
      <c r="AZ502" t="s">
        <v>73</v>
      </c>
      <c r="BA502" t="s">
        <v>87</v>
      </c>
      <c r="BB502" t="s">
        <v>74</v>
      </c>
      <c r="BC502" t="s">
        <v>87</v>
      </c>
      <c r="BD502" t="s">
        <v>74</v>
      </c>
      <c r="BE502" t="s">
        <v>74</v>
      </c>
      <c r="BF502" t="s">
        <v>97</v>
      </c>
      <c r="BG502" t="s">
        <v>92</v>
      </c>
      <c r="BH502" t="s">
        <v>98</v>
      </c>
      <c r="BI502" t="s">
        <v>73</v>
      </c>
      <c r="BJ502" t="s">
        <v>94</v>
      </c>
      <c r="BK502">
        <v>0</v>
      </c>
      <c r="BL502">
        <v>0</v>
      </c>
      <c r="BM502">
        <v>0</v>
      </c>
      <c r="BN502">
        <v>0</v>
      </c>
      <c r="BO502">
        <v>0</v>
      </c>
      <c r="BP502">
        <v>1</v>
      </c>
      <c r="BQ502">
        <v>0</v>
      </c>
      <c r="BR502">
        <v>0</v>
      </c>
    </row>
    <row r="503" spans="1:72" x14ac:dyDescent="0.2">
      <c r="A503" s="1">
        <v>44579.904861111114</v>
      </c>
      <c r="B503" s="1">
        <v>44579.906944444447</v>
      </c>
      <c r="C503">
        <v>1</v>
      </c>
      <c r="D503">
        <v>0</v>
      </c>
      <c r="E503">
        <v>0</v>
      </c>
      <c r="F503">
        <v>0</v>
      </c>
      <c r="H503">
        <v>0</v>
      </c>
      <c r="I503">
        <v>0</v>
      </c>
      <c r="J503">
        <v>0</v>
      </c>
      <c r="K503">
        <v>0</v>
      </c>
      <c r="L503">
        <v>1</v>
      </c>
      <c r="M503" t="s">
        <v>297</v>
      </c>
      <c r="N503" t="s">
        <v>79</v>
      </c>
      <c r="O503" t="s">
        <v>80</v>
      </c>
      <c r="P503">
        <v>1</v>
      </c>
      <c r="Q503">
        <v>0</v>
      </c>
      <c r="R503">
        <v>0</v>
      </c>
      <c r="S503">
        <v>0</v>
      </c>
      <c r="T503">
        <v>0</v>
      </c>
      <c r="U503">
        <v>0</v>
      </c>
      <c r="V503">
        <v>0</v>
      </c>
      <c r="W503">
        <v>0</v>
      </c>
      <c r="X503">
        <v>0</v>
      </c>
      <c r="Y503">
        <v>0</v>
      </c>
      <c r="Z503">
        <v>0</v>
      </c>
      <c r="AA503">
        <v>0</v>
      </c>
      <c r="AC503">
        <v>0</v>
      </c>
      <c r="AD503">
        <v>0</v>
      </c>
      <c r="AE503">
        <v>1</v>
      </c>
      <c r="AF503">
        <v>0</v>
      </c>
      <c r="AG503">
        <v>0</v>
      </c>
      <c r="AH503">
        <v>0</v>
      </c>
      <c r="AI503">
        <v>0</v>
      </c>
      <c r="AJ503">
        <v>0</v>
      </c>
      <c r="AK503">
        <v>0</v>
      </c>
      <c r="AX503" t="s">
        <v>110</v>
      </c>
      <c r="AY503" t="s">
        <v>298</v>
      </c>
      <c r="AZ503" t="s">
        <v>107</v>
      </c>
      <c r="BA503" t="s">
        <v>74</v>
      </c>
      <c r="BF503" t="s">
        <v>108</v>
      </c>
      <c r="BG503" t="s">
        <v>92</v>
      </c>
      <c r="BH503" t="s">
        <v>98</v>
      </c>
      <c r="BI503" t="s">
        <v>107</v>
      </c>
      <c r="BK503">
        <v>0</v>
      </c>
      <c r="BL503">
        <v>0</v>
      </c>
      <c r="BM503">
        <v>0</v>
      </c>
      <c r="BN503">
        <v>0</v>
      </c>
      <c r="BO503">
        <v>0</v>
      </c>
      <c r="BP503">
        <v>1</v>
      </c>
      <c r="BQ503">
        <v>0</v>
      </c>
      <c r="BR503">
        <v>0</v>
      </c>
    </row>
    <row r="504" spans="1:72" x14ac:dyDescent="0.2">
      <c r="A504" s="1">
        <v>44581.037499999999</v>
      </c>
      <c r="B504" s="1">
        <v>44581.040277777778</v>
      </c>
      <c r="C504">
        <v>1</v>
      </c>
      <c r="D504">
        <v>0</v>
      </c>
      <c r="E504">
        <v>0</v>
      </c>
      <c r="F504">
        <v>0</v>
      </c>
      <c r="H504">
        <v>1</v>
      </c>
      <c r="I504">
        <v>0</v>
      </c>
      <c r="J504">
        <v>0</v>
      </c>
      <c r="K504">
        <v>0</v>
      </c>
      <c r="L504">
        <v>0</v>
      </c>
      <c r="P504">
        <v>0</v>
      </c>
      <c r="Q504">
        <v>0</v>
      </c>
      <c r="R504">
        <v>1</v>
      </c>
      <c r="S504">
        <v>0</v>
      </c>
      <c r="T504">
        <v>0</v>
      </c>
      <c r="U504">
        <v>0</v>
      </c>
      <c r="V504">
        <v>0</v>
      </c>
      <c r="W504">
        <v>0</v>
      </c>
      <c r="X504">
        <v>0</v>
      </c>
      <c r="Y504">
        <v>0</v>
      </c>
      <c r="Z504">
        <v>0</v>
      </c>
      <c r="AA504">
        <v>0</v>
      </c>
      <c r="AM504" t="s">
        <v>81</v>
      </c>
      <c r="AN504" t="s">
        <v>81</v>
      </c>
      <c r="AO504" t="s">
        <v>90</v>
      </c>
      <c r="AP504" t="s">
        <v>81</v>
      </c>
      <c r="AQ504" t="s">
        <v>82</v>
      </c>
      <c r="AR504" t="s">
        <v>83</v>
      </c>
      <c r="AS504" t="s">
        <v>83</v>
      </c>
      <c r="AT504" t="s">
        <v>81</v>
      </c>
      <c r="AU504" t="s">
        <v>88</v>
      </c>
      <c r="AV504" t="s">
        <v>89</v>
      </c>
      <c r="AW504" t="s">
        <v>117</v>
      </c>
      <c r="AX504" t="s">
        <v>118</v>
      </c>
      <c r="AZ504" t="s">
        <v>107</v>
      </c>
      <c r="BA504" t="s">
        <v>87</v>
      </c>
      <c r="BB504" t="s">
        <v>74</v>
      </c>
      <c r="BC504" t="s">
        <v>87</v>
      </c>
      <c r="BD504" t="s">
        <v>74</v>
      </c>
      <c r="BE504" t="s">
        <v>87</v>
      </c>
      <c r="BF504" t="s">
        <v>75</v>
      </c>
      <c r="BG504" t="s">
        <v>92</v>
      </c>
      <c r="BH504" t="s">
        <v>93</v>
      </c>
      <c r="BI504" t="s">
        <v>107</v>
      </c>
      <c r="BJ504" t="s">
        <v>154</v>
      </c>
      <c r="BK504">
        <v>0</v>
      </c>
      <c r="BL504">
        <v>0</v>
      </c>
      <c r="BM504">
        <v>0</v>
      </c>
      <c r="BN504">
        <v>0</v>
      </c>
      <c r="BO504">
        <v>0</v>
      </c>
      <c r="BP504">
        <v>1</v>
      </c>
      <c r="BQ504">
        <v>0</v>
      </c>
      <c r="BR504">
        <v>0</v>
      </c>
    </row>
    <row r="505" spans="1:72" x14ac:dyDescent="0.2">
      <c r="A505" s="1">
        <v>44580.931250000001</v>
      </c>
      <c r="B505" s="1">
        <v>44580.933333333334</v>
      </c>
      <c r="C505">
        <v>0</v>
      </c>
      <c r="D505">
        <v>1</v>
      </c>
      <c r="E505">
        <v>0</v>
      </c>
      <c r="F505">
        <v>0</v>
      </c>
      <c r="H505">
        <v>1</v>
      </c>
      <c r="I505">
        <v>0</v>
      </c>
      <c r="J505">
        <v>0</v>
      </c>
      <c r="K505">
        <v>0</v>
      </c>
      <c r="L505">
        <v>0</v>
      </c>
      <c r="P505">
        <v>0</v>
      </c>
      <c r="Q505">
        <v>1</v>
      </c>
      <c r="R505">
        <v>0</v>
      </c>
      <c r="S505">
        <v>0</v>
      </c>
      <c r="T505">
        <v>0</v>
      </c>
      <c r="U505">
        <v>0</v>
      </c>
      <c r="V505">
        <v>0</v>
      </c>
      <c r="W505">
        <v>0</v>
      </c>
      <c r="X505">
        <v>0</v>
      </c>
      <c r="Y505">
        <v>0</v>
      </c>
      <c r="Z505">
        <v>0</v>
      </c>
      <c r="AA505">
        <v>0</v>
      </c>
      <c r="AM505" t="s">
        <v>83</v>
      </c>
      <c r="AN505" t="s">
        <v>82</v>
      </c>
      <c r="AO505" t="s">
        <v>81</v>
      </c>
      <c r="AP505" t="s">
        <v>83</v>
      </c>
      <c r="AQ505" t="s">
        <v>83</v>
      </c>
      <c r="AR505" t="s">
        <v>83</v>
      </c>
      <c r="AS505" t="s">
        <v>83</v>
      </c>
      <c r="AT505" t="s">
        <v>83</v>
      </c>
      <c r="AU505" t="s">
        <v>88</v>
      </c>
      <c r="AV505" t="s">
        <v>89</v>
      </c>
      <c r="AW505" t="s">
        <v>100</v>
      </c>
      <c r="AZ505" t="s">
        <v>73</v>
      </c>
      <c r="BA505" t="s">
        <v>87</v>
      </c>
      <c r="BB505" t="s">
        <v>86</v>
      </c>
      <c r="BC505" t="s">
        <v>87</v>
      </c>
      <c r="BD505" t="s">
        <v>87</v>
      </c>
      <c r="BE505" t="s">
        <v>74</v>
      </c>
      <c r="BF505" t="s">
        <v>97</v>
      </c>
      <c r="BG505" t="s">
        <v>92</v>
      </c>
      <c r="BH505" t="s">
        <v>158</v>
      </c>
      <c r="BI505" t="s">
        <v>73</v>
      </c>
      <c r="BJ505" t="s">
        <v>114</v>
      </c>
      <c r="BK505">
        <v>0</v>
      </c>
      <c r="BL505">
        <v>0</v>
      </c>
      <c r="BM505">
        <v>0</v>
      </c>
      <c r="BN505">
        <v>0</v>
      </c>
      <c r="BO505">
        <v>0</v>
      </c>
      <c r="BP505">
        <v>1</v>
      </c>
      <c r="BQ505">
        <v>0</v>
      </c>
      <c r="BR505">
        <v>0</v>
      </c>
    </row>
    <row r="506" spans="1:72" x14ac:dyDescent="0.2">
      <c r="A506" s="1">
        <v>44579.929166666669</v>
      </c>
      <c r="B506" s="1">
        <v>44579.929861111108</v>
      </c>
      <c r="C506">
        <v>0</v>
      </c>
      <c r="D506">
        <v>1</v>
      </c>
      <c r="E506">
        <v>0</v>
      </c>
      <c r="F506">
        <v>0</v>
      </c>
      <c r="H506">
        <v>1</v>
      </c>
      <c r="I506">
        <v>0</v>
      </c>
      <c r="J506">
        <v>0</v>
      </c>
      <c r="K506">
        <v>0</v>
      </c>
      <c r="L506">
        <v>0</v>
      </c>
      <c r="P506">
        <v>1</v>
      </c>
      <c r="Q506">
        <v>0</v>
      </c>
      <c r="R506">
        <v>0</v>
      </c>
      <c r="S506">
        <v>0</v>
      </c>
      <c r="T506">
        <v>0</v>
      </c>
      <c r="U506">
        <v>0</v>
      </c>
      <c r="V506">
        <v>0</v>
      </c>
      <c r="W506">
        <v>0</v>
      </c>
      <c r="X506">
        <v>0</v>
      </c>
      <c r="Y506">
        <v>0</v>
      </c>
      <c r="Z506">
        <v>0</v>
      </c>
      <c r="AA506">
        <v>0</v>
      </c>
      <c r="AC506">
        <v>0</v>
      </c>
      <c r="AD506">
        <v>0</v>
      </c>
      <c r="AE506">
        <v>0</v>
      </c>
      <c r="AF506">
        <v>0</v>
      </c>
      <c r="AG506">
        <v>0</v>
      </c>
      <c r="AH506">
        <v>0</v>
      </c>
      <c r="AI506">
        <v>1</v>
      </c>
      <c r="AJ506">
        <v>0</v>
      </c>
      <c r="AK506">
        <v>0</v>
      </c>
      <c r="AZ506" t="s">
        <v>73</v>
      </c>
      <c r="BA506" t="s">
        <v>74</v>
      </c>
      <c r="BF506" t="s">
        <v>97</v>
      </c>
      <c r="BG506" t="s">
        <v>92</v>
      </c>
      <c r="BH506" t="s">
        <v>158</v>
      </c>
      <c r="BI506" t="s">
        <v>73</v>
      </c>
      <c r="BJ506" t="s">
        <v>109</v>
      </c>
      <c r="BK506">
        <v>0</v>
      </c>
      <c r="BL506">
        <v>0</v>
      </c>
      <c r="BM506">
        <v>0</v>
      </c>
      <c r="BN506">
        <v>0</v>
      </c>
      <c r="BO506">
        <v>0</v>
      </c>
      <c r="BP506">
        <v>1</v>
      </c>
      <c r="BQ506">
        <v>0</v>
      </c>
      <c r="BR506">
        <v>0</v>
      </c>
    </row>
    <row r="507" spans="1:72" x14ac:dyDescent="0.2">
      <c r="A507" s="1">
        <v>44580.593055555553</v>
      </c>
      <c r="B507" s="1">
        <v>44580.594444444447</v>
      </c>
      <c r="C507">
        <v>1</v>
      </c>
      <c r="D507">
        <v>0</v>
      </c>
      <c r="E507">
        <v>0</v>
      </c>
      <c r="F507">
        <v>0</v>
      </c>
      <c r="H507">
        <v>1</v>
      </c>
      <c r="I507">
        <v>0</v>
      </c>
      <c r="J507">
        <v>0</v>
      </c>
      <c r="K507">
        <v>0</v>
      </c>
      <c r="L507">
        <v>0</v>
      </c>
      <c r="P507">
        <v>1</v>
      </c>
      <c r="Q507">
        <v>0</v>
      </c>
      <c r="R507">
        <v>0</v>
      </c>
      <c r="S507">
        <v>0</v>
      </c>
      <c r="T507">
        <v>0</v>
      </c>
      <c r="U507">
        <v>0</v>
      </c>
      <c r="V507">
        <v>0</v>
      </c>
      <c r="W507">
        <v>0</v>
      </c>
      <c r="X507">
        <v>0</v>
      </c>
      <c r="Y507">
        <v>0</v>
      </c>
      <c r="Z507">
        <v>0</v>
      </c>
      <c r="AA507">
        <v>0</v>
      </c>
      <c r="AC507">
        <v>0</v>
      </c>
      <c r="AD507">
        <v>0</v>
      </c>
      <c r="AE507">
        <v>1</v>
      </c>
      <c r="AF507">
        <v>0</v>
      </c>
      <c r="AG507">
        <v>0</v>
      </c>
      <c r="AH507">
        <v>1</v>
      </c>
      <c r="AI507">
        <v>0</v>
      </c>
      <c r="AJ507">
        <v>0</v>
      </c>
      <c r="AK507">
        <v>0</v>
      </c>
      <c r="AX507" t="s">
        <v>191</v>
      </c>
      <c r="AZ507" t="s">
        <v>96</v>
      </c>
      <c r="BA507" t="s">
        <v>87</v>
      </c>
      <c r="BB507" t="s">
        <v>87</v>
      </c>
      <c r="BC507" t="s">
        <v>87</v>
      </c>
      <c r="BD507" t="s">
        <v>87</v>
      </c>
      <c r="BE507" t="s">
        <v>87</v>
      </c>
      <c r="BF507" t="s">
        <v>75</v>
      </c>
      <c r="BG507" t="s">
        <v>92</v>
      </c>
      <c r="BH507" t="s">
        <v>98</v>
      </c>
      <c r="BI507" t="s">
        <v>96</v>
      </c>
      <c r="BJ507" t="s">
        <v>102</v>
      </c>
      <c r="BK507">
        <v>0</v>
      </c>
      <c r="BL507">
        <v>0</v>
      </c>
      <c r="BM507">
        <v>0</v>
      </c>
      <c r="BN507">
        <v>0</v>
      </c>
      <c r="BO507">
        <v>0</v>
      </c>
      <c r="BP507">
        <v>1</v>
      </c>
      <c r="BQ507">
        <v>0</v>
      </c>
      <c r="BR507">
        <v>0</v>
      </c>
    </row>
    <row r="508" spans="1:72" x14ac:dyDescent="0.2">
      <c r="A508" s="1">
        <v>44579.884027777778</v>
      </c>
      <c r="B508" s="1">
        <v>44579.885416666664</v>
      </c>
      <c r="C508">
        <v>1</v>
      </c>
      <c r="D508">
        <v>0</v>
      </c>
      <c r="E508">
        <v>0</v>
      </c>
      <c r="F508">
        <v>0</v>
      </c>
      <c r="H508">
        <v>0</v>
      </c>
      <c r="I508">
        <v>1</v>
      </c>
      <c r="J508">
        <v>0</v>
      </c>
      <c r="K508">
        <v>0</v>
      </c>
      <c r="L508">
        <v>0</v>
      </c>
      <c r="N508" t="s">
        <v>88</v>
      </c>
      <c r="O508" t="s">
        <v>89</v>
      </c>
      <c r="P508">
        <v>1</v>
      </c>
      <c r="Q508">
        <v>0</v>
      </c>
      <c r="R508">
        <v>0</v>
      </c>
      <c r="S508">
        <v>0</v>
      </c>
      <c r="T508">
        <v>0</v>
      </c>
      <c r="U508">
        <v>0</v>
      </c>
      <c r="V508">
        <v>0</v>
      </c>
      <c r="W508">
        <v>0</v>
      </c>
      <c r="X508">
        <v>0</v>
      </c>
      <c r="Y508">
        <v>0</v>
      </c>
      <c r="Z508">
        <v>0</v>
      </c>
      <c r="AA508">
        <v>0</v>
      </c>
      <c r="AC508">
        <v>0</v>
      </c>
      <c r="AD508">
        <v>0</v>
      </c>
      <c r="AE508">
        <v>0</v>
      </c>
      <c r="AF508">
        <v>0</v>
      </c>
      <c r="AG508">
        <v>0</v>
      </c>
      <c r="AH508">
        <v>0</v>
      </c>
      <c r="AI508">
        <v>1</v>
      </c>
      <c r="AJ508">
        <v>0</v>
      </c>
      <c r="AK508">
        <v>0</v>
      </c>
      <c r="AZ508" t="s">
        <v>107</v>
      </c>
      <c r="BA508" t="s">
        <v>86</v>
      </c>
      <c r="BB508" t="s">
        <v>87</v>
      </c>
      <c r="BC508" t="s">
        <v>87</v>
      </c>
      <c r="BD508" t="s">
        <v>86</v>
      </c>
      <c r="BE508" t="s">
        <v>87</v>
      </c>
      <c r="BF508" t="s">
        <v>97</v>
      </c>
      <c r="BG508" t="s">
        <v>92</v>
      </c>
      <c r="BH508" t="s">
        <v>158</v>
      </c>
      <c r="BI508" t="s">
        <v>107</v>
      </c>
      <c r="BJ508" t="s">
        <v>78</v>
      </c>
      <c r="BK508">
        <v>0</v>
      </c>
      <c r="BL508">
        <v>0</v>
      </c>
      <c r="BM508">
        <v>0</v>
      </c>
      <c r="BN508">
        <v>0</v>
      </c>
      <c r="BO508">
        <v>0</v>
      </c>
      <c r="BP508">
        <v>1</v>
      </c>
      <c r="BQ508">
        <v>0</v>
      </c>
      <c r="BR508">
        <v>0</v>
      </c>
    </row>
    <row r="509" spans="1:72" x14ac:dyDescent="0.2">
      <c r="A509" s="1">
        <v>44588.878472222219</v>
      </c>
      <c r="B509" s="1">
        <v>44588.881944444445</v>
      </c>
      <c r="C509">
        <v>0</v>
      </c>
      <c r="D509">
        <v>1</v>
      </c>
      <c r="E509">
        <v>0</v>
      </c>
      <c r="F509">
        <v>0</v>
      </c>
      <c r="H509">
        <v>0</v>
      </c>
      <c r="I509">
        <v>0</v>
      </c>
      <c r="J509">
        <v>0</v>
      </c>
      <c r="K509">
        <v>0</v>
      </c>
      <c r="L509">
        <v>1</v>
      </c>
      <c r="M509" t="s">
        <v>299</v>
      </c>
      <c r="N509" t="s">
        <v>88</v>
      </c>
      <c r="O509" t="s">
        <v>89</v>
      </c>
      <c r="P509">
        <v>1</v>
      </c>
      <c r="Q509">
        <v>0</v>
      </c>
      <c r="R509">
        <v>0</v>
      </c>
      <c r="S509">
        <v>0</v>
      </c>
      <c r="T509">
        <v>0</v>
      </c>
      <c r="U509">
        <v>0</v>
      </c>
      <c r="V509">
        <v>0</v>
      </c>
      <c r="W509">
        <v>0</v>
      </c>
      <c r="X509">
        <v>0</v>
      </c>
      <c r="Y509">
        <v>0</v>
      </c>
      <c r="Z509">
        <v>0</v>
      </c>
      <c r="AA509">
        <v>0</v>
      </c>
      <c r="AC509">
        <v>0</v>
      </c>
      <c r="AD509">
        <v>0</v>
      </c>
      <c r="AE509">
        <v>1</v>
      </c>
      <c r="AF509">
        <v>0</v>
      </c>
      <c r="AG509">
        <v>0</v>
      </c>
      <c r="AH509">
        <v>0</v>
      </c>
      <c r="AI509">
        <v>0</v>
      </c>
      <c r="AJ509">
        <v>0</v>
      </c>
      <c r="AK509">
        <v>0</v>
      </c>
      <c r="AX509" t="s">
        <v>126</v>
      </c>
      <c r="AZ509" t="s">
        <v>107</v>
      </c>
      <c r="BA509" t="s">
        <v>86</v>
      </c>
      <c r="BB509" t="s">
        <v>86</v>
      </c>
      <c r="BC509" t="s">
        <v>86</v>
      </c>
      <c r="BD509" t="s">
        <v>74</v>
      </c>
      <c r="BE509" t="s">
        <v>87</v>
      </c>
      <c r="BF509" t="s">
        <v>75</v>
      </c>
      <c r="BG509" t="s">
        <v>92</v>
      </c>
      <c r="BH509" t="s">
        <v>77</v>
      </c>
      <c r="BI509" t="s">
        <v>107</v>
      </c>
      <c r="BJ509" t="s">
        <v>114</v>
      </c>
      <c r="BK509">
        <v>0</v>
      </c>
      <c r="BL509">
        <v>0</v>
      </c>
      <c r="BM509">
        <v>0</v>
      </c>
      <c r="BN509">
        <v>0</v>
      </c>
      <c r="BO509">
        <v>0</v>
      </c>
      <c r="BP509">
        <v>0</v>
      </c>
      <c r="BQ509">
        <v>1</v>
      </c>
      <c r="BR509">
        <v>0</v>
      </c>
    </row>
    <row r="510" spans="1:72" x14ac:dyDescent="0.2">
      <c r="A510" s="1">
        <v>44585.642361111109</v>
      </c>
      <c r="B510" s="1">
        <v>44585.652083333334</v>
      </c>
      <c r="C510">
        <v>1</v>
      </c>
      <c r="D510">
        <v>0</v>
      </c>
      <c r="E510">
        <v>0</v>
      </c>
      <c r="F510">
        <v>0</v>
      </c>
      <c r="H510">
        <v>0</v>
      </c>
      <c r="I510">
        <v>0</v>
      </c>
      <c r="J510">
        <v>1</v>
      </c>
      <c r="K510">
        <v>0</v>
      </c>
      <c r="L510">
        <v>0</v>
      </c>
      <c r="N510" t="s">
        <v>79</v>
      </c>
      <c r="O510" t="s">
        <v>223</v>
      </c>
      <c r="P510">
        <v>0</v>
      </c>
      <c r="Q510">
        <v>0</v>
      </c>
      <c r="R510">
        <v>1</v>
      </c>
      <c r="S510">
        <v>0</v>
      </c>
      <c r="T510">
        <v>0</v>
      </c>
      <c r="U510">
        <v>0</v>
      </c>
      <c r="V510">
        <v>0</v>
      </c>
      <c r="W510">
        <v>0</v>
      </c>
      <c r="X510">
        <v>0</v>
      </c>
      <c r="Y510">
        <v>0</v>
      </c>
      <c r="Z510">
        <v>0</v>
      </c>
      <c r="AA510">
        <v>0</v>
      </c>
      <c r="AM510" t="s">
        <v>82</v>
      </c>
      <c r="AN510" t="s">
        <v>81</v>
      </c>
      <c r="AO510" t="s">
        <v>83</v>
      </c>
      <c r="AP510" t="s">
        <v>82</v>
      </c>
      <c r="AQ510" t="s">
        <v>82</v>
      </c>
      <c r="AR510" t="s">
        <v>81</v>
      </c>
      <c r="AS510" t="s">
        <v>81</v>
      </c>
      <c r="AT510" t="s">
        <v>83</v>
      </c>
      <c r="AU510" t="s">
        <v>88</v>
      </c>
      <c r="AV510" t="s">
        <v>89</v>
      </c>
      <c r="AW510" t="s">
        <v>117</v>
      </c>
      <c r="AX510" t="s">
        <v>175</v>
      </c>
      <c r="AZ510" t="s">
        <v>73</v>
      </c>
      <c r="BA510" t="s">
        <v>86</v>
      </c>
      <c r="BB510" t="s">
        <v>87</v>
      </c>
      <c r="BC510" t="s">
        <v>87</v>
      </c>
      <c r="BD510" t="s">
        <v>86</v>
      </c>
      <c r="BE510" t="s">
        <v>87</v>
      </c>
      <c r="BF510" t="s">
        <v>113</v>
      </c>
      <c r="BG510" t="s">
        <v>92</v>
      </c>
      <c r="BH510" t="s">
        <v>98</v>
      </c>
      <c r="BI510" t="s">
        <v>73</v>
      </c>
      <c r="BK510">
        <v>0</v>
      </c>
      <c r="BL510">
        <v>0</v>
      </c>
      <c r="BM510">
        <v>0</v>
      </c>
      <c r="BN510">
        <v>0</v>
      </c>
      <c r="BO510">
        <v>0</v>
      </c>
      <c r="BP510">
        <v>1</v>
      </c>
      <c r="BQ510">
        <v>0</v>
      </c>
      <c r="BR510">
        <v>0</v>
      </c>
      <c r="BT510" t="s">
        <v>109</v>
      </c>
    </row>
    <row r="511" spans="1:72" x14ac:dyDescent="0.2">
      <c r="A511" s="1">
        <v>44579.997916666667</v>
      </c>
      <c r="B511" s="1">
        <v>44579.999305555553</v>
      </c>
      <c r="C511">
        <v>0</v>
      </c>
      <c r="D511">
        <v>1</v>
      </c>
      <c r="E511">
        <v>0</v>
      </c>
      <c r="F511">
        <v>0</v>
      </c>
      <c r="H511">
        <v>1</v>
      </c>
      <c r="I511">
        <v>0</v>
      </c>
      <c r="J511">
        <v>0</v>
      </c>
      <c r="K511">
        <v>0</v>
      </c>
      <c r="L511">
        <v>0</v>
      </c>
      <c r="P511">
        <v>1</v>
      </c>
      <c r="Q511">
        <v>0</v>
      </c>
      <c r="R511">
        <v>0</v>
      </c>
      <c r="S511">
        <v>0</v>
      </c>
      <c r="T511">
        <v>0</v>
      </c>
      <c r="U511">
        <v>0</v>
      </c>
      <c r="V511">
        <v>0</v>
      </c>
      <c r="W511">
        <v>0</v>
      </c>
      <c r="X511">
        <v>0</v>
      </c>
      <c r="Y511">
        <v>0</v>
      </c>
      <c r="Z511">
        <v>0</v>
      </c>
      <c r="AA511">
        <v>0</v>
      </c>
      <c r="AC511">
        <v>0</v>
      </c>
      <c r="AD511">
        <v>0</v>
      </c>
      <c r="AE511">
        <v>0</v>
      </c>
      <c r="AF511">
        <v>0</v>
      </c>
      <c r="AG511">
        <v>0</v>
      </c>
      <c r="AH511">
        <v>0</v>
      </c>
      <c r="AI511">
        <v>1</v>
      </c>
      <c r="AJ511">
        <v>0</v>
      </c>
      <c r="AK511">
        <v>0</v>
      </c>
      <c r="AZ511" t="s">
        <v>96</v>
      </c>
      <c r="BA511" t="s">
        <v>86</v>
      </c>
      <c r="BB511" t="s">
        <v>74</v>
      </c>
      <c r="BC511" t="s">
        <v>74</v>
      </c>
      <c r="BD511" t="s">
        <v>74</v>
      </c>
      <c r="BE511" t="s">
        <v>74</v>
      </c>
      <c r="BF511" t="s">
        <v>97</v>
      </c>
      <c r="BG511" t="s">
        <v>92</v>
      </c>
      <c r="BH511" t="s">
        <v>98</v>
      </c>
      <c r="BI511" t="s">
        <v>96</v>
      </c>
      <c r="BJ511" t="s">
        <v>102</v>
      </c>
      <c r="BK511">
        <v>0</v>
      </c>
      <c r="BL511">
        <v>0</v>
      </c>
      <c r="BM511">
        <v>0</v>
      </c>
      <c r="BN511">
        <v>0</v>
      </c>
      <c r="BO511">
        <v>0</v>
      </c>
      <c r="BP511">
        <v>1</v>
      </c>
      <c r="BQ511">
        <v>0</v>
      </c>
      <c r="BR511">
        <v>0</v>
      </c>
    </row>
    <row r="512" spans="1:72" x14ac:dyDescent="0.2">
      <c r="A512" s="1">
        <v>44579.821527777778</v>
      </c>
      <c r="B512" s="1">
        <v>44579.824305555558</v>
      </c>
      <c r="C512">
        <v>1</v>
      </c>
      <c r="D512">
        <v>0</v>
      </c>
      <c r="E512">
        <v>0</v>
      </c>
      <c r="F512">
        <v>0</v>
      </c>
      <c r="H512">
        <v>0</v>
      </c>
      <c r="I512">
        <v>1</v>
      </c>
      <c r="J512">
        <v>0</v>
      </c>
      <c r="K512">
        <v>0</v>
      </c>
      <c r="L512">
        <v>0</v>
      </c>
      <c r="N512" t="s">
        <v>79</v>
      </c>
      <c r="O512" t="s">
        <v>80</v>
      </c>
      <c r="P512">
        <v>0</v>
      </c>
      <c r="Q512">
        <v>0</v>
      </c>
      <c r="R512">
        <v>1</v>
      </c>
      <c r="S512">
        <v>0</v>
      </c>
      <c r="T512">
        <v>0</v>
      </c>
      <c r="U512">
        <v>0</v>
      </c>
      <c r="V512">
        <v>0</v>
      </c>
      <c r="W512">
        <v>0</v>
      </c>
      <c r="X512">
        <v>0</v>
      </c>
      <c r="Y512">
        <v>0</v>
      </c>
      <c r="Z512">
        <v>0</v>
      </c>
      <c r="AA512">
        <v>0</v>
      </c>
      <c r="AM512" t="s">
        <v>83</v>
      </c>
      <c r="AN512" t="s">
        <v>81</v>
      </c>
      <c r="AO512" t="s">
        <v>83</v>
      </c>
      <c r="AP512" t="s">
        <v>83</v>
      </c>
      <c r="AQ512" t="s">
        <v>82</v>
      </c>
      <c r="AR512" t="s">
        <v>83</v>
      </c>
      <c r="AS512" t="s">
        <v>83</v>
      </c>
      <c r="AT512" t="s">
        <v>83</v>
      </c>
      <c r="AU512" t="s">
        <v>88</v>
      </c>
      <c r="AV512" t="s">
        <v>89</v>
      </c>
      <c r="AW512" t="s">
        <v>85</v>
      </c>
      <c r="AX512" t="s">
        <v>126</v>
      </c>
      <c r="AZ512" t="s">
        <v>120</v>
      </c>
      <c r="BA512" t="s">
        <v>86</v>
      </c>
      <c r="BB512" t="s">
        <v>74</v>
      </c>
      <c r="BC512" t="s">
        <v>87</v>
      </c>
      <c r="BD512" t="s">
        <v>74</v>
      </c>
      <c r="BE512" t="s">
        <v>87</v>
      </c>
      <c r="BF512" t="s">
        <v>75</v>
      </c>
      <c r="BG512" t="s">
        <v>92</v>
      </c>
      <c r="BH512" t="s">
        <v>98</v>
      </c>
      <c r="BI512" t="s">
        <v>120</v>
      </c>
      <c r="BJ512" t="s">
        <v>94</v>
      </c>
      <c r="BK512">
        <v>0</v>
      </c>
      <c r="BL512">
        <v>0</v>
      </c>
      <c r="BM512">
        <v>0</v>
      </c>
      <c r="BN512">
        <v>0</v>
      </c>
      <c r="BO512">
        <v>0</v>
      </c>
      <c r="BP512">
        <v>1</v>
      </c>
      <c r="BQ512">
        <v>0</v>
      </c>
      <c r="BR512">
        <v>0</v>
      </c>
    </row>
    <row r="513" spans="1:72" x14ac:dyDescent="0.2">
      <c r="A513" s="1">
        <v>44585.638194444444</v>
      </c>
      <c r="B513" s="1">
        <v>44585.640277777777</v>
      </c>
      <c r="C513">
        <v>1</v>
      </c>
      <c r="D513">
        <v>0</v>
      </c>
      <c r="E513">
        <v>0</v>
      </c>
      <c r="F513">
        <v>0</v>
      </c>
      <c r="H513">
        <v>0</v>
      </c>
      <c r="I513">
        <v>1</v>
      </c>
      <c r="J513">
        <v>0</v>
      </c>
      <c r="K513">
        <v>0</v>
      </c>
      <c r="L513">
        <v>0</v>
      </c>
      <c r="N513" t="s">
        <v>88</v>
      </c>
      <c r="O513" t="s">
        <v>89</v>
      </c>
      <c r="P513">
        <v>1</v>
      </c>
      <c r="Q513">
        <v>0</v>
      </c>
      <c r="R513">
        <v>0</v>
      </c>
      <c r="S513">
        <v>0</v>
      </c>
      <c r="T513">
        <v>0</v>
      </c>
      <c r="U513">
        <v>0</v>
      </c>
      <c r="V513">
        <v>0</v>
      </c>
      <c r="W513">
        <v>0</v>
      </c>
      <c r="X513">
        <v>0</v>
      </c>
      <c r="Y513">
        <v>0</v>
      </c>
      <c r="Z513">
        <v>0</v>
      </c>
      <c r="AA513">
        <v>0</v>
      </c>
      <c r="AC513">
        <v>0</v>
      </c>
      <c r="AD513">
        <v>1</v>
      </c>
      <c r="AE513">
        <v>0</v>
      </c>
      <c r="AF513">
        <v>0</v>
      </c>
      <c r="AG513">
        <v>0</v>
      </c>
      <c r="AH513">
        <v>0</v>
      </c>
      <c r="AI513">
        <v>0</v>
      </c>
      <c r="AJ513">
        <v>0</v>
      </c>
      <c r="AK513">
        <v>0</v>
      </c>
      <c r="AX513" t="s">
        <v>118</v>
      </c>
      <c r="AZ513" t="s">
        <v>73</v>
      </c>
      <c r="BA513" t="s">
        <v>87</v>
      </c>
      <c r="BB513" t="s">
        <v>87</v>
      </c>
      <c r="BC513" t="s">
        <v>87</v>
      </c>
      <c r="BD513" t="s">
        <v>86</v>
      </c>
      <c r="BE513" t="s">
        <v>87</v>
      </c>
      <c r="BF513" t="s">
        <v>75</v>
      </c>
      <c r="BG513" t="s">
        <v>92</v>
      </c>
      <c r="BH513" t="s">
        <v>98</v>
      </c>
      <c r="BI513" t="s">
        <v>73</v>
      </c>
      <c r="BJ513" t="s">
        <v>78</v>
      </c>
      <c r="BK513">
        <v>0</v>
      </c>
      <c r="BL513">
        <v>0</v>
      </c>
      <c r="BM513">
        <v>0</v>
      </c>
      <c r="BN513">
        <v>0</v>
      </c>
      <c r="BO513">
        <v>0</v>
      </c>
      <c r="BP513">
        <v>1</v>
      </c>
      <c r="BQ513">
        <v>0</v>
      </c>
      <c r="BR513">
        <v>0</v>
      </c>
    </row>
    <row r="514" spans="1:72" x14ac:dyDescent="0.2">
      <c r="A514" s="1">
        <v>44579.806944444441</v>
      </c>
      <c r="B514" s="1">
        <v>44579.809027777781</v>
      </c>
      <c r="C514">
        <v>1</v>
      </c>
      <c r="D514">
        <v>0</v>
      </c>
      <c r="E514">
        <v>0</v>
      </c>
      <c r="F514">
        <v>0</v>
      </c>
      <c r="H514">
        <v>1</v>
      </c>
      <c r="I514">
        <v>0</v>
      </c>
      <c r="J514">
        <v>0</v>
      </c>
      <c r="K514">
        <v>0</v>
      </c>
      <c r="L514">
        <v>0</v>
      </c>
      <c r="P514">
        <v>1</v>
      </c>
      <c r="Q514">
        <v>0</v>
      </c>
      <c r="R514">
        <v>0</v>
      </c>
      <c r="S514">
        <v>0</v>
      </c>
      <c r="T514">
        <v>0</v>
      </c>
      <c r="U514">
        <v>0</v>
      </c>
      <c r="V514">
        <v>0</v>
      </c>
      <c r="W514">
        <v>0</v>
      </c>
      <c r="X514">
        <v>0</v>
      </c>
      <c r="Y514">
        <v>0</v>
      </c>
      <c r="Z514">
        <v>0</v>
      </c>
      <c r="AA514">
        <v>0</v>
      </c>
      <c r="AC514">
        <v>0</v>
      </c>
      <c r="AD514">
        <v>1</v>
      </c>
      <c r="AE514">
        <v>0</v>
      </c>
      <c r="AF514">
        <v>0</v>
      </c>
      <c r="AG514">
        <v>0</v>
      </c>
      <c r="AH514">
        <v>0</v>
      </c>
      <c r="AI514">
        <v>0</v>
      </c>
      <c r="AJ514">
        <v>0</v>
      </c>
      <c r="AK514">
        <v>0</v>
      </c>
      <c r="AZ514" t="s">
        <v>120</v>
      </c>
      <c r="BA514" t="s">
        <v>87</v>
      </c>
      <c r="BB514" t="s">
        <v>87</v>
      </c>
      <c r="BC514" t="s">
        <v>74</v>
      </c>
      <c r="BD514" t="s">
        <v>87</v>
      </c>
      <c r="BE514" t="s">
        <v>74</v>
      </c>
      <c r="BF514" t="s">
        <v>97</v>
      </c>
      <c r="BG514" t="s">
        <v>92</v>
      </c>
      <c r="BH514" t="s">
        <v>98</v>
      </c>
      <c r="BI514" t="s">
        <v>120</v>
      </c>
      <c r="BK514">
        <v>0</v>
      </c>
      <c r="BL514">
        <v>0</v>
      </c>
      <c r="BM514">
        <v>0</v>
      </c>
      <c r="BN514">
        <v>0</v>
      </c>
      <c r="BO514">
        <v>0</v>
      </c>
      <c r="BP514">
        <v>1</v>
      </c>
      <c r="BQ514">
        <v>0</v>
      </c>
      <c r="BR514">
        <v>0</v>
      </c>
      <c r="BT514" t="s">
        <v>109</v>
      </c>
    </row>
    <row r="515" spans="1:72" x14ac:dyDescent="0.2">
      <c r="A515" s="1">
        <v>44589.048611111109</v>
      </c>
      <c r="B515" s="1">
        <v>44589.050694444442</v>
      </c>
      <c r="C515">
        <v>1</v>
      </c>
      <c r="D515">
        <v>0</v>
      </c>
      <c r="E515">
        <v>0</v>
      </c>
      <c r="F515">
        <v>0</v>
      </c>
      <c r="H515">
        <v>0</v>
      </c>
      <c r="I515">
        <v>1</v>
      </c>
      <c r="J515">
        <v>0</v>
      </c>
      <c r="K515">
        <v>0</v>
      </c>
      <c r="L515">
        <v>0</v>
      </c>
      <c r="N515" t="s">
        <v>88</v>
      </c>
      <c r="O515" t="s">
        <v>89</v>
      </c>
      <c r="P515">
        <v>0</v>
      </c>
      <c r="Q515">
        <v>0</v>
      </c>
      <c r="R515">
        <v>1</v>
      </c>
      <c r="S515">
        <v>0</v>
      </c>
      <c r="T515">
        <v>0</v>
      </c>
      <c r="U515">
        <v>0</v>
      </c>
      <c r="V515">
        <v>0</v>
      </c>
      <c r="W515">
        <v>0</v>
      </c>
      <c r="X515">
        <v>0</v>
      </c>
      <c r="Y515">
        <v>0</v>
      </c>
      <c r="Z515">
        <v>0</v>
      </c>
      <c r="AA515">
        <v>0</v>
      </c>
      <c r="AM515" t="s">
        <v>83</v>
      </c>
      <c r="AN515" t="s">
        <v>82</v>
      </c>
      <c r="AO515" t="s">
        <v>83</v>
      </c>
      <c r="AP515" t="s">
        <v>81</v>
      </c>
      <c r="AQ515" t="s">
        <v>83</v>
      </c>
      <c r="AR515" t="s">
        <v>81</v>
      </c>
      <c r="AS515" t="s">
        <v>83</v>
      </c>
      <c r="AT515" t="s">
        <v>83</v>
      </c>
      <c r="AU515" t="s">
        <v>88</v>
      </c>
      <c r="AV515" t="s">
        <v>89</v>
      </c>
      <c r="AW515" t="s">
        <v>85</v>
      </c>
      <c r="AZ515" t="s">
        <v>73</v>
      </c>
      <c r="BA515" t="s">
        <v>87</v>
      </c>
      <c r="BB515" t="s">
        <v>74</v>
      </c>
      <c r="BC515" t="s">
        <v>87</v>
      </c>
      <c r="BD515" t="s">
        <v>87</v>
      </c>
      <c r="BE515" t="s">
        <v>74</v>
      </c>
      <c r="BF515" t="s">
        <v>97</v>
      </c>
      <c r="BG515" t="s">
        <v>92</v>
      </c>
      <c r="BH515" t="s">
        <v>98</v>
      </c>
      <c r="BI515" t="s">
        <v>73</v>
      </c>
      <c r="BJ515" t="s">
        <v>78</v>
      </c>
      <c r="BK515">
        <v>0</v>
      </c>
      <c r="BL515">
        <v>0</v>
      </c>
      <c r="BM515">
        <v>0</v>
      </c>
      <c r="BN515">
        <v>1</v>
      </c>
      <c r="BO515">
        <v>0</v>
      </c>
      <c r="BP515">
        <v>0</v>
      </c>
      <c r="BQ515">
        <v>0</v>
      </c>
      <c r="BR515">
        <v>0</v>
      </c>
    </row>
    <row r="516" spans="1:72" x14ac:dyDescent="0.2">
      <c r="A516" s="1">
        <v>44585.565972222219</v>
      </c>
      <c r="B516" s="1">
        <v>44585.570833333331</v>
      </c>
      <c r="C516">
        <v>1</v>
      </c>
      <c r="D516">
        <v>0</v>
      </c>
      <c r="E516">
        <v>0</v>
      </c>
      <c r="F516">
        <v>0</v>
      </c>
      <c r="H516">
        <v>1</v>
      </c>
      <c r="I516">
        <v>0</v>
      </c>
      <c r="J516">
        <v>0</v>
      </c>
      <c r="K516">
        <v>0</v>
      </c>
      <c r="L516">
        <v>0</v>
      </c>
      <c r="P516">
        <v>1</v>
      </c>
      <c r="Q516">
        <v>0</v>
      </c>
      <c r="R516">
        <v>0</v>
      </c>
      <c r="S516">
        <v>0</v>
      </c>
      <c r="T516">
        <v>0</v>
      </c>
      <c r="U516">
        <v>0</v>
      </c>
      <c r="V516">
        <v>0</v>
      </c>
      <c r="W516">
        <v>0</v>
      </c>
      <c r="X516">
        <v>0</v>
      </c>
      <c r="Y516">
        <v>0</v>
      </c>
      <c r="Z516">
        <v>0</v>
      </c>
      <c r="AA516">
        <v>0</v>
      </c>
      <c r="AC516">
        <v>0</v>
      </c>
      <c r="AD516">
        <v>0</v>
      </c>
      <c r="AE516">
        <v>1</v>
      </c>
      <c r="AF516">
        <v>0</v>
      </c>
      <c r="AG516">
        <v>0</v>
      </c>
      <c r="AH516">
        <v>0</v>
      </c>
      <c r="AI516">
        <v>0</v>
      </c>
      <c r="AJ516">
        <v>0</v>
      </c>
      <c r="AK516">
        <v>0</v>
      </c>
      <c r="AZ516" t="s">
        <v>107</v>
      </c>
      <c r="BA516" t="s">
        <v>87</v>
      </c>
      <c r="BB516" t="s">
        <v>87</v>
      </c>
      <c r="BC516" t="s">
        <v>74</v>
      </c>
      <c r="BD516" t="s">
        <v>87</v>
      </c>
      <c r="BE516" t="s">
        <v>86</v>
      </c>
      <c r="BF516" t="s">
        <v>97</v>
      </c>
      <c r="BG516" t="s">
        <v>92</v>
      </c>
      <c r="BH516" t="s">
        <v>98</v>
      </c>
      <c r="BI516" t="s">
        <v>107</v>
      </c>
      <c r="BJ516" t="s">
        <v>99</v>
      </c>
      <c r="BK516">
        <v>0</v>
      </c>
      <c r="BL516">
        <v>0</v>
      </c>
      <c r="BM516">
        <v>0</v>
      </c>
      <c r="BN516">
        <v>0</v>
      </c>
      <c r="BO516">
        <v>0</v>
      </c>
      <c r="BP516">
        <v>1</v>
      </c>
      <c r="BQ516">
        <v>0</v>
      </c>
      <c r="BR516">
        <v>0</v>
      </c>
    </row>
    <row r="517" spans="1:72" x14ac:dyDescent="0.2">
      <c r="A517" s="1">
        <v>44581.104166666664</v>
      </c>
      <c r="B517" s="1">
        <v>44581.104861111111</v>
      </c>
      <c r="C517">
        <v>0</v>
      </c>
      <c r="D517">
        <v>1</v>
      </c>
      <c r="E517">
        <v>0</v>
      </c>
      <c r="F517">
        <v>0</v>
      </c>
      <c r="H517">
        <v>0</v>
      </c>
      <c r="I517">
        <v>1</v>
      </c>
      <c r="J517">
        <v>1</v>
      </c>
      <c r="K517">
        <v>1</v>
      </c>
      <c r="L517">
        <v>0</v>
      </c>
      <c r="N517" t="s">
        <v>135</v>
      </c>
      <c r="O517" t="s">
        <v>80</v>
      </c>
      <c r="P517">
        <v>0</v>
      </c>
      <c r="Q517">
        <v>1</v>
      </c>
      <c r="R517">
        <v>0</v>
      </c>
      <c r="S517">
        <v>0</v>
      </c>
      <c r="T517">
        <v>0</v>
      </c>
      <c r="U517">
        <v>0</v>
      </c>
      <c r="V517">
        <v>0</v>
      </c>
      <c r="W517">
        <v>1</v>
      </c>
      <c r="X517">
        <v>0</v>
      </c>
      <c r="Y517">
        <v>0</v>
      </c>
      <c r="Z517">
        <v>0</v>
      </c>
      <c r="AA517">
        <v>0</v>
      </c>
      <c r="AM517" t="s">
        <v>83</v>
      </c>
      <c r="AN517" t="s">
        <v>82</v>
      </c>
      <c r="AO517" t="s">
        <v>81</v>
      </c>
      <c r="AP517" t="s">
        <v>82</v>
      </c>
      <c r="AQ517" t="s">
        <v>81</v>
      </c>
      <c r="AR517" t="s">
        <v>83</v>
      </c>
      <c r="AS517" t="s">
        <v>83</v>
      </c>
      <c r="AT517" t="s">
        <v>83</v>
      </c>
      <c r="AU517" t="s">
        <v>88</v>
      </c>
      <c r="AV517" t="s">
        <v>89</v>
      </c>
      <c r="AW517" t="s">
        <v>100</v>
      </c>
      <c r="AX517" t="s">
        <v>118</v>
      </c>
      <c r="AZ517" t="s">
        <v>73</v>
      </c>
      <c r="BA517" t="s">
        <v>87</v>
      </c>
      <c r="BB517" t="s">
        <v>87</v>
      </c>
      <c r="BC517" t="s">
        <v>87</v>
      </c>
      <c r="BD517" t="s">
        <v>87</v>
      </c>
      <c r="BE517" t="s">
        <v>87</v>
      </c>
      <c r="BF517" t="s">
        <v>75</v>
      </c>
      <c r="BG517" t="s">
        <v>92</v>
      </c>
      <c r="BH517" t="s">
        <v>93</v>
      </c>
      <c r="BI517" t="s">
        <v>73</v>
      </c>
      <c r="BJ517" t="s">
        <v>114</v>
      </c>
      <c r="BK517">
        <v>0</v>
      </c>
      <c r="BL517">
        <v>0</v>
      </c>
      <c r="BM517">
        <v>0</v>
      </c>
      <c r="BN517">
        <v>0</v>
      </c>
      <c r="BO517">
        <v>0</v>
      </c>
      <c r="BP517">
        <v>1</v>
      </c>
      <c r="BQ517">
        <v>0</v>
      </c>
      <c r="BR517">
        <v>0</v>
      </c>
    </row>
    <row r="518" spans="1:72" x14ac:dyDescent="0.2">
      <c r="A518" s="1">
        <v>44579.881944444445</v>
      </c>
      <c r="B518" s="1">
        <v>44579.883333333331</v>
      </c>
      <c r="C518">
        <v>1</v>
      </c>
      <c r="D518">
        <v>0</v>
      </c>
      <c r="E518">
        <v>0</v>
      </c>
      <c r="F518">
        <v>0</v>
      </c>
      <c r="H518">
        <v>0</v>
      </c>
      <c r="I518">
        <v>1</v>
      </c>
      <c r="J518">
        <v>0</v>
      </c>
      <c r="K518">
        <v>0</v>
      </c>
      <c r="L518">
        <v>0</v>
      </c>
      <c r="N518" t="s">
        <v>79</v>
      </c>
      <c r="O518" t="s">
        <v>89</v>
      </c>
      <c r="P518">
        <v>0</v>
      </c>
      <c r="Q518">
        <v>0</v>
      </c>
      <c r="R518">
        <v>0</v>
      </c>
      <c r="S518">
        <v>1</v>
      </c>
      <c r="T518">
        <v>0</v>
      </c>
      <c r="U518">
        <v>0</v>
      </c>
      <c r="V518">
        <v>0</v>
      </c>
      <c r="W518">
        <v>0</v>
      </c>
      <c r="X518">
        <v>0</v>
      </c>
      <c r="Y518">
        <v>0</v>
      </c>
      <c r="Z518">
        <v>0</v>
      </c>
      <c r="AA518">
        <v>0</v>
      </c>
      <c r="AM518" t="s">
        <v>81</v>
      </c>
      <c r="AN518" t="s">
        <v>82</v>
      </c>
      <c r="AO518" t="s">
        <v>90</v>
      </c>
      <c r="AP518" t="s">
        <v>81</v>
      </c>
      <c r="AQ518" t="s">
        <v>82</v>
      </c>
      <c r="AR518" t="s">
        <v>83</v>
      </c>
      <c r="AS518" t="s">
        <v>81</v>
      </c>
      <c r="AT518" t="s">
        <v>83</v>
      </c>
      <c r="AU518" t="s">
        <v>88</v>
      </c>
      <c r="AV518" t="s">
        <v>89</v>
      </c>
      <c r="AW518" t="s">
        <v>85</v>
      </c>
      <c r="AZ518" t="s">
        <v>107</v>
      </c>
      <c r="BA518" t="s">
        <v>87</v>
      </c>
      <c r="BB518" t="s">
        <v>87</v>
      </c>
      <c r="BC518" t="s">
        <v>87</v>
      </c>
      <c r="BD518" t="s">
        <v>74</v>
      </c>
      <c r="BE518" t="s">
        <v>74</v>
      </c>
      <c r="BF518" t="s">
        <v>97</v>
      </c>
      <c r="BG518" t="s">
        <v>92</v>
      </c>
      <c r="BH518" t="s">
        <v>98</v>
      </c>
      <c r="BI518" t="s">
        <v>107</v>
      </c>
      <c r="BJ518" t="s">
        <v>129</v>
      </c>
      <c r="BK518">
        <v>0</v>
      </c>
      <c r="BL518">
        <v>0</v>
      </c>
      <c r="BM518">
        <v>0</v>
      </c>
      <c r="BN518">
        <v>0</v>
      </c>
      <c r="BO518">
        <v>0</v>
      </c>
      <c r="BP518">
        <v>1</v>
      </c>
      <c r="BQ518">
        <v>0</v>
      </c>
      <c r="BR518">
        <v>0</v>
      </c>
    </row>
    <row r="519" spans="1:72" x14ac:dyDescent="0.2">
      <c r="A519" s="1">
        <v>44585.55972222222</v>
      </c>
      <c r="B519" s="1">
        <v>44585.563194444447</v>
      </c>
      <c r="C519">
        <v>0</v>
      </c>
      <c r="D519">
        <v>1</v>
      </c>
      <c r="E519">
        <v>0</v>
      </c>
      <c r="F519">
        <v>0</v>
      </c>
      <c r="H519">
        <v>0</v>
      </c>
      <c r="I519">
        <v>1</v>
      </c>
      <c r="J519">
        <v>1</v>
      </c>
      <c r="K519">
        <v>1</v>
      </c>
      <c r="L519">
        <v>0</v>
      </c>
      <c r="N519" t="s">
        <v>79</v>
      </c>
      <c r="O519" t="s">
        <v>80</v>
      </c>
      <c r="P519">
        <v>0</v>
      </c>
      <c r="Q519">
        <v>0</v>
      </c>
      <c r="R519">
        <v>0</v>
      </c>
      <c r="S519">
        <v>0</v>
      </c>
      <c r="T519">
        <v>1</v>
      </c>
      <c r="U519">
        <v>0</v>
      </c>
      <c r="V519">
        <v>0</v>
      </c>
      <c r="W519">
        <v>0</v>
      </c>
      <c r="X519">
        <v>0</v>
      </c>
      <c r="Y519">
        <v>0</v>
      </c>
      <c r="Z519">
        <v>0</v>
      </c>
      <c r="AA519">
        <v>0</v>
      </c>
      <c r="AM519" t="s">
        <v>90</v>
      </c>
      <c r="AN519" t="s">
        <v>81</v>
      </c>
      <c r="AO519" t="s">
        <v>81</v>
      </c>
      <c r="AP519" t="s">
        <v>81</v>
      </c>
      <c r="AQ519" t="s">
        <v>82</v>
      </c>
      <c r="AR519" t="s">
        <v>82</v>
      </c>
      <c r="AS519" t="s">
        <v>90</v>
      </c>
      <c r="AT519" t="s">
        <v>90</v>
      </c>
      <c r="AU519" t="s">
        <v>88</v>
      </c>
      <c r="AV519" t="s">
        <v>89</v>
      </c>
      <c r="AW519" t="s">
        <v>85</v>
      </c>
      <c r="AX519" t="s">
        <v>118</v>
      </c>
      <c r="AZ519" t="s">
        <v>107</v>
      </c>
      <c r="BA519" t="s">
        <v>87</v>
      </c>
      <c r="BB519" t="s">
        <v>87</v>
      </c>
      <c r="BC519" t="s">
        <v>87</v>
      </c>
      <c r="BD519" t="s">
        <v>87</v>
      </c>
      <c r="BE519" t="s">
        <v>74</v>
      </c>
      <c r="BF519" t="s">
        <v>75</v>
      </c>
      <c r="BG519" t="s">
        <v>92</v>
      </c>
      <c r="BH519" t="s">
        <v>98</v>
      </c>
      <c r="BI519" t="s">
        <v>107</v>
      </c>
      <c r="BJ519" t="s">
        <v>176</v>
      </c>
      <c r="BK519">
        <v>0</v>
      </c>
      <c r="BL519">
        <v>0</v>
      </c>
      <c r="BM519">
        <v>0</v>
      </c>
      <c r="BN519">
        <v>0</v>
      </c>
      <c r="BO519">
        <v>0</v>
      </c>
      <c r="BP519">
        <v>1</v>
      </c>
      <c r="BQ519">
        <v>0</v>
      </c>
      <c r="BR519">
        <v>0</v>
      </c>
    </row>
    <row r="520" spans="1:72" x14ac:dyDescent="0.2">
      <c r="A520" s="1">
        <v>44579.995138888888</v>
      </c>
      <c r="B520" s="1">
        <v>44579.996527777781</v>
      </c>
      <c r="C520">
        <v>1</v>
      </c>
      <c r="D520">
        <v>0</v>
      </c>
      <c r="E520">
        <v>0</v>
      </c>
      <c r="F520">
        <v>0</v>
      </c>
      <c r="H520">
        <v>1</v>
      </c>
      <c r="I520">
        <v>0</v>
      </c>
      <c r="J520">
        <v>0</v>
      </c>
      <c r="K520">
        <v>0</v>
      </c>
      <c r="L520">
        <v>0</v>
      </c>
      <c r="P520">
        <v>1</v>
      </c>
      <c r="Q520">
        <v>0</v>
      </c>
      <c r="R520">
        <v>0</v>
      </c>
      <c r="S520">
        <v>0</v>
      </c>
      <c r="T520">
        <v>0</v>
      </c>
      <c r="U520">
        <v>0</v>
      </c>
      <c r="V520">
        <v>0</v>
      </c>
      <c r="W520">
        <v>0</v>
      </c>
      <c r="X520">
        <v>0</v>
      </c>
      <c r="Y520">
        <v>0</v>
      </c>
      <c r="Z520">
        <v>0</v>
      </c>
      <c r="AA520">
        <v>0</v>
      </c>
      <c r="AC520">
        <v>0</v>
      </c>
      <c r="AD520">
        <v>0</v>
      </c>
      <c r="AE520">
        <v>1</v>
      </c>
      <c r="AF520">
        <v>1</v>
      </c>
      <c r="AG520">
        <v>0</v>
      </c>
      <c r="AH520">
        <v>0</v>
      </c>
      <c r="AI520">
        <v>0</v>
      </c>
      <c r="AJ520">
        <v>0</v>
      </c>
      <c r="AK520">
        <v>0</v>
      </c>
      <c r="AZ520" t="s">
        <v>73</v>
      </c>
      <c r="BA520" t="s">
        <v>87</v>
      </c>
      <c r="BB520" t="s">
        <v>87</v>
      </c>
      <c r="BC520" t="s">
        <v>87</v>
      </c>
      <c r="BD520" t="s">
        <v>87</v>
      </c>
      <c r="BE520" t="s">
        <v>86</v>
      </c>
      <c r="BF520" t="s">
        <v>97</v>
      </c>
      <c r="BG520" t="s">
        <v>92</v>
      </c>
      <c r="BH520" t="s">
        <v>98</v>
      </c>
      <c r="BI520" t="s">
        <v>73</v>
      </c>
      <c r="BJ520" t="s">
        <v>78</v>
      </c>
      <c r="BK520">
        <v>0</v>
      </c>
      <c r="BL520">
        <v>0</v>
      </c>
      <c r="BM520">
        <v>0</v>
      </c>
      <c r="BN520">
        <v>0</v>
      </c>
      <c r="BO520">
        <v>0</v>
      </c>
      <c r="BP520">
        <v>1</v>
      </c>
      <c r="BQ520">
        <v>0</v>
      </c>
      <c r="BR520">
        <v>0</v>
      </c>
    </row>
    <row r="521" spans="1:72" x14ac:dyDescent="0.2">
      <c r="A521" s="1">
        <v>44579.923611111109</v>
      </c>
      <c r="B521" s="1">
        <v>44579.927777777775</v>
      </c>
      <c r="C521">
        <v>0</v>
      </c>
      <c r="D521">
        <v>1</v>
      </c>
      <c r="E521">
        <v>0</v>
      </c>
      <c r="F521">
        <v>0</v>
      </c>
      <c r="H521">
        <v>0</v>
      </c>
      <c r="I521">
        <v>0</v>
      </c>
      <c r="J521">
        <v>1</v>
      </c>
      <c r="K521">
        <v>0</v>
      </c>
      <c r="L521">
        <v>0</v>
      </c>
      <c r="N521" t="s">
        <v>79</v>
      </c>
      <c r="O521" t="s">
        <v>80</v>
      </c>
      <c r="P521">
        <v>1</v>
      </c>
      <c r="Q521">
        <v>0</v>
      </c>
      <c r="R521">
        <v>0</v>
      </c>
      <c r="S521">
        <v>0</v>
      </c>
      <c r="T521">
        <v>0</v>
      </c>
      <c r="U521">
        <v>0</v>
      </c>
      <c r="V521">
        <v>0</v>
      </c>
      <c r="W521">
        <v>0</v>
      </c>
      <c r="X521">
        <v>0</v>
      </c>
      <c r="Y521">
        <v>0</v>
      </c>
      <c r="Z521">
        <v>0</v>
      </c>
      <c r="AA521">
        <v>0</v>
      </c>
      <c r="AC521">
        <v>0</v>
      </c>
      <c r="AD521">
        <v>0</v>
      </c>
      <c r="AE521">
        <v>0</v>
      </c>
      <c r="AF521">
        <v>0</v>
      </c>
      <c r="AG521">
        <v>0</v>
      </c>
      <c r="AH521">
        <v>0</v>
      </c>
      <c r="AI521">
        <v>0</v>
      </c>
      <c r="AJ521">
        <v>0</v>
      </c>
      <c r="AK521">
        <v>1</v>
      </c>
      <c r="AL521" t="s">
        <v>300</v>
      </c>
      <c r="AZ521" t="s">
        <v>96</v>
      </c>
      <c r="BA521" t="s">
        <v>86</v>
      </c>
      <c r="BB521" t="s">
        <v>86</v>
      </c>
      <c r="BC521" t="s">
        <v>74</v>
      </c>
      <c r="BD521" t="s">
        <v>86</v>
      </c>
      <c r="BE521" t="s">
        <v>74</v>
      </c>
      <c r="BF521" t="s">
        <v>97</v>
      </c>
      <c r="BG521" t="s">
        <v>92</v>
      </c>
      <c r="BH521" t="s">
        <v>98</v>
      </c>
      <c r="BI521" t="s">
        <v>96</v>
      </c>
      <c r="BJ521" t="s">
        <v>78</v>
      </c>
      <c r="BK521">
        <v>0</v>
      </c>
      <c r="BL521">
        <v>0</v>
      </c>
      <c r="BM521">
        <v>0</v>
      </c>
      <c r="BN521">
        <v>0</v>
      </c>
      <c r="BO521">
        <v>0</v>
      </c>
      <c r="BP521">
        <v>1</v>
      </c>
      <c r="BQ521">
        <v>0</v>
      </c>
      <c r="BR521">
        <v>0</v>
      </c>
    </row>
    <row r="522" spans="1:72" x14ac:dyDescent="0.2">
      <c r="A522" s="1">
        <v>44579.875694444447</v>
      </c>
      <c r="B522" s="1">
        <v>44579.877083333333</v>
      </c>
      <c r="C522">
        <v>1</v>
      </c>
      <c r="D522">
        <v>0</v>
      </c>
      <c r="E522">
        <v>0</v>
      </c>
      <c r="F522">
        <v>0</v>
      </c>
      <c r="H522">
        <v>0</v>
      </c>
      <c r="I522">
        <v>1</v>
      </c>
      <c r="J522">
        <v>1</v>
      </c>
      <c r="K522">
        <v>1</v>
      </c>
      <c r="L522">
        <v>0</v>
      </c>
      <c r="N522" t="s">
        <v>88</v>
      </c>
      <c r="O522" t="s">
        <v>89</v>
      </c>
      <c r="P522">
        <v>0</v>
      </c>
      <c r="Q522">
        <v>1</v>
      </c>
      <c r="R522">
        <v>0</v>
      </c>
      <c r="S522">
        <v>0</v>
      </c>
      <c r="T522">
        <v>0</v>
      </c>
      <c r="U522">
        <v>0</v>
      </c>
      <c r="V522">
        <v>0</v>
      </c>
      <c r="W522">
        <v>0</v>
      </c>
      <c r="X522">
        <v>0</v>
      </c>
      <c r="Y522">
        <v>0</v>
      </c>
      <c r="Z522">
        <v>0</v>
      </c>
      <c r="AA522">
        <v>0</v>
      </c>
      <c r="AM522" t="s">
        <v>83</v>
      </c>
      <c r="AN522" t="s">
        <v>82</v>
      </c>
      <c r="AO522" t="s">
        <v>81</v>
      </c>
      <c r="AP522" t="s">
        <v>81</v>
      </c>
      <c r="AQ522" t="s">
        <v>83</v>
      </c>
      <c r="AR522" t="s">
        <v>83</v>
      </c>
      <c r="AS522" t="s">
        <v>83</v>
      </c>
      <c r="AT522" t="s">
        <v>83</v>
      </c>
      <c r="AU522" t="s">
        <v>88</v>
      </c>
      <c r="AV522" t="s">
        <v>89</v>
      </c>
      <c r="AW522" t="s">
        <v>100</v>
      </c>
      <c r="AZ522" t="s">
        <v>107</v>
      </c>
      <c r="BA522" t="s">
        <v>87</v>
      </c>
      <c r="BB522" t="s">
        <v>87</v>
      </c>
      <c r="BC522" t="s">
        <v>87</v>
      </c>
      <c r="BD522" t="s">
        <v>87</v>
      </c>
      <c r="BE522" t="s">
        <v>86</v>
      </c>
      <c r="BF522" t="s">
        <v>97</v>
      </c>
      <c r="BG522" t="s">
        <v>92</v>
      </c>
      <c r="BH522" t="s">
        <v>98</v>
      </c>
      <c r="BI522" t="s">
        <v>107</v>
      </c>
      <c r="BJ522" t="s">
        <v>114</v>
      </c>
      <c r="BK522">
        <v>0</v>
      </c>
      <c r="BL522">
        <v>0</v>
      </c>
      <c r="BM522">
        <v>0</v>
      </c>
      <c r="BN522">
        <v>0</v>
      </c>
      <c r="BO522">
        <v>0</v>
      </c>
      <c r="BP522">
        <v>1</v>
      </c>
      <c r="BQ522">
        <v>0</v>
      </c>
      <c r="BR522">
        <v>0</v>
      </c>
    </row>
    <row r="523" spans="1:72" x14ac:dyDescent="0.2">
      <c r="A523" s="1">
        <v>44579.904166666667</v>
      </c>
      <c r="B523" s="1">
        <v>44579.905555555553</v>
      </c>
      <c r="C523">
        <v>1</v>
      </c>
      <c r="D523">
        <v>0</v>
      </c>
      <c r="E523">
        <v>0</v>
      </c>
      <c r="F523">
        <v>0</v>
      </c>
      <c r="H523">
        <v>0</v>
      </c>
      <c r="I523">
        <v>0</v>
      </c>
      <c r="J523">
        <v>0</v>
      </c>
      <c r="K523">
        <v>0</v>
      </c>
      <c r="L523">
        <v>1</v>
      </c>
      <c r="M523" t="s">
        <v>301</v>
      </c>
      <c r="N523" t="s">
        <v>79</v>
      </c>
      <c r="O523" t="s">
        <v>127</v>
      </c>
      <c r="P523">
        <v>1</v>
      </c>
      <c r="Q523">
        <v>0</v>
      </c>
      <c r="R523">
        <v>0</v>
      </c>
      <c r="S523">
        <v>0</v>
      </c>
      <c r="T523">
        <v>0</v>
      </c>
      <c r="U523">
        <v>0</v>
      </c>
      <c r="V523">
        <v>0</v>
      </c>
      <c r="W523">
        <v>0</v>
      </c>
      <c r="X523">
        <v>0</v>
      </c>
      <c r="Y523">
        <v>0</v>
      </c>
      <c r="Z523">
        <v>0</v>
      </c>
      <c r="AA523">
        <v>0</v>
      </c>
      <c r="AC523">
        <v>1</v>
      </c>
      <c r="AD523">
        <v>0</v>
      </c>
      <c r="AE523">
        <v>0</v>
      </c>
      <c r="AF523">
        <v>0</v>
      </c>
      <c r="AG523">
        <v>0</v>
      </c>
      <c r="AH523">
        <v>0</v>
      </c>
      <c r="AI523">
        <v>0</v>
      </c>
      <c r="AJ523">
        <v>0</v>
      </c>
      <c r="AK523">
        <v>0</v>
      </c>
      <c r="AZ523" t="s">
        <v>107</v>
      </c>
      <c r="BA523" t="s">
        <v>87</v>
      </c>
      <c r="BB523" t="s">
        <v>87</v>
      </c>
      <c r="BC523" t="s">
        <v>87</v>
      </c>
      <c r="BD523" t="s">
        <v>87</v>
      </c>
      <c r="BE523" t="s">
        <v>87</v>
      </c>
      <c r="BF523" t="s">
        <v>101</v>
      </c>
      <c r="BG523" t="s">
        <v>92</v>
      </c>
      <c r="BH523" t="s">
        <v>98</v>
      </c>
      <c r="BI523" t="s">
        <v>107</v>
      </c>
      <c r="BJ523" t="s">
        <v>109</v>
      </c>
      <c r="BK523">
        <v>0</v>
      </c>
      <c r="BL523">
        <v>0</v>
      </c>
      <c r="BM523">
        <v>0</v>
      </c>
      <c r="BN523">
        <v>0</v>
      </c>
      <c r="BO523">
        <v>0</v>
      </c>
      <c r="BP523">
        <v>1</v>
      </c>
      <c r="BQ523">
        <v>0</v>
      </c>
      <c r="BR523">
        <v>0</v>
      </c>
    </row>
    <row r="524" spans="1:72" x14ac:dyDescent="0.2">
      <c r="A524" s="1">
        <v>44579.912499999999</v>
      </c>
      <c r="B524" s="1">
        <v>44579.915972222225</v>
      </c>
      <c r="C524">
        <v>1</v>
      </c>
      <c r="D524">
        <v>0</v>
      </c>
      <c r="E524">
        <v>0</v>
      </c>
      <c r="F524">
        <v>0</v>
      </c>
      <c r="H524">
        <v>0</v>
      </c>
      <c r="I524">
        <v>1</v>
      </c>
      <c r="J524">
        <v>0</v>
      </c>
      <c r="K524">
        <v>1</v>
      </c>
      <c r="L524">
        <v>0</v>
      </c>
      <c r="N524" t="s">
        <v>88</v>
      </c>
      <c r="O524" t="s">
        <v>89</v>
      </c>
      <c r="P524">
        <v>0</v>
      </c>
      <c r="Q524">
        <v>1</v>
      </c>
      <c r="R524">
        <v>0</v>
      </c>
      <c r="S524">
        <v>0</v>
      </c>
      <c r="T524">
        <v>0</v>
      </c>
      <c r="U524">
        <v>0</v>
      </c>
      <c r="V524">
        <v>0</v>
      </c>
      <c r="W524">
        <v>0</v>
      </c>
      <c r="X524">
        <v>0</v>
      </c>
      <c r="Y524">
        <v>0</v>
      </c>
      <c r="Z524">
        <v>0</v>
      </c>
      <c r="AA524">
        <v>0</v>
      </c>
      <c r="AM524" t="s">
        <v>83</v>
      </c>
      <c r="AN524" t="s">
        <v>82</v>
      </c>
      <c r="AO524" t="s">
        <v>81</v>
      </c>
      <c r="AP524" t="s">
        <v>81</v>
      </c>
      <c r="AQ524" t="s">
        <v>81</v>
      </c>
      <c r="AR524" t="s">
        <v>83</v>
      </c>
      <c r="AS524" t="s">
        <v>81</v>
      </c>
      <c r="AT524" t="s">
        <v>83</v>
      </c>
      <c r="AU524" t="s">
        <v>88</v>
      </c>
      <c r="AV524" t="s">
        <v>89</v>
      </c>
      <c r="AW524" t="s">
        <v>100</v>
      </c>
      <c r="AZ524" t="s">
        <v>73</v>
      </c>
      <c r="BA524" t="s">
        <v>86</v>
      </c>
      <c r="BB524" t="s">
        <v>87</v>
      </c>
      <c r="BC524" t="s">
        <v>87</v>
      </c>
      <c r="BD524" t="s">
        <v>87</v>
      </c>
      <c r="BE524" t="s">
        <v>87</v>
      </c>
      <c r="BF524" t="s">
        <v>97</v>
      </c>
      <c r="BG524" t="s">
        <v>92</v>
      </c>
      <c r="BH524" t="s">
        <v>98</v>
      </c>
      <c r="BI524" t="s">
        <v>73</v>
      </c>
      <c r="BJ524" t="s">
        <v>109</v>
      </c>
      <c r="BK524">
        <v>0</v>
      </c>
      <c r="BL524">
        <v>0</v>
      </c>
      <c r="BM524">
        <v>0</v>
      </c>
      <c r="BN524">
        <v>0</v>
      </c>
      <c r="BO524">
        <v>0</v>
      </c>
      <c r="BP524">
        <v>1</v>
      </c>
      <c r="BQ524">
        <v>0</v>
      </c>
      <c r="BR524">
        <v>0</v>
      </c>
    </row>
    <row r="525" spans="1:72" x14ac:dyDescent="0.2">
      <c r="A525" s="1">
        <v>44579.878472222219</v>
      </c>
      <c r="B525" s="1">
        <v>44579.879861111112</v>
      </c>
      <c r="C525">
        <v>0</v>
      </c>
      <c r="D525">
        <v>1</v>
      </c>
      <c r="E525">
        <v>0</v>
      </c>
      <c r="F525">
        <v>0</v>
      </c>
      <c r="H525">
        <v>1</v>
      </c>
      <c r="I525">
        <v>0</v>
      </c>
      <c r="J525">
        <v>0</v>
      </c>
      <c r="K525">
        <v>0</v>
      </c>
      <c r="L525">
        <v>0</v>
      </c>
      <c r="P525">
        <v>1</v>
      </c>
      <c r="Q525">
        <v>0</v>
      </c>
      <c r="R525">
        <v>0</v>
      </c>
      <c r="S525">
        <v>0</v>
      </c>
      <c r="T525">
        <v>0</v>
      </c>
      <c r="U525">
        <v>0</v>
      </c>
      <c r="V525">
        <v>0</v>
      </c>
      <c r="W525">
        <v>0</v>
      </c>
      <c r="X525">
        <v>0</v>
      </c>
      <c r="Y525">
        <v>0</v>
      </c>
      <c r="Z525">
        <v>0</v>
      </c>
      <c r="AA525">
        <v>0</v>
      </c>
      <c r="AC525">
        <v>1</v>
      </c>
      <c r="AD525">
        <v>0</v>
      </c>
      <c r="AE525">
        <v>0</v>
      </c>
      <c r="AF525">
        <v>0</v>
      </c>
      <c r="AG525">
        <v>0</v>
      </c>
      <c r="AH525">
        <v>0</v>
      </c>
      <c r="AI525">
        <v>0</v>
      </c>
      <c r="AJ525">
        <v>0</v>
      </c>
      <c r="AK525">
        <v>0</v>
      </c>
      <c r="AZ525" t="s">
        <v>120</v>
      </c>
      <c r="BA525" t="s">
        <v>86</v>
      </c>
      <c r="BB525" t="s">
        <v>87</v>
      </c>
      <c r="BC525" t="s">
        <v>87</v>
      </c>
      <c r="BD525" t="s">
        <v>87</v>
      </c>
      <c r="BE525" t="s">
        <v>87</v>
      </c>
      <c r="BF525" t="s">
        <v>97</v>
      </c>
      <c r="BG525" t="s">
        <v>76</v>
      </c>
      <c r="BH525" t="s">
        <v>98</v>
      </c>
      <c r="BI525" t="s">
        <v>120</v>
      </c>
      <c r="BJ525" t="s">
        <v>102</v>
      </c>
      <c r="BK525">
        <v>0</v>
      </c>
      <c r="BL525">
        <v>0</v>
      </c>
      <c r="BM525">
        <v>0</v>
      </c>
      <c r="BN525">
        <v>0</v>
      </c>
      <c r="BO525">
        <v>0</v>
      </c>
      <c r="BP525">
        <v>1</v>
      </c>
      <c r="BQ525">
        <v>0</v>
      </c>
      <c r="BR525">
        <v>0</v>
      </c>
    </row>
    <row r="526" spans="1:72" x14ac:dyDescent="0.2">
      <c r="A526" s="1">
        <v>44579.925000000003</v>
      </c>
      <c r="B526" s="1">
        <v>44579.927083333336</v>
      </c>
      <c r="C526">
        <v>0</v>
      </c>
      <c r="D526">
        <v>1</v>
      </c>
      <c r="E526">
        <v>0</v>
      </c>
      <c r="F526">
        <v>0</v>
      </c>
      <c r="H526">
        <v>1</v>
      </c>
      <c r="I526">
        <v>0</v>
      </c>
      <c r="J526">
        <v>0</v>
      </c>
      <c r="K526">
        <v>0</v>
      </c>
      <c r="L526">
        <v>0</v>
      </c>
      <c r="P526">
        <v>1</v>
      </c>
      <c r="Q526">
        <v>0</v>
      </c>
      <c r="R526">
        <v>0</v>
      </c>
      <c r="S526">
        <v>0</v>
      </c>
      <c r="T526">
        <v>0</v>
      </c>
      <c r="U526">
        <v>0</v>
      </c>
      <c r="V526">
        <v>0</v>
      </c>
      <c r="W526">
        <v>0</v>
      </c>
      <c r="X526">
        <v>0</v>
      </c>
      <c r="Y526">
        <v>0</v>
      </c>
      <c r="Z526">
        <v>0</v>
      </c>
      <c r="AA526">
        <v>0</v>
      </c>
      <c r="AC526">
        <v>0</v>
      </c>
      <c r="AD526">
        <v>0</v>
      </c>
      <c r="AE526">
        <v>0</v>
      </c>
      <c r="AF526">
        <v>0</v>
      </c>
      <c r="AG526">
        <v>0</v>
      </c>
      <c r="AH526">
        <v>0</v>
      </c>
      <c r="AI526">
        <v>1</v>
      </c>
      <c r="AJ526">
        <v>0</v>
      </c>
      <c r="AK526">
        <v>0</v>
      </c>
      <c r="AX526" t="s">
        <v>259</v>
      </c>
      <c r="AZ526" t="s">
        <v>96</v>
      </c>
      <c r="BA526" t="s">
        <v>74</v>
      </c>
      <c r="BF526" t="s">
        <v>108</v>
      </c>
      <c r="BG526" t="s">
        <v>92</v>
      </c>
      <c r="BH526" t="s">
        <v>158</v>
      </c>
      <c r="BI526" t="s">
        <v>96</v>
      </c>
      <c r="BJ526" t="s">
        <v>78</v>
      </c>
      <c r="BK526">
        <v>0</v>
      </c>
      <c r="BL526">
        <v>0</v>
      </c>
      <c r="BM526">
        <v>0</v>
      </c>
      <c r="BN526">
        <v>0</v>
      </c>
      <c r="BO526">
        <v>0</v>
      </c>
      <c r="BP526">
        <v>1</v>
      </c>
      <c r="BQ526">
        <v>0</v>
      </c>
      <c r="BR526">
        <v>0</v>
      </c>
    </row>
    <row r="527" spans="1:72" x14ac:dyDescent="0.2">
      <c r="A527" s="1">
        <v>44579.779861111114</v>
      </c>
      <c r="B527" s="1">
        <v>44579.782638888886</v>
      </c>
      <c r="C527">
        <v>0</v>
      </c>
      <c r="D527">
        <v>1</v>
      </c>
      <c r="E527">
        <v>0</v>
      </c>
      <c r="F527">
        <v>0</v>
      </c>
      <c r="H527">
        <v>1</v>
      </c>
      <c r="I527">
        <v>0</v>
      </c>
      <c r="J527">
        <v>0</v>
      </c>
      <c r="K527">
        <v>0</v>
      </c>
      <c r="L527">
        <v>0</v>
      </c>
      <c r="P527">
        <v>1</v>
      </c>
      <c r="Q527">
        <v>0</v>
      </c>
      <c r="R527">
        <v>0</v>
      </c>
      <c r="S527">
        <v>0</v>
      </c>
      <c r="T527">
        <v>0</v>
      </c>
      <c r="U527">
        <v>0</v>
      </c>
      <c r="V527">
        <v>0</v>
      </c>
      <c r="W527">
        <v>0</v>
      </c>
      <c r="X527">
        <v>0</v>
      </c>
      <c r="Y527">
        <v>0</v>
      </c>
      <c r="Z527">
        <v>0</v>
      </c>
      <c r="AA527">
        <v>0</v>
      </c>
      <c r="AC527">
        <v>0</v>
      </c>
      <c r="AD527">
        <v>1</v>
      </c>
      <c r="AE527">
        <v>0</v>
      </c>
      <c r="AF527">
        <v>0</v>
      </c>
      <c r="AG527">
        <v>0</v>
      </c>
      <c r="AH527">
        <v>0</v>
      </c>
      <c r="AI527">
        <v>0</v>
      </c>
      <c r="AJ527">
        <v>0</v>
      </c>
      <c r="AK527">
        <v>0</v>
      </c>
      <c r="AZ527" t="s">
        <v>96</v>
      </c>
      <c r="BA527" t="s">
        <v>86</v>
      </c>
      <c r="BB527" t="s">
        <v>87</v>
      </c>
      <c r="BC527" t="s">
        <v>87</v>
      </c>
      <c r="BD527" t="s">
        <v>87</v>
      </c>
      <c r="BE527" t="s">
        <v>87</v>
      </c>
      <c r="BF527" t="s">
        <v>101</v>
      </c>
      <c r="BG527" t="s">
        <v>92</v>
      </c>
      <c r="BH527" t="s">
        <v>98</v>
      </c>
      <c r="BI527" t="s">
        <v>96</v>
      </c>
      <c r="BJ527" t="s">
        <v>109</v>
      </c>
      <c r="BK527">
        <v>0</v>
      </c>
      <c r="BL527">
        <v>0</v>
      </c>
      <c r="BM527">
        <v>0</v>
      </c>
      <c r="BN527">
        <v>0</v>
      </c>
      <c r="BO527">
        <v>0</v>
      </c>
      <c r="BP527">
        <v>1</v>
      </c>
      <c r="BQ527">
        <v>0</v>
      </c>
      <c r="BR527">
        <v>0</v>
      </c>
    </row>
    <row r="528" spans="1:72" x14ac:dyDescent="0.2">
      <c r="A528" s="1">
        <v>44585.627083333333</v>
      </c>
      <c r="B528" s="1">
        <v>44585.632638888892</v>
      </c>
      <c r="C528">
        <v>1</v>
      </c>
      <c r="D528">
        <v>0</v>
      </c>
      <c r="E528">
        <v>0</v>
      </c>
      <c r="F528">
        <v>0</v>
      </c>
      <c r="H528">
        <v>1</v>
      </c>
      <c r="I528">
        <v>0</v>
      </c>
      <c r="J528">
        <v>0</v>
      </c>
      <c r="K528">
        <v>0</v>
      </c>
      <c r="L528">
        <v>0</v>
      </c>
      <c r="P528">
        <v>1</v>
      </c>
      <c r="Q528">
        <v>0</v>
      </c>
      <c r="R528">
        <v>0</v>
      </c>
      <c r="S528">
        <v>0</v>
      </c>
      <c r="T528">
        <v>0</v>
      </c>
      <c r="U528">
        <v>0</v>
      </c>
      <c r="V528">
        <v>0</v>
      </c>
      <c r="W528">
        <v>0</v>
      </c>
      <c r="X528">
        <v>0</v>
      </c>
      <c r="Y528">
        <v>0</v>
      </c>
      <c r="Z528">
        <v>0</v>
      </c>
      <c r="AA528">
        <v>0</v>
      </c>
      <c r="AC528">
        <v>0</v>
      </c>
      <c r="AD528">
        <v>0</v>
      </c>
      <c r="AE528">
        <v>0</v>
      </c>
      <c r="AF528">
        <v>1</v>
      </c>
      <c r="AG528">
        <v>1</v>
      </c>
      <c r="AH528">
        <v>0</v>
      </c>
      <c r="AI528">
        <v>0</v>
      </c>
      <c r="AJ528">
        <v>0</v>
      </c>
      <c r="AK528">
        <v>0</v>
      </c>
      <c r="AZ528" t="s">
        <v>73</v>
      </c>
      <c r="BA528" t="s">
        <v>86</v>
      </c>
      <c r="BB528" t="s">
        <v>74</v>
      </c>
      <c r="BC528" t="s">
        <v>74</v>
      </c>
      <c r="BD528" t="s">
        <v>74</v>
      </c>
      <c r="BE528" t="s">
        <v>74</v>
      </c>
      <c r="BF528" t="s">
        <v>97</v>
      </c>
      <c r="BG528" t="s">
        <v>92</v>
      </c>
      <c r="BH528" t="s">
        <v>158</v>
      </c>
      <c r="BI528" t="s">
        <v>73</v>
      </c>
      <c r="BJ528" t="s">
        <v>114</v>
      </c>
      <c r="BK528">
        <v>0</v>
      </c>
      <c r="BL528">
        <v>0</v>
      </c>
      <c r="BM528">
        <v>0</v>
      </c>
      <c r="BN528">
        <v>0</v>
      </c>
      <c r="BO528">
        <v>0</v>
      </c>
      <c r="BP528">
        <v>1</v>
      </c>
      <c r="BQ528">
        <v>0</v>
      </c>
      <c r="BR528">
        <v>0</v>
      </c>
    </row>
    <row r="529" spans="1:72" x14ac:dyDescent="0.2">
      <c r="A529" s="1">
        <v>44588.935416666667</v>
      </c>
      <c r="B529" s="1">
        <v>44588.938194444447</v>
      </c>
      <c r="C529">
        <v>0</v>
      </c>
      <c r="D529">
        <v>1</v>
      </c>
      <c r="E529">
        <v>0</v>
      </c>
      <c r="F529">
        <v>0</v>
      </c>
      <c r="H529">
        <v>1</v>
      </c>
      <c r="I529">
        <v>0</v>
      </c>
      <c r="J529">
        <v>0</v>
      </c>
      <c r="K529">
        <v>0</v>
      </c>
      <c r="L529">
        <v>0</v>
      </c>
      <c r="P529">
        <v>1</v>
      </c>
      <c r="Q529">
        <v>0</v>
      </c>
      <c r="R529">
        <v>0</v>
      </c>
      <c r="S529">
        <v>0</v>
      </c>
      <c r="T529">
        <v>0</v>
      </c>
      <c r="U529">
        <v>0</v>
      </c>
      <c r="V529">
        <v>0</v>
      </c>
      <c r="W529">
        <v>0</v>
      </c>
      <c r="X529">
        <v>0</v>
      </c>
      <c r="Y529">
        <v>0</v>
      </c>
      <c r="Z529">
        <v>0</v>
      </c>
      <c r="AA529">
        <v>0</v>
      </c>
      <c r="AC529">
        <v>0</v>
      </c>
      <c r="AD529">
        <v>1</v>
      </c>
      <c r="AE529">
        <v>0</v>
      </c>
      <c r="AF529">
        <v>0</v>
      </c>
      <c r="AG529">
        <v>0</v>
      </c>
      <c r="AH529">
        <v>0</v>
      </c>
      <c r="AI529">
        <v>0</v>
      </c>
      <c r="AJ529">
        <v>0</v>
      </c>
      <c r="AK529">
        <v>0</v>
      </c>
      <c r="AX529" t="s">
        <v>199</v>
      </c>
      <c r="AZ529" t="s">
        <v>107</v>
      </c>
      <c r="BA529" t="s">
        <v>86</v>
      </c>
      <c r="BB529" t="s">
        <v>86</v>
      </c>
      <c r="BC529" t="s">
        <v>86</v>
      </c>
      <c r="BD529" t="s">
        <v>87</v>
      </c>
      <c r="BE529" t="s">
        <v>86</v>
      </c>
      <c r="BF529" t="s">
        <v>75</v>
      </c>
      <c r="BG529" t="s">
        <v>92</v>
      </c>
      <c r="BH529" t="s">
        <v>158</v>
      </c>
      <c r="BI529" t="s">
        <v>107</v>
      </c>
      <c r="BJ529" t="s">
        <v>114</v>
      </c>
      <c r="BK529">
        <v>0</v>
      </c>
      <c r="BL529">
        <v>0</v>
      </c>
      <c r="BM529">
        <v>0</v>
      </c>
      <c r="BN529">
        <v>0</v>
      </c>
      <c r="BO529">
        <v>0</v>
      </c>
      <c r="BP529">
        <v>1</v>
      </c>
      <c r="BQ529">
        <v>0</v>
      </c>
      <c r="BR529">
        <v>0</v>
      </c>
    </row>
    <row r="530" spans="1:72" x14ac:dyDescent="0.2">
      <c r="A530" s="1">
        <v>44579.956250000003</v>
      </c>
      <c r="B530" s="1">
        <v>44579.958333333336</v>
      </c>
      <c r="C530">
        <v>1</v>
      </c>
      <c r="D530">
        <v>0</v>
      </c>
      <c r="E530">
        <v>0</v>
      </c>
      <c r="F530">
        <v>0</v>
      </c>
      <c r="H530">
        <v>0</v>
      </c>
      <c r="I530">
        <v>1</v>
      </c>
      <c r="J530">
        <v>1</v>
      </c>
      <c r="K530">
        <v>1</v>
      </c>
      <c r="L530">
        <v>0</v>
      </c>
      <c r="N530" t="s">
        <v>88</v>
      </c>
      <c r="O530" t="s">
        <v>89</v>
      </c>
      <c r="P530">
        <v>0</v>
      </c>
      <c r="Q530">
        <v>1</v>
      </c>
      <c r="R530">
        <v>0</v>
      </c>
      <c r="S530">
        <v>1</v>
      </c>
      <c r="T530">
        <v>0</v>
      </c>
      <c r="U530">
        <v>0</v>
      </c>
      <c r="V530">
        <v>0</v>
      </c>
      <c r="W530">
        <v>0</v>
      </c>
      <c r="X530">
        <v>0</v>
      </c>
      <c r="Y530">
        <v>0</v>
      </c>
      <c r="Z530">
        <v>0</v>
      </c>
      <c r="AA530">
        <v>1</v>
      </c>
      <c r="AB530" t="s">
        <v>302</v>
      </c>
      <c r="AM530" t="s">
        <v>83</v>
      </c>
      <c r="AN530" t="s">
        <v>82</v>
      </c>
      <c r="AO530" t="s">
        <v>81</v>
      </c>
      <c r="AP530" t="s">
        <v>81</v>
      </c>
      <c r="AQ530" t="s">
        <v>83</v>
      </c>
      <c r="AR530" t="s">
        <v>83</v>
      </c>
      <c r="AS530" t="s">
        <v>83</v>
      </c>
      <c r="AT530" t="s">
        <v>90</v>
      </c>
      <c r="AU530" t="s">
        <v>88</v>
      </c>
      <c r="AV530" t="s">
        <v>89</v>
      </c>
      <c r="AW530" t="s">
        <v>100</v>
      </c>
      <c r="AZ530" t="s">
        <v>107</v>
      </c>
      <c r="BA530" t="s">
        <v>87</v>
      </c>
      <c r="BB530" t="s">
        <v>86</v>
      </c>
      <c r="BC530" t="s">
        <v>86</v>
      </c>
      <c r="BD530" t="s">
        <v>86</v>
      </c>
      <c r="BE530" t="s">
        <v>86</v>
      </c>
      <c r="BF530" t="s">
        <v>97</v>
      </c>
      <c r="BG530" t="s">
        <v>92</v>
      </c>
      <c r="BH530" t="s">
        <v>98</v>
      </c>
      <c r="BI530" t="s">
        <v>107</v>
      </c>
      <c r="BJ530" t="s">
        <v>78</v>
      </c>
      <c r="BK530">
        <v>0</v>
      </c>
      <c r="BL530">
        <v>0</v>
      </c>
      <c r="BM530">
        <v>0</v>
      </c>
      <c r="BN530">
        <v>0</v>
      </c>
      <c r="BO530">
        <v>0</v>
      </c>
      <c r="BP530">
        <v>1</v>
      </c>
      <c r="BQ530">
        <v>0</v>
      </c>
      <c r="BR530">
        <v>0</v>
      </c>
    </row>
    <row r="531" spans="1:72" x14ac:dyDescent="0.2">
      <c r="A531" s="1">
        <v>44580.021527777775</v>
      </c>
      <c r="B531" s="1">
        <v>44580.022916666669</v>
      </c>
      <c r="C531">
        <v>0</v>
      </c>
      <c r="D531">
        <v>1</v>
      </c>
      <c r="E531">
        <v>0</v>
      </c>
      <c r="F531">
        <v>0</v>
      </c>
      <c r="H531">
        <v>0</v>
      </c>
      <c r="I531">
        <v>1</v>
      </c>
      <c r="J531">
        <v>0</v>
      </c>
      <c r="K531">
        <v>0</v>
      </c>
      <c r="L531">
        <v>0</v>
      </c>
      <c r="N531" t="s">
        <v>88</v>
      </c>
      <c r="O531" t="s">
        <v>80</v>
      </c>
      <c r="P531">
        <v>1</v>
      </c>
      <c r="Q531">
        <v>0</v>
      </c>
      <c r="R531">
        <v>0</v>
      </c>
      <c r="S531">
        <v>0</v>
      </c>
      <c r="T531">
        <v>0</v>
      </c>
      <c r="U531">
        <v>0</v>
      </c>
      <c r="V531">
        <v>0</v>
      </c>
      <c r="W531">
        <v>0</v>
      </c>
      <c r="X531">
        <v>0</v>
      </c>
      <c r="Y531">
        <v>0</v>
      </c>
      <c r="Z531">
        <v>0</v>
      </c>
      <c r="AA531">
        <v>0</v>
      </c>
      <c r="AC531">
        <v>1</v>
      </c>
      <c r="AD531">
        <v>0</v>
      </c>
      <c r="AE531">
        <v>0</v>
      </c>
      <c r="AF531">
        <v>0</v>
      </c>
      <c r="AG531">
        <v>0</v>
      </c>
      <c r="AH531">
        <v>0</v>
      </c>
      <c r="AI531">
        <v>0</v>
      </c>
      <c r="AJ531">
        <v>0</v>
      </c>
      <c r="AK531">
        <v>0</v>
      </c>
      <c r="AZ531" t="s">
        <v>107</v>
      </c>
      <c r="BA531" t="s">
        <v>87</v>
      </c>
      <c r="BB531" t="s">
        <v>87</v>
      </c>
      <c r="BC531" t="s">
        <v>86</v>
      </c>
      <c r="BD531" t="s">
        <v>87</v>
      </c>
      <c r="BE531" t="s">
        <v>87</v>
      </c>
      <c r="BF531" t="s">
        <v>101</v>
      </c>
      <c r="BG531" t="s">
        <v>92</v>
      </c>
      <c r="BH531" t="s">
        <v>77</v>
      </c>
      <c r="BI531" t="s">
        <v>107</v>
      </c>
      <c r="BJ531" t="s">
        <v>109</v>
      </c>
      <c r="BK531">
        <v>0</v>
      </c>
      <c r="BL531">
        <v>0</v>
      </c>
      <c r="BM531">
        <v>0</v>
      </c>
      <c r="BN531">
        <v>0</v>
      </c>
      <c r="BO531">
        <v>0</v>
      </c>
      <c r="BP531">
        <v>1</v>
      </c>
      <c r="BQ531">
        <v>0</v>
      </c>
      <c r="BR531">
        <v>0</v>
      </c>
    </row>
    <row r="532" spans="1:72" x14ac:dyDescent="0.2">
      <c r="A532" s="1">
        <v>44579.9</v>
      </c>
      <c r="B532" s="1">
        <v>44579.90347222222</v>
      </c>
      <c r="C532">
        <v>0</v>
      </c>
      <c r="D532">
        <v>1</v>
      </c>
      <c r="E532">
        <v>0</v>
      </c>
      <c r="F532">
        <v>0</v>
      </c>
      <c r="H532">
        <v>0</v>
      </c>
      <c r="I532">
        <v>1</v>
      </c>
      <c r="J532">
        <v>1</v>
      </c>
      <c r="K532">
        <v>1</v>
      </c>
      <c r="L532">
        <v>0</v>
      </c>
      <c r="N532" t="s">
        <v>88</v>
      </c>
      <c r="O532" t="s">
        <v>89</v>
      </c>
      <c r="P532">
        <v>0</v>
      </c>
      <c r="Q532">
        <v>1</v>
      </c>
      <c r="R532">
        <v>0</v>
      </c>
      <c r="S532">
        <v>0</v>
      </c>
      <c r="T532">
        <v>0</v>
      </c>
      <c r="U532">
        <v>0</v>
      </c>
      <c r="V532">
        <v>0</v>
      </c>
      <c r="W532">
        <v>0</v>
      </c>
      <c r="X532">
        <v>0</v>
      </c>
      <c r="Y532">
        <v>0</v>
      </c>
      <c r="Z532">
        <v>0</v>
      </c>
      <c r="AA532">
        <v>1</v>
      </c>
      <c r="AB532" t="s">
        <v>303</v>
      </c>
      <c r="AM532" t="s">
        <v>81</v>
      </c>
      <c r="AN532" t="s">
        <v>82</v>
      </c>
      <c r="AO532" t="s">
        <v>81</v>
      </c>
      <c r="AP532" t="s">
        <v>90</v>
      </c>
      <c r="AQ532" t="s">
        <v>82</v>
      </c>
      <c r="AR532" t="s">
        <v>83</v>
      </c>
      <c r="AS532" t="s">
        <v>81</v>
      </c>
      <c r="AT532" t="s">
        <v>90</v>
      </c>
      <c r="AU532" t="s">
        <v>88</v>
      </c>
      <c r="AV532" t="s">
        <v>89</v>
      </c>
      <c r="AW532" t="s">
        <v>100</v>
      </c>
      <c r="AZ532" t="s">
        <v>107</v>
      </c>
      <c r="BA532" t="s">
        <v>87</v>
      </c>
      <c r="BB532" t="s">
        <v>86</v>
      </c>
      <c r="BC532" t="s">
        <v>87</v>
      </c>
      <c r="BD532" t="s">
        <v>87</v>
      </c>
      <c r="BE532" t="s">
        <v>87</v>
      </c>
      <c r="BF532" t="s">
        <v>97</v>
      </c>
      <c r="BG532" t="s">
        <v>92</v>
      </c>
      <c r="BH532" t="s">
        <v>98</v>
      </c>
      <c r="BI532" t="s">
        <v>107</v>
      </c>
      <c r="BJ532" t="s">
        <v>78</v>
      </c>
      <c r="BK532">
        <v>0</v>
      </c>
      <c r="BL532">
        <v>0</v>
      </c>
      <c r="BM532">
        <v>0</v>
      </c>
      <c r="BN532">
        <v>0</v>
      </c>
      <c r="BO532">
        <v>0</v>
      </c>
      <c r="BP532">
        <v>1</v>
      </c>
      <c r="BQ532">
        <v>0</v>
      </c>
      <c r="BR532">
        <v>0</v>
      </c>
    </row>
    <row r="533" spans="1:72" x14ac:dyDescent="0.2">
      <c r="A533" s="1">
        <v>44580.635416666664</v>
      </c>
      <c r="B533" s="1">
        <v>44580.637499999997</v>
      </c>
      <c r="C533">
        <v>1</v>
      </c>
      <c r="D533">
        <v>0</v>
      </c>
      <c r="E533">
        <v>0</v>
      </c>
      <c r="F533">
        <v>0</v>
      </c>
      <c r="H533">
        <v>1</v>
      </c>
      <c r="I533">
        <v>0</v>
      </c>
      <c r="J533">
        <v>0</v>
      </c>
      <c r="K533">
        <v>0</v>
      </c>
      <c r="L533">
        <v>0</v>
      </c>
      <c r="P533">
        <v>0</v>
      </c>
      <c r="Q533">
        <v>1</v>
      </c>
      <c r="R533">
        <v>1</v>
      </c>
      <c r="S533">
        <v>0</v>
      </c>
      <c r="T533">
        <v>0</v>
      </c>
      <c r="U533">
        <v>0</v>
      </c>
      <c r="V533">
        <v>0</v>
      </c>
      <c r="W533">
        <v>0</v>
      </c>
      <c r="X533">
        <v>0</v>
      </c>
      <c r="Y533">
        <v>0</v>
      </c>
      <c r="Z533">
        <v>0</v>
      </c>
      <c r="AA533">
        <v>0</v>
      </c>
      <c r="AM533" t="s">
        <v>83</v>
      </c>
      <c r="AN533" t="s">
        <v>82</v>
      </c>
      <c r="AO533" t="s">
        <v>83</v>
      </c>
      <c r="AP533" t="s">
        <v>83</v>
      </c>
      <c r="AQ533" t="s">
        <v>83</v>
      </c>
      <c r="AR533" t="s">
        <v>83</v>
      </c>
      <c r="AS533" t="s">
        <v>81</v>
      </c>
      <c r="AT533" t="s">
        <v>83</v>
      </c>
      <c r="AU533" t="s">
        <v>127</v>
      </c>
      <c r="AV533" t="s">
        <v>127</v>
      </c>
      <c r="AZ533" t="s">
        <v>107</v>
      </c>
      <c r="BA533" t="s">
        <v>74</v>
      </c>
      <c r="BF533" t="s">
        <v>97</v>
      </c>
      <c r="BG533" t="s">
        <v>92</v>
      </c>
      <c r="BH533" t="s">
        <v>158</v>
      </c>
      <c r="BI533" t="s">
        <v>107</v>
      </c>
      <c r="BJ533" t="s">
        <v>78</v>
      </c>
      <c r="BK533">
        <v>0</v>
      </c>
      <c r="BL533">
        <v>0</v>
      </c>
      <c r="BM533">
        <v>0</v>
      </c>
      <c r="BN533">
        <v>0</v>
      </c>
      <c r="BO533">
        <v>0</v>
      </c>
      <c r="BP533">
        <v>1</v>
      </c>
      <c r="BQ533">
        <v>0</v>
      </c>
      <c r="BR533">
        <v>0</v>
      </c>
    </row>
    <row r="534" spans="1:72" x14ac:dyDescent="0.2">
      <c r="A534" s="1">
        <v>44579.968055555553</v>
      </c>
      <c r="B534" s="1">
        <v>44579.969444444447</v>
      </c>
      <c r="C534">
        <v>1</v>
      </c>
      <c r="D534">
        <v>0</v>
      </c>
      <c r="E534">
        <v>0</v>
      </c>
      <c r="F534">
        <v>0</v>
      </c>
      <c r="H534">
        <v>0</v>
      </c>
      <c r="I534">
        <v>1</v>
      </c>
      <c r="J534">
        <v>0</v>
      </c>
      <c r="K534">
        <v>1</v>
      </c>
      <c r="L534">
        <v>0</v>
      </c>
      <c r="N534" t="s">
        <v>88</v>
      </c>
      <c r="O534" t="s">
        <v>89</v>
      </c>
      <c r="P534">
        <v>0</v>
      </c>
      <c r="Q534">
        <v>1</v>
      </c>
      <c r="R534">
        <v>0</v>
      </c>
      <c r="S534">
        <v>0</v>
      </c>
      <c r="T534">
        <v>0</v>
      </c>
      <c r="U534">
        <v>0</v>
      </c>
      <c r="V534">
        <v>0</v>
      </c>
      <c r="W534">
        <v>0</v>
      </c>
      <c r="X534">
        <v>0</v>
      </c>
      <c r="Y534">
        <v>0</v>
      </c>
      <c r="Z534">
        <v>0</v>
      </c>
      <c r="AA534">
        <v>0</v>
      </c>
      <c r="AM534" t="s">
        <v>90</v>
      </c>
      <c r="AN534" t="s">
        <v>82</v>
      </c>
      <c r="AO534" t="s">
        <v>81</v>
      </c>
      <c r="AP534" t="s">
        <v>81</v>
      </c>
      <c r="AQ534" t="s">
        <v>90</v>
      </c>
      <c r="AR534" t="s">
        <v>90</v>
      </c>
      <c r="AS534" t="s">
        <v>90</v>
      </c>
      <c r="AT534" t="s">
        <v>83</v>
      </c>
      <c r="AU534" t="s">
        <v>88</v>
      </c>
      <c r="AV534" t="s">
        <v>89</v>
      </c>
      <c r="AW534" t="s">
        <v>100</v>
      </c>
      <c r="AZ534" t="s">
        <v>73</v>
      </c>
      <c r="BA534" t="s">
        <v>87</v>
      </c>
      <c r="BB534" t="s">
        <v>87</v>
      </c>
      <c r="BC534" t="s">
        <v>87</v>
      </c>
      <c r="BD534" t="s">
        <v>87</v>
      </c>
      <c r="BE534" t="s">
        <v>86</v>
      </c>
      <c r="BF534" t="s">
        <v>97</v>
      </c>
      <c r="BG534" t="s">
        <v>92</v>
      </c>
      <c r="BH534" t="s">
        <v>98</v>
      </c>
      <c r="BI534" t="s">
        <v>73</v>
      </c>
      <c r="BJ534" t="s">
        <v>78</v>
      </c>
      <c r="BK534">
        <v>0</v>
      </c>
      <c r="BL534">
        <v>0</v>
      </c>
      <c r="BM534">
        <v>0</v>
      </c>
      <c r="BN534">
        <v>0</v>
      </c>
      <c r="BO534">
        <v>0</v>
      </c>
      <c r="BP534">
        <v>1</v>
      </c>
      <c r="BQ534">
        <v>0</v>
      </c>
      <c r="BR534">
        <v>0</v>
      </c>
    </row>
    <row r="535" spans="1:72" x14ac:dyDescent="0.2">
      <c r="A535" s="1">
        <v>44579.9</v>
      </c>
      <c r="B535" s="1">
        <v>44579.901388888888</v>
      </c>
      <c r="C535">
        <v>0</v>
      </c>
      <c r="D535">
        <v>1</v>
      </c>
      <c r="E535">
        <v>0</v>
      </c>
      <c r="F535">
        <v>0</v>
      </c>
      <c r="H535">
        <v>1</v>
      </c>
      <c r="I535">
        <v>0</v>
      </c>
      <c r="J535">
        <v>0</v>
      </c>
      <c r="K535">
        <v>0</v>
      </c>
      <c r="L535">
        <v>0</v>
      </c>
      <c r="P535">
        <v>1</v>
      </c>
      <c r="Q535">
        <v>0</v>
      </c>
      <c r="R535">
        <v>0</v>
      </c>
      <c r="S535">
        <v>0</v>
      </c>
      <c r="T535">
        <v>0</v>
      </c>
      <c r="U535">
        <v>0</v>
      </c>
      <c r="V535">
        <v>0</v>
      </c>
      <c r="W535">
        <v>0</v>
      </c>
      <c r="X535">
        <v>0</v>
      </c>
      <c r="Y535">
        <v>0</v>
      </c>
      <c r="Z535">
        <v>0</v>
      </c>
      <c r="AA535">
        <v>0</v>
      </c>
      <c r="AC535">
        <v>0</v>
      </c>
      <c r="AD535">
        <v>0</v>
      </c>
      <c r="AE535">
        <v>1</v>
      </c>
      <c r="AF535">
        <v>0</v>
      </c>
      <c r="AG535">
        <v>0</v>
      </c>
      <c r="AH535">
        <v>1</v>
      </c>
      <c r="AI535">
        <v>1</v>
      </c>
      <c r="AJ535">
        <v>0</v>
      </c>
      <c r="AK535">
        <v>0</v>
      </c>
      <c r="AZ535" t="s">
        <v>73</v>
      </c>
      <c r="BA535" t="s">
        <v>74</v>
      </c>
      <c r="BF535" t="s">
        <v>97</v>
      </c>
      <c r="BG535" t="s">
        <v>92</v>
      </c>
      <c r="BH535" t="s">
        <v>98</v>
      </c>
      <c r="BI535" t="s">
        <v>73</v>
      </c>
      <c r="BJ535" t="s">
        <v>94</v>
      </c>
      <c r="BK535">
        <v>0</v>
      </c>
      <c r="BL535">
        <v>0</v>
      </c>
      <c r="BM535">
        <v>0</v>
      </c>
      <c r="BN535">
        <v>0</v>
      </c>
      <c r="BO535">
        <v>0</v>
      </c>
      <c r="BP535">
        <v>1</v>
      </c>
      <c r="BQ535">
        <v>0</v>
      </c>
      <c r="BR535">
        <v>0</v>
      </c>
    </row>
    <row r="536" spans="1:72" x14ac:dyDescent="0.2">
      <c r="A536" s="1">
        <v>44579.945138888892</v>
      </c>
      <c r="B536" s="1">
        <v>44579.949305555558</v>
      </c>
      <c r="C536">
        <v>0</v>
      </c>
      <c r="D536">
        <v>1</v>
      </c>
      <c r="E536">
        <v>0</v>
      </c>
      <c r="F536">
        <v>0</v>
      </c>
      <c r="H536">
        <v>0</v>
      </c>
      <c r="I536">
        <v>1</v>
      </c>
      <c r="J536">
        <v>0</v>
      </c>
      <c r="K536">
        <v>1</v>
      </c>
      <c r="L536">
        <v>0</v>
      </c>
      <c r="N536" t="s">
        <v>88</v>
      </c>
      <c r="O536" t="s">
        <v>89</v>
      </c>
      <c r="P536">
        <v>0</v>
      </c>
      <c r="Q536">
        <v>1</v>
      </c>
      <c r="R536">
        <v>0</v>
      </c>
      <c r="S536">
        <v>1</v>
      </c>
      <c r="T536">
        <v>1</v>
      </c>
      <c r="U536">
        <v>0</v>
      </c>
      <c r="V536">
        <v>0</v>
      </c>
      <c r="W536">
        <v>0</v>
      </c>
      <c r="X536">
        <v>0</v>
      </c>
      <c r="Y536">
        <v>0</v>
      </c>
      <c r="Z536">
        <v>0</v>
      </c>
      <c r="AA536">
        <v>0</v>
      </c>
      <c r="AM536" t="s">
        <v>83</v>
      </c>
      <c r="AN536" t="s">
        <v>82</v>
      </c>
      <c r="AO536" t="s">
        <v>81</v>
      </c>
      <c r="AP536" t="s">
        <v>82</v>
      </c>
      <c r="AQ536" t="s">
        <v>81</v>
      </c>
      <c r="AR536" t="s">
        <v>83</v>
      </c>
      <c r="AS536" t="s">
        <v>82</v>
      </c>
      <c r="AT536" t="s">
        <v>83</v>
      </c>
      <c r="AU536" t="s">
        <v>88</v>
      </c>
      <c r="AV536" t="s">
        <v>89</v>
      </c>
      <c r="AW536" t="s">
        <v>100</v>
      </c>
      <c r="AZ536" t="s">
        <v>96</v>
      </c>
      <c r="BA536" t="s">
        <v>86</v>
      </c>
      <c r="BB536" t="s">
        <v>86</v>
      </c>
      <c r="BC536" t="s">
        <v>87</v>
      </c>
      <c r="BD536" t="s">
        <v>86</v>
      </c>
      <c r="BE536" t="s">
        <v>86</v>
      </c>
      <c r="BF536" t="s">
        <v>97</v>
      </c>
      <c r="BG536" t="s">
        <v>92</v>
      </c>
      <c r="BH536" t="s">
        <v>158</v>
      </c>
      <c r="BI536" t="s">
        <v>96</v>
      </c>
      <c r="BJ536" t="s">
        <v>154</v>
      </c>
      <c r="BK536">
        <v>0</v>
      </c>
      <c r="BL536">
        <v>0</v>
      </c>
      <c r="BM536">
        <v>0</v>
      </c>
      <c r="BN536">
        <v>0</v>
      </c>
      <c r="BO536">
        <v>0</v>
      </c>
      <c r="BP536">
        <v>1</v>
      </c>
      <c r="BQ536">
        <v>0</v>
      </c>
      <c r="BR536">
        <v>0</v>
      </c>
    </row>
    <row r="537" spans="1:72" x14ac:dyDescent="0.2">
      <c r="A537" s="1">
        <v>44585.609722222223</v>
      </c>
      <c r="B537" s="1">
        <v>44585.611111111109</v>
      </c>
      <c r="C537">
        <v>1</v>
      </c>
      <c r="D537">
        <v>0</v>
      </c>
      <c r="E537">
        <v>0</v>
      </c>
      <c r="F537">
        <v>0</v>
      </c>
      <c r="H537">
        <v>1</v>
      </c>
      <c r="I537">
        <v>0</v>
      </c>
      <c r="J537">
        <v>0</v>
      </c>
      <c r="K537">
        <v>0</v>
      </c>
      <c r="L537">
        <v>0</v>
      </c>
      <c r="P537">
        <v>1</v>
      </c>
      <c r="Q537">
        <v>0</v>
      </c>
      <c r="R537">
        <v>0</v>
      </c>
      <c r="S537">
        <v>0</v>
      </c>
      <c r="T537">
        <v>0</v>
      </c>
      <c r="U537">
        <v>0</v>
      </c>
      <c r="V537">
        <v>0</v>
      </c>
      <c r="W537">
        <v>0</v>
      </c>
      <c r="X537">
        <v>0</v>
      </c>
      <c r="Y537">
        <v>0</v>
      </c>
      <c r="Z537">
        <v>0</v>
      </c>
      <c r="AA537">
        <v>0</v>
      </c>
      <c r="AC537">
        <v>0</v>
      </c>
      <c r="AD537">
        <v>1</v>
      </c>
      <c r="AE537">
        <v>0</v>
      </c>
      <c r="AF537">
        <v>0</v>
      </c>
      <c r="AG537">
        <v>0</v>
      </c>
      <c r="AH537">
        <v>0</v>
      </c>
      <c r="AI537">
        <v>0</v>
      </c>
      <c r="AJ537">
        <v>0</v>
      </c>
      <c r="AK537">
        <v>0</v>
      </c>
      <c r="AZ537" t="s">
        <v>96</v>
      </c>
      <c r="BA537" t="s">
        <v>87</v>
      </c>
      <c r="BB537" t="s">
        <v>74</v>
      </c>
      <c r="BC537" t="s">
        <v>74</v>
      </c>
      <c r="BD537" t="s">
        <v>74</v>
      </c>
      <c r="BE537" t="s">
        <v>74</v>
      </c>
      <c r="BF537" t="s">
        <v>97</v>
      </c>
      <c r="BG537" t="s">
        <v>92</v>
      </c>
      <c r="BH537" t="s">
        <v>98</v>
      </c>
      <c r="BI537" t="s">
        <v>96</v>
      </c>
      <c r="BJ537" t="s">
        <v>114</v>
      </c>
      <c r="BK537">
        <v>0</v>
      </c>
      <c r="BL537">
        <v>0</v>
      </c>
      <c r="BM537">
        <v>0</v>
      </c>
      <c r="BN537">
        <v>0</v>
      </c>
      <c r="BO537">
        <v>0</v>
      </c>
      <c r="BP537">
        <v>1</v>
      </c>
      <c r="BQ537">
        <v>0</v>
      </c>
      <c r="BR537">
        <v>0</v>
      </c>
    </row>
    <row r="538" spans="1:72" x14ac:dyDescent="0.2">
      <c r="A538" s="1">
        <v>44579.884027777778</v>
      </c>
      <c r="B538" s="1">
        <v>44579.887499999997</v>
      </c>
      <c r="C538">
        <v>1</v>
      </c>
      <c r="D538">
        <v>0</v>
      </c>
      <c r="E538">
        <v>0</v>
      </c>
      <c r="F538">
        <v>0</v>
      </c>
      <c r="H538">
        <v>1</v>
      </c>
      <c r="I538">
        <v>0</v>
      </c>
      <c r="J538">
        <v>0</v>
      </c>
      <c r="K538">
        <v>0</v>
      </c>
      <c r="L538">
        <v>0</v>
      </c>
      <c r="P538">
        <v>1</v>
      </c>
      <c r="Q538">
        <v>0</v>
      </c>
      <c r="R538">
        <v>0</v>
      </c>
      <c r="S538">
        <v>0</v>
      </c>
      <c r="T538">
        <v>0</v>
      </c>
      <c r="U538">
        <v>0</v>
      </c>
      <c r="V538">
        <v>0</v>
      </c>
      <c r="W538">
        <v>0</v>
      </c>
      <c r="X538">
        <v>0</v>
      </c>
      <c r="Y538">
        <v>0</v>
      </c>
      <c r="Z538">
        <v>0</v>
      </c>
      <c r="AA538">
        <v>0</v>
      </c>
      <c r="AC538">
        <v>0</v>
      </c>
      <c r="AD538">
        <v>0</v>
      </c>
      <c r="AE538">
        <v>1</v>
      </c>
      <c r="AF538">
        <v>0</v>
      </c>
      <c r="AG538">
        <v>1</v>
      </c>
      <c r="AH538">
        <v>0</v>
      </c>
      <c r="AI538">
        <v>0</v>
      </c>
      <c r="AJ538">
        <v>0</v>
      </c>
      <c r="AK538">
        <v>1</v>
      </c>
      <c r="AL538" t="s">
        <v>304</v>
      </c>
      <c r="AZ538" t="s">
        <v>73</v>
      </c>
      <c r="BA538" t="s">
        <v>74</v>
      </c>
      <c r="BF538" t="s">
        <v>97</v>
      </c>
      <c r="BG538" t="s">
        <v>92</v>
      </c>
      <c r="BH538" t="s">
        <v>98</v>
      </c>
      <c r="BI538" t="s">
        <v>73</v>
      </c>
      <c r="BJ538" t="s">
        <v>137</v>
      </c>
      <c r="BK538">
        <v>0</v>
      </c>
      <c r="BL538">
        <v>0</v>
      </c>
      <c r="BM538">
        <v>0</v>
      </c>
      <c r="BN538">
        <v>0</v>
      </c>
      <c r="BO538">
        <v>0</v>
      </c>
      <c r="BP538">
        <v>1</v>
      </c>
      <c r="BQ538">
        <v>0</v>
      </c>
      <c r="BR538">
        <v>0</v>
      </c>
    </row>
    <row r="539" spans="1:72" x14ac:dyDescent="0.2">
      <c r="A539" s="1">
        <v>44579.890972222223</v>
      </c>
      <c r="B539" s="1">
        <v>44579.894444444442</v>
      </c>
      <c r="C539">
        <v>1</v>
      </c>
      <c r="D539">
        <v>0</v>
      </c>
      <c r="E539">
        <v>0</v>
      </c>
      <c r="F539">
        <v>0</v>
      </c>
      <c r="H539">
        <v>0</v>
      </c>
      <c r="I539">
        <v>1</v>
      </c>
      <c r="J539">
        <v>0</v>
      </c>
      <c r="K539">
        <v>0</v>
      </c>
      <c r="L539">
        <v>0</v>
      </c>
      <c r="N539" t="s">
        <v>88</v>
      </c>
      <c r="O539" t="s">
        <v>89</v>
      </c>
      <c r="P539">
        <v>0</v>
      </c>
      <c r="Q539">
        <v>1</v>
      </c>
      <c r="R539">
        <v>0</v>
      </c>
      <c r="S539">
        <v>0</v>
      </c>
      <c r="T539">
        <v>0</v>
      </c>
      <c r="U539">
        <v>0</v>
      </c>
      <c r="V539">
        <v>0</v>
      </c>
      <c r="W539">
        <v>0</v>
      </c>
      <c r="X539">
        <v>0</v>
      </c>
      <c r="Y539">
        <v>0</v>
      </c>
      <c r="Z539">
        <v>0</v>
      </c>
      <c r="AA539">
        <v>0</v>
      </c>
      <c r="AM539" t="s">
        <v>90</v>
      </c>
      <c r="AN539" t="s">
        <v>82</v>
      </c>
      <c r="AO539" t="s">
        <v>90</v>
      </c>
      <c r="AP539" t="s">
        <v>81</v>
      </c>
      <c r="AQ539" t="s">
        <v>90</v>
      </c>
      <c r="AR539" t="s">
        <v>90</v>
      </c>
      <c r="AS539" t="s">
        <v>90</v>
      </c>
      <c r="AT539" t="s">
        <v>90</v>
      </c>
      <c r="AU539" t="s">
        <v>88</v>
      </c>
      <c r="AV539" t="s">
        <v>89</v>
      </c>
      <c r="AW539" t="s">
        <v>100</v>
      </c>
      <c r="AZ539" t="s">
        <v>107</v>
      </c>
      <c r="BA539" t="s">
        <v>87</v>
      </c>
      <c r="BB539" t="s">
        <v>74</v>
      </c>
      <c r="BC539" t="s">
        <v>87</v>
      </c>
      <c r="BD539" t="s">
        <v>86</v>
      </c>
      <c r="BE539" t="s">
        <v>74</v>
      </c>
      <c r="BF539" t="s">
        <v>97</v>
      </c>
      <c r="BG539" t="s">
        <v>92</v>
      </c>
      <c r="BH539" t="s">
        <v>98</v>
      </c>
      <c r="BI539" t="s">
        <v>107</v>
      </c>
      <c r="BJ539" t="s">
        <v>109</v>
      </c>
      <c r="BK539">
        <v>0</v>
      </c>
      <c r="BL539">
        <v>0</v>
      </c>
      <c r="BM539">
        <v>0</v>
      </c>
      <c r="BN539">
        <v>0</v>
      </c>
      <c r="BO539">
        <v>0</v>
      </c>
      <c r="BP539">
        <v>1</v>
      </c>
      <c r="BQ539">
        <v>0</v>
      </c>
      <c r="BR539">
        <v>0</v>
      </c>
    </row>
    <row r="540" spans="1:72" x14ac:dyDescent="0.2">
      <c r="A540" s="1">
        <v>44580.852777777778</v>
      </c>
      <c r="B540" s="1">
        <v>44580.854166666664</v>
      </c>
      <c r="C540">
        <v>0</v>
      </c>
      <c r="D540">
        <v>1</v>
      </c>
      <c r="E540">
        <v>0</v>
      </c>
      <c r="F540">
        <v>0</v>
      </c>
      <c r="H540">
        <v>1</v>
      </c>
      <c r="I540">
        <v>0</v>
      </c>
      <c r="J540">
        <v>0</v>
      </c>
      <c r="K540">
        <v>0</v>
      </c>
      <c r="L540">
        <v>0</v>
      </c>
      <c r="P540">
        <v>1</v>
      </c>
      <c r="Q540">
        <v>0</v>
      </c>
      <c r="R540">
        <v>0</v>
      </c>
      <c r="S540">
        <v>0</v>
      </c>
      <c r="T540">
        <v>0</v>
      </c>
      <c r="U540">
        <v>0</v>
      </c>
      <c r="V540">
        <v>0</v>
      </c>
      <c r="W540">
        <v>0</v>
      </c>
      <c r="X540">
        <v>0</v>
      </c>
      <c r="Y540">
        <v>0</v>
      </c>
      <c r="Z540">
        <v>0</v>
      </c>
      <c r="AA540">
        <v>0</v>
      </c>
      <c r="AC540">
        <v>0</v>
      </c>
      <c r="AD540">
        <v>0</v>
      </c>
      <c r="AE540">
        <v>0</v>
      </c>
      <c r="AF540">
        <v>0</v>
      </c>
      <c r="AG540">
        <v>0</v>
      </c>
      <c r="AH540">
        <v>0</v>
      </c>
      <c r="AI540">
        <v>1</v>
      </c>
      <c r="AJ540">
        <v>0</v>
      </c>
      <c r="AK540">
        <v>0</v>
      </c>
      <c r="AZ540" t="s">
        <v>96</v>
      </c>
      <c r="BA540" t="s">
        <v>74</v>
      </c>
      <c r="BF540" t="s">
        <v>97</v>
      </c>
      <c r="BG540" t="s">
        <v>92</v>
      </c>
      <c r="BH540" t="s">
        <v>158</v>
      </c>
      <c r="BI540" t="s">
        <v>96</v>
      </c>
      <c r="BK540">
        <v>0</v>
      </c>
      <c r="BL540">
        <v>0</v>
      </c>
      <c r="BM540">
        <v>0</v>
      </c>
      <c r="BN540">
        <v>0</v>
      </c>
      <c r="BO540">
        <v>0</v>
      </c>
      <c r="BP540">
        <v>1</v>
      </c>
      <c r="BQ540">
        <v>0</v>
      </c>
      <c r="BR540">
        <v>0</v>
      </c>
      <c r="BT540" t="s">
        <v>163</v>
      </c>
    </row>
    <row r="541" spans="1:72" x14ac:dyDescent="0.2">
      <c r="A541" s="1">
        <v>44588.884722222225</v>
      </c>
      <c r="B541" s="1">
        <v>44588.886111111111</v>
      </c>
      <c r="C541">
        <v>1</v>
      </c>
      <c r="D541">
        <v>0</v>
      </c>
      <c r="E541">
        <v>0</v>
      </c>
      <c r="F541">
        <v>0</v>
      </c>
      <c r="H541">
        <v>0</v>
      </c>
      <c r="I541">
        <v>1</v>
      </c>
      <c r="J541">
        <v>0</v>
      </c>
      <c r="K541">
        <v>0</v>
      </c>
      <c r="L541">
        <v>0</v>
      </c>
      <c r="N541" t="s">
        <v>88</v>
      </c>
      <c r="O541" t="s">
        <v>89</v>
      </c>
      <c r="P541">
        <v>1</v>
      </c>
      <c r="Q541">
        <v>0</v>
      </c>
      <c r="R541">
        <v>0</v>
      </c>
      <c r="S541">
        <v>0</v>
      </c>
      <c r="T541">
        <v>0</v>
      </c>
      <c r="U541">
        <v>0</v>
      </c>
      <c r="V541">
        <v>0</v>
      </c>
      <c r="W541">
        <v>0</v>
      </c>
      <c r="X541">
        <v>0</v>
      </c>
      <c r="Y541">
        <v>0</v>
      </c>
      <c r="Z541">
        <v>0</v>
      </c>
      <c r="AA541">
        <v>0</v>
      </c>
      <c r="AC541">
        <v>0</v>
      </c>
      <c r="AD541">
        <v>1</v>
      </c>
      <c r="AE541">
        <v>0</v>
      </c>
      <c r="AF541">
        <v>0</v>
      </c>
      <c r="AG541">
        <v>0</v>
      </c>
      <c r="AH541">
        <v>0</v>
      </c>
      <c r="AI541">
        <v>0</v>
      </c>
      <c r="AJ541">
        <v>0</v>
      </c>
      <c r="AK541">
        <v>0</v>
      </c>
      <c r="AZ541" t="s">
        <v>73</v>
      </c>
      <c r="BA541" t="s">
        <v>87</v>
      </c>
      <c r="BB541" t="s">
        <v>74</v>
      </c>
      <c r="BC541" t="s">
        <v>87</v>
      </c>
      <c r="BD541" t="s">
        <v>74</v>
      </c>
      <c r="BE541" t="s">
        <v>74</v>
      </c>
      <c r="BF541" t="s">
        <v>97</v>
      </c>
      <c r="BG541" t="s">
        <v>92</v>
      </c>
      <c r="BH541" t="s">
        <v>98</v>
      </c>
      <c r="BI541" t="s">
        <v>73</v>
      </c>
      <c r="BJ541" t="s">
        <v>114</v>
      </c>
      <c r="BK541">
        <v>0</v>
      </c>
      <c r="BL541">
        <v>0</v>
      </c>
      <c r="BM541">
        <v>0</v>
      </c>
      <c r="BN541">
        <v>0</v>
      </c>
      <c r="BO541">
        <v>0</v>
      </c>
      <c r="BP541">
        <v>1</v>
      </c>
      <c r="BQ541">
        <v>0</v>
      </c>
      <c r="BR541">
        <v>0</v>
      </c>
    </row>
    <row r="542" spans="1:72" x14ac:dyDescent="0.2">
      <c r="A542" s="1">
        <v>44580.636805555558</v>
      </c>
      <c r="B542" s="1">
        <v>44580.638194444444</v>
      </c>
      <c r="C542">
        <v>1</v>
      </c>
      <c r="D542">
        <v>0</v>
      </c>
      <c r="E542">
        <v>0</v>
      </c>
      <c r="F542">
        <v>0</v>
      </c>
      <c r="H542">
        <v>0</v>
      </c>
      <c r="I542">
        <v>1</v>
      </c>
      <c r="J542">
        <v>0</v>
      </c>
      <c r="K542">
        <v>0</v>
      </c>
      <c r="L542">
        <v>0</v>
      </c>
      <c r="N542" t="s">
        <v>135</v>
      </c>
      <c r="O542" t="s">
        <v>80</v>
      </c>
      <c r="P542">
        <v>1</v>
      </c>
      <c r="Q542">
        <v>0</v>
      </c>
      <c r="R542">
        <v>0</v>
      </c>
      <c r="S542">
        <v>0</v>
      </c>
      <c r="T542">
        <v>0</v>
      </c>
      <c r="U542">
        <v>0</v>
      </c>
      <c r="V542">
        <v>0</v>
      </c>
      <c r="W542">
        <v>0</v>
      </c>
      <c r="X542">
        <v>0</v>
      </c>
      <c r="Y542">
        <v>0</v>
      </c>
      <c r="Z542">
        <v>0</v>
      </c>
      <c r="AA542">
        <v>0</v>
      </c>
      <c r="AC542">
        <v>0</v>
      </c>
      <c r="AD542">
        <v>0</v>
      </c>
      <c r="AE542">
        <v>0</v>
      </c>
      <c r="AF542">
        <v>0</v>
      </c>
      <c r="AG542">
        <v>0</v>
      </c>
      <c r="AH542">
        <v>0</v>
      </c>
      <c r="AI542">
        <v>0</v>
      </c>
      <c r="AJ542">
        <v>0</v>
      </c>
      <c r="AK542">
        <v>1</v>
      </c>
      <c r="AL542" t="s">
        <v>305</v>
      </c>
      <c r="AZ542" t="s">
        <v>73</v>
      </c>
      <c r="BA542" t="s">
        <v>87</v>
      </c>
      <c r="BB542" t="s">
        <v>86</v>
      </c>
      <c r="BC542" t="s">
        <v>87</v>
      </c>
      <c r="BD542" t="s">
        <v>74</v>
      </c>
      <c r="BE542" t="s">
        <v>74</v>
      </c>
      <c r="BF542" t="s">
        <v>97</v>
      </c>
      <c r="BG542" t="s">
        <v>92</v>
      </c>
      <c r="BH542" t="s">
        <v>98</v>
      </c>
      <c r="BI542" t="s">
        <v>73</v>
      </c>
      <c r="BJ542" t="s">
        <v>94</v>
      </c>
      <c r="BK542">
        <v>0</v>
      </c>
      <c r="BL542">
        <v>0</v>
      </c>
      <c r="BM542">
        <v>0</v>
      </c>
      <c r="BN542">
        <v>0</v>
      </c>
      <c r="BO542">
        <v>0</v>
      </c>
      <c r="BP542">
        <v>1</v>
      </c>
      <c r="BQ542">
        <v>0</v>
      </c>
      <c r="BR542">
        <v>0</v>
      </c>
    </row>
    <row r="543" spans="1:72" x14ac:dyDescent="0.2">
      <c r="A543" s="1">
        <v>44580.329861111109</v>
      </c>
      <c r="B543" s="1">
        <v>44580.334027777775</v>
      </c>
      <c r="C543">
        <v>0</v>
      </c>
      <c r="D543">
        <v>1</v>
      </c>
      <c r="E543">
        <v>0</v>
      </c>
      <c r="F543">
        <v>0</v>
      </c>
      <c r="H543">
        <v>0</v>
      </c>
      <c r="I543">
        <v>1</v>
      </c>
      <c r="J543">
        <v>0</v>
      </c>
      <c r="K543">
        <v>0</v>
      </c>
      <c r="L543">
        <v>0</v>
      </c>
      <c r="N543" t="s">
        <v>88</v>
      </c>
      <c r="O543" t="s">
        <v>89</v>
      </c>
      <c r="P543">
        <v>0</v>
      </c>
      <c r="Q543">
        <v>1</v>
      </c>
      <c r="R543">
        <v>0</v>
      </c>
      <c r="S543">
        <v>0</v>
      </c>
      <c r="T543">
        <v>1</v>
      </c>
      <c r="U543">
        <v>0</v>
      </c>
      <c r="V543">
        <v>0</v>
      </c>
      <c r="W543">
        <v>0</v>
      </c>
      <c r="X543">
        <v>0</v>
      </c>
      <c r="Y543">
        <v>0</v>
      </c>
      <c r="Z543">
        <v>0</v>
      </c>
      <c r="AA543">
        <v>0</v>
      </c>
      <c r="AM543" t="s">
        <v>83</v>
      </c>
      <c r="AN543" t="s">
        <v>81</v>
      </c>
      <c r="AO543" t="s">
        <v>83</v>
      </c>
      <c r="AP543" t="s">
        <v>81</v>
      </c>
      <c r="AQ543" t="s">
        <v>82</v>
      </c>
      <c r="AR543" t="s">
        <v>82</v>
      </c>
      <c r="AS543" t="s">
        <v>81</v>
      </c>
      <c r="AT543" t="s">
        <v>83</v>
      </c>
      <c r="AU543" t="s">
        <v>88</v>
      </c>
      <c r="AV543" t="s">
        <v>89</v>
      </c>
      <c r="AW543" t="s">
        <v>100</v>
      </c>
      <c r="AZ543" t="s">
        <v>107</v>
      </c>
      <c r="BA543" t="s">
        <v>86</v>
      </c>
      <c r="BB543" t="s">
        <v>87</v>
      </c>
      <c r="BC543" t="s">
        <v>87</v>
      </c>
      <c r="BD543" t="s">
        <v>87</v>
      </c>
      <c r="BE543" t="s">
        <v>87</v>
      </c>
      <c r="BF543" t="s">
        <v>97</v>
      </c>
      <c r="BG543" t="s">
        <v>92</v>
      </c>
      <c r="BH543" t="s">
        <v>98</v>
      </c>
      <c r="BI543" t="s">
        <v>107</v>
      </c>
      <c r="BJ543" t="s">
        <v>114</v>
      </c>
      <c r="BK543">
        <v>0</v>
      </c>
      <c r="BL543">
        <v>0</v>
      </c>
      <c r="BM543">
        <v>0</v>
      </c>
      <c r="BN543">
        <v>0</v>
      </c>
      <c r="BO543">
        <v>0</v>
      </c>
      <c r="BP543">
        <v>1</v>
      </c>
      <c r="BQ543">
        <v>0</v>
      </c>
      <c r="BR543">
        <v>0</v>
      </c>
    </row>
    <row r="544" spans="1:72" x14ac:dyDescent="0.2">
      <c r="A544" s="1">
        <v>44579.901388888888</v>
      </c>
      <c r="B544" s="1">
        <v>44579.904166666667</v>
      </c>
      <c r="C544">
        <v>1</v>
      </c>
      <c r="D544">
        <v>0</v>
      </c>
      <c r="E544">
        <v>0</v>
      </c>
      <c r="F544">
        <v>0</v>
      </c>
      <c r="H544">
        <v>0</v>
      </c>
      <c r="I544">
        <v>1</v>
      </c>
      <c r="J544">
        <v>0</v>
      </c>
      <c r="K544">
        <v>0</v>
      </c>
      <c r="L544">
        <v>0</v>
      </c>
      <c r="N544" t="s">
        <v>88</v>
      </c>
      <c r="O544" t="s">
        <v>89</v>
      </c>
      <c r="P544">
        <v>1</v>
      </c>
      <c r="Q544">
        <v>0</v>
      </c>
      <c r="R544">
        <v>0</v>
      </c>
      <c r="S544">
        <v>0</v>
      </c>
      <c r="T544">
        <v>0</v>
      </c>
      <c r="U544">
        <v>0</v>
      </c>
      <c r="V544">
        <v>0</v>
      </c>
      <c r="W544">
        <v>0</v>
      </c>
      <c r="X544">
        <v>0</v>
      </c>
      <c r="Y544">
        <v>0</v>
      </c>
      <c r="Z544">
        <v>0</v>
      </c>
      <c r="AA544">
        <v>0</v>
      </c>
      <c r="AC544">
        <v>0</v>
      </c>
      <c r="AD544">
        <v>0</v>
      </c>
      <c r="AE544">
        <v>0</v>
      </c>
      <c r="AF544">
        <v>0</v>
      </c>
      <c r="AG544">
        <v>0</v>
      </c>
      <c r="AH544">
        <v>0</v>
      </c>
      <c r="AI544">
        <v>0</v>
      </c>
      <c r="AJ544">
        <v>1</v>
      </c>
      <c r="AK544">
        <v>0</v>
      </c>
      <c r="AX544" t="s">
        <v>110</v>
      </c>
      <c r="AY544" t="s">
        <v>306</v>
      </c>
      <c r="AZ544" t="s">
        <v>73</v>
      </c>
      <c r="BA544" t="s">
        <v>87</v>
      </c>
      <c r="BB544" t="s">
        <v>74</v>
      </c>
      <c r="BC544" t="s">
        <v>87</v>
      </c>
      <c r="BD544" t="s">
        <v>74</v>
      </c>
      <c r="BE544" t="s">
        <v>74</v>
      </c>
      <c r="BF544" t="s">
        <v>75</v>
      </c>
      <c r="BG544" t="s">
        <v>92</v>
      </c>
      <c r="BH544" t="s">
        <v>98</v>
      </c>
      <c r="BI544" t="s">
        <v>73</v>
      </c>
      <c r="BJ544" t="s">
        <v>114</v>
      </c>
      <c r="BK544">
        <v>0</v>
      </c>
      <c r="BL544">
        <v>0</v>
      </c>
      <c r="BM544">
        <v>0</v>
      </c>
      <c r="BN544">
        <v>0</v>
      </c>
      <c r="BO544">
        <v>0</v>
      </c>
      <c r="BP544">
        <v>1</v>
      </c>
      <c r="BQ544">
        <v>0</v>
      </c>
      <c r="BR544">
        <v>0</v>
      </c>
    </row>
    <row r="545" spans="1:72" x14ac:dyDescent="0.2">
      <c r="A545" s="1">
        <v>44579.962500000001</v>
      </c>
      <c r="B545" s="1">
        <v>44579.964583333334</v>
      </c>
      <c r="C545">
        <v>1</v>
      </c>
      <c r="D545">
        <v>0</v>
      </c>
      <c r="E545">
        <v>0</v>
      </c>
      <c r="F545">
        <v>0</v>
      </c>
      <c r="H545">
        <v>0</v>
      </c>
      <c r="I545">
        <v>1</v>
      </c>
      <c r="J545">
        <v>0</v>
      </c>
      <c r="K545">
        <v>0</v>
      </c>
      <c r="L545">
        <v>0</v>
      </c>
      <c r="N545" t="s">
        <v>135</v>
      </c>
      <c r="O545" t="s">
        <v>80</v>
      </c>
      <c r="P545">
        <v>1</v>
      </c>
      <c r="Q545">
        <v>0</v>
      </c>
      <c r="R545">
        <v>0</v>
      </c>
      <c r="S545">
        <v>0</v>
      </c>
      <c r="T545">
        <v>0</v>
      </c>
      <c r="U545">
        <v>0</v>
      </c>
      <c r="V545">
        <v>0</v>
      </c>
      <c r="W545">
        <v>0</v>
      </c>
      <c r="X545">
        <v>0</v>
      </c>
      <c r="Y545">
        <v>0</v>
      </c>
      <c r="Z545">
        <v>0</v>
      </c>
      <c r="AA545">
        <v>0</v>
      </c>
      <c r="AC545">
        <v>0</v>
      </c>
      <c r="AD545">
        <v>0</v>
      </c>
      <c r="AE545">
        <v>1</v>
      </c>
      <c r="AF545">
        <v>0</v>
      </c>
      <c r="AG545">
        <v>0</v>
      </c>
      <c r="AH545">
        <v>0</v>
      </c>
      <c r="AI545">
        <v>0</v>
      </c>
      <c r="AJ545">
        <v>0</v>
      </c>
      <c r="AK545">
        <v>0</v>
      </c>
      <c r="AX545" t="s">
        <v>118</v>
      </c>
      <c r="AZ545" t="s">
        <v>107</v>
      </c>
      <c r="BA545" t="s">
        <v>87</v>
      </c>
      <c r="BB545" t="s">
        <v>87</v>
      </c>
      <c r="BC545" t="s">
        <v>87</v>
      </c>
      <c r="BD545" t="s">
        <v>87</v>
      </c>
      <c r="BE545" t="s">
        <v>87</v>
      </c>
      <c r="BF545" t="s">
        <v>75</v>
      </c>
      <c r="BG545" t="s">
        <v>92</v>
      </c>
      <c r="BH545" t="s">
        <v>98</v>
      </c>
      <c r="BI545" t="s">
        <v>107</v>
      </c>
      <c r="BJ545" t="s">
        <v>137</v>
      </c>
      <c r="BK545">
        <v>0</v>
      </c>
      <c r="BL545">
        <v>0</v>
      </c>
      <c r="BM545">
        <v>0</v>
      </c>
      <c r="BN545">
        <v>0</v>
      </c>
      <c r="BO545">
        <v>0</v>
      </c>
      <c r="BP545">
        <v>1</v>
      </c>
      <c r="BQ545">
        <v>0</v>
      </c>
      <c r="BR545">
        <v>0</v>
      </c>
    </row>
    <row r="546" spans="1:72" x14ac:dyDescent="0.2">
      <c r="A546" s="1">
        <v>44580.005555555559</v>
      </c>
      <c r="B546" s="1">
        <v>44580.010416666664</v>
      </c>
      <c r="C546">
        <v>1</v>
      </c>
      <c r="D546">
        <v>0</v>
      </c>
      <c r="E546">
        <v>0</v>
      </c>
      <c r="F546">
        <v>0</v>
      </c>
      <c r="H546">
        <v>0</v>
      </c>
      <c r="I546">
        <v>1</v>
      </c>
      <c r="J546">
        <v>0</v>
      </c>
      <c r="K546">
        <v>0</v>
      </c>
      <c r="L546">
        <v>0</v>
      </c>
      <c r="N546" t="s">
        <v>88</v>
      </c>
      <c r="O546" t="s">
        <v>89</v>
      </c>
      <c r="P546">
        <v>0</v>
      </c>
      <c r="Q546">
        <v>0</v>
      </c>
      <c r="R546">
        <v>1</v>
      </c>
      <c r="S546">
        <v>0</v>
      </c>
      <c r="T546">
        <v>0</v>
      </c>
      <c r="U546">
        <v>0</v>
      </c>
      <c r="V546">
        <v>0</v>
      </c>
      <c r="W546">
        <v>0</v>
      </c>
      <c r="X546">
        <v>0</v>
      </c>
      <c r="Y546">
        <v>0</v>
      </c>
      <c r="Z546">
        <v>0</v>
      </c>
      <c r="AA546">
        <v>0</v>
      </c>
      <c r="AM546" t="s">
        <v>81</v>
      </c>
      <c r="AN546" t="s">
        <v>82</v>
      </c>
      <c r="AO546" t="s">
        <v>83</v>
      </c>
      <c r="AP546" t="s">
        <v>83</v>
      </c>
      <c r="AQ546" t="s">
        <v>81</v>
      </c>
      <c r="AR546" t="s">
        <v>81</v>
      </c>
      <c r="AS546" t="s">
        <v>83</v>
      </c>
      <c r="AT546" t="s">
        <v>83</v>
      </c>
      <c r="AU546" t="s">
        <v>88</v>
      </c>
      <c r="AV546" t="s">
        <v>89</v>
      </c>
      <c r="AW546" t="s">
        <v>100</v>
      </c>
      <c r="AZ546" t="s">
        <v>73</v>
      </c>
      <c r="BA546" t="s">
        <v>87</v>
      </c>
      <c r="BB546" t="s">
        <v>87</v>
      </c>
      <c r="BC546" t="s">
        <v>87</v>
      </c>
      <c r="BD546" t="s">
        <v>86</v>
      </c>
      <c r="BE546" t="s">
        <v>87</v>
      </c>
      <c r="BF546" t="s">
        <v>97</v>
      </c>
      <c r="BG546" t="s">
        <v>92</v>
      </c>
      <c r="BH546" t="s">
        <v>158</v>
      </c>
      <c r="BI546" t="s">
        <v>73</v>
      </c>
      <c r="BJ546" t="s">
        <v>114</v>
      </c>
      <c r="BK546">
        <v>0</v>
      </c>
      <c r="BL546">
        <v>0</v>
      </c>
      <c r="BM546">
        <v>0</v>
      </c>
      <c r="BN546">
        <v>0</v>
      </c>
      <c r="BO546">
        <v>0</v>
      </c>
      <c r="BP546">
        <v>1</v>
      </c>
      <c r="BQ546">
        <v>0</v>
      </c>
      <c r="BR546">
        <v>0</v>
      </c>
    </row>
    <row r="547" spans="1:72" x14ac:dyDescent="0.2">
      <c r="A547" s="1">
        <v>44581.767361111109</v>
      </c>
      <c r="B547" s="1">
        <v>44581.770138888889</v>
      </c>
      <c r="C547">
        <v>0</v>
      </c>
      <c r="D547">
        <v>1</v>
      </c>
      <c r="E547">
        <v>0</v>
      </c>
      <c r="F547">
        <v>0</v>
      </c>
      <c r="H547">
        <v>1</v>
      </c>
      <c r="I547">
        <v>0</v>
      </c>
      <c r="J547">
        <v>0</v>
      </c>
      <c r="K547">
        <v>0</v>
      </c>
      <c r="L547">
        <v>0</v>
      </c>
      <c r="P547">
        <v>1</v>
      </c>
      <c r="Q547">
        <v>0</v>
      </c>
      <c r="R547">
        <v>0</v>
      </c>
      <c r="S547">
        <v>0</v>
      </c>
      <c r="T547">
        <v>0</v>
      </c>
      <c r="U547">
        <v>0</v>
      </c>
      <c r="V547">
        <v>0</v>
      </c>
      <c r="W547">
        <v>0</v>
      </c>
      <c r="X547">
        <v>0</v>
      </c>
      <c r="Y547">
        <v>0</v>
      </c>
      <c r="Z547">
        <v>0</v>
      </c>
      <c r="AA547">
        <v>0</v>
      </c>
      <c r="AC547">
        <v>0</v>
      </c>
      <c r="AD547">
        <v>1</v>
      </c>
      <c r="AE547">
        <v>0</v>
      </c>
      <c r="AF547">
        <v>0</v>
      </c>
      <c r="AG547">
        <v>0</v>
      </c>
      <c r="AH547">
        <v>0</v>
      </c>
      <c r="AI547">
        <v>0</v>
      </c>
      <c r="AJ547">
        <v>0</v>
      </c>
      <c r="AK547">
        <v>0</v>
      </c>
      <c r="AZ547" t="s">
        <v>96</v>
      </c>
      <c r="BA547" t="s">
        <v>86</v>
      </c>
      <c r="BB547" t="s">
        <v>74</v>
      </c>
      <c r="BC547" t="s">
        <v>86</v>
      </c>
      <c r="BD547" t="s">
        <v>86</v>
      </c>
      <c r="BE547" t="s">
        <v>86</v>
      </c>
      <c r="BF547" t="s">
        <v>97</v>
      </c>
      <c r="BG547" t="s">
        <v>92</v>
      </c>
      <c r="BH547" t="s">
        <v>98</v>
      </c>
      <c r="BI547" t="s">
        <v>96</v>
      </c>
      <c r="BJ547" t="s">
        <v>78</v>
      </c>
      <c r="BK547">
        <v>0</v>
      </c>
      <c r="BL547">
        <v>0</v>
      </c>
      <c r="BM547">
        <v>0</v>
      </c>
      <c r="BN547">
        <v>0</v>
      </c>
      <c r="BO547">
        <v>0</v>
      </c>
      <c r="BP547">
        <v>1</v>
      </c>
      <c r="BQ547">
        <v>0</v>
      </c>
      <c r="BR547">
        <v>0</v>
      </c>
    </row>
    <row r="548" spans="1:72" x14ac:dyDescent="0.2">
      <c r="A548" s="1">
        <v>44579.898611111108</v>
      </c>
      <c r="B548" s="1">
        <v>44579.901388888888</v>
      </c>
      <c r="C548">
        <v>0</v>
      </c>
      <c r="D548">
        <v>1</v>
      </c>
      <c r="E548">
        <v>0</v>
      </c>
      <c r="F548">
        <v>0</v>
      </c>
      <c r="H548">
        <v>0</v>
      </c>
      <c r="I548">
        <v>0</v>
      </c>
      <c r="J548">
        <v>0</v>
      </c>
      <c r="K548">
        <v>1</v>
      </c>
      <c r="L548">
        <v>1</v>
      </c>
      <c r="M548" t="s">
        <v>307</v>
      </c>
      <c r="N548" t="s">
        <v>88</v>
      </c>
      <c r="O548" t="s">
        <v>89</v>
      </c>
      <c r="P548">
        <v>0</v>
      </c>
      <c r="Q548">
        <v>1</v>
      </c>
      <c r="R548">
        <v>0</v>
      </c>
      <c r="S548">
        <v>1</v>
      </c>
      <c r="T548">
        <v>0</v>
      </c>
      <c r="U548">
        <v>0</v>
      </c>
      <c r="V548">
        <v>0</v>
      </c>
      <c r="W548">
        <v>0</v>
      </c>
      <c r="X548">
        <v>0</v>
      </c>
      <c r="Y548">
        <v>0</v>
      </c>
      <c r="Z548">
        <v>0</v>
      </c>
      <c r="AA548">
        <v>0</v>
      </c>
      <c r="AM548" t="s">
        <v>83</v>
      </c>
      <c r="AN548" t="s">
        <v>81</v>
      </c>
      <c r="AO548" t="s">
        <v>81</v>
      </c>
      <c r="AP548" t="s">
        <v>81</v>
      </c>
      <c r="AQ548" t="s">
        <v>82</v>
      </c>
      <c r="AR548" t="s">
        <v>81</v>
      </c>
      <c r="AS548" t="s">
        <v>83</v>
      </c>
      <c r="AT548" t="s">
        <v>83</v>
      </c>
      <c r="AU548" t="s">
        <v>84</v>
      </c>
      <c r="AV548" t="s">
        <v>80</v>
      </c>
      <c r="AW548" t="s">
        <v>100</v>
      </c>
      <c r="AZ548" t="s">
        <v>73</v>
      </c>
      <c r="BA548" t="s">
        <v>86</v>
      </c>
      <c r="BB548" t="s">
        <v>87</v>
      </c>
      <c r="BC548" t="s">
        <v>87</v>
      </c>
      <c r="BD548" t="s">
        <v>87</v>
      </c>
      <c r="BE548" t="s">
        <v>86</v>
      </c>
      <c r="BF548" t="s">
        <v>97</v>
      </c>
      <c r="BG548" t="s">
        <v>92</v>
      </c>
      <c r="BH548" t="s">
        <v>158</v>
      </c>
      <c r="BI548" t="s">
        <v>73</v>
      </c>
      <c r="BJ548" t="s">
        <v>114</v>
      </c>
      <c r="BK548">
        <v>0</v>
      </c>
      <c r="BL548">
        <v>0</v>
      </c>
      <c r="BM548">
        <v>0</v>
      </c>
      <c r="BN548">
        <v>0</v>
      </c>
      <c r="BO548">
        <v>0</v>
      </c>
      <c r="BP548">
        <v>1</v>
      </c>
      <c r="BQ548">
        <v>0</v>
      </c>
      <c r="BR548">
        <v>0</v>
      </c>
    </row>
    <row r="549" spans="1:72" x14ac:dyDescent="0.2">
      <c r="A549" s="1">
        <v>44585.669444444444</v>
      </c>
      <c r="B549" s="1">
        <v>44585.67083333333</v>
      </c>
      <c r="C549">
        <v>1</v>
      </c>
      <c r="D549">
        <v>0</v>
      </c>
      <c r="E549">
        <v>0</v>
      </c>
      <c r="F549">
        <v>0</v>
      </c>
      <c r="H549">
        <v>1</v>
      </c>
      <c r="I549">
        <v>0</v>
      </c>
      <c r="J549">
        <v>0</v>
      </c>
      <c r="K549">
        <v>0</v>
      </c>
      <c r="L549">
        <v>0</v>
      </c>
      <c r="P549">
        <v>1</v>
      </c>
      <c r="Q549">
        <v>0</v>
      </c>
      <c r="R549">
        <v>0</v>
      </c>
      <c r="S549">
        <v>0</v>
      </c>
      <c r="T549">
        <v>0</v>
      </c>
      <c r="U549">
        <v>0</v>
      </c>
      <c r="V549">
        <v>0</v>
      </c>
      <c r="W549">
        <v>0</v>
      </c>
      <c r="X549">
        <v>0</v>
      </c>
      <c r="Y549">
        <v>0</v>
      </c>
      <c r="Z549">
        <v>0</v>
      </c>
      <c r="AA549">
        <v>0</v>
      </c>
      <c r="AC549">
        <v>0</v>
      </c>
      <c r="AD549">
        <v>1</v>
      </c>
      <c r="AE549">
        <v>0</v>
      </c>
      <c r="AF549">
        <v>0</v>
      </c>
      <c r="AG549">
        <v>0</v>
      </c>
      <c r="AH549">
        <v>0</v>
      </c>
      <c r="AI549">
        <v>0</v>
      </c>
      <c r="AJ549">
        <v>0</v>
      </c>
      <c r="AK549">
        <v>0</v>
      </c>
      <c r="AX549" t="s">
        <v>308</v>
      </c>
      <c r="AZ549" t="s">
        <v>120</v>
      </c>
      <c r="BA549" t="s">
        <v>74</v>
      </c>
      <c r="BF549" t="s">
        <v>75</v>
      </c>
      <c r="BG549" t="s">
        <v>92</v>
      </c>
      <c r="BH549" t="s">
        <v>98</v>
      </c>
      <c r="BI549" t="s">
        <v>120</v>
      </c>
      <c r="BJ549" t="s">
        <v>102</v>
      </c>
      <c r="BK549">
        <v>0</v>
      </c>
      <c r="BL549">
        <v>0</v>
      </c>
      <c r="BM549">
        <v>0</v>
      </c>
      <c r="BN549">
        <v>0</v>
      </c>
      <c r="BO549">
        <v>0</v>
      </c>
      <c r="BP549">
        <v>1</v>
      </c>
      <c r="BQ549">
        <v>0</v>
      </c>
      <c r="BR549">
        <v>0</v>
      </c>
    </row>
    <row r="550" spans="1:72" x14ac:dyDescent="0.2">
      <c r="A550" s="1">
        <v>44589.01666666667</v>
      </c>
      <c r="B550" s="1">
        <v>44589.020833333336</v>
      </c>
      <c r="C550">
        <v>1</v>
      </c>
      <c r="D550">
        <v>0</v>
      </c>
      <c r="E550">
        <v>0</v>
      </c>
      <c r="F550">
        <v>0</v>
      </c>
      <c r="H550">
        <v>0</v>
      </c>
      <c r="I550">
        <v>1</v>
      </c>
      <c r="J550">
        <v>1</v>
      </c>
      <c r="K550">
        <v>1</v>
      </c>
      <c r="L550">
        <v>1</v>
      </c>
      <c r="M550" t="s">
        <v>309</v>
      </c>
      <c r="N550" t="s">
        <v>88</v>
      </c>
      <c r="O550" t="s">
        <v>89</v>
      </c>
      <c r="P550">
        <v>0</v>
      </c>
      <c r="Q550">
        <v>1</v>
      </c>
      <c r="R550">
        <v>1</v>
      </c>
      <c r="S550">
        <v>0</v>
      </c>
      <c r="T550">
        <v>0</v>
      </c>
      <c r="U550">
        <v>0</v>
      </c>
      <c r="V550">
        <v>0</v>
      </c>
      <c r="W550">
        <v>0</v>
      </c>
      <c r="X550">
        <v>0</v>
      </c>
      <c r="Y550">
        <v>0</v>
      </c>
      <c r="Z550">
        <v>0</v>
      </c>
      <c r="AA550">
        <v>0</v>
      </c>
      <c r="AM550" t="s">
        <v>82</v>
      </c>
      <c r="AN550" t="s">
        <v>82</v>
      </c>
      <c r="AO550" t="s">
        <v>81</v>
      </c>
      <c r="AP550" t="s">
        <v>81</v>
      </c>
      <c r="AQ550" t="s">
        <v>82</v>
      </c>
      <c r="AR550" t="s">
        <v>82</v>
      </c>
      <c r="AS550" t="s">
        <v>82</v>
      </c>
      <c r="AT550" t="s">
        <v>83</v>
      </c>
      <c r="AU550" t="s">
        <v>88</v>
      </c>
      <c r="AV550" t="s">
        <v>89</v>
      </c>
      <c r="AW550" t="s">
        <v>100</v>
      </c>
      <c r="AZ550" t="s">
        <v>73</v>
      </c>
      <c r="BA550" t="s">
        <v>87</v>
      </c>
      <c r="BB550" t="s">
        <v>87</v>
      </c>
      <c r="BC550" t="s">
        <v>87</v>
      </c>
      <c r="BD550" t="s">
        <v>87</v>
      </c>
      <c r="BE550" t="s">
        <v>87</v>
      </c>
      <c r="BF550" t="s">
        <v>97</v>
      </c>
      <c r="BG550" t="s">
        <v>92</v>
      </c>
      <c r="BH550" t="s">
        <v>98</v>
      </c>
      <c r="BI550" t="s">
        <v>73</v>
      </c>
      <c r="BJ550" t="s">
        <v>94</v>
      </c>
      <c r="BK550">
        <v>0</v>
      </c>
      <c r="BL550">
        <v>0</v>
      </c>
      <c r="BM550">
        <v>0</v>
      </c>
      <c r="BN550">
        <v>0</v>
      </c>
      <c r="BO550">
        <v>0</v>
      </c>
      <c r="BP550">
        <v>1</v>
      </c>
      <c r="BQ550">
        <v>0</v>
      </c>
      <c r="BR550">
        <v>0</v>
      </c>
    </row>
    <row r="551" spans="1:72" x14ac:dyDescent="0.2">
      <c r="A551" s="1">
        <v>44579.958333333336</v>
      </c>
      <c r="B551" s="1">
        <v>44579.960416666669</v>
      </c>
      <c r="C551">
        <v>1</v>
      </c>
      <c r="D551">
        <v>0</v>
      </c>
      <c r="E551">
        <v>0</v>
      </c>
      <c r="F551">
        <v>0</v>
      </c>
      <c r="H551">
        <v>1</v>
      </c>
      <c r="I551">
        <v>0</v>
      </c>
      <c r="J551">
        <v>0</v>
      </c>
      <c r="K551">
        <v>0</v>
      </c>
      <c r="L551">
        <v>0</v>
      </c>
      <c r="P551">
        <v>1</v>
      </c>
      <c r="Q551">
        <v>0</v>
      </c>
      <c r="R551">
        <v>0</v>
      </c>
      <c r="S551">
        <v>0</v>
      </c>
      <c r="T551">
        <v>0</v>
      </c>
      <c r="U551">
        <v>0</v>
      </c>
      <c r="V551">
        <v>0</v>
      </c>
      <c r="W551">
        <v>0</v>
      </c>
      <c r="X551">
        <v>0</v>
      </c>
      <c r="Y551">
        <v>0</v>
      </c>
      <c r="Z551">
        <v>0</v>
      </c>
      <c r="AA551">
        <v>0</v>
      </c>
      <c r="AC551">
        <v>0</v>
      </c>
      <c r="AD551">
        <v>0</v>
      </c>
      <c r="AE551">
        <v>1</v>
      </c>
      <c r="AF551">
        <v>0</v>
      </c>
      <c r="AG551">
        <v>0</v>
      </c>
      <c r="AH551">
        <v>0</v>
      </c>
      <c r="AI551">
        <v>0</v>
      </c>
      <c r="AJ551">
        <v>0</v>
      </c>
      <c r="AK551">
        <v>0</v>
      </c>
      <c r="AZ551" t="s">
        <v>96</v>
      </c>
      <c r="BA551" t="s">
        <v>86</v>
      </c>
      <c r="BB551" t="s">
        <v>87</v>
      </c>
      <c r="BC551" t="s">
        <v>74</v>
      </c>
      <c r="BD551" t="s">
        <v>87</v>
      </c>
      <c r="BE551" t="s">
        <v>74</v>
      </c>
      <c r="BF551" t="s">
        <v>97</v>
      </c>
      <c r="BG551" t="s">
        <v>92</v>
      </c>
      <c r="BH551" t="s">
        <v>98</v>
      </c>
      <c r="BI551" t="s">
        <v>96</v>
      </c>
      <c r="BJ551" t="s">
        <v>78</v>
      </c>
      <c r="BK551">
        <v>0</v>
      </c>
      <c r="BL551">
        <v>0</v>
      </c>
      <c r="BM551">
        <v>0</v>
      </c>
      <c r="BN551">
        <v>0</v>
      </c>
      <c r="BO551">
        <v>0</v>
      </c>
      <c r="BP551">
        <v>1</v>
      </c>
      <c r="BQ551">
        <v>0</v>
      </c>
      <c r="BR551">
        <v>0</v>
      </c>
    </row>
    <row r="552" spans="1:72" x14ac:dyDescent="0.2">
      <c r="A552" s="1">
        <v>44579.97152777778</v>
      </c>
      <c r="B552" s="1">
        <v>44579.974305555559</v>
      </c>
      <c r="C552">
        <v>1</v>
      </c>
      <c r="D552">
        <v>0</v>
      </c>
      <c r="E552">
        <v>0</v>
      </c>
      <c r="F552">
        <v>0</v>
      </c>
      <c r="H552">
        <v>0</v>
      </c>
      <c r="I552">
        <v>1</v>
      </c>
      <c r="J552">
        <v>1</v>
      </c>
      <c r="K552">
        <v>1</v>
      </c>
      <c r="L552">
        <v>0</v>
      </c>
      <c r="N552" t="s">
        <v>88</v>
      </c>
      <c r="O552" t="s">
        <v>89</v>
      </c>
      <c r="P552">
        <v>0</v>
      </c>
      <c r="Q552">
        <v>0</v>
      </c>
      <c r="R552">
        <v>1</v>
      </c>
      <c r="S552">
        <v>0</v>
      </c>
      <c r="T552">
        <v>0</v>
      </c>
      <c r="U552">
        <v>0</v>
      </c>
      <c r="V552">
        <v>0</v>
      </c>
      <c r="W552">
        <v>0</v>
      </c>
      <c r="X552">
        <v>0</v>
      </c>
      <c r="Y552">
        <v>0</v>
      </c>
      <c r="Z552">
        <v>0</v>
      </c>
      <c r="AA552">
        <v>0</v>
      </c>
      <c r="AM552" t="s">
        <v>83</v>
      </c>
      <c r="AN552" t="s">
        <v>82</v>
      </c>
      <c r="AO552" t="s">
        <v>81</v>
      </c>
      <c r="AP552" t="s">
        <v>82</v>
      </c>
      <c r="AQ552" t="s">
        <v>81</v>
      </c>
      <c r="AR552" t="s">
        <v>81</v>
      </c>
      <c r="AS552" t="s">
        <v>81</v>
      </c>
      <c r="AT552" t="s">
        <v>83</v>
      </c>
      <c r="AU552" t="s">
        <v>88</v>
      </c>
      <c r="AV552" t="s">
        <v>89</v>
      </c>
      <c r="AW552" t="s">
        <v>100</v>
      </c>
      <c r="AX552" t="s">
        <v>118</v>
      </c>
      <c r="AZ552" t="s">
        <v>107</v>
      </c>
      <c r="BA552" t="s">
        <v>87</v>
      </c>
      <c r="BB552" t="s">
        <v>87</v>
      </c>
      <c r="BC552" t="s">
        <v>87</v>
      </c>
      <c r="BD552" t="s">
        <v>87</v>
      </c>
      <c r="BE552" t="s">
        <v>87</v>
      </c>
      <c r="BF552" t="s">
        <v>75</v>
      </c>
      <c r="BG552" t="s">
        <v>92</v>
      </c>
      <c r="BH552" t="s">
        <v>77</v>
      </c>
      <c r="BI552" t="s">
        <v>107</v>
      </c>
      <c r="BJ552" t="s">
        <v>78</v>
      </c>
      <c r="BK552">
        <v>0</v>
      </c>
      <c r="BL552">
        <v>0</v>
      </c>
      <c r="BM552">
        <v>0</v>
      </c>
      <c r="BN552">
        <v>0</v>
      </c>
      <c r="BO552">
        <v>1</v>
      </c>
      <c r="BP552">
        <v>0</v>
      </c>
      <c r="BQ552">
        <v>0</v>
      </c>
      <c r="BR552">
        <v>0</v>
      </c>
    </row>
    <row r="553" spans="1:72" x14ac:dyDescent="0.2">
      <c r="A553" s="1">
        <v>44589.576388888891</v>
      </c>
      <c r="B553" s="1">
        <v>44589.57708333333</v>
      </c>
      <c r="C553">
        <v>0</v>
      </c>
      <c r="D553">
        <v>0</v>
      </c>
      <c r="E553">
        <v>0</v>
      </c>
      <c r="F553">
        <v>1</v>
      </c>
      <c r="P553">
        <v>1</v>
      </c>
      <c r="Q553">
        <v>0</v>
      </c>
      <c r="R553">
        <v>0</v>
      </c>
      <c r="S553">
        <v>0</v>
      </c>
      <c r="T553">
        <v>0</v>
      </c>
      <c r="U553">
        <v>0</v>
      </c>
      <c r="V553">
        <v>0</v>
      </c>
      <c r="W553">
        <v>0</v>
      </c>
      <c r="X553">
        <v>0</v>
      </c>
      <c r="Y553">
        <v>0</v>
      </c>
      <c r="Z553">
        <v>0</v>
      </c>
      <c r="AA553">
        <v>0</v>
      </c>
      <c r="AC553">
        <v>0</v>
      </c>
      <c r="AD553">
        <v>1</v>
      </c>
      <c r="AE553">
        <v>0</v>
      </c>
      <c r="AF553">
        <v>0</v>
      </c>
      <c r="AG553">
        <v>0</v>
      </c>
      <c r="AH553">
        <v>0</v>
      </c>
      <c r="AI553">
        <v>0</v>
      </c>
      <c r="AJ553">
        <v>0</v>
      </c>
      <c r="AK553">
        <v>0</v>
      </c>
      <c r="AZ553" t="s">
        <v>107</v>
      </c>
      <c r="BF553" t="s">
        <v>97</v>
      </c>
      <c r="BG553" t="s">
        <v>92</v>
      </c>
      <c r="BH553" t="s">
        <v>158</v>
      </c>
      <c r="BI553" t="s">
        <v>107</v>
      </c>
      <c r="BJ553" t="s">
        <v>78</v>
      </c>
      <c r="BK553">
        <v>0</v>
      </c>
      <c r="BL553">
        <v>0</v>
      </c>
      <c r="BM553">
        <v>0</v>
      </c>
      <c r="BN553">
        <v>0</v>
      </c>
      <c r="BO553">
        <v>0</v>
      </c>
      <c r="BP553">
        <v>1</v>
      </c>
      <c r="BQ553">
        <v>0</v>
      </c>
      <c r="BR553">
        <v>0</v>
      </c>
    </row>
    <row r="554" spans="1:72" x14ac:dyDescent="0.2">
      <c r="A554" s="1">
        <v>44580.020833333336</v>
      </c>
      <c r="B554" s="1">
        <v>44580.022916666669</v>
      </c>
      <c r="C554">
        <v>0</v>
      </c>
      <c r="D554">
        <v>1</v>
      </c>
      <c r="E554">
        <v>0</v>
      </c>
      <c r="F554">
        <v>0</v>
      </c>
      <c r="H554">
        <v>1</v>
      </c>
      <c r="I554">
        <v>0</v>
      </c>
      <c r="J554">
        <v>0</v>
      </c>
      <c r="K554">
        <v>0</v>
      </c>
      <c r="L554">
        <v>0</v>
      </c>
      <c r="P554">
        <v>1</v>
      </c>
      <c r="Q554">
        <v>0</v>
      </c>
      <c r="R554">
        <v>0</v>
      </c>
      <c r="S554">
        <v>0</v>
      </c>
      <c r="T554">
        <v>0</v>
      </c>
      <c r="U554">
        <v>0</v>
      </c>
      <c r="V554">
        <v>0</v>
      </c>
      <c r="W554">
        <v>0</v>
      </c>
      <c r="X554">
        <v>0</v>
      </c>
      <c r="Y554">
        <v>0</v>
      </c>
      <c r="Z554">
        <v>0</v>
      </c>
      <c r="AA554">
        <v>0</v>
      </c>
      <c r="AC554">
        <v>0</v>
      </c>
      <c r="AD554">
        <v>0</v>
      </c>
      <c r="AE554">
        <v>1</v>
      </c>
      <c r="AF554">
        <v>0</v>
      </c>
      <c r="AG554">
        <v>0</v>
      </c>
      <c r="AH554">
        <v>0</v>
      </c>
      <c r="AI554">
        <v>0</v>
      </c>
      <c r="AJ554">
        <v>0</v>
      </c>
      <c r="AK554">
        <v>0</v>
      </c>
      <c r="AZ554" t="s">
        <v>252</v>
      </c>
      <c r="BA554" t="s">
        <v>87</v>
      </c>
      <c r="BB554" t="s">
        <v>74</v>
      </c>
      <c r="BC554" t="s">
        <v>74</v>
      </c>
      <c r="BD554" t="s">
        <v>86</v>
      </c>
      <c r="BE554" t="s">
        <v>74</v>
      </c>
      <c r="BF554" t="s">
        <v>101</v>
      </c>
      <c r="BG554" t="s">
        <v>92</v>
      </c>
      <c r="BH554" t="s">
        <v>98</v>
      </c>
      <c r="BI554" t="s">
        <v>252</v>
      </c>
      <c r="BK554">
        <v>0</v>
      </c>
      <c r="BL554">
        <v>0</v>
      </c>
      <c r="BM554">
        <v>0</v>
      </c>
      <c r="BN554">
        <v>0</v>
      </c>
      <c r="BO554">
        <v>0</v>
      </c>
      <c r="BP554">
        <v>1</v>
      </c>
      <c r="BQ554">
        <v>0</v>
      </c>
      <c r="BR554">
        <v>0</v>
      </c>
      <c r="BT554" t="s">
        <v>138</v>
      </c>
    </row>
    <row r="555" spans="1:72" x14ac:dyDescent="0.2">
      <c r="A555" s="1">
        <v>44585.527083333334</v>
      </c>
      <c r="B555" s="1">
        <v>44585.527777777781</v>
      </c>
      <c r="C555">
        <v>1</v>
      </c>
      <c r="D555">
        <v>0</v>
      </c>
      <c r="E555">
        <v>0</v>
      </c>
      <c r="F555">
        <v>0</v>
      </c>
      <c r="H555">
        <v>1</v>
      </c>
      <c r="I555">
        <v>0</v>
      </c>
      <c r="J555">
        <v>0</v>
      </c>
      <c r="K555">
        <v>0</v>
      </c>
      <c r="L555">
        <v>0</v>
      </c>
      <c r="P555">
        <v>1</v>
      </c>
      <c r="Q555">
        <v>0</v>
      </c>
      <c r="R555">
        <v>0</v>
      </c>
      <c r="S555">
        <v>0</v>
      </c>
      <c r="T555">
        <v>0</v>
      </c>
      <c r="U555">
        <v>0</v>
      </c>
      <c r="V555">
        <v>0</v>
      </c>
      <c r="W555">
        <v>0</v>
      </c>
      <c r="X555">
        <v>0</v>
      </c>
      <c r="Y555">
        <v>0</v>
      </c>
      <c r="Z555">
        <v>0</v>
      </c>
      <c r="AA555">
        <v>0</v>
      </c>
      <c r="AC555">
        <v>0</v>
      </c>
      <c r="AD555">
        <v>1</v>
      </c>
      <c r="AE555">
        <v>0</v>
      </c>
      <c r="AF555">
        <v>0</v>
      </c>
      <c r="AG555">
        <v>0</v>
      </c>
      <c r="AH555">
        <v>0</v>
      </c>
      <c r="AI555">
        <v>0</v>
      </c>
      <c r="AJ555">
        <v>0</v>
      </c>
      <c r="AK555">
        <v>0</v>
      </c>
      <c r="AZ555" t="s">
        <v>73</v>
      </c>
      <c r="BA555" t="s">
        <v>74</v>
      </c>
      <c r="BF555" t="s">
        <v>97</v>
      </c>
      <c r="BG555" t="s">
        <v>92</v>
      </c>
      <c r="BH555" t="s">
        <v>98</v>
      </c>
      <c r="BI555" t="s">
        <v>73</v>
      </c>
      <c r="BJ555" t="s">
        <v>78</v>
      </c>
      <c r="BK555">
        <v>0</v>
      </c>
      <c r="BL555">
        <v>0</v>
      </c>
      <c r="BM555">
        <v>0</v>
      </c>
      <c r="BN555">
        <v>0</v>
      </c>
      <c r="BO555">
        <v>0</v>
      </c>
      <c r="BP555">
        <v>1</v>
      </c>
      <c r="BQ555">
        <v>0</v>
      </c>
      <c r="BR555">
        <v>0</v>
      </c>
    </row>
    <row r="556" spans="1:72" x14ac:dyDescent="0.2">
      <c r="A556" s="1">
        <v>44580.035416666666</v>
      </c>
      <c r="B556" s="1">
        <v>44580.038194444445</v>
      </c>
      <c r="C556">
        <v>1</v>
      </c>
      <c r="D556">
        <v>0</v>
      </c>
      <c r="E556">
        <v>0</v>
      </c>
      <c r="F556">
        <v>0</v>
      </c>
      <c r="H556">
        <v>0</v>
      </c>
      <c r="I556">
        <v>0</v>
      </c>
      <c r="J556">
        <v>1</v>
      </c>
      <c r="K556">
        <v>0</v>
      </c>
      <c r="L556">
        <v>0</v>
      </c>
      <c r="N556" t="s">
        <v>79</v>
      </c>
      <c r="O556" t="s">
        <v>80</v>
      </c>
      <c r="P556">
        <v>0</v>
      </c>
      <c r="Q556">
        <v>0</v>
      </c>
      <c r="R556">
        <v>1</v>
      </c>
      <c r="S556">
        <v>0</v>
      </c>
      <c r="T556">
        <v>0</v>
      </c>
      <c r="U556">
        <v>0</v>
      </c>
      <c r="V556">
        <v>0</v>
      </c>
      <c r="W556">
        <v>0</v>
      </c>
      <c r="X556">
        <v>0</v>
      </c>
      <c r="Y556">
        <v>0</v>
      </c>
      <c r="Z556">
        <v>0</v>
      </c>
      <c r="AA556">
        <v>0</v>
      </c>
      <c r="AM556" t="s">
        <v>82</v>
      </c>
      <c r="AN556" t="s">
        <v>82</v>
      </c>
      <c r="AO556" t="s">
        <v>83</v>
      </c>
      <c r="AP556" t="s">
        <v>82</v>
      </c>
      <c r="AQ556" t="s">
        <v>81</v>
      </c>
      <c r="AR556" t="s">
        <v>83</v>
      </c>
      <c r="AS556" t="s">
        <v>81</v>
      </c>
      <c r="AT556" t="s">
        <v>83</v>
      </c>
      <c r="AU556" t="s">
        <v>88</v>
      </c>
      <c r="AV556" t="s">
        <v>89</v>
      </c>
      <c r="AW556" t="s">
        <v>85</v>
      </c>
      <c r="AZ556" t="s">
        <v>73</v>
      </c>
      <c r="BA556" t="s">
        <v>87</v>
      </c>
      <c r="BB556" t="s">
        <v>87</v>
      </c>
      <c r="BC556" t="s">
        <v>87</v>
      </c>
      <c r="BD556" t="s">
        <v>86</v>
      </c>
      <c r="BE556" t="s">
        <v>86</v>
      </c>
      <c r="BF556" t="s">
        <v>97</v>
      </c>
      <c r="BG556" t="s">
        <v>92</v>
      </c>
      <c r="BH556" t="s">
        <v>158</v>
      </c>
      <c r="BI556" t="s">
        <v>73</v>
      </c>
      <c r="BJ556" t="s">
        <v>78</v>
      </c>
      <c r="BK556">
        <v>0</v>
      </c>
      <c r="BL556">
        <v>0</v>
      </c>
      <c r="BM556">
        <v>0</v>
      </c>
      <c r="BN556">
        <v>0</v>
      </c>
      <c r="BO556">
        <v>0</v>
      </c>
      <c r="BP556">
        <v>1</v>
      </c>
      <c r="BQ556">
        <v>0</v>
      </c>
      <c r="BR556">
        <v>0</v>
      </c>
    </row>
    <row r="557" spans="1:72" x14ac:dyDescent="0.2">
      <c r="A557" s="1">
        <v>44579.979166666664</v>
      </c>
      <c r="B557" s="1">
        <v>44579.981249999997</v>
      </c>
      <c r="C557">
        <v>1</v>
      </c>
      <c r="D557">
        <v>0</v>
      </c>
      <c r="E557">
        <v>0</v>
      </c>
      <c r="F557">
        <v>0</v>
      </c>
      <c r="H557">
        <v>0</v>
      </c>
      <c r="I557">
        <v>1</v>
      </c>
      <c r="J557">
        <v>1</v>
      </c>
      <c r="K557">
        <v>0</v>
      </c>
      <c r="L557">
        <v>0</v>
      </c>
      <c r="N557" t="s">
        <v>88</v>
      </c>
      <c r="O557" t="s">
        <v>89</v>
      </c>
      <c r="P557">
        <v>0</v>
      </c>
      <c r="Q557">
        <v>0</v>
      </c>
      <c r="R557">
        <v>1</v>
      </c>
      <c r="S557">
        <v>0</v>
      </c>
      <c r="T557">
        <v>0</v>
      </c>
      <c r="U557">
        <v>0</v>
      </c>
      <c r="V557">
        <v>0</v>
      </c>
      <c r="W557">
        <v>0</v>
      </c>
      <c r="X557">
        <v>0</v>
      </c>
      <c r="Y557">
        <v>0</v>
      </c>
      <c r="Z557">
        <v>0</v>
      </c>
      <c r="AA557">
        <v>0</v>
      </c>
      <c r="AM557" t="s">
        <v>83</v>
      </c>
      <c r="AN557" t="s">
        <v>82</v>
      </c>
      <c r="AO557" t="s">
        <v>83</v>
      </c>
      <c r="AP557" t="s">
        <v>82</v>
      </c>
      <c r="AQ557" t="s">
        <v>81</v>
      </c>
      <c r="AR557" t="s">
        <v>81</v>
      </c>
      <c r="AS557" t="s">
        <v>81</v>
      </c>
      <c r="AT557" t="s">
        <v>81</v>
      </c>
      <c r="AU557" t="s">
        <v>88</v>
      </c>
      <c r="AV557" t="s">
        <v>89</v>
      </c>
      <c r="AW557" t="s">
        <v>85</v>
      </c>
      <c r="AZ557" t="s">
        <v>107</v>
      </c>
      <c r="BA557" t="s">
        <v>87</v>
      </c>
      <c r="BB557" t="s">
        <v>87</v>
      </c>
      <c r="BC557" t="s">
        <v>87</v>
      </c>
      <c r="BD557" t="s">
        <v>87</v>
      </c>
      <c r="BE557" t="s">
        <v>87</v>
      </c>
      <c r="BF557" t="s">
        <v>97</v>
      </c>
      <c r="BG557" t="s">
        <v>92</v>
      </c>
      <c r="BH557" t="s">
        <v>98</v>
      </c>
      <c r="BI557" t="s">
        <v>107</v>
      </c>
      <c r="BJ557" t="s">
        <v>94</v>
      </c>
      <c r="BK557">
        <v>0</v>
      </c>
      <c r="BL557">
        <v>0</v>
      </c>
      <c r="BM557">
        <v>0</v>
      </c>
      <c r="BN557">
        <v>0</v>
      </c>
      <c r="BO557">
        <v>0</v>
      </c>
      <c r="BP557">
        <v>1</v>
      </c>
      <c r="BQ557">
        <v>0</v>
      </c>
      <c r="BR557">
        <v>0</v>
      </c>
    </row>
    <row r="558" spans="1:72" x14ac:dyDescent="0.2">
      <c r="A558" s="1">
        <v>44580.020138888889</v>
      </c>
      <c r="B558" s="1">
        <v>44580.021527777775</v>
      </c>
      <c r="C558">
        <v>0</v>
      </c>
      <c r="D558">
        <v>1</v>
      </c>
      <c r="E558">
        <v>0</v>
      </c>
      <c r="F558">
        <v>0</v>
      </c>
      <c r="H558">
        <v>1</v>
      </c>
      <c r="I558">
        <v>0</v>
      </c>
      <c r="J558">
        <v>0</v>
      </c>
      <c r="K558">
        <v>0</v>
      </c>
      <c r="L558">
        <v>0</v>
      </c>
      <c r="P558">
        <v>1</v>
      </c>
      <c r="Q558">
        <v>0</v>
      </c>
      <c r="R558">
        <v>0</v>
      </c>
      <c r="S558">
        <v>0</v>
      </c>
      <c r="T558">
        <v>0</v>
      </c>
      <c r="U558">
        <v>0</v>
      </c>
      <c r="V558">
        <v>0</v>
      </c>
      <c r="W558">
        <v>0</v>
      </c>
      <c r="X558">
        <v>0</v>
      </c>
      <c r="Y558">
        <v>0</v>
      </c>
      <c r="Z558">
        <v>0</v>
      </c>
      <c r="AA558">
        <v>0</v>
      </c>
      <c r="AC558">
        <v>0</v>
      </c>
      <c r="AD558">
        <v>1</v>
      </c>
      <c r="AE558">
        <v>0</v>
      </c>
      <c r="AF558">
        <v>0</v>
      </c>
      <c r="AG558">
        <v>0</v>
      </c>
      <c r="AH558">
        <v>0</v>
      </c>
      <c r="AI558">
        <v>0</v>
      </c>
      <c r="AJ558">
        <v>0</v>
      </c>
      <c r="AK558">
        <v>0</v>
      </c>
      <c r="AX558" t="s">
        <v>106</v>
      </c>
      <c r="AZ558" t="s">
        <v>96</v>
      </c>
      <c r="BA558" t="s">
        <v>86</v>
      </c>
      <c r="BB558" t="s">
        <v>86</v>
      </c>
      <c r="BC558" t="s">
        <v>86</v>
      </c>
      <c r="BD558" t="s">
        <v>86</v>
      </c>
      <c r="BE558" t="s">
        <v>86</v>
      </c>
      <c r="BF558" t="s">
        <v>75</v>
      </c>
      <c r="BG558" t="s">
        <v>92</v>
      </c>
      <c r="BH558" t="s">
        <v>98</v>
      </c>
      <c r="BI558" t="s">
        <v>96</v>
      </c>
      <c r="BJ558" t="s">
        <v>154</v>
      </c>
      <c r="BK558">
        <v>0</v>
      </c>
      <c r="BL558">
        <v>0</v>
      </c>
      <c r="BM558">
        <v>0</v>
      </c>
      <c r="BN558">
        <v>0</v>
      </c>
      <c r="BO558">
        <v>0</v>
      </c>
      <c r="BP558">
        <v>1</v>
      </c>
      <c r="BQ558">
        <v>0</v>
      </c>
      <c r="BR558">
        <v>0</v>
      </c>
    </row>
    <row r="559" spans="1:72" x14ac:dyDescent="0.2">
      <c r="A559" s="1">
        <v>44579.90902777778</v>
      </c>
      <c r="B559" s="1">
        <v>44579.911805555559</v>
      </c>
      <c r="C559">
        <v>1</v>
      </c>
      <c r="D559">
        <v>0</v>
      </c>
      <c r="E559">
        <v>0</v>
      </c>
      <c r="F559">
        <v>0</v>
      </c>
      <c r="H559">
        <v>1</v>
      </c>
      <c r="I559">
        <v>0</v>
      </c>
      <c r="J559">
        <v>0</v>
      </c>
      <c r="K559">
        <v>0</v>
      </c>
      <c r="L559">
        <v>0</v>
      </c>
      <c r="P559">
        <v>0</v>
      </c>
      <c r="Q559">
        <v>0</v>
      </c>
      <c r="R559">
        <v>1</v>
      </c>
      <c r="S559">
        <v>0</v>
      </c>
      <c r="T559">
        <v>0</v>
      </c>
      <c r="U559">
        <v>0</v>
      </c>
      <c r="V559">
        <v>0</v>
      </c>
      <c r="W559">
        <v>0</v>
      </c>
      <c r="X559">
        <v>0</v>
      </c>
      <c r="Y559">
        <v>0</v>
      </c>
      <c r="Z559">
        <v>0</v>
      </c>
      <c r="AA559">
        <v>0</v>
      </c>
      <c r="AM559" t="s">
        <v>82</v>
      </c>
      <c r="AN559" t="s">
        <v>81</v>
      </c>
      <c r="AO559" t="s">
        <v>83</v>
      </c>
      <c r="AP559" t="s">
        <v>83</v>
      </c>
      <c r="AQ559" t="s">
        <v>82</v>
      </c>
      <c r="AR559" t="s">
        <v>81</v>
      </c>
      <c r="AS559" t="s">
        <v>81</v>
      </c>
      <c r="AT559" t="s">
        <v>83</v>
      </c>
      <c r="AU559" t="s">
        <v>88</v>
      </c>
      <c r="AV559" t="s">
        <v>89</v>
      </c>
      <c r="AW559" t="s">
        <v>85</v>
      </c>
      <c r="AX559" t="s">
        <v>110</v>
      </c>
      <c r="AY559" t="s">
        <v>139</v>
      </c>
      <c r="AZ559" t="s">
        <v>73</v>
      </c>
      <c r="BA559" t="s">
        <v>87</v>
      </c>
      <c r="BB559" t="s">
        <v>87</v>
      </c>
      <c r="BC559" t="s">
        <v>87</v>
      </c>
      <c r="BD559" t="s">
        <v>87</v>
      </c>
      <c r="BE559" t="s">
        <v>87</v>
      </c>
      <c r="BF559" t="s">
        <v>108</v>
      </c>
      <c r="BG559" t="s">
        <v>92</v>
      </c>
      <c r="BH559" t="s">
        <v>158</v>
      </c>
      <c r="BI559" t="s">
        <v>73</v>
      </c>
      <c r="BJ559" t="s">
        <v>176</v>
      </c>
      <c r="BK559">
        <v>0</v>
      </c>
      <c r="BL559">
        <v>0</v>
      </c>
      <c r="BM559">
        <v>0</v>
      </c>
      <c r="BN559">
        <v>0</v>
      </c>
      <c r="BO559">
        <v>0</v>
      </c>
      <c r="BP559">
        <v>1</v>
      </c>
      <c r="BQ559">
        <v>0</v>
      </c>
      <c r="BR559">
        <v>0</v>
      </c>
    </row>
    <row r="560" spans="1:72" x14ac:dyDescent="0.2">
      <c r="A560" s="1">
        <v>44580.723611111112</v>
      </c>
      <c r="B560" s="1">
        <v>44580.724999999999</v>
      </c>
      <c r="C560">
        <v>1</v>
      </c>
      <c r="D560">
        <v>0</v>
      </c>
      <c r="E560">
        <v>0</v>
      </c>
      <c r="F560">
        <v>0</v>
      </c>
      <c r="H560">
        <v>0</v>
      </c>
      <c r="I560">
        <v>1</v>
      </c>
      <c r="J560">
        <v>1</v>
      </c>
      <c r="K560">
        <v>1</v>
      </c>
      <c r="L560">
        <v>0</v>
      </c>
      <c r="N560" t="s">
        <v>79</v>
      </c>
      <c r="O560" t="s">
        <v>80</v>
      </c>
      <c r="P560">
        <v>0</v>
      </c>
      <c r="Q560">
        <v>1</v>
      </c>
      <c r="R560">
        <v>0</v>
      </c>
      <c r="S560">
        <v>0</v>
      </c>
      <c r="T560">
        <v>0</v>
      </c>
      <c r="U560">
        <v>0</v>
      </c>
      <c r="V560">
        <v>0</v>
      </c>
      <c r="W560">
        <v>0</v>
      </c>
      <c r="X560">
        <v>0</v>
      </c>
      <c r="Y560">
        <v>0</v>
      </c>
      <c r="Z560">
        <v>0</v>
      </c>
      <c r="AA560">
        <v>0</v>
      </c>
      <c r="AM560" t="s">
        <v>90</v>
      </c>
      <c r="AN560" t="s">
        <v>82</v>
      </c>
      <c r="AO560" t="s">
        <v>82</v>
      </c>
      <c r="AP560" t="s">
        <v>90</v>
      </c>
      <c r="AQ560" t="s">
        <v>81</v>
      </c>
      <c r="AR560" t="s">
        <v>90</v>
      </c>
      <c r="AS560" t="s">
        <v>90</v>
      </c>
      <c r="AT560" t="s">
        <v>90</v>
      </c>
      <c r="AU560" t="s">
        <v>88</v>
      </c>
      <c r="AV560" t="s">
        <v>89</v>
      </c>
      <c r="AW560" t="s">
        <v>100</v>
      </c>
      <c r="AZ560" t="s">
        <v>107</v>
      </c>
      <c r="BA560" t="s">
        <v>87</v>
      </c>
      <c r="BB560" t="s">
        <v>87</v>
      </c>
      <c r="BC560" t="s">
        <v>87</v>
      </c>
      <c r="BD560" t="s">
        <v>87</v>
      </c>
      <c r="BE560" t="s">
        <v>87</v>
      </c>
      <c r="BF560" t="s">
        <v>97</v>
      </c>
      <c r="BG560" t="s">
        <v>92</v>
      </c>
      <c r="BH560" t="s">
        <v>98</v>
      </c>
      <c r="BI560" t="s">
        <v>107</v>
      </c>
      <c r="BJ560" t="s">
        <v>109</v>
      </c>
      <c r="BK560">
        <v>0</v>
      </c>
      <c r="BL560">
        <v>0</v>
      </c>
      <c r="BM560">
        <v>0</v>
      </c>
      <c r="BN560">
        <v>0</v>
      </c>
      <c r="BO560">
        <v>0</v>
      </c>
      <c r="BP560">
        <v>1</v>
      </c>
      <c r="BQ560">
        <v>0</v>
      </c>
      <c r="BR560">
        <v>0</v>
      </c>
    </row>
    <row r="561" spans="1:72" x14ac:dyDescent="0.2">
      <c r="A561" s="1">
        <v>44579.877083333333</v>
      </c>
      <c r="B561" s="1">
        <v>44579.878472222219</v>
      </c>
      <c r="C561">
        <v>0</v>
      </c>
      <c r="D561">
        <v>1</v>
      </c>
      <c r="E561">
        <v>0</v>
      </c>
      <c r="F561">
        <v>0</v>
      </c>
      <c r="H561">
        <v>1</v>
      </c>
      <c r="I561">
        <v>0</v>
      </c>
      <c r="J561">
        <v>0</v>
      </c>
      <c r="K561">
        <v>0</v>
      </c>
      <c r="L561">
        <v>0</v>
      </c>
      <c r="P561">
        <v>0</v>
      </c>
      <c r="Q561">
        <v>0</v>
      </c>
      <c r="R561">
        <v>0</v>
      </c>
      <c r="S561">
        <v>0</v>
      </c>
      <c r="T561">
        <v>0</v>
      </c>
      <c r="U561">
        <v>0</v>
      </c>
      <c r="V561">
        <v>0</v>
      </c>
      <c r="W561">
        <v>0</v>
      </c>
      <c r="X561">
        <v>0</v>
      </c>
      <c r="Y561">
        <v>0</v>
      </c>
      <c r="Z561">
        <v>0</v>
      </c>
      <c r="AA561">
        <v>1</v>
      </c>
      <c r="AB561" t="s">
        <v>310</v>
      </c>
      <c r="AM561" t="s">
        <v>83</v>
      </c>
      <c r="AN561" t="s">
        <v>82</v>
      </c>
      <c r="AO561" t="s">
        <v>83</v>
      </c>
      <c r="AP561" t="s">
        <v>81</v>
      </c>
      <c r="AQ561" t="s">
        <v>83</v>
      </c>
      <c r="AR561" t="s">
        <v>83</v>
      </c>
      <c r="AS561" t="s">
        <v>83</v>
      </c>
      <c r="AT561" t="s">
        <v>83</v>
      </c>
      <c r="AU561" t="s">
        <v>88</v>
      </c>
      <c r="AV561" t="s">
        <v>89</v>
      </c>
      <c r="AW561" t="s">
        <v>85</v>
      </c>
      <c r="AZ561" t="s">
        <v>73</v>
      </c>
      <c r="BA561" t="s">
        <v>86</v>
      </c>
      <c r="BB561" t="s">
        <v>87</v>
      </c>
      <c r="BC561" t="s">
        <v>87</v>
      </c>
      <c r="BD561" t="s">
        <v>87</v>
      </c>
      <c r="BE561" t="s">
        <v>74</v>
      </c>
      <c r="BF561" t="s">
        <v>97</v>
      </c>
      <c r="BG561" t="s">
        <v>92</v>
      </c>
      <c r="BH561" t="s">
        <v>158</v>
      </c>
      <c r="BI561" t="s">
        <v>73</v>
      </c>
      <c r="BJ561" t="s">
        <v>102</v>
      </c>
      <c r="BK561">
        <v>0</v>
      </c>
      <c r="BL561">
        <v>0</v>
      </c>
      <c r="BM561">
        <v>0</v>
      </c>
      <c r="BN561">
        <v>0</v>
      </c>
      <c r="BO561">
        <v>0</v>
      </c>
      <c r="BP561">
        <v>1</v>
      </c>
      <c r="BQ561">
        <v>0</v>
      </c>
      <c r="BR561">
        <v>0</v>
      </c>
    </row>
    <row r="562" spans="1:72" x14ac:dyDescent="0.2">
      <c r="A562" s="1">
        <v>44580.074999999997</v>
      </c>
      <c r="B562" s="1">
        <v>44580.080555555556</v>
      </c>
      <c r="C562">
        <v>0</v>
      </c>
      <c r="D562">
        <v>0</v>
      </c>
      <c r="E562">
        <v>0</v>
      </c>
      <c r="F562">
        <v>1</v>
      </c>
      <c r="P562">
        <v>1</v>
      </c>
      <c r="Q562">
        <v>0</v>
      </c>
      <c r="R562">
        <v>0</v>
      </c>
      <c r="S562">
        <v>0</v>
      </c>
      <c r="T562">
        <v>0</v>
      </c>
      <c r="U562">
        <v>0</v>
      </c>
      <c r="V562">
        <v>0</v>
      </c>
      <c r="W562">
        <v>0</v>
      </c>
      <c r="X562">
        <v>0</v>
      </c>
      <c r="Y562">
        <v>0</v>
      </c>
      <c r="Z562">
        <v>0</v>
      </c>
      <c r="AA562">
        <v>0</v>
      </c>
      <c r="AC562">
        <v>0</v>
      </c>
      <c r="AD562">
        <v>0</v>
      </c>
      <c r="AE562">
        <v>0</v>
      </c>
      <c r="AF562">
        <v>0</v>
      </c>
      <c r="AG562">
        <v>0</v>
      </c>
      <c r="AH562">
        <v>0</v>
      </c>
      <c r="AI562">
        <v>1</v>
      </c>
      <c r="AJ562">
        <v>0</v>
      </c>
      <c r="AK562">
        <v>0</v>
      </c>
      <c r="AZ562" t="s">
        <v>96</v>
      </c>
      <c r="BF562" t="s">
        <v>97</v>
      </c>
      <c r="BG562" t="s">
        <v>92</v>
      </c>
      <c r="BH562" t="s">
        <v>158</v>
      </c>
      <c r="BI562" t="s">
        <v>96</v>
      </c>
      <c r="BK562">
        <v>0</v>
      </c>
      <c r="BL562">
        <v>0</v>
      </c>
      <c r="BM562">
        <v>0</v>
      </c>
      <c r="BN562">
        <v>0</v>
      </c>
      <c r="BO562">
        <v>0</v>
      </c>
      <c r="BP562">
        <v>1</v>
      </c>
      <c r="BQ562">
        <v>0</v>
      </c>
      <c r="BR562">
        <v>0</v>
      </c>
      <c r="BT562" t="s">
        <v>109</v>
      </c>
    </row>
    <row r="563" spans="1:72" x14ac:dyDescent="0.2">
      <c r="A563" s="1">
        <v>44585.520138888889</v>
      </c>
      <c r="B563" s="1">
        <v>44585.520833333336</v>
      </c>
      <c r="C563">
        <v>1</v>
      </c>
      <c r="D563">
        <v>0</v>
      </c>
      <c r="E563">
        <v>0</v>
      </c>
      <c r="F563">
        <v>0</v>
      </c>
      <c r="H563">
        <v>1</v>
      </c>
      <c r="I563">
        <v>0</v>
      </c>
      <c r="J563">
        <v>0</v>
      </c>
      <c r="K563">
        <v>0</v>
      </c>
      <c r="L563">
        <v>0</v>
      </c>
      <c r="P563">
        <v>1</v>
      </c>
      <c r="Q563">
        <v>0</v>
      </c>
      <c r="R563">
        <v>0</v>
      </c>
      <c r="S563">
        <v>0</v>
      </c>
      <c r="T563">
        <v>0</v>
      </c>
      <c r="U563">
        <v>0</v>
      </c>
      <c r="V563">
        <v>0</v>
      </c>
      <c r="W563">
        <v>0</v>
      </c>
      <c r="X563">
        <v>0</v>
      </c>
      <c r="Y563">
        <v>0</v>
      </c>
      <c r="Z563">
        <v>0</v>
      </c>
      <c r="AA563">
        <v>0</v>
      </c>
      <c r="AC563">
        <v>0</v>
      </c>
      <c r="AD563">
        <v>1</v>
      </c>
      <c r="AE563">
        <v>0</v>
      </c>
      <c r="AF563">
        <v>0</v>
      </c>
      <c r="AG563">
        <v>0</v>
      </c>
      <c r="AH563">
        <v>0</v>
      </c>
      <c r="AI563">
        <v>0</v>
      </c>
      <c r="AJ563">
        <v>0</v>
      </c>
      <c r="AK563">
        <v>0</v>
      </c>
      <c r="AX563" t="s">
        <v>242</v>
      </c>
      <c r="AZ563" t="s">
        <v>107</v>
      </c>
      <c r="BA563" t="s">
        <v>74</v>
      </c>
      <c r="BF563" t="s">
        <v>108</v>
      </c>
      <c r="BG563" t="s">
        <v>76</v>
      </c>
      <c r="BH563" t="s">
        <v>98</v>
      </c>
      <c r="BI563" t="s">
        <v>107</v>
      </c>
      <c r="BJ563" t="s">
        <v>78</v>
      </c>
      <c r="BK563">
        <v>0</v>
      </c>
      <c r="BL563">
        <v>0</v>
      </c>
      <c r="BM563">
        <v>0</v>
      </c>
      <c r="BN563">
        <v>0</v>
      </c>
      <c r="BO563">
        <v>0</v>
      </c>
      <c r="BP563">
        <v>1</v>
      </c>
      <c r="BQ563">
        <v>0</v>
      </c>
      <c r="BR563">
        <v>0</v>
      </c>
    </row>
    <row r="564" spans="1:72" x14ac:dyDescent="0.2">
      <c r="A564" s="1">
        <v>44585.775000000001</v>
      </c>
      <c r="B564" s="1">
        <v>44585.77847222222</v>
      </c>
      <c r="C564">
        <v>0</v>
      </c>
      <c r="D564">
        <v>1</v>
      </c>
      <c r="E564">
        <v>0</v>
      </c>
      <c r="F564">
        <v>0</v>
      </c>
      <c r="H564">
        <v>0</v>
      </c>
      <c r="I564">
        <v>1</v>
      </c>
      <c r="J564">
        <v>0</v>
      </c>
      <c r="K564">
        <v>1</v>
      </c>
      <c r="L564">
        <v>0</v>
      </c>
      <c r="N564" t="s">
        <v>79</v>
      </c>
      <c r="O564" t="s">
        <v>80</v>
      </c>
      <c r="P564">
        <v>0</v>
      </c>
      <c r="Q564">
        <v>1</v>
      </c>
      <c r="R564">
        <v>0</v>
      </c>
      <c r="S564">
        <v>0</v>
      </c>
      <c r="T564">
        <v>0</v>
      </c>
      <c r="U564">
        <v>0</v>
      </c>
      <c r="V564">
        <v>0</v>
      </c>
      <c r="W564">
        <v>0</v>
      </c>
      <c r="X564">
        <v>0</v>
      </c>
      <c r="Y564">
        <v>0</v>
      </c>
      <c r="Z564">
        <v>0</v>
      </c>
      <c r="AA564">
        <v>0</v>
      </c>
      <c r="AM564" t="s">
        <v>83</v>
      </c>
      <c r="AN564" t="s">
        <v>82</v>
      </c>
      <c r="AO564" t="s">
        <v>90</v>
      </c>
      <c r="AP564" t="s">
        <v>83</v>
      </c>
      <c r="AQ564" t="s">
        <v>81</v>
      </c>
      <c r="AR564" t="s">
        <v>83</v>
      </c>
      <c r="AS564" t="s">
        <v>83</v>
      </c>
      <c r="AT564" t="s">
        <v>83</v>
      </c>
      <c r="AU564" t="s">
        <v>88</v>
      </c>
      <c r="AV564" t="s">
        <v>89</v>
      </c>
      <c r="AW564" t="s">
        <v>100</v>
      </c>
      <c r="AZ564" t="s">
        <v>107</v>
      </c>
      <c r="BA564" t="s">
        <v>86</v>
      </c>
      <c r="BB564" t="s">
        <v>86</v>
      </c>
      <c r="BC564" t="s">
        <v>86</v>
      </c>
      <c r="BD564" t="s">
        <v>86</v>
      </c>
      <c r="BE564" t="s">
        <v>86</v>
      </c>
      <c r="BF564" t="s">
        <v>97</v>
      </c>
      <c r="BG564" t="s">
        <v>92</v>
      </c>
      <c r="BH564" t="s">
        <v>98</v>
      </c>
      <c r="BI564" t="s">
        <v>107</v>
      </c>
      <c r="BJ564" t="s">
        <v>109</v>
      </c>
      <c r="BK564">
        <v>0</v>
      </c>
      <c r="BL564">
        <v>0</v>
      </c>
      <c r="BM564">
        <v>0</v>
      </c>
      <c r="BN564">
        <v>0</v>
      </c>
      <c r="BO564">
        <v>0</v>
      </c>
      <c r="BP564">
        <v>1</v>
      </c>
      <c r="BQ564">
        <v>0</v>
      </c>
      <c r="BR564">
        <v>0</v>
      </c>
    </row>
    <row r="565" spans="1:72" x14ac:dyDescent="0.2">
      <c r="A565" s="1">
        <v>44584.984722222223</v>
      </c>
      <c r="B565" s="1">
        <v>44584.986805555556</v>
      </c>
      <c r="C565">
        <v>1</v>
      </c>
      <c r="D565">
        <v>0</v>
      </c>
      <c r="E565">
        <v>0</v>
      </c>
      <c r="F565">
        <v>0</v>
      </c>
      <c r="H565">
        <v>0</v>
      </c>
      <c r="I565">
        <v>1</v>
      </c>
      <c r="J565">
        <v>1</v>
      </c>
      <c r="K565">
        <v>1</v>
      </c>
      <c r="L565">
        <v>0</v>
      </c>
      <c r="N565" t="s">
        <v>88</v>
      </c>
      <c r="O565" t="s">
        <v>89</v>
      </c>
      <c r="P565">
        <v>0</v>
      </c>
      <c r="Q565">
        <v>0</v>
      </c>
      <c r="R565">
        <v>1</v>
      </c>
      <c r="S565">
        <v>0</v>
      </c>
      <c r="T565">
        <v>0</v>
      </c>
      <c r="U565">
        <v>0</v>
      </c>
      <c r="V565">
        <v>0</v>
      </c>
      <c r="W565">
        <v>0</v>
      </c>
      <c r="X565">
        <v>0</v>
      </c>
      <c r="Y565">
        <v>0</v>
      </c>
      <c r="Z565">
        <v>0</v>
      </c>
      <c r="AA565">
        <v>0</v>
      </c>
      <c r="AM565" t="s">
        <v>83</v>
      </c>
      <c r="AN565" t="s">
        <v>81</v>
      </c>
      <c r="AO565" t="s">
        <v>83</v>
      </c>
      <c r="AP565" t="s">
        <v>81</v>
      </c>
      <c r="AQ565" t="s">
        <v>82</v>
      </c>
      <c r="AR565" t="s">
        <v>83</v>
      </c>
      <c r="AS565" t="s">
        <v>83</v>
      </c>
      <c r="AT565" t="s">
        <v>83</v>
      </c>
      <c r="AU565" t="s">
        <v>88</v>
      </c>
      <c r="AV565" t="s">
        <v>89</v>
      </c>
      <c r="AW565" t="s">
        <v>85</v>
      </c>
      <c r="AX565" t="s">
        <v>106</v>
      </c>
      <c r="AZ565" t="s">
        <v>107</v>
      </c>
      <c r="BA565" t="s">
        <v>87</v>
      </c>
      <c r="BB565" t="s">
        <v>87</v>
      </c>
      <c r="BC565" t="s">
        <v>87</v>
      </c>
      <c r="BD565" t="s">
        <v>86</v>
      </c>
      <c r="BE565" t="s">
        <v>86</v>
      </c>
      <c r="BF565" t="s">
        <v>75</v>
      </c>
      <c r="BG565" t="s">
        <v>92</v>
      </c>
      <c r="BH565" t="s">
        <v>77</v>
      </c>
      <c r="BI565" t="s">
        <v>107</v>
      </c>
      <c r="BJ565" t="s">
        <v>176</v>
      </c>
      <c r="BK565">
        <v>0</v>
      </c>
      <c r="BL565">
        <v>0</v>
      </c>
      <c r="BM565">
        <v>0</v>
      </c>
      <c r="BN565">
        <v>0</v>
      </c>
      <c r="BO565">
        <v>0</v>
      </c>
      <c r="BP565">
        <v>1</v>
      </c>
      <c r="BQ565">
        <v>0</v>
      </c>
      <c r="BR565">
        <v>0</v>
      </c>
    </row>
    <row r="566" spans="1:72" x14ac:dyDescent="0.2">
      <c r="A566" s="1">
        <v>44579.876388888886</v>
      </c>
      <c r="B566" s="1">
        <v>44579.877083333333</v>
      </c>
      <c r="C566">
        <v>1</v>
      </c>
      <c r="D566">
        <v>0</v>
      </c>
      <c r="E566">
        <v>0</v>
      </c>
      <c r="F566">
        <v>0</v>
      </c>
      <c r="H566">
        <v>1</v>
      </c>
      <c r="I566">
        <v>0</v>
      </c>
      <c r="J566">
        <v>0</v>
      </c>
      <c r="K566">
        <v>0</v>
      </c>
      <c r="L566">
        <v>0</v>
      </c>
      <c r="P566">
        <v>1</v>
      </c>
      <c r="Q566">
        <v>0</v>
      </c>
      <c r="R566">
        <v>0</v>
      </c>
      <c r="S566">
        <v>0</v>
      </c>
      <c r="T566">
        <v>0</v>
      </c>
      <c r="U566">
        <v>0</v>
      </c>
      <c r="V566">
        <v>0</v>
      </c>
      <c r="W566">
        <v>0</v>
      </c>
      <c r="X566">
        <v>0</v>
      </c>
      <c r="Y566">
        <v>0</v>
      </c>
      <c r="Z566">
        <v>0</v>
      </c>
      <c r="AA566">
        <v>0</v>
      </c>
      <c r="AC566">
        <v>0</v>
      </c>
      <c r="AD566">
        <v>0</v>
      </c>
      <c r="AE566">
        <v>0</v>
      </c>
      <c r="AF566">
        <v>0</v>
      </c>
      <c r="AG566">
        <v>0</v>
      </c>
      <c r="AH566">
        <v>0</v>
      </c>
      <c r="AI566">
        <v>1</v>
      </c>
      <c r="AJ566">
        <v>0</v>
      </c>
      <c r="AK566">
        <v>0</v>
      </c>
      <c r="AX566" t="s">
        <v>122</v>
      </c>
      <c r="AZ566" t="s">
        <v>73</v>
      </c>
      <c r="BA566" t="s">
        <v>74</v>
      </c>
      <c r="BF566" t="s">
        <v>75</v>
      </c>
      <c r="BG566" t="s">
        <v>92</v>
      </c>
      <c r="BH566" t="s">
        <v>98</v>
      </c>
      <c r="BI566" t="s">
        <v>73</v>
      </c>
      <c r="BJ566" t="s">
        <v>102</v>
      </c>
      <c r="BK566">
        <v>0</v>
      </c>
      <c r="BL566">
        <v>0</v>
      </c>
      <c r="BM566">
        <v>0</v>
      </c>
      <c r="BN566">
        <v>0</v>
      </c>
      <c r="BO566">
        <v>0</v>
      </c>
      <c r="BP566">
        <v>1</v>
      </c>
      <c r="BQ566">
        <v>0</v>
      </c>
      <c r="BR566">
        <v>0</v>
      </c>
    </row>
    <row r="567" spans="1:72" x14ac:dyDescent="0.2">
      <c r="A567" s="1">
        <v>44589.023611111108</v>
      </c>
      <c r="B567" s="1">
        <v>44589.02847222222</v>
      </c>
      <c r="C567">
        <v>0</v>
      </c>
      <c r="D567">
        <v>1</v>
      </c>
      <c r="E567">
        <v>0</v>
      </c>
      <c r="F567">
        <v>0</v>
      </c>
      <c r="H567">
        <v>0</v>
      </c>
      <c r="I567">
        <v>1</v>
      </c>
      <c r="J567">
        <v>1</v>
      </c>
      <c r="K567">
        <v>1</v>
      </c>
      <c r="L567">
        <v>0</v>
      </c>
      <c r="N567" t="s">
        <v>88</v>
      </c>
      <c r="O567" t="s">
        <v>89</v>
      </c>
      <c r="P567">
        <v>0</v>
      </c>
      <c r="Q567">
        <v>0</v>
      </c>
      <c r="R567">
        <v>0</v>
      </c>
      <c r="S567">
        <v>0</v>
      </c>
      <c r="T567">
        <v>1</v>
      </c>
      <c r="U567">
        <v>0</v>
      </c>
      <c r="V567">
        <v>0</v>
      </c>
      <c r="W567">
        <v>0</v>
      </c>
      <c r="X567">
        <v>0</v>
      </c>
      <c r="Y567">
        <v>0</v>
      </c>
      <c r="Z567">
        <v>0</v>
      </c>
      <c r="AA567">
        <v>0</v>
      </c>
      <c r="AM567" t="s">
        <v>82</v>
      </c>
      <c r="AN567" t="s">
        <v>82</v>
      </c>
      <c r="AO567" t="s">
        <v>81</v>
      </c>
      <c r="AP567" t="s">
        <v>83</v>
      </c>
      <c r="AQ567" t="s">
        <v>82</v>
      </c>
      <c r="AR567" t="s">
        <v>83</v>
      </c>
      <c r="AS567" t="s">
        <v>81</v>
      </c>
      <c r="AT567" t="s">
        <v>83</v>
      </c>
      <c r="AU567" t="s">
        <v>88</v>
      </c>
      <c r="AV567" t="s">
        <v>89</v>
      </c>
      <c r="AW567" t="s">
        <v>100</v>
      </c>
      <c r="AX567" t="s">
        <v>118</v>
      </c>
      <c r="AZ567" t="s">
        <v>107</v>
      </c>
      <c r="BA567" t="s">
        <v>87</v>
      </c>
      <c r="BB567" t="s">
        <v>86</v>
      </c>
      <c r="BC567" t="s">
        <v>87</v>
      </c>
      <c r="BD567" t="s">
        <v>87</v>
      </c>
      <c r="BE567" t="s">
        <v>86</v>
      </c>
      <c r="BF567" t="s">
        <v>75</v>
      </c>
      <c r="BG567" t="s">
        <v>92</v>
      </c>
      <c r="BH567" t="s">
        <v>98</v>
      </c>
      <c r="BI567" t="s">
        <v>107</v>
      </c>
      <c r="BK567">
        <v>0</v>
      </c>
      <c r="BL567">
        <v>0</v>
      </c>
      <c r="BM567">
        <v>0</v>
      </c>
      <c r="BN567">
        <v>0</v>
      </c>
      <c r="BO567">
        <v>0</v>
      </c>
      <c r="BP567">
        <v>1</v>
      </c>
      <c r="BQ567">
        <v>0</v>
      </c>
      <c r="BR567">
        <v>0</v>
      </c>
      <c r="BT567" t="s">
        <v>138</v>
      </c>
    </row>
    <row r="568" spans="1:72" x14ac:dyDescent="0.2">
      <c r="A568" s="1">
        <v>44580.214583333334</v>
      </c>
      <c r="B568" s="1">
        <v>44580.217361111114</v>
      </c>
      <c r="C568">
        <v>0</v>
      </c>
      <c r="D568">
        <v>1</v>
      </c>
      <c r="E568">
        <v>0</v>
      </c>
      <c r="F568">
        <v>0</v>
      </c>
      <c r="H568">
        <v>0</v>
      </c>
      <c r="I568">
        <v>1</v>
      </c>
      <c r="J568">
        <v>1</v>
      </c>
      <c r="K568">
        <v>1</v>
      </c>
      <c r="L568">
        <v>0</v>
      </c>
      <c r="N568" t="s">
        <v>88</v>
      </c>
      <c r="O568" t="s">
        <v>89</v>
      </c>
      <c r="P568">
        <v>0</v>
      </c>
      <c r="Q568">
        <v>0</v>
      </c>
      <c r="R568">
        <v>0</v>
      </c>
      <c r="S568">
        <v>0</v>
      </c>
      <c r="T568">
        <v>1</v>
      </c>
      <c r="U568">
        <v>0</v>
      </c>
      <c r="V568">
        <v>0</v>
      </c>
      <c r="W568">
        <v>0</v>
      </c>
      <c r="X568">
        <v>0</v>
      </c>
      <c r="Y568">
        <v>0</v>
      </c>
      <c r="Z568">
        <v>0</v>
      </c>
      <c r="AA568">
        <v>0</v>
      </c>
      <c r="AM568" t="s">
        <v>83</v>
      </c>
      <c r="AN568" t="s">
        <v>81</v>
      </c>
      <c r="AO568" t="s">
        <v>82</v>
      </c>
      <c r="AP568" t="s">
        <v>82</v>
      </c>
      <c r="AQ568" t="s">
        <v>81</v>
      </c>
      <c r="AR568" t="s">
        <v>83</v>
      </c>
      <c r="AS568" t="s">
        <v>83</v>
      </c>
      <c r="AT568" t="s">
        <v>83</v>
      </c>
      <c r="AU568" t="s">
        <v>88</v>
      </c>
      <c r="AV568" t="s">
        <v>89</v>
      </c>
      <c r="AW568" t="s">
        <v>100</v>
      </c>
      <c r="AZ568" t="s">
        <v>96</v>
      </c>
      <c r="BA568" t="s">
        <v>87</v>
      </c>
      <c r="BB568" t="s">
        <v>87</v>
      </c>
      <c r="BC568" t="s">
        <v>87</v>
      </c>
      <c r="BD568" t="s">
        <v>87</v>
      </c>
      <c r="BE568" t="s">
        <v>87</v>
      </c>
      <c r="BF568" t="s">
        <v>101</v>
      </c>
      <c r="BG568" t="s">
        <v>92</v>
      </c>
      <c r="BH568" t="s">
        <v>98</v>
      </c>
      <c r="BI568" t="s">
        <v>96</v>
      </c>
      <c r="BJ568" t="s">
        <v>109</v>
      </c>
      <c r="BK568">
        <v>0</v>
      </c>
      <c r="BL568">
        <v>0</v>
      </c>
      <c r="BM568">
        <v>0</v>
      </c>
      <c r="BN568">
        <v>0</v>
      </c>
      <c r="BO568">
        <v>0</v>
      </c>
      <c r="BP568">
        <v>1</v>
      </c>
      <c r="BQ568">
        <v>0</v>
      </c>
      <c r="BR568">
        <v>0</v>
      </c>
    </row>
    <row r="569" spans="1:72" x14ac:dyDescent="0.2">
      <c r="A569" s="1">
        <v>44580.881249999999</v>
      </c>
      <c r="B569" s="1">
        <v>44580.883333333331</v>
      </c>
      <c r="C569">
        <v>1</v>
      </c>
      <c r="D569">
        <v>0</v>
      </c>
      <c r="E569">
        <v>0</v>
      </c>
      <c r="F569">
        <v>0</v>
      </c>
      <c r="H569">
        <v>0</v>
      </c>
      <c r="I569">
        <v>1</v>
      </c>
      <c r="J569">
        <v>1</v>
      </c>
      <c r="K569">
        <v>0</v>
      </c>
      <c r="L569">
        <v>0</v>
      </c>
      <c r="N569" t="s">
        <v>135</v>
      </c>
      <c r="O569" t="s">
        <v>89</v>
      </c>
      <c r="P569">
        <v>0</v>
      </c>
      <c r="Q569">
        <v>1</v>
      </c>
      <c r="R569">
        <v>1</v>
      </c>
      <c r="S569">
        <v>0</v>
      </c>
      <c r="T569">
        <v>0</v>
      </c>
      <c r="U569">
        <v>0</v>
      </c>
      <c r="V569">
        <v>0</v>
      </c>
      <c r="W569">
        <v>0</v>
      </c>
      <c r="X569">
        <v>0</v>
      </c>
      <c r="Y569">
        <v>0</v>
      </c>
      <c r="Z569">
        <v>0</v>
      </c>
      <c r="AA569">
        <v>0</v>
      </c>
      <c r="AM569" t="s">
        <v>82</v>
      </c>
      <c r="AN569" t="s">
        <v>83</v>
      </c>
      <c r="AO569" t="s">
        <v>83</v>
      </c>
      <c r="AP569" t="s">
        <v>81</v>
      </c>
      <c r="AQ569" t="s">
        <v>82</v>
      </c>
      <c r="AR569" t="s">
        <v>81</v>
      </c>
      <c r="AS569" t="s">
        <v>81</v>
      </c>
      <c r="AT569" t="s">
        <v>81</v>
      </c>
      <c r="AU569" t="s">
        <v>135</v>
      </c>
      <c r="AV569" t="s">
        <v>89</v>
      </c>
      <c r="AW569" t="s">
        <v>100</v>
      </c>
      <c r="AX569" t="s">
        <v>118</v>
      </c>
      <c r="AZ569" t="s">
        <v>73</v>
      </c>
      <c r="BA569" t="s">
        <v>74</v>
      </c>
      <c r="BF569" t="s">
        <v>108</v>
      </c>
      <c r="BG569" t="s">
        <v>76</v>
      </c>
      <c r="BH569" t="s">
        <v>98</v>
      </c>
      <c r="BI569" t="s">
        <v>73</v>
      </c>
      <c r="BJ569" t="s">
        <v>78</v>
      </c>
      <c r="BK569">
        <v>1</v>
      </c>
      <c r="BL569">
        <v>0</v>
      </c>
      <c r="BM569">
        <v>0</v>
      </c>
      <c r="BN569">
        <v>0</v>
      </c>
      <c r="BO569">
        <v>0</v>
      </c>
      <c r="BP569">
        <v>0</v>
      </c>
      <c r="BQ569">
        <v>0</v>
      </c>
      <c r="BR569">
        <v>0</v>
      </c>
    </row>
    <row r="570" spans="1:72" x14ac:dyDescent="0.2">
      <c r="A570" s="1">
        <v>44580.88958333333</v>
      </c>
      <c r="B570" s="1">
        <v>44580.89166666667</v>
      </c>
      <c r="C570">
        <v>1</v>
      </c>
      <c r="D570">
        <v>0</v>
      </c>
      <c r="E570">
        <v>0</v>
      </c>
      <c r="F570">
        <v>0</v>
      </c>
      <c r="H570">
        <v>1</v>
      </c>
      <c r="I570">
        <v>0</v>
      </c>
      <c r="J570">
        <v>0</v>
      </c>
      <c r="K570">
        <v>0</v>
      </c>
      <c r="L570">
        <v>0</v>
      </c>
      <c r="P570">
        <v>0</v>
      </c>
      <c r="Q570">
        <v>1</v>
      </c>
      <c r="R570">
        <v>0</v>
      </c>
      <c r="S570">
        <v>0</v>
      </c>
      <c r="T570">
        <v>0</v>
      </c>
      <c r="U570">
        <v>0</v>
      </c>
      <c r="V570">
        <v>0</v>
      </c>
      <c r="W570">
        <v>0</v>
      </c>
      <c r="X570">
        <v>0</v>
      </c>
      <c r="Y570">
        <v>0</v>
      </c>
      <c r="Z570">
        <v>0</v>
      </c>
      <c r="AA570">
        <v>0</v>
      </c>
      <c r="AM570" t="s">
        <v>83</v>
      </c>
      <c r="AN570" t="s">
        <v>82</v>
      </c>
      <c r="AO570" t="s">
        <v>83</v>
      </c>
      <c r="AP570" t="s">
        <v>83</v>
      </c>
      <c r="AQ570" t="s">
        <v>83</v>
      </c>
      <c r="AR570" t="s">
        <v>83</v>
      </c>
      <c r="AS570" t="s">
        <v>83</v>
      </c>
      <c r="AT570" t="s">
        <v>83</v>
      </c>
      <c r="AU570" t="s">
        <v>88</v>
      </c>
      <c r="AV570" t="s">
        <v>89</v>
      </c>
      <c r="AW570" t="s">
        <v>100</v>
      </c>
      <c r="AZ570" t="s">
        <v>73</v>
      </c>
      <c r="BA570" t="s">
        <v>86</v>
      </c>
      <c r="BB570" t="s">
        <v>86</v>
      </c>
      <c r="BC570" t="s">
        <v>86</v>
      </c>
      <c r="BD570" t="s">
        <v>86</v>
      </c>
      <c r="BE570" t="s">
        <v>86</v>
      </c>
      <c r="BF570" t="s">
        <v>97</v>
      </c>
      <c r="BG570" t="s">
        <v>92</v>
      </c>
      <c r="BH570" t="s">
        <v>158</v>
      </c>
      <c r="BI570" t="s">
        <v>73</v>
      </c>
      <c r="BJ570" t="s">
        <v>114</v>
      </c>
      <c r="BK570">
        <v>0</v>
      </c>
      <c r="BL570">
        <v>0</v>
      </c>
      <c r="BM570">
        <v>0</v>
      </c>
      <c r="BN570">
        <v>0</v>
      </c>
      <c r="BO570">
        <v>0</v>
      </c>
      <c r="BP570">
        <v>1</v>
      </c>
      <c r="BQ570">
        <v>0</v>
      </c>
      <c r="BR570">
        <v>0</v>
      </c>
    </row>
    <row r="571" spans="1:72" x14ac:dyDescent="0.2">
      <c r="A571" s="1">
        <v>44589.517361111109</v>
      </c>
      <c r="B571" s="1">
        <v>44589.520138888889</v>
      </c>
      <c r="C571">
        <v>1</v>
      </c>
      <c r="D571">
        <v>0</v>
      </c>
      <c r="E571">
        <v>0</v>
      </c>
      <c r="F571">
        <v>0</v>
      </c>
      <c r="H571">
        <v>0</v>
      </c>
      <c r="I571">
        <v>1</v>
      </c>
      <c r="J571">
        <v>0</v>
      </c>
      <c r="K571">
        <v>0</v>
      </c>
      <c r="L571">
        <v>0</v>
      </c>
      <c r="N571" t="s">
        <v>88</v>
      </c>
      <c r="O571" t="s">
        <v>89</v>
      </c>
      <c r="P571">
        <v>0</v>
      </c>
      <c r="Q571">
        <v>0</v>
      </c>
      <c r="R571">
        <v>1</v>
      </c>
      <c r="S571">
        <v>0</v>
      </c>
      <c r="T571">
        <v>0</v>
      </c>
      <c r="U571">
        <v>0</v>
      </c>
      <c r="V571">
        <v>0</v>
      </c>
      <c r="W571">
        <v>0</v>
      </c>
      <c r="X571">
        <v>0</v>
      </c>
      <c r="Y571">
        <v>0</v>
      </c>
      <c r="Z571">
        <v>0</v>
      </c>
      <c r="AA571">
        <v>0</v>
      </c>
      <c r="AM571" t="s">
        <v>81</v>
      </c>
      <c r="AN571" t="s">
        <v>82</v>
      </c>
      <c r="AO571" t="s">
        <v>83</v>
      </c>
      <c r="AP571" t="s">
        <v>83</v>
      </c>
      <c r="AQ571" t="s">
        <v>81</v>
      </c>
      <c r="AR571" t="s">
        <v>83</v>
      </c>
      <c r="AS571" t="s">
        <v>81</v>
      </c>
      <c r="AT571" t="s">
        <v>90</v>
      </c>
      <c r="AU571" t="s">
        <v>88</v>
      </c>
      <c r="AV571" t="s">
        <v>89</v>
      </c>
      <c r="AW571" t="s">
        <v>85</v>
      </c>
      <c r="AZ571" t="s">
        <v>73</v>
      </c>
      <c r="BA571" t="s">
        <v>86</v>
      </c>
      <c r="BB571" t="s">
        <v>74</v>
      </c>
      <c r="BC571" t="s">
        <v>87</v>
      </c>
      <c r="BD571" t="s">
        <v>74</v>
      </c>
      <c r="BE571" t="s">
        <v>86</v>
      </c>
      <c r="BF571" t="s">
        <v>97</v>
      </c>
      <c r="BG571" t="s">
        <v>92</v>
      </c>
      <c r="BH571" t="s">
        <v>158</v>
      </c>
      <c r="BI571" t="s">
        <v>73</v>
      </c>
      <c r="BJ571" t="s">
        <v>102</v>
      </c>
      <c r="BK571">
        <v>0</v>
      </c>
      <c r="BL571">
        <v>0</v>
      </c>
      <c r="BM571">
        <v>0</v>
      </c>
      <c r="BN571">
        <v>0</v>
      </c>
      <c r="BO571">
        <v>0</v>
      </c>
      <c r="BP571">
        <v>1</v>
      </c>
      <c r="BQ571">
        <v>0</v>
      </c>
      <c r="BR571">
        <v>0</v>
      </c>
    </row>
    <row r="572" spans="1:72" x14ac:dyDescent="0.2">
      <c r="A572" s="1">
        <v>44585.573611111111</v>
      </c>
      <c r="B572" s="1">
        <v>44585.575694444444</v>
      </c>
      <c r="C572">
        <v>1</v>
      </c>
      <c r="D572">
        <v>0</v>
      </c>
      <c r="E572">
        <v>0</v>
      </c>
      <c r="F572">
        <v>0</v>
      </c>
      <c r="H572">
        <v>0</v>
      </c>
      <c r="I572">
        <v>1</v>
      </c>
      <c r="J572">
        <v>0</v>
      </c>
      <c r="K572">
        <v>0</v>
      </c>
      <c r="L572">
        <v>0</v>
      </c>
      <c r="N572" t="s">
        <v>88</v>
      </c>
      <c r="O572" t="s">
        <v>89</v>
      </c>
      <c r="P572">
        <v>0</v>
      </c>
      <c r="Q572">
        <v>0</v>
      </c>
      <c r="R572">
        <v>1</v>
      </c>
      <c r="S572">
        <v>0</v>
      </c>
      <c r="T572">
        <v>0</v>
      </c>
      <c r="U572">
        <v>0</v>
      </c>
      <c r="V572">
        <v>0</v>
      </c>
      <c r="W572">
        <v>0</v>
      </c>
      <c r="X572">
        <v>0</v>
      </c>
      <c r="Y572">
        <v>0</v>
      </c>
      <c r="Z572">
        <v>0</v>
      </c>
      <c r="AA572">
        <v>0</v>
      </c>
      <c r="AM572" t="s">
        <v>82</v>
      </c>
      <c r="AN572" t="s">
        <v>82</v>
      </c>
      <c r="AO572" t="s">
        <v>83</v>
      </c>
      <c r="AP572" t="s">
        <v>82</v>
      </c>
      <c r="AQ572" t="s">
        <v>82</v>
      </c>
      <c r="AR572" t="s">
        <v>90</v>
      </c>
      <c r="AS572" t="s">
        <v>83</v>
      </c>
      <c r="AT572" t="s">
        <v>90</v>
      </c>
      <c r="AU572" t="s">
        <v>88</v>
      </c>
      <c r="AV572" t="s">
        <v>89</v>
      </c>
      <c r="AW572" t="s">
        <v>100</v>
      </c>
      <c r="AZ572" t="s">
        <v>107</v>
      </c>
      <c r="BA572" t="s">
        <v>87</v>
      </c>
      <c r="BB572" t="s">
        <v>87</v>
      </c>
      <c r="BC572" t="s">
        <v>87</v>
      </c>
      <c r="BD572" t="s">
        <v>86</v>
      </c>
      <c r="BE572" t="s">
        <v>87</v>
      </c>
      <c r="BF572" t="s">
        <v>97</v>
      </c>
      <c r="BG572" t="s">
        <v>92</v>
      </c>
      <c r="BH572" t="s">
        <v>98</v>
      </c>
      <c r="BI572" t="s">
        <v>107</v>
      </c>
      <c r="BJ572" t="s">
        <v>78</v>
      </c>
      <c r="BK572">
        <v>0</v>
      </c>
      <c r="BL572">
        <v>0</v>
      </c>
      <c r="BM572">
        <v>0</v>
      </c>
      <c r="BN572">
        <v>0</v>
      </c>
      <c r="BO572">
        <v>0</v>
      </c>
      <c r="BP572">
        <v>1</v>
      </c>
      <c r="BQ572">
        <v>0</v>
      </c>
      <c r="BR572">
        <v>0</v>
      </c>
    </row>
    <row r="573" spans="1:72" x14ac:dyDescent="0.2">
      <c r="A573" s="1">
        <v>44581.763194444444</v>
      </c>
      <c r="B573" s="1">
        <v>44581.765277777777</v>
      </c>
      <c r="C573">
        <v>1</v>
      </c>
      <c r="D573">
        <v>0</v>
      </c>
      <c r="E573">
        <v>0</v>
      </c>
      <c r="F573">
        <v>0</v>
      </c>
      <c r="H573">
        <v>1</v>
      </c>
      <c r="I573">
        <v>0</v>
      </c>
      <c r="J573">
        <v>0</v>
      </c>
      <c r="K573">
        <v>0</v>
      </c>
      <c r="L573">
        <v>0</v>
      </c>
      <c r="P573">
        <v>0</v>
      </c>
      <c r="Q573">
        <v>1</v>
      </c>
      <c r="R573">
        <v>0</v>
      </c>
      <c r="S573">
        <v>0</v>
      </c>
      <c r="T573">
        <v>0</v>
      </c>
      <c r="U573">
        <v>0</v>
      </c>
      <c r="V573">
        <v>0</v>
      </c>
      <c r="W573">
        <v>0</v>
      </c>
      <c r="X573">
        <v>0</v>
      </c>
      <c r="Y573">
        <v>0</v>
      </c>
      <c r="Z573">
        <v>0</v>
      </c>
      <c r="AA573">
        <v>0</v>
      </c>
      <c r="AM573" t="s">
        <v>83</v>
      </c>
      <c r="AN573" t="s">
        <v>81</v>
      </c>
      <c r="AO573" t="s">
        <v>83</v>
      </c>
      <c r="AP573" t="s">
        <v>83</v>
      </c>
      <c r="AQ573" t="s">
        <v>83</v>
      </c>
      <c r="AR573" t="s">
        <v>83</v>
      </c>
      <c r="AS573" t="s">
        <v>83</v>
      </c>
      <c r="AT573" t="s">
        <v>83</v>
      </c>
      <c r="AU573" t="s">
        <v>135</v>
      </c>
      <c r="AV573" t="s">
        <v>127</v>
      </c>
      <c r="AW573" t="s">
        <v>85</v>
      </c>
      <c r="AZ573" t="s">
        <v>73</v>
      </c>
      <c r="BA573" t="s">
        <v>74</v>
      </c>
      <c r="BF573" t="s">
        <v>97</v>
      </c>
      <c r="BG573" t="s">
        <v>92</v>
      </c>
      <c r="BH573" t="s">
        <v>98</v>
      </c>
      <c r="BI573" t="s">
        <v>73</v>
      </c>
      <c r="BJ573" t="s">
        <v>99</v>
      </c>
      <c r="BK573">
        <v>0</v>
      </c>
      <c r="BL573">
        <v>0</v>
      </c>
      <c r="BM573">
        <v>0</v>
      </c>
      <c r="BN573">
        <v>0</v>
      </c>
      <c r="BO573">
        <v>0</v>
      </c>
      <c r="BP573">
        <v>1</v>
      </c>
      <c r="BQ573">
        <v>0</v>
      </c>
      <c r="BR573">
        <v>0</v>
      </c>
    </row>
    <row r="574" spans="1:72" x14ac:dyDescent="0.2">
      <c r="A574" s="1">
        <v>44588.876388888886</v>
      </c>
      <c r="B574" s="1">
        <v>44588.879861111112</v>
      </c>
      <c r="C574">
        <v>0</v>
      </c>
      <c r="D574">
        <v>1</v>
      </c>
      <c r="E574">
        <v>0</v>
      </c>
      <c r="F574">
        <v>0</v>
      </c>
      <c r="H574">
        <v>0</v>
      </c>
      <c r="I574">
        <v>0</v>
      </c>
      <c r="J574">
        <v>1</v>
      </c>
      <c r="K574">
        <v>0</v>
      </c>
      <c r="L574">
        <v>0</v>
      </c>
      <c r="N574" t="s">
        <v>88</v>
      </c>
      <c r="O574" t="s">
        <v>89</v>
      </c>
      <c r="P574">
        <v>0</v>
      </c>
      <c r="Q574">
        <v>0</v>
      </c>
      <c r="R574">
        <v>0</v>
      </c>
      <c r="S574">
        <v>0</v>
      </c>
      <c r="T574">
        <v>0</v>
      </c>
      <c r="U574">
        <v>0</v>
      </c>
      <c r="V574">
        <v>0</v>
      </c>
      <c r="W574">
        <v>0</v>
      </c>
      <c r="X574">
        <v>0</v>
      </c>
      <c r="Y574">
        <v>0</v>
      </c>
      <c r="Z574">
        <v>0</v>
      </c>
      <c r="AA574">
        <v>1</v>
      </c>
      <c r="AB574" t="s">
        <v>311</v>
      </c>
      <c r="AM574" t="s">
        <v>90</v>
      </c>
      <c r="AN574" t="s">
        <v>82</v>
      </c>
      <c r="AO574" t="s">
        <v>82</v>
      </c>
      <c r="AP574" t="s">
        <v>81</v>
      </c>
      <c r="AQ574" t="s">
        <v>83</v>
      </c>
      <c r="AR574" t="s">
        <v>90</v>
      </c>
      <c r="AS574" t="s">
        <v>83</v>
      </c>
      <c r="AT574" t="s">
        <v>90</v>
      </c>
      <c r="AU574" t="s">
        <v>88</v>
      </c>
      <c r="AV574" t="s">
        <v>89</v>
      </c>
      <c r="AW574" t="s">
        <v>100</v>
      </c>
      <c r="AX574" t="s">
        <v>122</v>
      </c>
      <c r="AZ574" t="s">
        <v>107</v>
      </c>
      <c r="BA574" t="s">
        <v>86</v>
      </c>
      <c r="BB574" t="s">
        <v>87</v>
      </c>
      <c r="BC574" t="s">
        <v>87</v>
      </c>
      <c r="BD574" t="s">
        <v>87</v>
      </c>
      <c r="BE574" t="s">
        <v>87</v>
      </c>
      <c r="BF574" t="s">
        <v>75</v>
      </c>
      <c r="BG574" t="s">
        <v>76</v>
      </c>
      <c r="BH574" t="s">
        <v>77</v>
      </c>
      <c r="BI574" t="s">
        <v>107</v>
      </c>
      <c r="BJ574" t="s">
        <v>99</v>
      </c>
      <c r="BK574">
        <v>0</v>
      </c>
      <c r="BL574">
        <v>0</v>
      </c>
      <c r="BM574">
        <v>0</v>
      </c>
      <c r="BN574">
        <v>0</v>
      </c>
      <c r="BO574">
        <v>0</v>
      </c>
      <c r="BP574">
        <v>1</v>
      </c>
      <c r="BQ574">
        <v>0</v>
      </c>
      <c r="BR574">
        <v>0</v>
      </c>
    </row>
    <row r="575" spans="1:72" x14ac:dyDescent="0.2">
      <c r="A575" s="1">
        <v>44589.548611111109</v>
      </c>
      <c r="B575" s="1">
        <v>44589.550694444442</v>
      </c>
      <c r="C575">
        <v>0</v>
      </c>
      <c r="D575">
        <v>1</v>
      </c>
      <c r="E575">
        <v>0</v>
      </c>
      <c r="F575">
        <v>0</v>
      </c>
      <c r="H575">
        <v>0</v>
      </c>
      <c r="I575">
        <v>1</v>
      </c>
      <c r="J575">
        <v>0</v>
      </c>
      <c r="K575">
        <v>1</v>
      </c>
      <c r="L575">
        <v>0</v>
      </c>
      <c r="N575" t="s">
        <v>88</v>
      </c>
      <c r="O575" t="s">
        <v>89</v>
      </c>
      <c r="P575">
        <v>0</v>
      </c>
      <c r="Q575">
        <v>1</v>
      </c>
      <c r="R575">
        <v>0</v>
      </c>
      <c r="S575">
        <v>0</v>
      </c>
      <c r="T575">
        <v>0</v>
      </c>
      <c r="U575">
        <v>0</v>
      </c>
      <c r="V575">
        <v>0</v>
      </c>
      <c r="W575">
        <v>0</v>
      </c>
      <c r="X575">
        <v>0</v>
      </c>
      <c r="Y575">
        <v>0</v>
      </c>
      <c r="Z575">
        <v>0</v>
      </c>
      <c r="AA575">
        <v>0</v>
      </c>
      <c r="AM575" t="s">
        <v>81</v>
      </c>
      <c r="AN575" t="s">
        <v>81</v>
      </c>
      <c r="AO575" t="s">
        <v>82</v>
      </c>
      <c r="AP575" t="s">
        <v>81</v>
      </c>
      <c r="AQ575" t="s">
        <v>82</v>
      </c>
      <c r="AR575" t="s">
        <v>90</v>
      </c>
      <c r="AS575" t="s">
        <v>81</v>
      </c>
      <c r="AT575" t="s">
        <v>81</v>
      </c>
      <c r="AU575" t="s">
        <v>88</v>
      </c>
      <c r="AV575" t="s">
        <v>89</v>
      </c>
      <c r="AW575" t="s">
        <v>100</v>
      </c>
      <c r="AZ575" t="s">
        <v>120</v>
      </c>
      <c r="BA575" t="s">
        <v>87</v>
      </c>
      <c r="BB575" t="s">
        <v>86</v>
      </c>
      <c r="BC575" t="s">
        <v>86</v>
      </c>
      <c r="BD575" t="s">
        <v>87</v>
      </c>
      <c r="BE575" t="s">
        <v>86</v>
      </c>
      <c r="BF575" t="s">
        <v>97</v>
      </c>
      <c r="BG575" t="s">
        <v>92</v>
      </c>
      <c r="BH575" t="s">
        <v>98</v>
      </c>
      <c r="BI575" t="s">
        <v>120</v>
      </c>
      <c r="BK575">
        <v>0</v>
      </c>
      <c r="BL575">
        <v>0</v>
      </c>
      <c r="BM575">
        <v>0</v>
      </c>
      <c r="BN575">
        <v>0</v>
      </c>
      <c r="BO575">
        <v>0</v>
      </c>
      <c r="BP575">
        <v>1</v>
      </c>
      <c r="BQ575">
        <v>0</v>
      </c>
      <c r="BR575">
        <v>0</v>
      </c>
    </row>
    <row r="576" spans="1:72" x14ac:dyDescent="0.2">
      <c r="A576" s="1">
        <v>44579.8</v>
      </c>
      <c r="B576" s="1">
        <v>44579.800694444442</v>
      </c>
      <c r="C576">
        <v>0</v>
      </c>
      <c r="D576">
        <v>0</v>
      </c>
      <c r="E576">
        <v>0</v>
      </c>
      <c r="F576">
        <v>1</v>
      </c>
      <c r="P576">
        <v>1</v>
      </c>
      <c r="Q576">
        <v>0</v>
      </c>
      <c r="R576">
        <v>0</v>
      </c>
      <c r="S576">
        <v>0</v>
      </c>
      <c r="T576">
        <v>0</v>
      </c>
      <c r="U576">
        <v>0</v>
      </c>
      <c r="V576">
        <v>0</v>
      </c>
      <c r="W576">
        <v>0</v>
      </c>
      <c r="X576">
        <v>0</v>
      </c>
      <c r="Y576">
        <v>0</v>
      </c>
      <c r="Z576">
        <v>0</v>
      </c>
      <c r="AA576">
        <v>0</v>
      </c>
      <c r="AC576">
        <v>0</v>
      </c>
      <c r="AD576">
        <v>0</v>
      </c>
      <c r="AE576">
        <v>0</v>
      </c>
      <c r="AF576">
        <v>0</v>
      </c>
      <c r="AG576">
        <v>0</v>
      </c>
      <c r="AH576">
        <v>0</v>
      </c>
      <c r="AI576">
        <v>1</v>
      </c>
      <c r="AJ576">
        <v>0</v>
      </c>
      <c r="AK576">
        <v>0</v>
      </c>
      <c r="AX576" t="s">
        <v>119</v>
      </c>
      <c r="AZ576" t="s">
        <v>107</v>
      </c>
      <c r="BF576" t="s">
        <v>75</v>
      </c>
      <c r="BG576" t="s">
        <v>92</v>
      </c>
      <c r="BH576" t="s">
        <v>98</v>
      </c>
      <c r="BI576" t="s">
        <v>107</v>
      </c>
      <c r="BK576">
        <v>0</v>
      </c>
      <c r="BL576">
        <v>0</v>
      </c>
      <c r="BM576">
        <v>0</v>
      </c>
      <c r="BN576">
        <v>0</v>
      </c>
      <c r="BO576">
        <v>0</v>
      </c>
      <c r="BP576">
        <v>1</v>
      </c>
      <c r="BQ576">
        <v>0</v>
      </c>
      <c r="BR576">
        <v>0</v>
      </c>
      <c r="BT576" t="s">
        <v>109</v>
      </c>
    </row>
    <row r="577" spans="1:72" x14ac:dyDescent="0.2">
      <c r="A577" s="1">
        <v>44579.886805555558</v>
      </c>
      <c r="B577" s="1">
        <v>44579.888194444444</v>
      </c>
      <c r="C577">
        <v>0</v>
      </c>
      <c r="D577">
        <v>0</v>
      </c>
      <c r="E577">
        <v>0</v>
      </c>
      <c r="F577">
        <v>1</v>
      </c>
      <c r="P577">
        <v>1</v>
      </c>
      <c r="Q577">
        <v>0</v>
      </c>
      <c r="R577">
        <v>0</v>
      </c>
      <c r="S577">
        <v>0</v>
      </c>
      <c r="T577">
        <v>0</v>
      </c>
      <c r="U577">
        <v>0</v>
      </c>
      <c r="V577">
        <v>0</v>
      </c>
      <c r="W577">
        <v>0</v>
      </c>
      <c r="X577">
        <v>0</v>
      </c>
      <c r="Y577">
        <v>0</v>
      </c>
      <c r="Z577">
        <v>0</v>
      </c>
      <c r="AA577">
        <v>0</v>
      </c>
      <c r="AC577">
        <v>0</v>
      </c>
      <c r="AD577">
        <v>0</v>
      </c>
      <c r="AE577">
        <v>0</v>
      </c>
      <c r="AF577">
        <v>0</v>
      </c>
      <c r="AG577">
        <v>0</v>
      </c>
      <c r="AH577">
        <v>0</v>
      </c>
      <c r="AI577">
        <v>1</v>
      </c>
      <c r="AJ577">
        <v>1</v>
      </c>
      <c r="AK577">
        <v>0</v>
      </c>
      <c r="AZ577" t="s">
        <v>107</v>
      </c>
      <c r="BF577" t="s">
        <v>97</v>
      </c>
      <c r="BG577" t="s">
        <v>92</v>
      </c>
      <c r="BH577" t="s">
        <v>158</v>
      </c>
      <c r="BI577" t="s">
        <v>107</v>
      </c>
      <c r="BJ577" t="s">
        <v>114</v>
      </c>
      <c r="BK577">
        <v>0</v>
      </c>
      <c r="BL577">
        <v>0</v>
      </c>
      <c r="BM577">
        <v>0</v>
      </c>
      <c r="BN577">
        <v>0</v>
      </c>
      <c r="BO577">
        <v>0</v>
      </c>
      <c r="BP577">
        <v>1</v>
      </c>
      <c r="BQ577">
        <v>0</v>
      </c>
      <c r="BR577">
        <v>0</v>
      </c>
    </row>
    <row r="578" spans="1:72" x14ac:dyDescent="0.2">
      <c r="A578" s="1">
        <v>44580.03402777778</v>
      </c>
      <c r="B578" s="1">
        <v>44580.035416666666</v>
      </c>
      <c r="C578">
        <v>0</v>
      </c>
      <c r="D578">
        <v>1</v>
      </c>
      <c r="E578">
        <v>0</v>
      </c>
      <c r="F578">
        <v>0</v>
      </c>
      <c r="H578">
        <v>1</v>
      </c>
      <c r="I578">
        <v>0</v>
      </c>
      <c r="J578">
        <v>0</v>
      </c>
      <c r="K578">
        <v>0</v>
      </c>
      <c r="L578">
        <v>0</v>
      </c>
      <c r="P578">
        <v>1</v>
      </c>
      <c r="Q578">
        <v>0</v>
      </c>
      <c r="R578">
        <v>0</v>
      </c>
      <c r="S578">
        <v>0</v>
      </c>
      <c r="T578">
        <v>0</v>
      </c>
      <c r="U578">
        <v>0</v>
      </c>
      <c r="V578">
        <v>0</v>
      </c>
      <c r="W578">
        <v>0</v>
      </c>
      <c r="X578">
        <v>0</v>
      </c>
      <c r="Y578">
        <v>0</v>
      </c>
      <c r="Z578">
        <v>0</v>
      </c>
      <c r="AA578">
        <v>0</v>
      </c>
      <c r="AC578">
        <v>0</v>
      </c>
      <c r="AD578">
        <v>0</v>
      </c>
      <c r="AE578">
        <v>0</v>
      </c>
      <c r="AF578">
        <v>1</v>
      </c>
      <c r="AG578">
        <v>0</v>
      </c>
      <c r="AH578">
        <v>0</v>
      </c>
      <c r="AI578">
        <v>0</v>
      </c>
      <c r="AJ578">
        <v>0</v>
      </c>
      <c r="AK578">
        <v>0</v>
      </c>
      <c r="AZ578" t="s">
        <v>107</v>
      </c>
      <c r="BA578" t="s">
        <v>86</v>
      </c>
      <c r="BB578" t="s">
        <v>87</v>
      </c>
      <c r="BC578" t="s">
        <v>87</v>
      </c>
      <c r="BD578" t="s">
        <v>87</v>
      </c>
      <c r="BE578" t="s">
        <v>87</v>
      </c>
      <c r="BF578" t="s">
        <v>97</v>
      </c>
      <c r="BG578" t="s">
        <v>92</v>
      </c>
      <c r="BH578" t="s">
        <v>98</v>
      </c>
      <c r="BI578" t="s">
        <v>107</v>
      </c>
      <c r="BK578">
        <v>0</v>
      </c>
      <c r="BL578">
        <v>0</v>
      </c>
      <c r="BM578">
        <v>0</v>
      </c>
      <c r="BN578">
        <v>0</v>
      </c>
      <c r="BO578">
        <v>0</v>
      </c>
      <c r="BP578">
        <v>1</v>
      </c>
      <c r="BQ578">
        <v>0</v>
      </c>
      <c r="BR578">
        <v>0</v>
      </c>
      <c r="BT578" t="s">
        <v>163</v>
      </c>
    </row>
    <row r="579" spans="1:72" x14ac:dyDescent="0.2">
      <c r="A579" s="1">
        <v>44579.918749999997</v>
      </c>
      <c r="B579" s="1">
        <v>44579.92083333333</v>
      </c>
      <c r="C579">
        <v>1</v>
      </c>
      <c r="D579">
        <v>0</v>
      </c>
      <c r="E579">
        <v>0</v>
      </c>
      <c r="F579">
        <v>0</v>
      </c>
      <c r="H579">
        <v>0</v>
      </c>
      <c r="I579">
        <v>0</v>
      </c>
      <c r="J579">
        <v>1</v>
      </c>
      <c r="K579">
        <v>0</v>
      </c>
      <c r="L579">
        <v>0</v>
      </c>
      <c r="N579" t="s">
        <v>79</v>
      </c>
      <c r="O579" t="s">
        <v>80</v>
      </c>
      <c r="P579">
        <v>0</v>
      </c>
      <c r="Q579">
        <v>0</v>
      </c>
      <c r="R579">
        <v>1</v>
      </c>
      <c r="S579">
        <v>0</v>
      </c>
      <c r="T579">
        <v>0</v>
      </c>
      <c r="U579">
        <v>0</v>
      </c>
      <c r="V579">
        <v>0</v>
      </c>
      <c r="W579">
        <v>0</v>
      </c>
      <c r="X579">
        <v>0</v>
      </c>
      <c r="Y579">
        <v>0</v>
      </c>
      <c r="Z579">
        <v>0</v>
      </c>
      <c r="AA579">
        <v>0</v>
      </c>
      <c r="AM579" t="s">
        <v>81</v>
      </c>
      <c r="AN579" t="s">
        <v>81</v>
      </c>
      <c r="AO579" t="s">
        <v>83</v>
      </c>
      <c r="AP579" t="s">
        <v>81</v>
      </c>
      <c r="AQ579" t="s">
        <v>82</v>
      </c>
      <c r="AR579" t="s">
        <v>82</v>
      </c>
      <c r="AS579" t="s">
        <v>82</v>
      </c>
      <c r="AT579" t="s">
        <v>83</v>
      </c>
      <c r="AU579" t="s">
        <v>88</v>
      </c>
      <c r="AV579" t="s">
        <v>89</v>
      </c>
      <c r="AW579" t="s">
        <v>85</v>
      </c>
      <c r="AZ579" t="s">
        <v>107</v>
      </c>
      <c r="BA579" t="s">
        <v>87</v>
      </c>
      <c r="BB579" t="s">
        <v>86</v>
      </c>
      <c r="BC579" t="s">
        <v>74</v>
      </c>
      <c r="BD579" t="s">
        <v>74</v>
      </c>
      <c r="BE579" t="s">
        <v>74</v>
      </c>
      <c r="BF579" t="s">
        <v>97</v>
      </c>
      <c r="BG579" t="s">
        <v>92</v>
      </c>
      <c r="BH579" t="s">
        <v>98</v>
      </c>
      <c r="BI579" t="s">
        <v>107</v>
      </c>
      <c r="BJ579" t="s">
        <v>78</v>
      </c>
      <c r="BK579">
        <v>0</v>
      </c>
      <c r="BL579">
        <v>0</v>
      </c>
      <c r="BM579">
        <v>0</v>
      </c>
      <c r="BN579">
        <v>0</v>
      </c>
      <c r="BO579">
        <v>0</v>
      </c>
      <c r="BP579">
        <v>1</v>
      </c>
      <c r="BQ579">
        <v>0</v>
      </c>
      <c r="BR579">
        <v>0</v>
      </c>
    </row>
    <row r="580" spans="1:72" x14ac:dyDescent="0.2">
      <c r="A580" s="1">
        <v>44579.879166666666</v>
      </c>
      <c r="B580" s="1">
        <v>44579.880555555559</v>
      </c>
      <c r="C580">
        <v>1</v>
      </c>
      <c r="D580">
        <v>0</v>
      </c>
      <c r="E580">
        <v>0</v>
      </c>
      <c r="F580">
        <v>0</v>
      </c>
      <c r="H580">
        <v>1</v>
      </c>
      <c r="I580">
        <v>0</v>
      </c>
      <c r="J580">
        <v>0</v>
      </c>
      <c r="K580">
        <v>0</v>
      </c>
      <c r="L580">
        <v>0</v>
      </c>
      <c r="P580">
        <v>1</v>
      </c>
      <c r="Q580">
        <v>0</v>
      </c>
      <c r="R580">
        <v>0</v>
      </c>
      <c r="S580">
        <v>0</v>
      </c>
      <c r="T580">
        <v>0</v>
      </c>
      <c r="U580">
        <v>0</v>
      </c>
      <c r="V580">
        <v>0</v>
      </c>
      <c r="W580">
        <v>0</v>
      </c>
      <c r="X580">
        <v>0</v>
      </c>
      <c r="Y580">
        <v>0</v>
      </c>
      <c r="Z580">
        <v>0</v>
      </c>
      <c r="AA580">
        <v>0</v>
      </c>
      <c r="AC580">
        <v>0</v>
      </c>
      <c r="AD580">
        <v>0</v>
      </c>
      <c r="AE580">
        <v>0</v>
      </c>
      <c r="AF580">
        <v>1</v>
      </c>
      <c r="AG580">
        <v>0</v>
      </c>
      <c r="AH580">
        <v>0</v>
      </c>
      <c r="AI580">
        <v>0</v>
      </c>
      <c r="AJ580">
        <v>0</v>
      </c>
      <c r="AK580">
        <v>0</v>
      </c>
      <c r="AX580" t="s">
        <v>91</v>
      </c>
      <c r="AZ580" t="s">
        <v>107</v>
      </c>
      <c r="BA580" t="s">
        <v>87</v>
      </c>
      <c r="BB580" t="s">
        <v>87</v>
      </c>
      <c r="BC580" t="s">
        <v>86</v>
      </c>
      <c r="BD580" t="s">
        <v>87</v>
      </c>
      <c r="BE580" t="s">
        <v>86</v>
      </c>
      <c r="BF580" t="s">
        <v>108</v>
      </c>
      <c r="BG580" t="s">
        <v>92</v>
      </c>
      <c r="BH580" t="s">
        <v>158</v>
      </c>
      <c r="BI580" t="s">
        <v>107</v>
      </c>
      <c r="BJ580" t="s">
        <v>78</v>
      </c>
      <c r="BK580">
        <v>0</v>
      </c>
      <c r="BL580">
        <v>0</v>
      </c>
      <c r="BM580">
        <v>0</v>
      </c>
      <c r="BN580">
        <v>0</v>
      </c>
      <c r="BO580">
        <v>0</v>
      </c>
      <c r="BP580">
        <v>1</v>
      </c>
      <c r="BQ580">
        <v>0</v>
      </c>
      <c r="BR580">
        <v>0</v>
      </c>
    </row>
    <row r="581" spans="1:72" x14ac:dyDescent="0.2">
      <c r="A581" s="1">
        <v>44580.106944444444</v>
      </c>
      <c r="B581" s="1">
        <v>44580.10833333333</v>
      </c>
      <c r="C581">
        <v>1</v>
      </c>
      <c r="D581">
        <v>0</v>
      </c>
      <c r="E581">
        <v>0</v>
      </c>
      <c r="F581">
        <v>0</v>
      </c>
      <c r="H581">
        <v>0</v>
      </c>
      <c r="I581">
        <v>0</v>
      </c>
      <c r="J581">
        <v>1</v>
      </c>
      <c r="K581">
        <v>1</v>
      </c>
      <c r="L581">
        <v>0</v>
      </c>
      <c r="N581" t="s">
        <v>135</v>
      </c>
      <c r="O581" t="s">
        <v>127</v>
      </c>
      <c r="P581">
        <v>0</v>
      </c>
      <c r="Q581">
        <v>0</v>
      </c>
      <c r="R581">
        <v>1</v>
      </c>
      <c r="S581">
        <v>0</v>
      </c>
      <c r="T581">
        <v>0</v>
      </c>
      <c r="U581">
        <v>0</v>
      </c>
      <c r="V581">
        <v>0</v>
      </c>
      <c r="W581">
        <v>0</v>
      </c>
      <c r="X581">
        <v>0</v>
      </c>
      <c r="Y581">
        <v>0</v>
      </c>
      <c r="Z581">
        <v>0</v>
      </c>
      <c r="AA581">
        <v>0</v>
      </c>
      <c r="AM581" t="s">
        <v>83</v>
      </c>
      <c r="AN581" t="s">
        <v>82</v>
      </c>
      <c r="AO581" t="s">
        <v>83</v>
      </c>
      <c r="AP581" t="s">
        <v>83</v>
      </c>
      <c r="AQ581" t="s">
        <v>81</v>
      </c>
      <c r="AR581" t="s">
        <v>83</v>
      </c>
      <c r="AS581" t="s">
        <v>81</v>
      </c>
      <c r="AT581" t="s">
        <v>81</v>
      </c>
      <c r="AU581" t="s">
        <v>127</v>
      </c>
      <c r="AV581" t="s">
        <v>127</v>
      </c>
      <c r="AX581" t="s">
        <v>110</v>
      </c>
      <c r="AY581" t="s">
        <v>312</v>
      </c>
      <c r="AZ581" t="s">
        <v>73</v>
      </c>
      <c r="BA581" t="s">
        <v>74</v>
      </c>
      <c r="BF581" t="s">
        <v>75</v>
      </c>
      <c r="BG581" t="s">
        <v>76</v>
      </c>
      <c r="BH581" t="s">
        <v>93</v>
      </c>
      <c r="BI581" t="s">
        <v>73</v>
      </c>
      <c r="BJ581" t="s">
        <v>114</v>
      </c>
      <c r="BK581">
        <v>0</v>
      </c>
      <c r="BL581">
        <v>0</v>
      </c>
      <c r="BM581">
        <v>0</v>
      </c>
      <c r="BN581">
        <v>0</v>
      </c>
      <c r="BO581">
        <v>0</v>
      </c>
      <c r="BP581">
        <v>1</v>
      </c>
      <c r="BQ581">
        <v>0</v>
      </c>
      <c r="BR581">
        <v>0</v>
      </c>
    </row>
    <row r="582" spans="1:72" x14ac:dyDescent="0.2">
      <c r="A582" s="1">
        <v>44581.761805555558</v>
      </c>
      <c r="B582" s="1">
        <v>44581.763194444444</v>
      </c>
      <c r="C582">
        <v>0</v>
      </c>
      <c r="D582">
        <v>0</v>
      </c>
      <c r="E582">
        <v>0</v>
      </c>
      <c r="F582">
        <v>1</v>
      </c>
      <c r="P582">
        <v>1</v>
      </c>
      <c r="Q582">
        <v>0</v>
      </c>
      <c r="R582">
        <v>0</v>
      </c>
      <c r="S582">
        <v>0</v>
      </c>
      <c r="T582">
        <v>0</v>
      </c>
      <c r="U582">
        <v>0</v>
      </c>
      <c r="V582">
        <v>0</v>
      </c>
      <c r="W582">
        <v>0</v>
      </c>
      <c r="X582">
        <v>0</v>
      </c>
      <c r="Y582">
        <v>0</v>
      </c>
      <c r="Z582">
        <v>0</v>
      </c>
      <c r="AA582">
        <v>0</v>
      </c>
      <c r="AC582">
        <v>0</v>
      </c>
      <c r="AD582">
        <v>0</v>
      </c>
      <c r="AE582">
        <v>1</v>
      </c>
      <c r="AF582">
        <v>0</v>
      </c>
      <c r="AG582">
        <v>1</v>
      </c>
      <c r="AH582">
        <v>0</v>
      </c>
      <c r="AI582">
        <v>1</v>
      </c>
      <c r="AJ582">
        <v>1</v>
      </c>
      <c r="AK582">
        <v>0</v>
      </c>
      <c r="AZ582" t="s">
        <v>73</v>
      </c>
      <c r="BF582" t="s">
        <v>97</v>
      </c>
      <c r="BG582" t="s">
        <v>92</v>
      </c>
      <c r="BH582" t="s">
        <v>158</v>
      </c>
      <c r="BI582" t="s">
        <v>73</v>
      </c>
      <c r="BJ582" t="s">
        <v>147</v>
      </c>
      <c r="BK582">
        <v>0</v>
      </c>
      <c r="BL582">
        <v>0</v>
      </c>
      <c r="BM582">
        <v>0</v>
      </c>
      <c r="BN582">
        <v>0</v>
      </c>
      <c r="BO582">
        <v>0</v>
      </c>
      <c r="BP582">
        <v>1</v>
      </c>
      <c r="BQ582">
        <v>0</v>
      </c>
      <c r="BR582">
        <v>0</v>
      </c>
    </row>
    <row r="583" spans="1:72" x14ac:dyDescent="0.2">
      <c r="A583" s="1">
        <v>44588.908333333333</v>
      </c>
      <c r="B583" s="1">
        <v>44588.909722222219</v>
      </c>
      <c r="C583">
        <v>1</v>
      </c>
      <c r="D583">
        <v>0</v>
      </c>
      <c r="E583">
        <v>0</v>
      </c>
      <c r="F583">
        <v>0</v>
      </c>
      <c r="H583">
        <v>0</v>
      </c>
      <c r="I583">
        <v>1</v>
      </c>
      <c r="J583">
        <v>0</v>
      </c>
      <c r="K583">
        <v>0</v>
      </c>
      <c r="L583">
        <v>0</v>
      </c>
      <c r="N583" t="s">
        <v>88</v>
      </c>
      <c r="O583" t="s">
        <v>89</v>
      </c>
      <c r="P583">
        <v>0</v>
      </c>
      <c r="Q583">
        <v>0</v>
      </c>
      <c r="R583">
        <v>1</v>
      </c>
      <c r="S583">
        <v>0</v>
      </c>
      <c r="T583">
        <v>0</v>
      </c>
      <c r="U583">
        <v>0</v>
      </c>
      <c r="V583">
        <v>0</v>
      </c>
      <c r="W583">
        <v>0</v>
      </c>
      <c r="X583">
        <v>0</v>
      </c>
      <c r="Y583">
        <v>0</v>
      </c>
      <c r="Z583">
        <v>0</v>
      </c>
      <c r="AA583">
        <v>0</v>
      </c>
      <c r="AM583" t="s">
        <v>83</v>
      </c>
      <c r="AN583" t="s">
        <v>82</v>
      </c>
      <c r="AO583" t="s">
        <v>82</v>
      </c>
      <c r="AP583" t="s">
        <v>82</v>
      </c>
      <c r="AQ583" t="s">
        <v>83</v>
      </c>
      <c r="AR583" t="s">
        <v>83</v>
      </c>
      <c r="AS583" t="s">
        <v>83</v>
      </c>
      <c r="AT583" t="s">
        <v>81</v>
      </c>
      <c r="AU583" t="s">
        <v>88</v>
      </c>
      <c r="AV583" t="s">
        <v>89</v>
      </c>
      <c r="AW583" t="s">
        <v>100</v>
      </c>
      <c r="AX583" t="s">
        <v>91</v>
      </c>
      <c r="AZ583" t="s">
        <v>73</v>
      </c>
      <c r="BA583" t="s">
        <v>87</v>
      </c>
      <c r="BB583" t="s">
        <v>86</v>
      </c>
      <c r="BC583" t="s">
        <v>86</v>
      </c>
      <c r="BD583" t="s">
        <v>86</v>
      </c>
      <c r="BE583" t="s">
        <v>86</v>
      </c>
      <c r="BF583" t="s">
        <v>75</v>
      </c>
      <c r="BG583" t="s">
        <v>92</v>
      </c>
      <c r="BH583" t="s">
        <v>77</v>
      </c>
      <c r="BI583" t="s">
        <v>73</v>
      </c>
      <c r="BJ583" t="s">
        <v>78</v>
      </c>
      <c r="BK583">
        <v>0</v>
      </c>
      <c r="BL583">
        <v>0</v>
      </c>
      <c r="BM583">
        <v>0</v>
      </c>
      <c r="BN583">
        <v>1</v>
      </c>
      <c r="BO583">
        <v>0</v>
      </c>
      <c r="BP583">
        <v>0</v>
      </c>
      <c r="BQ583">
        <v>0</v>
      </c>
      <c r="BR583">
        <v>0</v>
      </c>
    </row>
    <row r="584" spans="1:72" x14ac:dyDescent="0.2">
      <c r="A584" s="1">
        <v>44588.879166666666</v>
      </c>
      <c r="B584" s="1">
        <v>44588.882638888892</v>
      </c>
      <c r="C584">
        <v>1</v>
      </c>
      <c r="D584">
        <v>0</v>
      </c>
      <c r="E584">
        <v>0</v>
      </c>
      <c r="F584">
        <v>0</v>
      </c>
      <c r="H584">
        <v>1</v>
      </c>
      <c r="I584">
        <v>0</v>
      </c>
      <c r="J584">
        <v>0</v>
      </c>
      <c r="K584">
        <v>0</v>
      </c>
      <c r="L584">
        <v>0</v>
      </c>
      <c r="P584">
        <v>0</v>
      </c>
      <c r="Q584">
        <v>1</v>
      </c>
      <c r="R584">
        <v>1</v>
      </c>
      <c r="S584">
        <v>0</v>
      </c>
      <c r="T584">
        <v>0</v>
      </c>
      <c r="U584">
        <v>0</v>
      </c>
      <c r="V584">
        <v>0</v>
      </c>
      <c r="W584">
        <v>0</v>
      </c>
      <c r="X584">
        <v>0</v>
      </c>
      <c r="Y584">
        <v>0</v>
      </c>
      <c r="Z584">
        <v>0</v>
      </c>
      <c r="AA584">
        <v>0</v>
      </c>
      <c r="AM584" t="s">
        <v>81</v>
      </c>
      <c r="AN584" t="s">
        <v>83</v>
      </c>
      <c r="AO584" t="s">
        <v>83</v>
      </c>
      <c r="AP584" t="s">
        <v>81</v>
      </c>
      <c r="AQ584" t="s">
        <v>82</v>
      </c>
      <c r="AR584" t="s">
        <v>83</v>
      </c>
      <c r="AS584" t="s">
        <v>81</v>
      </c>
      <c r="AT584" t="s">
        <v>81</v>
      </c>
      <c r="AU584" t="s">
        <v>88</v>
      </c>
      <c r="AV584" t="s">
        <v>89</v>
      </c>
      <c r="AW584" t="s">
        <v>85</v>
      </c>
      <c r="AX584" t="s">
        <v>146</v>
      </c>
      <c r="AZ584" t="s">
        <v>107</v>
      </c>
      <c r="BA584" t="s">
        <v>87</v>
      </c>
      <c r="BB584" t="s">
        <v>87</v>
      </c>
      <c r="BC584" t="s">
        <v>87</v>
      </c>
      <c r="BD584" t="s">
        <v>87</v>
      </c>
      <c r="BE584" t="s">
        <v>87</v>
      </c>
      <c r="BF584" t="s">
        <v>75</v>
      </c>
      <c r="BG584" t="s">
        <v>76</v>
      </c>
      <c r="BH584" t="s">
        <v>77</v>
      </c>
      <c r="BI584" t="s">
        <v>107</v>
      </c>
      <c r="BJ584" t="s">
        <v>154</v>
      </c>
      <c r="BK584">
        <v>0</v>
      </c>
      <c r="BL584">
        <v>0</v>
      </c>
      <c r="BM584">
        <v>0</v>
      </c>
      <c r="BN584">
        <v>0</v>
      </c>
      <c r="BO584">
        <v>0</v>
      </c>
      <c r="BP584">
        <v>1</v>
      </c>
      <c r="BQ584">
        <v>0</v>
      </c>
      <c r="BR584">
        <v>0</v>
      </c>
    </row>
    <row r="585" spans="1:72" x14ac:dyDescent="0.2">
      <c r="A585" s="1">
        <v>44585.595833333333</v>
      </c>
      <c r="B585" s="1">
        <v>44585.59652777778</v>
      </c>
      <c r="C585">
        <v>0</v>
      </c>
      <c r="D585">
        <v>1</v>
      </c>
      <c r="E585">
        <v>0</v>
      </c>
      <c r="F585">
        <v>0</v>
      </c>
      <c r="H585">
        <v>1</v>
      </c>
      <c r="I585">
        <v>0</v>
      </c>
      <c r="J585">
        <v>0</v>
      </c>
      <c r="K585">
        <v>0</v>
      </c>
      <c r="L585">
        <v>0</v>
      </c>
      <c r="P585">
        <v>1</v>
      </c>
      <c r="Q585">
        <v>0</v>
      </c>
      <c r="R585">
        <v>0</v>
      </c>
      <c r="S585">
        <v>0</v>
      </c>
      <c r="T585">
        <v>0</v>
      </c>
      <c r="U585">
        <v>0</v>
      </c>
      <c r="V585">
        <v>0</v>
      </c>
      <c r="W585">
        <v>0</v>
      </c>
      <c r="X585">
        <v>0</v>
      </c>
      <c r="Y585">
        <v>0</v>
      </c>
      <c r="Z585">
        <v>0</v>
      </c>
      <c r="AA585">
        <v>0</v>
      </c>
      <c r="AC585">
        <v>0</v>
      </c>
      <c r="AD585">
        <v>0</v>
      </c>
      <c r="AE585">
        <v>0</v>
      </c>
      <c r="AF585">
        <v>0</v>
      </c>
      <c r="AG585">
        <v>0</v>
      </c>
      <c r="AH585">
        <v>1</v>
      </c>
      <c r="AI585">
        <v>0</v>
      </c>
      <c r="AJ585">
        <v>0</v>
      </c>
      <c r="AK585">
        <v>0</v>
      </c>
      <c r="AZ585" t="s">
        <v>107</v>
      </c>
      <c r="BA585" t="s">
        <v>74</v>
      </c>
      <c r="BF585" t="s">
        <v>97</v>
      </c>
      <c r="BG585" t="s">
        <v>92</v>
      </c>
      <c r="BH585" t="s">
        <v>98</v>
      </c>
      <c r="BI585" t="s">
        <v>107</v>
      </c>
      <c r="BJ585" t="s">
        <v>78</v>
      </c>
      <c r="BK585">
        <v>0</v>
      </c>
      <c r="BL585">
        <v>0</v>
      </c>
      <c r="BM585">
        <v>0</v>
      </c>
      <c r="BN585">
        <v>0</v>
      </c>
      <c r="BO585">
        <v>0</v>
      </c>
      <c r="BP585">
        <v>1</v>
      </c>
      <c r="BQ585">
        <v>0</v>
      </c>
      <c r="BR585">
        <v>0</v>
      </c>
    </row>
    <row r="586" spans="1:72" x14ac:dyDescent="0.2">
      <c r="A586" s="1">
        <v>44579.883333333331</v>
      </c>
      <c r="B586" s="1">
        <v>44579.888888888891</v>
      </c>
      <c r="C586">
        <v>1</v>
      </c>
      <c r="D586">
        <v>0</v>
      </c>
      <c r="E586">
        <v>0</v>
      </c>
      <c r="F586">
        <v>0</v>
      </c>
      <c r="H586">
        <v>0</v>
      </c>
      <c r="I586">
        <v>0</v>
      </c>
      <c r="J586">
        <v>0</v>
      </c>
      <c r="K586">
        <v>0</v>
      </c>
      <c r="L586">
        <v>1</v>
      </c>
      <c r="M586" t="s">
        <v>313</v>
      </c>
      <c r="N586" t="s">
        <v>88</v>
      </c>
      <c r="O586" t="s">
        <v>89</v>
      </c>
      <c r="P586">
        <v>0</v>
      </c>
      <c r="Q586">
        <v>1</v>
      </c>
      <c r="R586">
        <v>0</v>
      </c>
      <c r="S586">
        <v>0</v>
      </c>
      <c r="T586">
        <v>0</v>
      </c>
      <c r="U586">
        <v>0</v>
      </c>
      <c r="V586">
        <v>0</v>
      </c>
      <c r="W586">
        <v>0</v>
      </c>
      <c r="X586">
        <v>0</v>
      </c>
      <c r="Y586">
        <v>0</v>
      </c>
      <c r="Z586">
        <v>0</v>
      </c>
      <c r="AA586">
        <v>0</v>
      </c>
      <c r="AM586" t="s">
        <v>83</v>
      </c>
      <c r="AN586" t="s">
        <v>82</v>
      </c>
      <c r="AO586" t="s">
        <v>81</v>
      </c>
      <c r="AP586" t="s">
        <v>83</v>
      </c>
      <c r="AQ586" t="s">
        <v>81</v>
      </c>
      <c r="AR586" t="s">
        <v>83</v>
      </c>
      <c r="AS586" t="s">
        <v>90</v>
      </c>
      <c r="AT586" t="s">
        <v>83</v>
      </c>
      <c r="AU586" t="s">
        <v>88</v>
      </c>
      <c r="AV586" t="s">
        <v>89</v>
      </c>
      <c r="AW586" t="s">
        <v>100</v>
      </c>
      <c r="AZ586" t="s">
        <v>107</v>
      </c>
      <c r="BA586" t="s">
        <v>87</v>
      </c>
      <c r="BB586" t="s">
        <v>86</v>
      </c>
      <c r="BC586" t="s">
        <v>87</v>
      </c>
      <c r="BD586" t="s">
        <v>87</v>
      </c>
      <c r="BE586" t="s">
        <v>86</v>
      </c>
      <c r="BF586" t="s">
        <v>97</v>
      </c>
      <c r="BG586" t="s">
        <v>92</v>
      </c>
      <c r="BH586" t="s">
        <v>98</v>
      </c>
      <c r="BI586" t="s">
        <v>107</v>
      </c>
      <c r="BJ586" t="s">
        <v>165</v>
      </c>
      <c r="BK586">
        <v>0</v>
      </c>
      <c r="BL586">
        <v>0</v>
      </c>
      <c r="BM586">
        <v>0</v>
      </c>
      <c r="BN586">
        <v>0</v>
      </c>
      <c r="BO586">
        <v>0</v>
      </c>
      <c r="BP586">
        <v>1</v>
      </c>
      <c r="BQ586">
        <v>0</v>
      </c>
      <c r="BR586">
        <v>0</v>
      </c>
    </row>
    <row r="587" spans="1:72" x14ac:dyDescent="0.2">
      <c r="A587" s="1">
        <v>44588.970833333333</v>
      </c>
      <c r="B587" s="1">
        <v>44588.974999999999</v>
      </c>
      <c r="C587">
        <v>0</v>
      </c>
      <c r="D587">
        <v>0</v>
      </c>
      <c r="E587">
        <v>1</v>
      </c>
      <c r="F587">
        <v>0</v>
      </c>
      <c r="G587" t="s">
        <v>314</v>
      </c>
      <c r="H587">
        <v>0</v>
      </c>
      <c r="I587">
        <v>0</v>
      </c>
      <c r="J587">
        <v>0</v>
      </c>
      <c r="K587">
        <v>0</v>
      </c>
      <c r="L587">
        <v>1</v>
      </c>
      <c r="M587" t="s">
        <v>315</v>
      </c>
      <c r="N587" t="s">
        <v>79</v>
      </c>
      <c r="O587" t="s">
        <v>127</v>
      </c>
      <c r="P587">
        <v>1</v>
      </c>
      <c r="Q587">
        <v>0</v>
      </c>
      <c r="R587">
        <v>0</v>
      </c>
      <c r="S587">
        <v>0</v>
      </c>
      <c r="T587">
        <v>0</v>
      </c>
      <c r="U587">
        <v>0</v>
      </c>
      <c r="V587">
        <v>0</v>
      </c>
      <c r="W587">
        <v>0</v>
      </c>
      <c r="X587">
        <v>0</v>
      </c>
      <c r="Y587">
        <v>0</v>
      </c>
      <c r="Z587">
        <v>0</v>
      </c>
      <c r="AA587">
        <v>0</v>
      </c>
      <c r="AC587">
        <v>0</v>
      </c>
      <c r="AD587">
        <v>0</v>
      </c>
      <c r="AE587">
        <v>0</v>
      </c>
      <c r="AF587">
        <v>0</v>
      </c>
      <c r="AG587">
        <v>0</v>
      </c>
      <c r="AH587">
        <v>0</v>
      </c>
      <c r="AI587">
        <v>0</v>
      </c>
      <c r="AJ587">
        <v>0</v>
      </c>
      <c r="AK587">
        <v>1</v>
      </c>
      <c r="AL587" t="s">
        <v>316</v>
      </c>
      <c r="AZ587" t="s">
        <v>73</v>
      </c>
      <c r="BA587" t="s">
        <v>86</v>
      </c>
      <c r="BB587" t="s">
        <v>87</v>
      </c>
      <c r="BC587" t="s">
        <v>87</v>
      </c>
      <c r="BD587" t="s">
        <v>87</v>
      </c>
      <c r="BE587" t="s">
        <v>87</v>
      </c>
      <c r="BF587" t="s">
        <v>97</v>
      </c>
      <c r="BG587" t="s">
        <v>92</v>
      </c>
      <c r="BH587" t="s">
        <v>158</v>
      </c>
      <c r="BI587" t="s">
        <v>73</v>
      </c>
      <c r="BJ587" t="s">
        <v>78</v>
      </c>
      <c r="BK587">
        <v>0</v>
      </c>
      <c r="BL587">
        <v>0</v>
      </c>
      <c r="BM587">
        <v>0</v>
      </c>
      <c r="BN587">
        <v>0</v>
      </c>
      <c r="BO587">
        <v>0</v>
      </c>
      <c r="BP587">
        <v>1</v>
      </c>
      <c r="BQ587">
        <v>0</v>
      </c>
      <c r="BR587">
        <v>0</v>
      </c>
    </row>
    <row r="588" spans="1:72" x14ac:dyDescent="0.2">
      <c r="A588" s="1">
        <v>44586.623611111114</v>
      </c>
      <c r="B588" s="1">
        <v>44586.625</v>
      </c>
      <c r="C588">
        <v>1</v>
      </c>
      <c r="D588">
        <v>0</v>
      </c>
      <c r="E588">
        <v>0</v>
      </c>
      <c r="F588">
        <v>0</v>
      </c>
      <c r="H588">
        <v>0</v>
      </c>
      <c r="I588">
        <v>0</v>
      </c>
      <c r="J588">
        <v>0</v>
      </c>
      <c r="K588">
        <v>0</v>
      </c>
      <c r="L588">
        <v>1</v>
      </c>
      <c r="M588" t="s">
        <v>317</v>
      </c>
      <c r="N588" t="s">
        <v>135</v>
      </c>
      <c r="O588" t="s">
        <v>80</v>
      </c>
      <c r="P588">
        <v>1</v>
      </c>
      <c r="Q588">
        <v>0</v>
      </c>
      <c r="R588">
        <v>0</v>
      </c>
      <c r="S588">
        <v>0</v>
      </c>
      <c r="T588">
        <v>0</v>
      </c>
      <c r="U588">
        <v>0</v>
      </c>
      <c r="V588">
        <v>0</v>
      </c>
      <c r="W588">
        <v>0</v>
      </c>
      <c r="X588">
        <v>0</v>
      </c>
      <c r="Y588">
        <v>0</v>
      </c>
      <c r="Z588">
        <v>0</v>
      </c>
      <c r="AA588">
        <v>0</v>
      </c>
      <c r="AC588">
        <v>0</v>
      </c>
      <c r="AD588">
        <v>0</v>
      </c>
      <c r="AE588">
        <v>0</v>
      </c>
      <c r="AF588">
        <v>1</v>
      </c>
      <c r="AG588">
        <v>0</v>
      </c>
      <c r="AH588">
        <v>0</v>
      </c>
      <c r="AI588">
        <v>0</v>
      </c>
      <c r="AJ588">
        <v>0</v>
      </c>
      <c r="AK588">
        <v>0</v>
      </c>
      <c r="AZ588" t="s">
        <v>73</v>
      </c>
      <c r="BA588" t="s">
        <v>74</v>
      </c>
      <c r="BF588" t="s">
        <v>97</v>
      </c>
      <c r="BG588" t="s">
        <v>92</v>
      </c>
      <c r="BH588" t="s">
        <v>98</v>
      </c>
      <c r="BI588" t="s">
        <v>73</v>
      </c>
      <c r="BK588">
        <v>0</v>
      </c>
      <c r="BL588">
        <v>0</v>
      </c>
      <c r="BM588">
        <v>0</v>
      </c>
      <c r="BN588">
        <v>0</v>
      </c>
      <c r="BO588">
        <v>0</v>
      </c>
      <c r="BP588">
        <v>1</v>
      </c>
      <c r="BQ588">
        <v>0</v>
      </c>
      <c r="BR588">
        <v>0</v>
      </c>
      <c r="BT588" t="s">
        <v>109</v>
      </c>
    </row>
    <row r="589" spans="1:72" x14ac:dyDescent="0.2">
      <c r="A589" s="1">
        <v>44579.972222222219</v>
      </c>
      <c r="B589" s="1">
        <v>44579.974305555559</v>
      </c>
      <c r="C589">
        <v>1</v>
      </c>
      <c r="D589">
        <v>0</v>
      </c>
      <c r="E589">
        <v>0</v>
      </c>
      <c r="F589">
        <v>0</v>
      </c>
      <c r="H589">
        <v>1</v>
      </c>
      <c r="I589">
        <v>0</v>
      </c>
      <c r="J589">
        <v>0</v>
      </c>
      <c r="K589">
        <v>0</v>
      </c>
      <c r="L589">
        <v>0</v>
      </c>
      <c r="P589">
        <v>1</v>
      </c>
      <c r="Q589">
        <v>0</v>
      </c>
      <c r="R589">
        <v>0</v>
      </c>
      <c r="S589">
        <v>0</v>
      </c>
      <c r="T589">
        <v>0</v>
      </c>
      <c r="U589">
        <v>0</v>
      </c>
      <c r="V589">
        <v>0</v>
      </c>
      <c r="W589">
        <v>0</v>
      </c>
      <c r="X589">
        <v>0</v>
      </c>
      <c r="Y589">
        <v>0</v>
      </c>
      <c r="Z589">
        <v>0</v>
      </c>
      <c r="AA589">
        <v>0</v>
      </c>
      <c r="AC589">
        <v>0</v>
      </c>
      <c r="AD589">
        <v>1</v>
      </c>
      <c r="AE589">
        <v>0</v>
      </c>
      <c r="AF589">
        <v>0</v>
      </c>
      <c r="AG589">
        <v>0</v>
      </c>
      <c r="AH589">
        <v>0</v>
      </c>
      <c r="AI589">
        <v>0</v>
      </c>
      <c r="AJ589">
        <v>0</v>
      </c>
      <c r="AK589">
        <v>0</v>
      </c>
      <c r="AZ589" t="s">
        <v>107</v>
      </c>
      <c r="BA589" t="s">
        <v>86</v>
      </c>
      <c r="BB589" t="s">
        <v>74</v>
      </c>
      <c r="BC589" t="s">
        <v>74</v>
      </c>
      <c r="BD589" t="s">
        <v>87</v>
      </c>
      <c r="BE589" t="s">
        <v>74</v>
      </c>
      <c r="BF589" t="s">
        <v>97</v>
      </c>
      <c r="BG589" t="s">
        <v>92</v>
      </c>
      <c r="BH589" t="s">
        <v>98</v>
      </c>
      <c r="BI589" t="s">
        <v>107</v>
      </c>
      <c r="BJ589" t="s">
        <v>187</v>
      </c>
      <c r="BK589">
        <v>0</v>
      </c>
      <c r="BL589">
        <v>0</v>
      </c>
      <c r="BM589">
        <v>0</v>
      </c>
      <c r="BN589">
        <v>0</v>
      </c>
      <c r="BO589">
        <v>0</v>
      </c>
      <c r="BP589">
        <v>1</v>
      </c>
      <c r="BQ589">
        <v>0</v>
      </c>
      <c r="BR589">
        <v>0</v>
      </c>
    </row>
    <row r="590" spans="1:72" x14ac:dyDescent="0.2">
      <c r="A590" s="1">
        <v>44582.666666666664</v>
      </c>
      <c r="B590" s="1">
        <v>44582.670138888891</v>
      </c>
      <c r="C590">
        <v>1</v>
      </c>
      <c r="D590">
        <v>0</v>
      </c>
      <c r="E590">
        <v>0</v>
      </c>
      <c r="F590">
        <v>0</v>
      </c>
      <c r="H590">
        <v>0</v>
      </c>
      <c r="I590">
        <v>1</v>
      </c>
      <c r="J590">
        <v>0</v>
      </c>
      <c r="K590">
        <v>0</v>
      </c>
      <c r="L590">
        <v>0</v>
      </c>
      <c r="N590" t="s">
        <v>88</v>
      </c>
      <c r="O590" t="s">
        <v>89</v>
      </c>
      <c r="P590">
        <v>0</v>
      </c>
      <c r="Q590">
        <v>1</v>
      </c>
      <c r="R590">
        <v>0</v>
      </c>
      <c r="S590">
        <v>0</v>
      </c>
      <c r="T590">
        <v>0</v>
      </c>
      <c r="U590">
        <v>0</v>
      </c>
      <c r="V590">
        <v>0</v>
      </c>
      <c r="W590">
        <v>0</v>
      </c>
      <c r="X590">
        <v>0</v>
      </c>
      <c r="Y590">
        <v>0</v>
      </c>
      <c r="Z590">
        <v>0</v>
      </c>
      <c r="AA590">
        <v>0</v>
      </c>
      <c r="AM590" t="s">
        <v>83</v>
      </c>
      <c r="AN590" t="s">
        <v>82</v>
      </c>
      <c r="AO590" t="s">
        <v>82</v>
      </c>
      <c r="AP590" t="s">
        <v>83</v>
      </c>
      <c r="AQ590" t="s">
        <v>83</v>
      </c>
      <c r="AR590" t="s">
        <v>83</v>
      </c>
      <c r="AS590" t="s">
        <v>83</v>
      </c>
      <c r="AT590" t="s">
        <v>83</v>
      </c>
      <c r="AU590" t="s">
        <v>88</v>
      </c>
      <c r="AV590" t="s">
        <v>89</v>
      </c>
      <c r="AW590" t="s">
        <v>100</v>
      </c>
      <c r="AZ590" t="s">
        <v>96</v>
      </c>
      <c r="BA590" t="s">
        <v>87</v>
      </c>
      <c r="BB590" t="s">
        <v>74</v>
      </c>
      <c r="BC590" t="s">
        <v>87</v>
      </c>
      <c r="BD590" t="s">
        <v>87</v>
      </c>
      <c r="BE590" t="s">
        <v>74</v>
      </c>
      <c r="BF590" t="s">
        <v>101</v>
      </c>
      <c r="BG590" t="s">
        <v>92</v>
      </c>
      <c r="BH590" t="s">
        <v>98</v>
      </c>
      <c r="BI590" t="s">
        <v>96</v>
      </c>
      <c r="BJ590" t="s">
        <v>99</v>
      </c>
      <c r="BK590">
        <v>1</v>
      </c>
      <c r="BL590">
        <v>0</v>
      </c>
      <c r="BM590">
        <v>0</v>
      </c>
      <c r="BN590">
        <v>0</v>
      </c>
      <c r="BO590">
        <v>0</v>
      </c>
      <c r="BP590">
        <v>0</v>
      </c>
      <c r="BQ590">
        <v>0</v>
      </c>
      <c r="BR590">
        <v>0</v>
      </c>
    </row>
    <row r="591" spans="1:72" x14ac:dyDescent="0.2">
      <c r="A591" s="1">
        <v>44589.604861111111</v>
      </c>
      <c r="B591" s="1">
        <v>44589.606944444444</v>
      </c>
      <c r="C591">
        <v>1</v>
      </c>
      <c r="D591">
        <v>0</v>
      </c>
      <c r="E591">
        <v>0</v>
      </c>
      <c r="F591">
        <v>0</v>
      </c>
      <c r="H591">
        <v>0</v>
      </c>
      <c r="I591">
        <v>1</v>
      </c>
      <c r="J591">
        <v>0</v>
      </c>
      <c r="K591">
        <v>0</v>
      </c>
      <c r="L591">
        <v>0</v>
      </c>
      <c r="N591" t="s">
        <v>88</v>
      </c>
      <c r="O591" t="s">
        <v>89</v>
      </c>
      <c r="P591">
        <v>0</v>
      </c>
      <c r="Q591">
        <v>0</v>
      </c>
      <c r="R591">
        <v>1</v>
      </c>
      <c r="S591">
        <v>0</v>
      </c>
      <c r="T591">
        <v>0</v>
      </c>
      <c r="U591">
        <v>0</v>
      </c>
      <c r="V591">
        <v>0</v>
      </c>
      <c r="W591">
        <v>0</v>
      </c>
      <c r="X591">
        <v>0</v>
      </c>
      <c r="Y591">
        <v>0</v>
      </c>
      <c r="Z591">
        <v>0</v>
      </c>
      <c r="AA591">
        <v>0</v>
      </c>
      <c r="AM591" t="s">
        <v>81</v>
      </c>
      <c r="AN591" t="s">
        <v>82</v>
      </c>
      <c r="AO591" t="s">
        <v>81</v>
      </c>
      <c r="AP591" t="s">
        <v>81</v>
      </c>
      <c r="AQ591" t="s">
        <v>82</v>
      </c>
      <c r="AR591" t="s">
        <v>81</v>
      </c>
      <c r="AS591" t="s">
        <v>81</v>
      </c>
      <c r="AT591" t="s">
        <v>83</v>
      </c>
      <c r="AU591" t="s">
        <v>88</v>
      </c>
      <c r="AV591" t="s">
        <v>89</v>
      </c>
      <c r="AW591" t="s">
        <v>85</v>
      </c>
      <c r="AZ591" t="s">
        <v>107</v>
      </c>
      <c r="BA591" t="s">
        <v>87</v>
      </c>
      <c r="BB591" t="s">
        <v>87</v>
      </c>
      <c r="BC591" t="s">
        <v>87</v>
      </c>
      <c r="BD591" t="s">
        <v>74</v>
      </c>
      <c r="BE591" t="s">
        <v>87</v>
      </c>
      <c r="BF591" t="s">
        <v>97</v>
      </c>
      <c r="BG591" t="s">
        <v>92</v>
      </c>
      <c r="BH591" t="s">
        <v>98</v>
      </c>
      <c r="BI591" t="s">
        <v>107</v>
      </c>
      <c r="BK591">
        <v>0</v>
      </c>
      <c r="BL591">
        <v>0</v>
      </c>
      <c r="BM591">
        <v>0</v>
      </c>
      <c r="BN591">
        <v>0</v>
      </c>
      <c r="BO591">
        <v>0</v>
      </c>
      <c r="BP591">
        <v>1</v>
      </c>
      <c r="BQ591">
        <v>0</v>
      </c>
      <c r="BR591">
        <v>0</v>
      </c>
    </row>
    <row r="592" spans="1:72" x14ac:dyDescent="0.2">
      <c r="A592" s="1">
        <v>44588.916666666664</v>
      </c>
      <c r="B592" s="1">
        <v>44588.918749999997</v>
      </c>
      <c r="C592">
        <v>0</v>
      </c>
      <c r="D592">
        <v>1</v>
      </c>
      <c r="E592">
        <v>0</v>
      </c>
      <c r="F592">
        <v>0</v>
      </c>
      <c r="H592">
        <v>1</v>
      </c>
      <c r="I592">
        <v>0</v>
      </c>
      <c r="J592">
        <v>0</v>
      </c>
      <c r="K592">
        <v>0</v>
      </c>
      <c r="L592">
        <v>0</v>
      </c>
      <c r="P592">
        <v>1</v>
      </c>
      <c r="Q592">
        <v>0</v>
      </c>
      <c r="R592">
        <v>0</v>
      </c>
      <c r="S592">
        <v>0</v>
      </c>
      <c r="T592">
        <v>0</v>
      </c>
      <c r="U592">
        <v>0</v>
      </c>
      <c r="V592">
        <v>0</v>
      </c>
      <c r="W592">
        <v>0</v>
      </c>
      <c r="X592">
        <v>0</v>
      </c>
      <c r="Y592">
        <v>0</v>
      </c>
      <c r="Z592">
        <v>0</v>
      </c>
      <c r="AA592">
        <v>0</v>
      </c>
      <c r="AC592">
        <v>0</v>
      </c>
      <c r="AD592">
        <v>1</v>
      </c>
      <c r="AE592">
        <v>0</v>
      </c>
      <c r="AF592">
        <v>0</v>
      </c>
      <c r="AG592">
        <v>0</v>
      </c>
      <c r="AH592">
        <v>0</v>
      </c>
      <c r="AI592">
        <v>0</v>
      </c>
      <c r="AJ592">
        <v>0</v>
      </c>
      <c r="AK592">
        <v>0</v>
      </c>
      <c r="AZ592" t="s">
        <v>73</v>
      </c>
      <c r="BA592" t="s">
        <v>86</v>
      </c>
      <c r="BB592" t="s">
        <v>74</v>
      </c>
      <c r="BC592" t="s">
        <v>86</v>
      </c>
      <c r="BD592" t="s">
        <v>86</v>
      </c>
      <c r="BE592" t="s">
        <v>74</v>
      </c>
      <c r="BF592" t="s">
        <v>97</v>
      </c>
      <c r="BG592" t="s">
        <v>92</v>
      </c>
      <c r="BH592" t="s">
        <v>158</v>
      </c>
      <c r="BI592" t="s">
        <v>73</v>
      </c>
      <c r="BK592">
        <v>0</v>
      </c>
      <c r="BL592">
        <v>0</v>
      </c>
      <c r="BM592">
        <v>0</v>
      </c>
      <c r="BN592">
        <v>0</v>
      </c>
      <c r="BO592">
        <v>0</v>
      </c>
      <c r="BP592">
        <v>1</v>
      </c>
      <c r="BQ592">
        <v>0</v>
      </c>
      <c r="BR592">
        <v>0</v>
      </c>
    </row>
    <row r="593" spans="1:72" x14ac:dyDescent="0.2">
      <c r="A593" s="1">
        <v>44579.918055555558</v>
      </c>
      <c r="B593" s="1">
        <v>44579.920138888891</v>
      </c>
      <c r="C593">
        <v>1</v>
      </c>
      <c r="D593">
        <v>0</v>
      </c>
      <c r="E593">
        <v>0</v>
      </c>
      <c r="F593">
        <v>0</v>
      </c>
      <c r="H593">
        <v>1</v>
      </c>
      <c r="I593">
        <v>0</v>
      </c>
      <c r="J593">
        <v>0</v>
      </c>
      <c r="K593">
        <v>0</v>
      </c>
      <c r="L593">
        <v>0</v>
      </c>
      <c r="P593">
        <v>1</v>
      </c>
      <c r="Q593">
        <v>0</v>
      </c>
      <c r="R593">
        <v>0</v>
      </c>
      <c r="S593">
        <v>0</v>
      </c>
      <c r="T593">
        <v>0</v>
      </c>
      <c r="U593">
        <v>0</v>
      </c>
      <c r="V593">
        <v>0</v>
      </c>
      <c r="W593">
        <v>0</v>
      </c>
      <c r="X593">
        <v>0</v>
      </c>
      <c r="Y593">
        <v>0</v>
      </c>
      <c r="Z593">
        <v>0</v>
      </c>
      <c r="AA593">
        <v>0</v>
      </c>
      <c r="AC593">
        <v>0</v>
      </c>
      <c r="AD593">
        <v>0</v>
      </c>
      <c r="AE593">
        <v>0</v>
      </c>
      <c r="AF593">
        <v>0</v>
      </c>
      <c r="AG593">
        <v>0</v>
      </c>
      <c r="AH593">
        <v>0</v>
      </c>
      <c r="AI593">
        <v>0</v>
      </c>
      <c r="AJ593">
        <v>1</v>
      </c>
      <c r="AK593">
        <v>0</v>
      </c>
      <c r="AZ593" t="s">
        <v>107</v>
      </c>
      <c r="BA593" t="s">
        <v>87</v>
      </c>
      <c r="BB593" t="s">
        <v>87</v>
      </c>
      <c r="BC593" t="s">
        <v>74</v>
      </c>
      <c r="BD593" t="s">
        <v>87</v>
      </c>
      <c r="BE593" t="s">
        <v>74</v>
      </c>
      <c r="BF593" t="s">
        <v>97</v>
      </c>
      <c r="BG593" t="s">
        <v>76</v>
      </c>
      <c r="BH593" t="s">
        <v>158</v>
      </c>
      <c r="BI593" t="s">
        <v>107</v>
      </c>
      <c r="BJ593" t="s">
        <v>114</v>
      </c>
      <c r="BK593">
        <v>0</v>
      </c>
      <c r="BL593">
        <v>0</v>
      </c>
      <c r="BM593">
        <v>0</v>
      </c>
      <c r="BN593">
        <v>0</v>
      </c>
      <c r="BO593">
        <v>0</v>
      </c>
      <c r="BP593">
        <v>1</v>
      </c>
      <c r="BQ593">
        <v>0</v>
      </c>
      <c r="BR593">
        <v>0</v>
      </c>
    </row>
    <row r="594" spans="1:72" x14ac:dyDescent="0.2">
      <c r="A594" s="1">
        <v>44586.043055555558</v>
      </c>
      <c r="B594" s="1">
        <v>44586.047222222223</v>
      </c>
      <c r="C594">
        <v>1</v>
      </c>
      <c r="D594">
        <v>0</v>
      </c>
      <c r="E594">
        <v>0</v>
      </c>
      <c r="F594">
        <v>0</v>
      </c>
      <c r="H594">
        <v>0</v>
      </c>
      <c r="I594">
        <v>1</v>
      </c>
      <c r="J594">
        <v>1</v>
      </c>
      <c r="K594">
        <v>1</v>
      </c>
      <c r="L594">
        <v>0</v>
      </c>
      <c r="N594" t="s">
        <v>88</v>
      </c>
      <c r="O594" t="s">
        <v>89</v>
      </c>
      <c r="P594">
        <v>0</v>
      </c>
      <c r="Q594">
        <v>0</v>
      </c>
      <c r="R594">
        <v>1</v>
      </c>
      <c r="S594">
        <v>0</v>
      </c>
      <c r="T594">
        <v>0</v>
      </c>
      <c r="U594">
        <v>0</v>
      </c>
      <c r="V594">
        <v>0</v>
      </c>
      <c r="W594">
        <v>0</v>
      </c>
      <c r="X594">
        <v>0</v>
      </c>
      <c r="Y594">
        <v>0</v>
      </c>
      <c r="Z594">
        <v>0</v>
      </c>
      <c r="AA594">
        <v>0</v>
      </c>
      <c r="AM594" t="s">
        <v>83</v>
      </c>
      <c r="AN594" t="s">
        <v>82</v>
      </c>
      <c r="AO594" t="s">
        <v>81</v>
      </c>
      <c r="AP594" t="s">
        <v>82</v>
      </c>
      <c r="AQ594" t="s">
        <v>81</v>
      </c>
      <c r="AR594" t="s">
        <v>83</v>
      </c>
      <c r="AS594" t="s">
        <v>83</v>
      </c>
      <c r="AT594" t="s">
        <v>83</v>
      </c>
      <c r="AU594" t="s">
        <v>88</v>
      </c>
      <c r="AV594" t="s">
        <v>89</v>
      </c>
      <c r="AW594" t="s">
        <v>100</v>
      </c>
      <c r="AZ594" t="s">
        <v>120</v>
      </c>
      <c r="BA594" t="s">
        <v>87</v>
      </c>
      <c r="BB594" t="s">
        <v>87</v>
      </c>
      <c r="BC594" t="s">
        <v>87</v>
      </c>
      <c r="BD594" t="s">
        <v>74</v>
      </c>
      <c r="BE594" t="s">
        <v>74</v>
      </c>
      <c r="BF594" t="s">
        <v>97</v>
      </c>
      <c r="BG594" t="s">
        <v>92</v>
      </c>
      <c r="BH594" t="s">
        <v>98</v>
      </c>
      <c r="BI594" t="s">
        <v>120</v>
      </c>
      <c r="BJ594" t="s">
        <v>94</v>
      </c>
      <c r="BK594">
        <v>0</v>
      </c>
      <c r="BL594">
        <v>0</v>
      </c>
      <c r="BM594">
        <v>0</v>
      </c>
      <c r="BN594">
        <v>0</v>
      </c>
      <c r="BO594">
        <v>0</v>
      </c>
      <c r="BP594">
        <v>1</v>
      </c>
      <c r="BQ594">
        <v>0</v>
      </c>
      <c r="BR594">
        <v>0</v>
      </c>
    </row>
    <row r="595" spans="1:72" x14ac:dyDescent="0.2">
      <c r="A595" s="1">
        <v>44581.0625</v>
      </c>
      <c r="B595" s="1">
        <v>44581.063194444447</v>
      </c>
      <c r="C595">
        <v>1</v>
      </c>
      <c r="D595">
        <v>0</v>
      </c>
      <c r="E595">
        <v>0</v>
      </c>
      <c r="F595">
        <v>0</v>
      </c>
      <c r="H595">
        <v>1</v>
      </c>
      <c r="I595">
        <v>0</v>
      </c>
      <c r="J595">
        <v>0</v>
      </c>
      <c r="K595">
        <v>0</v>
      </c>
      <c r="L595">
        <v>0</v>
      </c>
      <c r="P595">
        <v>1</v>
      </c>
      <c r="Q595">
        <v>0</v>
      </c>
      <c r="R595">
        <v>0</v>
      </c>
      <c r="S595">
        <v>0</v>
      </c>
      <c r="T595">
        <v>0</v>
      </c>
      <c r="U595">
        <v>0</v>
      </c>
      <c r="V595">
        <v>0</v>
      </c>
      <c r="W595">
        <v>0</v>
      </c>
      <c r="X595">
        <v>0</v>
      </c>
      <c r="Y595">
        <v>0</v>
      </c>
      <c r="Z595">
        <v>0</v>
      </c>
      <c r="AA595">
        <v>0</v>
      </c>
      <c r="AC595">
        <v>0</v>
      </c>
      <c r="AD595">
        <v>0</v>
      </c>
      <c r="AE595">
        <v>1</v>
      </c>
      <c r="AF595">
        <v>0</v>
      </c>
      <c r="AG595">
        <v>0</v>
      </c>
      <c r="AH595">
        <v>0</v>
      </c>
      <c r="AI595">
        <v>1</v>
      </c>
      <c r="AJ595">
        <v>1</v>
      </c>
      <c r="AK595">
        <v>0</v>
      </c>
      <c r="AX595" t="s">
        <v>118</v>
      </c>
      <c r="AZ595" t="s">
        <v>107</v>
      </c>
      <c r="BA595" t="s">
        <v>86</v>
      </c>
      <c r="BB595" t="s">
        <v>86</v>
      </c>
      <c r="BC595" t="s">
        <v>74</v>
      </c>
      <c r="BD595" t="s">
        <v>74</v>
      </c>
      <c r="BE595" t="s">
        <v>74</v>
      </c>
      <c r="BF595" t="s">
        <v>75</v>
      </c>
      <c r="BG595" t="s">
        <v>92</v>
      </c>
      <c r="BH595" t="s">
        <v>77</v>
      </c>
      <c r="BI595" t="s">
        <v>107</v>
      </c>
      <c r="BJ595" t="s">
        <v>78</v>
      </c>
      <c r="BK595">
        <v>0</v>
      </c>
      <c r="BL595">
        <v>0</v>
      </c>
      <c r="BM595">
        <v>0</v>
      </c>
      <c r="BN595">
        <v>0</v>
      </c>
      <c r="BO595">
        <v>0</v>
      </c>
      <c r="BP595">
        <v>1</v>
      </c>
      <c r="BQ595">
        <v>0</v>
      </c>
      <c r="BR595">
        <v>0</v>
      </c>
    </row>
    <row r="596" spans="1:72" x14ac:dyDescent="0.2">
      <c r="A596" s="1">
        <v>44580.544444444444</v>
      </c>
      <c r="B596" s="1">
        <v>44580.546527777777</v>
      </c>
      <c r="C596">
        <v>0</v>
      </c>
      <c r="D596">
        <v>1</v>
      </c>
      <c r="E596">
        <v>0</v>
      </c>
      <c r="F596">
        <v>0</v>
      </c>
      <c r="H596">
        <v>1</v>
      </c>
      <c r="I596">
        <v>0</v>
      </c>
      <c r="J596">
        <v>0</v>
      </c>
      <c r="K596">
        <v>0</v>
      </c>
      <c r="L596">
        <v>0</v>
      </c>
      <c r="P596">
        <v>1</v>
      </c>
      <c r="Q596">
        <v>0</v>
      </c>
      <c r="R596">
        <v>0</v>
      </c>
      <c r="S596">
        <v>0</v>
      </c>
      <c r="T596">
        <v>0</v>
      </c>
      <c r="U596">
        <v>0</v>
      </c>
      <c r="V596">
        <v>0</v>
      </c>
      <c r="W596">
        <v>0</v>
      </c>
      <c r="X596">
        <v>0</v>
      </c>
      <c r="Y596">
        <v>0</v>
      </c>
      <c r="Z596">
        <v>0</v>
      </c>
      <c r="AA596">
        <v>0</v>
      </c>
      <c r="AC596">
        <v>0</v>
      </c>
      <c r="AD596">
        <v>0</v>
      </c>
      <c r="AE596">
        <v>0</v>
      </c>
      <c r="AF596">
        <v>0</v>
      </c>
      <c r="AG596">
        <v>0</v>
      </c>
      <c r="AH596">
        <v>0</v>
      </c>
      <c r="AI596">
        <v>1</v>
      </c>
      <c r="AJ596">
        <v>1</v>
      </c>
      <c r="AK596">
        <v>0</v>
      </c>
      <c r="AX596" t="s">
        <v>91</v>
      </c>
      <c r="AZ596" t="s">
        <v>107</v>
      </c>
      <c r="BA596" t="s">
        <v>74</v>
      </c>
      <c r="BF596" t="s">
        <v>75</v>
      </c>
      <c r="BG596" t="s">
        <v>92</v>
      </c>
      <c r="BH596" t="s">
        <v>77</v>
      </c>
      <c r="BI596" t="s">
        <v>107</v>
      </c>
      <c r="BJ596" t="s">
        <v>94</v>
      </c>
      <c r="BK596">
        <v>0</v>
      </c>
      <c r="BL596">
        <v>0</v>
      </c>
      <c r="BM596">
        <v>0</v>
      </c>
      <c r="BN596">
        <v>0</v>
      </c>
      <c r="BO596">
        <v>1</v>
      </c>
      <c r="BP596">
        <v>1</v>
      </c>
      <c r="BQ596">
        <v>0</v>
      </c>
      <c r="BR596">
        <v>0</v>
      </c>
    </row>
    <row r="597" spans="1:72" x14ac:dyDescent="0.2">
      <c r="A597" s="1">
        <v>44579.888888888891</v>
      </c>
      <c r="B597" s="1">
        <v>44579.895138888889</v>
      </c>
      <c r="C597">
        <v>0</v>
      </c>
      <c r="D597">
        <v>1</v>
      </c>
      <c r="E597">
        <v>0</v>
      </c>
      <c r="F597">
        <v>0</v>
      </c>
      <c r="H597">
        <v>0</v>
      </c>
      <c r="I597">
        <v>1</v>
      </c>
      <c r="J597">
        <v>0</v>
      </c>
      <c r="K597">
        <v>0</v>
      </c>
      <c r="L597">
        <v>0</v>
      </c>
      <c r="N597" t="s">
        <v>135</v>
      </c>
      <c r="O597" t="s">
        <v>127</v>
      </c>
      <c r="P597">
        <v>0</v>
      </c>
      <c r="Q597">
        <v>0</v>
      </c>
      <c r="R597">
        <v>0</v>
      </c>
      <c r="S597">
        <v>0</v>
      </c>
      <c r="T597">
        <v>0</v>
      </c>
      <c r="U597">
        <v>0</v>
      </c>
      <c r="V597">
        <v>0</v>
      </c>
      <c r="W597">
        <v>0</v>
      </c>
      <c r="X597">
        <v>0</v>
      </c>
      <c r="Y597">
        <v>0</v>
      </c>
      <c r="Z597">
        <v>0</v>
      </c>
      <c r="AA597">
        <v>1</v>
      </c>
      <c r="AB597" t="s">
        <v>318</v>
      </c>
      <c r="AM597" t="s">
        <v>90</v>
      </c>
      <c r="AN597" t="s">
        <v>90</v>
      </c>
      <c r="AO597" t="s">
        <v>90</v>
      </c>
      <c r="AP597" t="s">
        <v>90</v>
      </c>
      <c r="AQ597" t="s">
        <v>90</v>
      </c>
      <c r="AR597" t="s">
        <v>82</v>
      </c>
      <c r="AS597" t="s">
        <v>90</v>
      </c>
      <c r="AT597" t="s">
        <v>90</v>
      </c>
      <c r="AU597" t="s">
        <v>88</v>
      </c>
      <c r="AV597" t="s">
        <v>127</v>
      </c>
      <c r="AW597" t="s">
        <v>153</v>
      </c>
      <c r="AZ597" t="s">
        <v>107</v>
      </c>
      <c r="BA597" t="s">
        <v>87</v>
      </c>
      <c r="BB597" t="s">
        <v>87</v>
      </c>
      <c r="BC597" t="s">
        <v>87</v>
      </c>
      <c r="BD597" t="s">
        <v>87</v>
      </c>
      <c r="BE597" t="s">
        <v>87</v>
      </c>
      <c r="BF597" t="s">
        <v>97</v>
      </c>
      <c r="BG597" t="s">
        <v>92</v>
      </c>
      <c r="BH597" t="s">
        <v>98</v>
      </c>
      <c r="BI597" t="s">
        <v>107</v>
      </c>
      <c r="BK597">
        <v>0</v>
      </c>
      <c r="BL597">
        <v>0</v>
      </c>
      <c r="BM597">
        <v>0</v>
      </c>
      <c r="BN597">
        <v>0</v>
      </c>
      <c r="BO597">
        <v>0</v>
      </c>
      <c r="BP597">
        <v>1</v>
      </c>
      <c r="BQ597">
        <v>0</v>
      </c>
      <c r="BR597">
        <v>0</v>
      </c>
    </row>
    <row r="598" spans="1:72" x14ac:dyDescent="0.2">
      <c r="A598" s="1">
        <v>44580.677777777775</v>
      </c>
      <c r="B598" s="1">
        <v>44580.679861111108</v>
      </c>
      <c r="C598">
        <v>0</v>
      </c>
      <c r="D598">
        <v>1</v>
      </c>
      <c r="E598">
        <v>0</v>
      </c>
      <c r="F598">
        <v>0</v>
      </c>
      <c r="H598">
        <v>0</v>
      </c>
      <c r="I598">
        <v>1</v>
      </c>
      <c r="J598">
        <v>1</v>
      </c>
      <c r="K598">
        <v>1</v>
      </c>
      <c r="L598">
        <v>0</v>
      </c>
      <c r="N598" t="s">
        <v>88</v>
      </c>
      <c r="O598" t="s">
        <v>89</v>
      </c>
      <c r="P598">
        <v>0</v>
      </c>
      <c r="Q598">
        <v>0</v>
      </c>
      <c r="R598">
        <v>0</v>
      </c>
      <c r="S598">
        <v>0</v>
      </c>
      <c r="T598">
        <v>1</v>
      </c>
      <c r="U598">
        <v>0</v>
      </c>
      <c r="V598">
        <v>0</v>
      </c>
      <c r="W598">
        <v>0</v>
      </c>
      <c r="X598">
        <v>0</v>
      </c>
      <c r="Y598">
        <v>0</v>
      </c>
      <c r="Z598">
        <v>0</v>
      </c>
      <c r="AA598">
        <v>0</v>
      </c>
      <c r="AM598" t="s">
        <v>83</v>
      </c>
      <c r="AN598" t="s">
        <v>82</v>
      </c>
      <c r="AO598" t="s">
        <v>82</v>
      </c>
      <c r="AP598" t="s">
        <v>82</v>
      </c>
      <c r="AQ598" t="s">
        <v>81</v>
      </c>
      <c r="AR598" t="s">
        <v>83</v>
      </c>
      <c r="AS598" t="s">
        <v>83</v>
      </c>
      <c r="AT598" t="s">
        <v>81</v>
      </c>
      <c r="AU598" t="s">
        <v>88</v>
      </c>
      <c r="AV598" t="s">
        <v>89</v>
      </c>
      <c r="AW598" t="s">
        <v>100</v>
      </c>
      <c r="AX598" t="s">
        <v>118</v>
      </c>
      <c r="AZ598" t="s">
        <v>73</v>
      </c>
      <c r="BA598" t="s">
        <v>87</v>
      </c>
      <c r="BB598" t="s">
        <v>87</v>
      </c>
      <c r="BC598" t="s">
        <v>87</v>
      </c>
      <c r="BD598" t="s">
        <v>87</v>
      </c>
      <c r="BE598" t="s">
        <v>87</v>
      </c>
      <c r="BF598" t="s">
        <v>108</v>
      </c>
      <c r="BG598" t="s">
        <v>92</v>
      </c>
      <c r="BH598" t="s">
        <v>98</v>
      </c>
      <c r="BI598" t="s">
        <v>73</v>
      </c>
      <c r="BJ598" t="s">
        <v>78</v>
      </c>
      <c r="BK598">
        <v>0</v>
      </c>
      <c r="BL598">
        <v>0</v>
      </c>
      <c r="BM598">
        <v>0</v>
      </c>
      <c r="BN598">
        <v>0</v>
      </c>
      <c r="BO598">
        <v>0</v>
      </c>
      <c r="BP598">
        <v>1</v>
      </c>
      <c r="BQ598">
        <v>0</v>
      </c>
      <c r="BR598">
        <v>0</v>
      </c>
    </row>
    <row r="599" spans="1:72" x14ac:dyDescent="0.2">
      <c r="A599" s="1">
        <v>44590.602777777778</v>
      </c>
      <c r="B599" s="1">
        <v>44590.604861111111</v>
      </c>
      <c r="C599">
        <v>0</v>
      </c>
      <c r="D599">
        <v>1</v>
      </c>
      <c r="E599">
        <v>0</v>
      </c>
      <c r="F599">
        <v>0</v>
      </c>
      <c r="H599">
        <v>1</v>
      </c>
      <c r="I599">
        <v>0</v>
      </c>
      <c r="J599">
        <v>0</v>
      </c>
      <c r="K599">
        <v>0</v>
      </c>
      <c r="L599">
        <v>0</v>
      </c>
      <c r="P599">
        <v>0</v>
      </c>
      <c r="Q599">
        <v>0</v>
      </c>
      <c r="R599">
        <v>0</v>
      </c>
      <c r="S599">
        <v>0</v>
      </c>
      <c r="T599">
        <v>1</v>
      </c>
      <c r="U599">
        <v>0</v>
      </c>
      <c r="V599">
        <v>0</v>
      </c>
      <c r="W599">
        <v>0</v>
      </c>
      <c r="X599">
        <v>0</v>
      </c>
      <c r="Y599">
        <v>0</v>
      </c>
      <c r="Z599">
        <v>0</v>
      </c>
      <c r="AA599">
        <v>0</v>
      </c>
      <c r="AM599" t="s">
        <v>81</v>
      </c>
      <c r="AN599" t="s">
        <v>90</v>
      </c>
      <c r="AO599" t="s">
        <v>83</v>
      </c>
      <c r="AP599" t="s">
        <v>83</v>
      </c>
      <c r="AQ599" t="s">
        <v>82</v>
      </c>
      <c r="AR599" t="s">
        <v>81</v>
      </c>
      <c r="AS599" t="s">
        <v>82</v>
      </c>
      <c r="AT599" t="s">
        <v>83</v>
      </c>
      <c r="AU599" t="s">
        <v>127</v>
      </c>
      <c r="AV599" t="s">
        <v>127</v>
      </c>
      <c r="AZ599" t="s">
        <v>120</v>
      </c>
      <c r="BA599" t="s">
        <v>74</v>
      </c>
      <c r="BF599" t="s">
        <v>97</v>
      </c>
      <c r="BG599" t="s">
        <v>76</v>
      </c>
      <c r="BH599" t="s">
        <v>98</v>
      </c>
      <c r="BI599" t="s">
        <v>120</v>
      </c>
      <c r="BJ599" t="s">
        <v>114</v>
      </c>
      <c r="BK599">
        <v>1</v>
      </c>
      <c r="BL599">
        <v>0</v>
      </c>
      <c r="BM599">
        <v>0</v>
      </c>
      <c r="BN599">
        <v>0</v>
      </c>
      <c r="BO599">
        <v>0</v>
      </c>
      <c r="BP599">
        <v>0</v>
      </c>
      <c r="BQ599">
        <v>0</v>
      </c>
      <c r="BR599">
        <v>0</v>
      </c>
    </row>
    <row r="600" spans="1:72" x14ac:dyDescent="0.2">
      <c r="A600" s="1">
        <v>44580.717361111114</v>
      </c>
      <c r="B600" s="1">
        <v>44580.72152777778</v>
      </c>
      <c r="C600">
        <v>0</v>
      </c>
      <c r="D600">
        <v>1</v>
      </c>
      <c r="E600">
        <v>0</v>
      </c>
      <c r="F600">
        <v>0</v>
      </c>
      <c r="H600">
        <v>0</v>
      </c>
      <c r="I600">
        <v>1</v>
      </c>
      <c r="J600">
        <v>0</v>
      </c>
      <c r="K600">
        <v>0</v>
      </c>
      <c r="L600">
        <v>0</v>
      </c>
      <c r="N600" t="s">
        <v>88</v>
      </c>
      <c r="O600" t="s">
        <v>89</v>
      </c>
      <c r="P600">
        <v>0</v>
      </c>
      <c r="Q600">
        <v>0</v>
      </c>
      <c r="R600">
        <v>0</v>
      </c>
      <c r="S600">
        <v>1</v>
      </c>
      <c r="T600">
        <v>0</v>
      </c>
      <c r="U600">
        <v>0</v>
      </c>
      <c r="V600">
        <v>0</v>
      </c>
      <c r="W600">
        <v>0</v>
      </c>
      <c r="X600">
        <v>0</v>
      </c>
      <c r="Y600">
        <v>0</v>
      </c>
      <c r="Z600">
        <v>0</v>
      </c>
      <c r="AA600">
        <v>0</v>
      </c>
      <c r="AM600" t="s">
        <v>83</v>
      </c>
      <c r="AN600" t="s">
        <v>82</v>
      </c>
      <c r="AO600" t="s">
        <v>81</v>
      </c>
      <c r="AP600" t="s">
        <v>90</v>
      </c>
      <c r="AQ600" t="s">
        <v>82</v>
      </c>
      <c r="AR600" t="s">
        <v>83</v>
      </c>
      <c r="AS600" t="s">
        <v>90</v>
      </c>
      <c r="AT600" t="s">
        <v>83</v>
      </c>
      <c r="AU600" t="s">
        <v>88</v>
      </c>
      <c r="AV600" t="s">
        <v>89</v>
      </c>
      <c r="AW600" t="s">
        <v>85</v>
      </c>
      <c r="AZ600" t="s">
        <v>73</v>
      </c>
      <c r="BA600" t="s">
        <v>86</v>
      </c>
      <c r="BB600" t="s">
        <v>86</v>
      </c>
      <c r="BC600" t="s">
        <v>87</v>
      </c>
      <c r="BD600" t="s">
        <v>86</v>
      </c>
      <c r="BE600" t="s">
        <v>74</v>
      </c>
      <c r="BF600" t="s">
        <v>97</v>
      </c>
      <c r="BG600" t="s">
        <v>92</v>
      </c>
      <c r="BH600" t="s">
        <v>98</v>
      </c>
      <c r="BI600" t="s">
        <v>73</v>
      </c>
      <c r="BJ600" t="s">
        <v>109</v>
      </c>
      <c r="BK600">
        <v>1</v>
      </c>
      <c r="BL600">
        <v>0</v>
      </c>
      <c r="BM600">
        <v>0</v>
      </c>
      <c r="BN600">
        <v>0</v>
      </c>
      <c r="BO600">
        <v>0</v>
      </c>
      <c r="BP600">
        <v>0</v>
      </c>
      <c r="BQ600">
        <v>0</v>
      </c>
      <c r="BR600">
        <v>0</v>
      </c>
    </row>
    <row r="601" spans="1:72" x14ac:dyDescent="0.2">
      <c r="A601" s="1">
        <v>44580.65902777778</v>
      </c>
      <c r="B601" s="1">
        <v>44580.660416666666</v>
      </c>
      <c r="C601">
        <v>1</v>
      </c>
      <c r="D601">
        <v>0</v>
      </c>
      <c r="E601">
        <v>0</v>
      </c>
      <c r="F601">
        <v>0</v>
      </c>
      <c r="H601">
        <v>0</v>
      </c>
      <c r="I601">
        <v>1</v>
      </c>
      <c r="J601">
        <v>0</v>
      </c>
      <c r="K601">
        <v>0</v>
      </c>
      <c r="L601">
        <v>0</v>
      </c>
      <c r="N601" t="s">
        <v>79</v>
      </c>
      <c r="O601" t="s">
        <v>80</v>
      </c>
      <c r="P601">
        <v>1</v>
      </c>
      <c r="Q601">
        <v>0</v>
      </c>
      <c r="R601">
        <v>0</v>
      </c>
      <c r="S601">
        <v>0</v>
      </c>
      <c r="T601">
        <v>0</v>
      </c>
      <c r="U601">
        <v>0</v>
      </c>
      <c r="V601">
        <v>0</v>
      </c>
      <c r="W601">
        <v>0</v>
      </c>
      <c r="X601">
        <v>0</v>
      </c>
      <c r="Y601">
        <v>0</v>
      </c>
      <c r="Z601">
        <v>0</v>
      </c>
      <c r="AA601">
        <v>0</v>
      </c>
      <c r="AC601">
        <v>0</v>
      </c>
      <c r="AD601">
        <v>0</v>
      </c>
      <c r="AE601">
        <v>0</v>
      </c>
      <c r="AF601">
        <v>0</v>
      </c>
      <c r="AG601">
        <v>0</v>
      </c>
      <c r="AH601">
        <v>0</v>
      </c>
      <c r="AI601">
        <v>1</v>
      </c>
      <c r="AJ601">
        <v>1</v>
      </c>
      <c r="AK601">
        <v>0</v>
      </c>
      <c r="AZ601" t="s">
        <v>73</v>
      </c>
      <c r="BA601" t="s">
        <v>74</v>
      </c>
      <c r="BF601" t="s">
        <v>97</v>
      </c>
      <c r="BG601" t="s">
        <v>92</v>
      </c>
      <c r="BH601" t="s">
        <v>158</v>
      </c>
      <c r="BI601" t="s">
        <v>73</v>
      </c>
      <c r="BJ601" t="s">
        <v>78</v>
      </c>
      <c r="BK601">
        <v>0</v>
      </c>
      <c r="BL601">
        <v>0</v>
      </c>
      <c r="BM601">
        <v>0</v>
      </c>
      <c r="BN601">
        <v>0</v>
      </c>
      <c r="BO601">
        <v>0</v>
      </c>
      <c r="BP601">
        <v>1</v>
      </c>
      <c r="BQ601">
        <v>0</v>
      </c>
      <c r="BR601">
        <v>0</v>
      </c>
    </row>
    <row r="602" spans="1:72" x14ac:dyDescent="0.2">
      <c r="A602" s="1">
        <v>44581.643055555556</v>
      </c>
      <c r="B602" s="1">
        <v>44581.643750000003</v>
      </c>
      <c r="C602">
        <v>0</v>
      </c>
      <c r="D602">
        <v>1</v>
      </c>
      <c r="E602">
        <v>0</v>
      </c>
      <c r="F602">
        <v>0</v>
      </c>
      <c r="H602">
        <v>1</v>
      </c>
      <c r="I602">
        <v>0</v>
      </c>
      <c r="J602">
        <v>0</v>
      </c>
      <c r="K602">
        <v>0</v>
      </c>
      <c r="L602">
        <v>0</v>
      </c>
      <c r="P602">
        <v>1</v>
      </c>
      <c r="Q602">
        <v>0</v>
      </c>
      <c r="R602">
        <v>0</v>
      </c>
      <c r="S602">
        <v>0</v>
      </c>
      <c r="T602">
        <v>0</v>
      </c>
      <c r="U602">
        <v>0</v>
      </c>
      <c r="V602">
        <v>0</v>
      </c>
      <c r="W602">
        <v>0</v>
      </c>
      <c r="X602">
        <v>0</v>
      </c>
      <c r="Y602">
        <v>0</v>
      </c>
      <c r="Z602">
        <v>0</v>
      </c>
      <c r="AA602">
        <v>0</v>
      </c>
      <c r="AC602">
        <v>0</v>
      </c>
      <c r="AD602">
        <v>0</v>
      </c>
      <c r="AE602">
        <v>0</v>
      </c>
      <c r="AF602">
        <v>0</v>
      </c>
      <c r="AG602">
        <v>0</v>
      </c>
      <c r="AH602">
        <v>0</v>
      </c>
      <c r="AI602">
        <v>0</v>
      </c>
      <c r="AJ602">
        <v>1</v>
      </c>
      <c r="AK602">
        <v>0</v>
      </c>
      <c r="AZ602" t="s">
        <v>73</v>
      </c>
      <c r="BA602" t="s">
        <v>74</v>
      </c>
      <c r="BF602" t="s">
        <v>97</v>
      </c>
      <c r="BG602" t="s">
        <v>92</v>
      </c>
      <c r="BH602" t="s">
        <v>98</v>
      </c>
      <c r="BI602" t="s">
        <v>73</v>
      </c>
      <c r="BJ602" t="s">
        <v>114</v>
      </c>
      <c r="BK602">
        <v>0</v>
      </c>
      <c r="BL602">
        <v>0</v>
      </c>
      <c r="BM602">
        <v>0</v>
      </c>
      <c r="BN602">
        <v>0</v>
      </c>
      <c r="BO602">
        <v>0</v>
      </c>
      <c r="BP602">
        <v>1</v>
      </c>
      <c r="BQ602">
        <v>0</v>
      </c>
      <c r="BR602">
        <v>0</v>
      </c>
    </row>
    <row r="603" spans="1:72" x14ac:dyDescent="0.2">
      <c r="A603" s="1">
        <v>44580.683333333334</v>
      </c>
      <c r="B603" s="1">
        <v>44580.686111111114</v>
      </c>
      <c r="C603">
        <v>1</v>
      </c>
      <c r="D603">
        <v>0</v>
      </c>
      <c r="E603">
        <v>0</v>
      </c>
      <c r="F603">
        <v>0</v>
      </c>
      <c r="H603">
        <v>0</v>
      </c>
      <c r="I603">
        <v>0</v>
      </c>
      <c r="J603">
        <v>0</v>
      </c>
      <c r="K603">
        <v>1</v>
      </c>
      <c r="L603">
        <v>0</v>
      </c>
      <c r="N603" t="s">
        <v>88</v>
      </c>
      <c r="O603" t="s">
        <v>89</v>
      </c>
      <c r="P603">
        <v>0</v>
      </c>
      <c r="Q603">
        <v>0</v>
      </c>
      <c r="R603">
        <v>1</v>
      </c>
      <c r="S603">
        <v>0</v>
      </c>
      <c r="T603">
        <v>0</v>
      </c>
      <c r="U603">
        <v>0</v>
      </c>
      <c r="V603">
        <v>0</v>
      </c>
      <c r="W603">
        <v>0</v>
      </c>
      <c r="X603">
        <v>0</v>
      </c>
      <c r="Y603">
        <v>0</v>
      </c>
      <c r="Z603">
        <v>0</v>
      </c>
      <c r="AA603">
        <v>0</v>
      </c>
      <c r="AM603" t="s">
        <v>81</v>
      </c>
      <c r="AN603" t="s">
        <v>81</v>
      </c>
      <c r="AO603" t="s">
        <v>82</v>
      </c>
      <c r="AP603" t="s">
        <v>83</v>
      </c>
      <c r="AQ603" t="s">
        <v>82</v>
      </c>
      <c r="AR603" t="s">
        <v>83</v>
      </c>
      <c r="AS603" t="s">
        <v>81</v>
      </c>
      <c r="AT603" t="s">
        <v>83</v>
      </c>
      <c r="AU603" t="s">
        <v>88</v>
      </c>
      <c r="AV603" t="s">
        <v>89</v>
      </c>
      <c r="AW603" t="s">
        <v>100</v>
      </c>
      <c r="AZ603" t="s">
        <v>120</v>
      </c>
      <c r="BA603" t="s">
        <v>74</v>
      </c>
      <c r="BF603" t="s">
        <v>101</v>
      </c>
      <c r="BG603" t="s">
        <v>92</v>
      </c>
      <c r="BH603" t="s">
        <v>158</v>
      </c>
      <c r="BI603" t="s">
        <v>120</v>
      </c>
      <c r="BK603">
        <v>0</v>
      </c>
      <c r="BL603">
        <v>0</v>
      </c>
      <c r="BM603">
        <v>0</v>
      </c>
      <c r="BN603">
        <v>0</v>
      </c>
      <c r="BO603">
        <v>0</v>
      </c>
      <c r="BP603">
        <v>1</v>
      </c>
      <c r="BQ603">
        <v>0</v>
      </c>
      <c r="BR603">
        <v>0</v>
      </c>
    </row>
    <row r="604" spans="1:72" x14ac:dyDescent="0.2">
      <c r="A604" s="1">
        <v>44585.557638888888</v>
      </c>
      <c r="B604" s="1">
        <v>44585.561111111114</v>
      </c>
      <c r="C604">
        <v>0</v>
      </c>
      <c r="D604">
        <v>1</v>
      </c>
      <c r="E604">
        <v>0</v>
      </c>
      <c r="F604">
        <v>0</v>
      </c>
      <c r="H604">
        <v>1</v>
      </c>
      <c r="I604">
        <v>0</v>
      </c>
      <c r="J604">
        <v>0</v>
      </c>
      <c r="K604">
        <v>0</v>
      </c>
      <c r="L604">
        <v>0</v>
      </c>
      <c r="P604">
        <v>1</v>
      </c>
      <c r="Q604">
        <v>0</v>
      </c>
      <c r="R604">
        <v>0</v>
      </c>
      <c r="S604">
        <v>0</v>
      </c>
      <c r="T604">
        <v>0</v>
      </c>
      <c r="U604">
        <v>0</v>
      </c>
      <c r="V604">
        <v>0</v>
      </c>
      <c r="W604">
        <v>0</v>
      </c>
      <c r="X604">
        <v>0</v>
      </c>
      <c r="Y604">
        <v>0</v>
      </c>
      <c r="Z604">
        <v>0</v>
      </c>
      <c r="AA604">
        <v>0</v>
      </c>
      <c r="AC604">
        <v>0</v>
      </c>
      <c r="AD604">
        <v>0</v>
      </c>
      <c r="AE604">
        <v>1</v>
      </c>
      <c r="AF604">
        <v>0</v>
      </c>
      <c r="AG604">
        <v>0</v>
      </c>
      <c r="AH604">
        <v>1</v>
      </c>
      <c r="AI604">
        <v>0</v>
      </c>
      <c r="AJ604">
        <v>0</v>
      </c>
      <c r="AK604">
        <v>0</v>
      </c>
      <c r="AZ604" t="s">
        <v>107</v>
      </c>
      <c r="BA604" t="s">
        <v>87</v>
      </c>
      <c r="BB604" t="s">
        <v>87</v>
      </c>
      <c r="BC604" t="s">
        <v>86</v>
      </c>
      <c r="BD604" t="s">
        <v>87</v>
      </c>
      <c r="BE604" t="s">
        <v>74</v>
      </c>
      <c r="BF604" t="s">
        <v>97</v>
      </c>
      <c r="BG604" t="s">
        <v>92</v>
      </c>
      <c r="BH604" t="s">
        <v>98</v>
      </c>
      <c r="BI604" t="s">
        <v>107</v>
      </c>
      <c r="BJ604" t="s">
        <v>109</v>
      </c>
      <c r="BK604">
        <v>0</v>
      </c>
      <c r="BL604">
        <v>0</v>
      </c>
      <c r="BM604">
        <v>0</v>
      </c>
      <c r="BN604">
        <v>0</v>
      </c>
      <c r="BO604">
        <v>0</v>
      </c>
      <c r="BP604">
        <v>1</v>
      </c>
      <c r="BQ604">
        <v>0</v>
      </c>
      <c r="BR604">
        <v>0</v>
      </c>
    </row>
    <row r="605" spans="1:72" x14ac:dyDescent="0.2">
      <c r="A605" s="1">
        <v>44579.955555555556</v>
      </c>
      <c r="B605" s="1">
        <v>44579.958333333336</v>
      </c>
      <c r="C605">
        <v>0</v>
      </c>
      <c r="D605">
        <v>1</v>
      </c>
      <c r="E605">
        <v>0</v>
      </c>
      <c r="F605">
        <v>0</v>
      </c>
      <c r="H605">
        <v>1</v>
      </c>
      <c r="I605">
        <v>0</v>
      </c>
      <c r="J605">
        <v>0</v>
      </c>
      <c r="K605">
        <v>0</v>
      </c>
      <c r="L605">
        <v>0</v>
      </c>
      <c r="P605">
        <v>0</v>
      </c>
      <c r="Q605">
        <v>0</v>
      </c>
      <c r="R605">
        <v>0</v>
      </c>
      <c r="S605">
        <v>0</v>
      </c>
      <c r="T605">
        <v>1</v>
      </c>
      <c r="U605">
        <v>0</v>
      </c>
      <c r="V605">
        <v>0</v>
      </c>
      <c r="W605">
        <v>0</v>
      </c>
      <c r="X605">
        <v>0</v>
      </c>
      <c r="Y605">
        <v>0</v>
      </c>
      <c r="Z605">
        <v>0</v>
      </c>
      <c r="AA605">
        <v>0</v>
      </c>
      <c r="AM605" t="s">
        <v>81</v>
      </c>
      <c r="AN605" t="s">
        <v>83</v>
      </c>
      <c r="AO605" t="s">
        <v>83</v>
      </c>
      <c r="AP605" t="s">
        <v>90</v>
      </c>
      <c r="AQ605" t="s">
        <v>82</v>
      </c>
      <c r="AR605" t="s">
        <v>83</v>
      </c>
      <c r="AS605" t="s">
        <v>82</v>
      </c>
      <c r="AT605" t="s">
        <v>83</v>
      </c>
      <c r="AU605" t="s">
        <v>135</v>
      </c>
      <c r="AV605" t="s">
        <v>80</v>
      </c>
      <c r="AW605" t="s">
        <v>117</v>
      </c>
      <c r="AX605" t="s">
        <v>179</v>
      </c>
      <c r="AZ605" t="s">
        <v>107</v>
      </c>
      <c r="BA605" t="s">
        <v>86</v>
      </c>
      <c r="BB605" t="s">
        <v>74</v>
      </c>
      <c r="BC605" t="s">
        <v>74</v>
      </c>
      <c r="BD605" t="s">
        <v>74</v>
      </c>
      <c r="BE605" t="s">
        <v>74</v>
      </c>
      <c r="BF605" t="s">
        <v>113</v>
      </c>
      <c r="BG605" t="s">
        <v>92</v>
      </c>
      <c r="BH605" t="s">
        <v>98</v>
      </c>
      <c r="BI605" t="s">
        <v>107</v>
      </c>
      <c r="BJ605" t="s">
        <v>147</v>
      </c>
      <c r="BK605">
        <v>0</v>
      </c>
      <c r="BL605">
        <v>0</v>
      </c>
      <c r="BM605">
        <v>0</v>
      </c>
      <c r="BN605">
        <v>0</v>
      </c>
      <c r="BO605">
        <v>0</v>
      </c>
      <c r="BP605">
        <v>1</v>
      </c>
      <c r="BQ605">
        <v>0</v>
      </c>
      <c r="BR605">
        <v>0</v>
      </c>
    </row>
    <row r="606" spans="1:72" x14ac:dyDescent="0.2">
      <c r="A606" s="1">
        <v>44587.49722222222</v>
      </c>
      <c r="B606" s="1">
        <v>44587.50277777778</v>
      </c>
      <c r="C606">
        <v>1</v>
      </c>
      <c r="D606">
        <v>0</v>
      </c>
      <c r="E606">
        <v>0</v>
      </c>
      <c r="F606">
        <v>0</v>
      </c>
      <c r="H606">
        <v>1</v>
      </c>
      <c r="I606">
        <v>0</v>
      </c>
      <c r="J606">
        <v>0</v>
      </c>
      <c r="K606">
        <v>0</v>
      </c>
      <c r="L606">
        <v>0</v>
      </c>
      <c r="P606">
        <v>0</v>
      </c>
      <c r="Q606">
        <v>0</v>
      </c>
      <c r="R606">
        <v>1</v>
      </c>
      <c r="S606">
        <v>0</v>
      </c>
      <c r="T606">
        <v>0</v>
      </c>
      <c r="U606">
        <v>0</v>
      </c>
      <c r="V606">
        <v>0</v>
      </c>
      <c r="W606">
        <v>0</v>
      </c>
      <c r="X606">
        <v>0</v>
      </c>
      <c r="Y606">
        <v>0</v>
      </c>
      <c r="Z606">
        <v>0</v>
      </c>
      <c r="AA606">
        <v>0</v>
      </c>
      <c r="AM606" t="s">
        <v>83</v>
      </c>
      <c r="AN606" t="s">
        <v>90</v>
      </c>
      <c r="AO606" t="s">
        <v>83</v>
      </c>
      <c r="AP606" t="s">
        <v>83</v>
      </c>
      <c r="AQ606" t="s">
        <v>82</v>
      </c>
      <c r="AR606" t="s">
        <v>83</v>
      </c>
      <c r="AS606" t="s">
        <v>81</v>
      </c>
      <c r="AT606" t="s">
        <v>81</v>
      </c>
      <c r="AU606" t="s">
        <v>135</v>
      </c>
      <c r="AV606" t="s">
        <v>80</v>
      </c>
      <c r="AW606" t="s">
        <v>117</v>
      </c>
      <c r="AX606" t="s">
        <v>110</v>
      </c>
      <c r="AY606" t="s">
        <v>319</v>
      </c>
      <c r="AZ606" t="s">
        <v>73</v>
      </c>
      <c r="BA606" t="s">
        <v>86</v>
      </c>
      <c r="BB606" t="s">
        <v>86</v>
      </c>
      <c r="BC606" t="s">
        <v>74</v>
      </c>
      <c r="BD606" t="s">
        <v>86</v>
      </c>
      <c r="BE606" t="s">
        <v>86</v>
      </c>
      <c r="BF606" t="s">
        <v>75</v>
      </c>
      <c r="BG606" t="s">
        <v>92</v>
      </c>
      <c r="BH606" t="s">
        <v>98</v>
      </c>
      <c r="BI606" t="s">
        <v>73</v>
      </c>
      <c r="BJ606" t="s">
        <v>174</v>
      </c>
      <c r="BK606">
        <v>1</v>
      </c>
      <c r="BL606">
        <v>0</v>
      </c>
      <c r="BM606">
        <v>0</v>
      </c>
      <c r="BN606">
        <v>0</v>
      </c>
      <c r="BO606">
        <v>0</v>
      </c>
      <c r="BP606">
        <v>0</v>
      </c>
      <c r="BQ606">
        <v>0</v>
      </c>
      <c r="BR606">
        <v>0</v>
      </c>
    </row>
    <row r="607" spans="1:72" x14ac:dyDescent="0.2">
      <c r="A607" s="1">
        <v>44589.090277777781</v>
      </c>
      <c r="B607" s="1">
        <v>44589.094444444447</v>
      </c>
      <c r="C607">
        <v>1</v>
      </c>
      <c r="D607">
        <v>0</v>
      </c>
      <c r="E607">
        <v>0</v>
      </c>
      <c r="F607">
        <v>0</v>
      </c>
      <c r="H607">
        <v>0</v>
      </c>
      <c r="I607">
        <v>1</v>
      </c>
      <c r="J607">
        <v>0</v>
      </c>
      <c r="K607">
        <v>1</v>
      </c>
      <c r="L607">
        <v>0</v>
      </c>
      <c r="N607" t="s">
        <v>79</v>
      </c>
      <c r="O607" t="s">
        <v>80</v>
      </c>
      <c r="P607">
        <v>0</v>
      </c>
      <c r="Q607">
        <v>1</v>
      </c>
      <c r="R607">
        <v>0</v>
      </c>
      <c r="S607">
        <v>0</v>
      </c>
      <c r="T607">
        <v>0</v>
      </c>
      <c r="U607">
        <v>0</v>
      </c>
      <c r="V607">
        <v>0</v>
      </c>
      <c r="W607">
        <v>0</v>
      </c>
      <c r="X607">
        <v>0</v>
      </c>
      <c r="Y607">
        <v>0</v>
      </c>
      <c r="Z607">
        <v>0</v>
      </c>
      <c r="AA607">
        <v>0</v>
      </c>
      <c r="AM607" t="s">
        <v>90</v>
      </c>
      <c r="AN607" t="s">
        <v>82</v>
      </c>
      <c r="AO607" t="s">
        <v>81</v>
      </c>
      <c r="AP607" t="s">
        <v>82</v>
      </c>
      <c r="AQ607" t="s">
        <v>83</v>
      </c>
      <c r="AR607" t="s">
        <v>90</v>
      </c>
      <c r="AS607" t="s">
        <v>90</v>
      </c>
      <c r="AT607" t="s">
        <v>83</v>
      </c>
      <c r="AU607" t="s">
        <v>84</v>
      </c>
      <c r="AV607" t="s">
        <v>80</v>
      </c>
      <c r="AW607" t="s">
        <v>117</v>
      </c>
      <c r="AZ607" t="s">
        <v>96</v>
      </c>
      <c r="BA607" t="s">
        <v>87</v>
      </c>
      <c r="BB607" t="s">
        <v>87</v>
      </c>
      <c r="BC607" t="s">
        <v>87</v>
      </c>
      <c r="BD607" t="s">
        <v>87</v>
      </c>
      <c r="BE607" t="s">
        <v>87</v>
      </c>
      <c r="BF607" t="s">
        <v>97</v>
      </c>
      <c r="BG607" t="s">
        <v>76</v>
      </c>
      <c r="BH607" t="s">
        <v>77</v>
      </c>
      <c r="BI607" t="s">
        <v>96</v>
      </c>
      <c r="BK607">
        <v>0</v>
      </c>
      <c r="BL607">
        <v>0</v>
      </c>
      <c r="BM607">
        <v>0</v>
      </c>
      <c r="BN607">
        <v>0</v>
      </c>
      <c r="BO607">
        <v>0</v>
      </c>
      <c r="BP607">
        <v>1</v>
      </c>
      <c r="BQ607">
        <v>0</v>
      </c>
      <c r="BR607">
        <v>0</v>
      </c>
      <c r="BT607" t="s">
        <v>109</v>
      </c>
    </row>
    <row r="608" spans="1:72" x14ac:dyDescent="0.2">
      <c r="A608" s="1">
        <v>44589.793055555558</v>
      </c>
      <c r="B608" s="1">
        <v>44589.794444444444</v>
      </c>
      <c r="C608">
        <v>1</v>
      </c>
      <c r="D608">
        <v>0</v>
      </c>
      <c r="E608">
        <v>0</v>
      </c>
      <c r="F608">
        <v>0</v>
      </c>
      <c r="H608">
        <v>1</v>
      </c>
      <c r="I608">
        <v>0</v>
      </c>
      <c r="J608">
        <v>0</v>
      </c>
      <c r="K608">
        <v>0</v>
      </c>
      <c r="L608">
        <v>0</v>
      </c>
      <c r="P608">
        <v>1</v>
      </c>
      <c r="Q608">
        <v>0</v>
      </c>
      <c r="R608">
        <v>0</v>
      </c>
      <c r="S608">
        <v>0</v>
      </c>
      <c r="T608">
        <v>0</v>
      </c>
      <c r="U608">
        <v>0</v>
      </c>
      <c r="V608">
        <v>0</v>
      </c>
      <c r="W608">
        <v>0</v>
      </c>
      <c r="X608">
        <v>0</v>
      </c>
      <c r="Y608">
        <v>0</v>
      </c>
      <c r="Z608">
        <v>0</v>
      </c>
      <c r="AA608">
        <v>0</v>
      </c>
      <c r="AC608">
        <v>1</v>
      </c>
      <c r="AD608">
        <v>0</v>
      </c>
      <c r="AE608">
        <v>0</v>
      </c>
      <c r="AF608">
        <v>0</v>
      </c>
      <c r="AG608">
        <v>0</v>
      </c>
      <c r="AH608">
        <v>0</v>
      </c>
      <c r="AI608">
        <v>0</v>
      </c>
      <c r="AJ608">
        <v>0</v>
      </c>
      <c r="AK608">
        <v>0</v>
      </c>
      <c r="AX608" t="s">
        <v>242</v>
      </c>
      <c r="AZ608" t="s">
        <v>107</v>
      </c>
      <c r="BA608" t="s">
        <v>87</v>
      </c>
      <c r="BB608" t="s">
        <v>87</v>
      </c>
      <c r="BC608" t="s">
        <v>87</v>
      </c>
      <c r="BD608" t="s">
        <v>87</v>
      </c>
      <c r="BE608" t="s">
        <v>87</v>
      </c>
      <c r="BF608" t="s">
        <v>113</v>
      </c>
      <c r="BG608" t="s">
        <v>92</v>
      </c>
      <c r="BH608" t="s">
        <v>98</v>
      </c>
      <c r="BI608" t="s">
        <v>107</v>
      </c>
      <c r="BJ608" t="s">
        <v>78</v>
      </c>
      <c r="BK608">
        <v>0</v>
      </c>
      <c r="BL608">
        <v>0</v>
      </c>
      <c r="BM608">
        <v>0</v>
      </c>
      <c r="BN608">
        <v>0</v>
      </c>
      <c r="BO608">
        <v>0</v>
      </c>
      <c r="BP608">
        <v>1</v>
      </c>
      <c r="BQ608">
        <v>0</v>
      </c>
      <c r="BR608">
        <v>0</v>
      </c>
    </row>
    <row r="609" spans="1:72" x14ac:dyDescent="0.2">
      <c r="A609" s="1">
        <v>44585.636111111111</v>
      </c>
      <c r="B609" s="1">
        <v>44585.63958333333</v>
      </c>
      <c r="C609">
        <v>1</v>
      </c>
      <c r="D609">
        <v>0</v>
      </c>
      <c r="E609">
        <v>0</v>
      </c>
      <c r="F609">
        <v>0</v>
      </c>
      <c r="H609">
        <v>0</v>
      </c>
      <c r="I609">
        <v>0</v>
      </c>
      <c r="J609">
        <v>0</v>
      </c>
      <c r="K609">
        <v>0</v>
      </c>
      <c r="L609">
        <v>1</v>
      </c>
      <c r="M609" t="s">
        <v>320</v>
      </c>
      <c r="N609" t="s">
        <v>135</v>
      </c>
      <c r="O609" t="s">
        <v>80</v>
      </c>
      <c r="P609">
        <v>1</v>
      </c>
      <c r="Q609">
        <v>0</v>
      </c>
      <c r="R609">
        <v>0</v>
      </c>
      <c r="S609">
        <v>0</v>
      </c>
      <c r="T609">
        <v>0</v>
      </c>
      <c r="U609">
        <v>0</v>
      </c>
      <c r="V609">
        <v>0</v>
      </c>
      <c r="W609">
        <v>0</v>
      </c>
      <c r="X609">
        <v>0</v>
      </c>
      <c r="Y609">
        <v>0</v>
      </c>
      <c r="Z609">
        <v>0</v>
      </c>
      <c r="AA609">
        <v>0</v>
      </c>
      <c r="AC609">
        <v>0</v>
      </c>
      <c r="AD609">
        <v>0</v>
      </c>
      <c r="AE609">
        <v>0</v>
      </c>
      <c r="AF609">
        <v>0</v>
      </c>
      <c r="AG609">
        <v>0</v>
      </c>
      <c r="AH609">
        <v>0</v>
      </c>
      <c r="AI609">
        <v>0</v>
      </c>
      <c r="AJ609">
        <v>0</v>
      </c>
      <c r="AK609">
        <v>1</v>
      </c>
      <c r="AL609" t="s">
        <v>321</v>
      </c>
      <c r="AZ609" t="s">
        <v>73</v>
      </c>
      <c r="BA609" t="s">
        <v>86</v>
      </c>
      <c r="BB609" t="s">
        <v>87</v>
      </c>
      <c r="BC609" t="s">
        <v>87</v>
      </c>
      <c r="BD609" t="s">
        <v>87</v>
      </c>
      <c r="BE609" t="s">
        <v>86</v>
      </c>
      <c r="BF609" t="s">
        <v>97</v>
      </c>
      <c r="BG609" t="s">
        <v>92</v>
      </c>
      <c r="BH609" t="s">
        <v>98</v>
      </c>
      <c r="BI609" t="s">
        <v>73</v>
      </c>
      <c r="BJ609" t="s">
        <v>165</v>
      </c>
      <c r="BK609">
        <v>0</v>
      </c>
      <c r="BL609">
        <v>0</v>
      </c>
      <c r="BM609">
        <v>0</v>
      </c>
      <c r="BN609">
        <v>0</v>
      </c>
      <c r="BO609">
        <v>0</v>
      </c>
      <c r="BP609">
        <v>1</v>
      </c>
      <c r="BQ609">
        <v>0</v>
      </c>
      <c r="BR609">
        <v>0</v>
      </c>
    </row>
    <row r="610" spans="1:72" x14ac:dyDescent="0.2">
      <c r="A610" s="1">
        <v>44579.867361111108</v>
      </c>
      <c r="B610" s="1">
        <v>44579.870138888888</v>
      </c>
      <c r="C610">
        <v>1</v>
      </c>
      <c r="D610">
        <v>0</v>
      </c>
      <c r="E610">
        <v>0</v>
      </c>
      <c r="F610">
        <v>0</v>
      </c>
      <c r="H610">
        <v>0</v>
      </c>
      <c r="I610">
        <v>1</v>
      </c>
      <c r="J610">
        <v>0</v>
      </c>
      <c r="K610">
        <v>0</v>
      </c>
      <c r="L610">
        <v>0</v>
      </c>
      <c r="N610" t="s">
        <v>88</v>
      </c>
      <c r="O610" t="s">
        <v>89</v>
      </c>
      <c r="P610">
        <v>0</v>
      </c>
      <c r="Q610">
        <v>0</v>
      </c>
      <c r="R610">
        <v>1</v>
      </c>
      <c r="S610">
        <v>0</v>
      </c>
      <c r="T610">
        <v>0</v>
      </c>
      <c r="U610">
        <v>0</v>
      </c>
      <c r="V610">
        <v>0</v>
      </c>
      <c r="W610">
        <v>0</v>
      </c>
      <c r="X610">
        <v>0</v>
      </c>
      <c r="Y610">
        <v>0</v>
      </c>
      <c r="Z610">
        <v>0</v>
      </c>
      <c r="AA610">
        <v>0</v>
      </c>
      <c r="AM610" t="s">
        <v>82</v>
      </c>
      <c r="AN610" t="s">
        <v>81</v>
      </c>
      <c r="AO610" t="s">
        <v>83</v>
      </c>
      <c r="AP610" t="s">
        <v>81</v>
      </c>
      <c r="AQ610" t="s">
        <v>82</v>
      </c>
      <c r="AR610" t="s">
        <v>81</v>
      </c>
      <c r="AS610" t="s">
        <v>81</v>
      </c>
      <c r="AT610" t="s">
        <v>83</v>
      </c>
      <c r="AU610" t="s">
        <v>88</v>
      </c>
      <c r="AV610" t="s">
        <v>89</v>
      </c>
      <c r="AW610" t="s">
        <v>100</v>
      </c>
      <c r="AZ610" t="s">
        <v>96</v>
      </c>
      <c r="BA610" t="s">
        <v>87</v>
      </c>
      <c r="BB610" t="s">
        <v>86</v>
      </c>
      <c r="BC610" t="s">
        <v>87</v>
      </c>
      <c r="BD610" t="s">
        <v>86</v>
      </c>
      <c r="BE610" t="s">
        <v>86</v>
      </c>
      <c r="BF610" t="s">
        <v>97</v>
      </c>
      <c r="BG610" t="s">
        <v>92</v>
      </c>
      <c r="BH610" t="s">
        <v>158</v>
      </c>
      <c r="BI610" t="s">
        <v>96</v>
      </c>
      <c r="BJ610" t="s">
        <v>78</v>
      </c>
      <c r="BK610">
        <v>0</v>
      </c>
      <c r="BL610">
        <v>0</v>
      </c>
      <c r="BM610">
        <v>0</v>
      </c>
      <c r="BN610">
        <v>0</v>
      </c>
      <c r="BO610">
        <v>0</v>
      </c>
      <c r="BP610">
        <v>1</v>
      </c>
      <c r="BQ610">
        <v>0</v>
      </c>
      <c r="BR610">
        <v>0</v>
      </c>
    </row>
    <row r="611" spans="1:72" x14ac:dyDescent="0.2">
      <c r="A611" s="1">
        <v>44589.188888888886</v>
      </c>
      <c r="B611" s="1">
        <v>44589.192361111112</v>
      </c>
      <c r="C611">
        <v>1</v>
      </c>
      <c r="D611">
        <v>0</v>
      </c>
      <c r="E611">
        <v>0</v>
      </c>
      <c r="F611">
        <v>0</v>
      </c>
      <c r="H611">
        <v>1</v>
      </c>
      <c r="I611">
        <v>0</v>
      </c>
      <c r="J611">
        <v>0</v>
      </c>
      <c r="K611">
        <v>0</v>
      </c>
      <c r="L611">
        <v>0</v>
      </c>
      <c r="P611">
        <v>0</v>
      </c>
      <c r="Q611">
        <v>0</v>
      </c>
      <c r="R611">
        <v>1</v>
      </c>
      <c r="S611">
        <v>0</v>
      </c>
      <c r="T611">
        <v>0</v>
      </c>
      <c r="U611">
        <v>0</v>
      </c>
      <c r="V611">
        <v>0</v>
      </c>
      <c r="W611">
        <v>0</v>
      </c>
      <c r="X611">
        <v>0</v>
      </c>
      <c r="Y611">
        <v>0</v>
      </c>
      <c r="Z611">
        <v>0</v>
      </c>
      <c r="AA611">
        <v>0</v>
      </c>
      <c r="AM611" t="s">
        <v>81</v>
      </c>
      <c r="AN611" t="s">
        <v>83</v>
      </c>
      <c r="AO611" t="s">
        <v>83</v>
      </c>
      <c r="AP611" t="s">
        <v>81</v>
      </c>
      <c r="AQ611" t="s">
        <v>81</v>
      </c>
      <c r="AR611" t="s">
        <v>83</v>
      </c>
      <c r="AS611" t="s">
        <v>83</v>
      </c>
      <c r="AT611" t="s">
        <v>81</v>
      </c>
      <c r="AU611" t="s">
        <v>88</v>
      </c>
      <c r="AV611" t="s">
        <v>89</v>
      </c>
      <c r="AW611" t="s">
        <v>100</v>
      </c>
      <c r="AX611" t="s">
        <v>110</v>
      </c>
      <c r="AY611" t="s">
        <v>322</v>
      </c>
      <c r="AZ611" t="s">
        <v>107</v>
      </c>
      <c r="BA611" t="s">
        <v>86</v>
      </c>
      <c r="BB611" t="s">
        <v>74</v>
      </c>
      <c r="BC611" t="s">
        <v>74</v>
      </c>
      <c r="BD611" t="s">
        <v>86</v>
      </c>
      <c r="BE611" t="s">
        <v>86</v>
      </c>
      <c r="BF611" t="s">
        <v>75</v>
      </c>
      <c r="BG611" t="s">
        <v>92</v>
      </c>
      <c r="BH611" t="s">
        <v>98</v>
      </c>
      <c r="BI611" t="s">
        <v>107</v>
      </c>
      <c r="BK611">
        <v>0</v>
      </c>
      <c r="BL611">
        <v>0</v>
      </c>
      <c r="BM611">
        <v>0</v>
      </c>
      <c r="BN611">
        <v>0</v>
      </c>
      <c r="BO611">
        <v>0</v>
      </c>
      <c r="BP611">
        <v>1</v>
      </c>
      <c r="BQ611">
        <v>0</v>
      </c>
      <c r="BR611">
        <v>0</v>
      </c>
      <c r="BT611" t="s">
        <v>138</v>
      </c>
    </row>
    <row r="612" spans="1:72" x14ac:dyDescent="0.2">
      <c r="A612" s="1">
        <v>44579.74722222222</v>
      </c>
      <c r="B612" s="1">
        <v>44579.748611111114</v>
      </c>
      <c r="C612">
        <v>1</v>
      </c>
      <c r="D612">
        <v>1</v>
      </c>
      <c r="E612">
        <v>0</v>
      </c>
      <c r="F612">
        <v>0</v>
      </c>
      <c r="H612">
        <v>0</v>
      </c>
      <c r="I612">
        <v>1</v>
      </c>
      <c r="J612">
        <v>0</v>
      </c>
      <c r="K612">
        <v>0</v>
      </c>
      <c r="L612">
        <v>0</v>
      </c>
      <c r="N612" t="s">
        <v>88</v>
      </c>
      <c r="O612" t="s">
        <v>89</v>
      </c>
      <c r="P612">
        <v>1</v>
      </c>
      <c r="Q612">
        <v>0</v>
      </c>
      <c r="R612">
        <v>0</v>
      </c>
      <c r="S612">
        <v>0</v>
      </c>
      <c r="T612">
        <v>0</v>
      </c>
      <c r="U612">
        <v>0</v>
      </c>
      <c r="V612">
        <v>0</v>
      </c>
      <c r="W612">
        <v>0</v>
      </c>
      <c r="X612">
        <v>0</v>
      </c>
      <c r="Y612">
        <v>0</v>
      </c>
      <c r="Z612">
        <v>0</v>
      </c>
      <c r="AA612">
        <v>0</v>
      </c>
      <c r="AC612">
        <v>0</v>
      </c>
      <c r="AD612">
        <v>1</v>
      </c>
      <c r="AE612">
        <v>0</v>
      </c>
      <c r="AF612">
        <v>0</v>
      </c>
      <c r="AG612">
        <v>0</v>
      </c>
      <c r="AH612">
        <v>0</v>
      </c>
      <c r="AI612">
        <v>0</v>
      </c>
      <c r="AJ612">
        <v>0</v>
      </c>
      <c r="AK612">
        <v>0</v>
      </c>
      <c r="AZ612" t="s">
        <v>73</v>
      </c>
      <c r="BA612" t="s">
        <v>86</v>
      </c>
      <c r="BB612" t="s">
        <v>87</v>
      </c>
      <c r="BC612" t="s">
        <v>74</v>
      </c>
      <c r="BD612" t="s">
        <v>87</v>
      </c>
      <c r="BE612" t="s">
        <v>74</v>
      </c>
      <c r="BF612" t="s">
        <v>97</v>
      </c>
      <c r="BG612" t="s">
        <v>76</v>
      </c>
      <c r="BH612" t="s">
        <v>77</v>
      </c>
      <c r="BI612" t="s">
        <v>73</v>
      </c>
      <c r="BJ612" t="s">
        <v>94</v>
      </c>
      <c r="BK612">
        <v>0</v>
      </c>
      <c r="BL612">
        <v>0</v>
      </c>
      <c r="BM612">
        <v>0</v>
      </c>
      <c r="BN612">
        <v>0</v>
      </c>
      <c r="BO612">
        <v>0</v>
      </c>
      <c r="BP612">
        <v>1</v>
      </c>
      <c r="BQ612">
        <v>0</v>
      </c>
      <c r="BR612">
        <v>0</v>
      </c>
    </row>
    <row r="613" spans="1:72" x14ac:dyDescent="0.2">
      <c r="A613" s="1">
        <v>44585.567361111112</v>
      </c>
      <c r="B613" s="1">
        <v>44585.568749999999</v>
      </c>
      <c r="C613">
        <v>0</v>
      </c>
      <c r="D613">
        <v>1</v>
      </c>
      <c r="E613">
        <v>0</v>
      </c>
      <c r="F613">
        <v>0</v>
      </c>
      <c r="H613">
        <v>1</v>
      </c>
      <c r="I613">
        <v>0</v>
      </c>
      <c r="J613">
        <v>0</v>
      </c>
      <c r="K613">
        <v>0</v>
      </c>
      <c r="L613">
        <v>0</v>
      </c>
      <c r="P613">
        <v>1</v>
      </c>
      <c r="Q613">
        <v>0</v>
      </c>
      <c r="R613">
        <v>0</v>
      </c>
      <c r="S613">
        <v>0</v>
      </c>
      <c r="T613">
        <v>0</v>
      </c>
      <c r="U613">
        <v>0</v>
      </c>
      <c r="V613">
        <v>0</v>
      </c>
      <c r="W613">
        <v>0</v>
      </c>
      <c r="X613">
        <v>0</v>
      </c>
      <c r="Y613">
        <v>0</v>
      </c>
      <c r="Z613">
        <v>0</v>
      </c>
      <c r="AA613">
        <v>0</v>
      </c>
      <c r="AC613">
        <v>0</v>
      </c>
      <c r="AD613">
        <v>0</v>
      </c>
      <c r="AE613">
        <v>0</v>
      </c>
      <c r="AF613">
        <v>0</v>
      </c>
      <c r="AG613">
        <v>0</v>
      </c>
      <c r="AH613">
        <v>1</v>
      </c>
      <c r="AI613">
        <v>0</v>
      </c>
      <c r="AJ613">
        <v>0</v>
      </c>
      <c r="AK613">
        <v>0</v>
      </c>
      <c r="AZ613" t="s">
        <v>73</v>
      </c>
      <c r="BA613" t="s">
        <v>87</v>
      </c>
      <c r="BB613" t="s">
        <v>87</v>
      </c>
      <c r="BC613" t="s">
        <v>87</v>
      </c>
      <c r="BD613" t="s">
        <v>87</v>
      </c>
      <c r="BE613" t="s">
        <v>86</v>
      </c>
      <c r="BF613" t="s">
        <v>97</v>
      </c>
      <c r="BG613" t="s">
        <v>76</v>
      </c>
      <c r="BH613" t="s">
        <v>98</v>
      </c>
      <c r="BI613" t="s">
        <v>73</v>
      </c>
      <c r="BJ613" t="s">
        <v>109</v>
      </c>
      <c r="BK613">
        <v>0</v>
      </c>
      <c r="BL613">
        <v>0</v>
      </c>
      <c r="BM613">
        <v>0</v>
      </c>
      <c r="BN613">
        <v>0</v>
      </c>
      <c r="BO613">
        <v>0</v>
      </c>
      <c r="BP613">
        <v>1</v>
      </c>
      <c r="BQ613">
        <v>0</v>
      </c>
      <c r="BR613">
        <v>0</v>
      </c>
    </row>
    <row r="614" spans="1:72" x14ac:dyDescent="0.2">
      <c r="A614" s="1">
        <v>44581.670138888891</v>
      </c>
      <c r="B614" s="1">
        <v>44581.685416666667</v>
      </c>
      <c r="C614">
        <v>1</v>
      </c>
      <c r="D614">
        <v>0</v>
      </c>
      <c r="E614">
        <v>0</v>
      </c>
      <c r="F614">
        <v>0</v>
      </c>
      <c r="H614">
        <v>1</v>
      </c>
      <c r="I614">
        <v>0</v>
      </c>
      <c r="J614">
        <v>0</v>
      </c>
      <c r="K614">
        <v>0</v>
      </c>
      <c r="L614">
        <v>0</v>
      </c>
      <c r="P614">
        <v>1</v>
      </c>
      <c r="Q614">
        <v>0</v>
      </c>
      <c r="R614">
        <v>0</v>
      </c>
      <c r="S614">
        <v>0</v>
      </c>
      <c r="T614">
        <v>0</v>
      </c>
      <c r="U614">
        <v>0</v>
      </c>
      <c r="V614">
        <v>0</v>
      </c>
      <c r="W614">
        <v>0</v>
      </c>
      <c r="X614">
        <v>0</v>
      </c>
      <c r="Y614">
        <v>0</v>
      </c>
      <c r="Z614">
        <v>0</v>
      </c>
      <c r="AA614">
        <v>0</v>
      </c>
      <c r="AC614">
        <v>0</v>
      </c>
      <c r="AD614">
        <v>0</v>
      </c>
      <c r="AE614">
        <v>1</v>
      </c>
      <c r="AF614">
        <v>0</v>
      </c>
      <c r="AG614">
        <v>0</v>
      </c>
      <c r="AH614">
        <v>0</v>
      </c>
      <c r="AI614">
        <v>0</v>
      </c>
      <c r="AJ614">
        <v>0</v>
      </c>
      <c r="AK614">
        <v>0</v>
      </c>
      <c r="AZ614" t="s">
        <v>120</v>
      </c>
      <c r="BA614" t="s">
        <v>86</v>
      </c>
      <c r="BB614" t="s">
        <v>87</v>
      </c>
      <c r="BC614" t="s">
        <v>87</v>
      </c>
      <c r="BD614" t="s">
        <v>87</v>
      </c>
      <c r="BE614" t="s">
        <v>86</v>
      </c>
      <c r="BF614" t="s">
        <v>97</v>
      </c>
      <c r="BG614" t="s">
        <v>76</v>
      </c>
      <c r="BH614" t="s">
        <v>98</v>
      </c>
      <c r="BI614" t="s">
        <v>120</v>
      </c>
      <c r="BK614">
        <v>1</v>
      </c>
      <c r="BL614">
        <v>0</v>
      </c>
      <c r="BM614">
        <v>0</v>
      </c>
      <c r="BN614">
        <v>0</v>
      </c>
      <c r="BO614">
        <v>0</v>
      </c>
      <c r="BP614">
        <v>0</v>
      </c>
      <c r="BQ614">
        <v>0</v>
      </c>
      <c r="BR614">
        <v>0</v>
      </c>
    </row>
    <row r="615" spans="1:72" x14ac:dyDescent="0.2">
      <c r="A615" s="1">
        <v>44585.598611111112</v>
      </c>
      <c r="B615" s="1">
        <v>44585.601388888892</v>
      </c>
      <c r="C615">
        <v>1</v>
      </c>
      <c r="D615">
        <v>0</v>
      </c>
      <c r="E615">
        <v>0</v>
      </c>
      <c r="F615">
        <v>0</v>
      </c>
      <c r="H615">
        <v>0</v>
      </c>
      <c r="I615">
        <v>1</v>
      </c>
      <c r="J615">
        <v>0</v>
      </c>
      <c r="K615">
        <v>0</v>
      </c>
      <c r="L615">
        <v>0</v>
      </c>
      <c r="N615" t="s">
        <v>88</v>
      </c>
      <c r="O615" t="s">
        <v>89</v>
      </c>
      <c r="P615">
        <v>0</v>
      </c>
      <c r="Q615">
        <v>1</v>
      </c>
      <c r="R615">
        <v>0</v>
      </c>
      <c r="S615">
        <v>0</v>
      </c>
      <c r="T615">
        <v>0</v>
      </c>
      <c r="U615">
        <v>0</v>
      </c>
      <c r="V615">
        <v>0</v>
      </c>
      <c r="W615">
        <v>0</v>
      </c>
      <c r="X615">
        <v>0</v>
      </c>
      <c r="Y615">
        <v>0</v>
      </c>
      <c r="Z615">
        <v>0</v>
      </c>
      <c r="AA615">
        <v>0</v>
      </c>
      <c r="AM615" t="s">
        <v>82</v>
      </c>
      <c r="AN615" t="s">
        <v>82</v>
      </c>
      <c r="AO615" t="s">
        <v>83</v>
      </c>
      <c r="AP615" t="s">
        <v>90</v>
      </c>
      <c r="AQ615" t="s">
        <v>82</v>
      </c>
      <c r="AR615" t="s">
        <v>83</v>
      </c>
      <c r="AS615" t="s">
        <v>82</v>
      </c>
      <c r="AT615" t="s">
        <v>83</v>
      </c>
      <c r="AU615" t="s">
        <v>88</v>
      </c>
      <c r="AV615" t="s">
        <v>89</v>
      </c>
      <c r="AW615" t="s">
        <v>100</v>
      </c>
      <c r="AZ615" t="s">
        <v>96</v>
      </c>
      <c r="BA615" t="s">
        <v>87</v>
      </c>
      <c r="BB615" t="s">
        <v>86</v>
      </c>
      <c r="BC615" t="s">
        <v>87</v>
      </c>
      <c r="BD615" t="s">
        <v>74</v>
      </c>
      <c r="BE615" t="s">
        <v>74</v>
      </c>
      <c r="BF615" t="s">
        <v>97</v>
      </c>
      <c r="BG615" t="s">
        <v>92</v>
      </c>
      <c r="BH615" t="s">
        <v>158</v>
      </c>
      <c r="BI615" t="s">
        <v>96</v>
      </c>
      <c r="BJ615" t="s">
        <v>78</v>
      </c>
      <c r="BK615">
        <v>0</v>
      </c>
      <c r="BL615">
        <v>0</v>
      </c>
      <c r="BM615">
        <v>0</v>
      </c>
      <c r="BN615">
        <v>0</v>
      </c>
      <c r="BO615">
        <v>0</v>
      </c>
      <c r="BP615">
        <v>1</v>
      </c>
      <c r="BQ615">
        <v>0</v>
      </c>
      <c r="BR615">
        <v>0</v>
      </c>
    </row>
    <row r="616" spans="1:72" x14ac:dyDescent="0.2">
      <c r="A616" s="1">
        <v>44579.945833333331</v>
      </c>
      <c r="B616" s="1">
        <v>44579.949305555558</v>
      </c>
      <c r="C616">
        <v>0</v>
      </c>
      <c r="D616">
        <v>1</v>
      </c>
      <c r="E616">
        <v>0</v>
      </c>
      <c r="F616">
        <v>0</v>
      </c>
      <c r="H616">
        <v>0</v>
      </c>
      <c r="I616">
        <v>1</v>
      </c>
      <c r="J616">
        <v>0</v>
      </c>
      <c r="K616">
        <v>0</v>
      </c>
      <c r="L616">
        <v>0</v>
      </c>
      <c r="N616" t="s">
        <v>135</v>
      </c>
      <c r="O616" t="s">
        <v>127</v>
      </c>
      <c r="P616">
        <v>0</v>
      </c>
      <c r="Q616">
        <v>0</v>
      </c>
      <c r="R616">
        <v>0</v>
      </c>
      <c r="S616">
        <v>0</v>
      </c>
      <c r="T616">
        <v>1</v>
      </c>
      <c r="U616">
        <v>0</v>
      </c>
      <c r="V616">
        <v>0</v>
      </c>
      <c r="W616">
        <v>0</v>
      </c>
      <c r="X616">
        <v>0</v>
      </c>
      <c r="Y616">
        <v>0</v>
      </c>
      <c r="Z616">
        <v>0</v>
      </c>
      <c r="AA616">
        <v>0</v>
      </c>
      <c r="AM616" t="s">
        <v>83</v>
      </c>
      <c r="AN616" t="s">
        <v>82</v>
      </c>
      <c r="AO616" t="s">
        <v>83</v>
      </c>
      <c r="AP616" t="s">
        <v>83</v>
      </c>
      <c r="AQ616" t="s">
        <v>81</v>
      </c>
      <c r="AR616" t="s">
        <v>83</v>
      </c>
      <c r="AS616" t="s">
        <v>83</v>
      </c>
      <c r="AT616" t="s">
        <v>83</v>
      </c>
      <c r="AU616" t="s">
        <v>135</v>
      </c>
      <c r="AV616" t="s">
        <v>80</v>
      </c>
      <c r="AW616" t="s">
        <v>153</v>
      </c>
      <c r="AZ616" t="s">
        <v>107</v>
      </c>
      <c r="BA616" t="s">
        <v>87</v>
      </c>
      <c r="BB616" t="s">
        <v>74</v>
      </c>
      <c r="BC616" t="s">
        <v>87</v>
      </c>
      <c r="BD616" t="s">
        <v>86</v>
      </c>
      <c r="BE616" t="s">
        <v>74</v>
      </c>
      <c r="BF616" t="s">
        <v>97</v>
      </c>
      <c r="BG616" t="s">
        <v>92</v>
      </c>
      <c r="BH616" t="s">
        <v>158</v>
      </c>
      <c r="BI616" t="s">
        <v>107</v>
      </c>
      <c r="BJ616" t="s">
        <v>165</v>
      </c>
      <c r="BK616">
        <v>0</v>
      </c>
      <c r="BL616">
        <v>0</v>
      </c>
      <c r="BM616">
        <v>0</v>
      </c>
      <c r="BN616">
        <v>0</v>
      </c>
      <c r="BO616">
        <v>0</v>
      </c>
      <c r="BP616">
        <v>1</v>
      </c>
      <c r="BQ616">
        <v>0</v>
      </c>
      <c r="BR616">
        <v>0</v>
      </c>
    </row>
    <row r="617" spans="1:72" x14ac:dyDescent="0.2">
      <c r="A617" s="1">
        <v>44579.899305555555</v>
      </c>
      <c r="B617" s="1">
        <v>44579.902777777781</v>
      </c>
      <c r="C617">
        <v>1</v>
      </c>
      <c r="D617">
        <v>0</v>
      </c>
      <c r="E617">
        <v>0</v>
      </c>
      <c r="F617">
        <v>0</v>
      </c>
      <c r="H617">
        <v>0</v>
      </c>
      <c r="I617">
        <v>0</v>
      </c>
      <c r="J617">
        <v>0</v>
      </c>
      <c r="K617">
        <v>0</v>
      </c>
      <c r="L617">
        <v>1</v>
      </c>
      <c r="M617" t="s">
        <v>323</v>
      </c>
      <c r="N617" t="s">
        <v>88</v>
      </c>
      <c r="O617" t="s">
        <v>89</v>
      </c>
      <c r="P617">
        <v>0</v>
      </c>
      <c r="Q617">
        <v>1</v>
      </c>
      <c r="R617">
        <v>0</v>
      </c>
      <c r="S617">
        <v>0</v>
      </c>
      <c r="T617">
        <v>0</v>
      </c>
      <c r="U617">
        <v>0</v>
      </c>
      <c r="V617">
        <v>0</v>
      </c>
      <c r="W617">
        <v>0</v>
      </c>
      <c r="X617">
        <v>0</v>
      </c>
      <c r="Y617">
        <v>0</v>
      </c>
      <c r="Z617">
        <v>0</v>
      </c>
      <c r="AA617">
        <v>0</v>
      </c>
      <c r="AM617" t="s">
        <v>90</v>
      </c>
      <c r="AN617" t="s">
        <v>90</v>
      </c>
      <c r="AO617" t="s">
        <v>90</v>
      </c>
      <c r="AP617" t="s">
        <v>90</v>
      </c>
      <c r="AQ617" t="s">
        <v>90</v>
      </c>
      <c r="AR617" t="s">
        <v>90</v>
      </c>
      <c r="AS617" t="s">
        <v>90</v>
      </c>
      <c r="AT617" t="s">
        <v>83</v>
      </c>
      <c r="AU617" t="s">
        <v>88</v>
      </c>
      <c r="AV617" t="s">
        <v>89</v>
      </c>
      <c r="AW617" t="s">
        <v>85</v>
      </c>
      <c r="AZ617" t="s">
        <v>73</v>
      </c>
      <c r="BA617" t="s">
        <v>87</v>
      </c>
      <c r="BB617" t="s">
        <v>74</v>
      </c>
      <c r="BC617" t="s">
        <v>74</v>
      </c>
      <c r="BD617" t="s">
        <v>87</v>
      </c>
      <c r="BE617" t="s">
        <v>86</v>
      </c>
      <c r="BF617" t="s">
        <v>97</v>
      </c>
      <c r="BG617" t="s">
        <v>92</v>
      </c>
      <c r="BH617" t="s">
        <v>98</v>
      </c>
      <c r="BI617" t="s">
        <v>73</v>
      </c>
      <c r="BJ617" t="s">
        <v>114</v>
      </c>
      <c r="BK617">
        <v>0</v>
      </c>
      <c r="BL617">
        <v>0</v>
      </c>
      <c r="BM617">
        <v>0</v>
      </c>
      <c r="BN617">
        <v>0</v>
      </c>
      <c r="BO617">
        <v>0</v>
      </c>
      <c r="BP617">
        <v>1</v>
      </c>
      <c r="BQ617">
        <v>0</v>
      </c>
      <c r="BR617">
        <v>0</v>
      </c>
    </row>
    <row r="618" spans="1:72" x14ac:dyDescent="0.2">
      <c r="A618" s="1">
        <v>44579.892361111109</v>
      </c>
      <c r="B618" s="1">
        <v>44579.897222222222</v>
      </c>
      <c r="C618">
        <v>0</v>
      </c>
      <c r="D618">
        <v>1</v>
      </c>
      <c r="E618">
        <v>0</v>
      </c>
      <c r="F618">
        <v>0</v>
      </c>
      <c r="H618">
        <v>0</v>
      </c>
      <c r="I618">
        <v>0</v>
      </c>
      <c r="J618">
        <v>0</v>
      </c>
      <c r="K618">
        <v>0</v>
      </c>
      <c r="L618">
        <v>1</v>
      </c>
      <c r="M618" t="s">
        <v>324</v>
      </c>
      <c r="N618" t="s">
        <v>88</v>
      </c>
      <c r="O618" t="s">
        <v>80</v>
      </c>
      <c r="P618">
        <v>0</v>
      </c>
      <c r="Q618">
        <v>0</v>
      </c>
      <c r="R618">
        <v>0</v>
      </c>
      <c r="S618">
        <v>0</v>
      </c>
      <c r="T618">
        <v>1</v>
      </c>
      <c r="U618">
        <v>0</v>
      </c>
      <c r="V618">
        <v>0</v>
      </c>
      <c r="W618">
        <v>0</v>
      </c>
      <c r="X618">
        <v>0</v>
      </c>
      <c r="Y618">
        <v>0</v>
      </c>
      <c r="Z618">
        <v>0</v>
      </c>
      <c r="AA618">
        <v>1</v>
      </c>
      <c r="AB618" t="s">
        <v>325</v>
      </c>
      <c r="AM618" t="s">
        <v>82</v>
      </c>
      <c r="AN618" t="s">
        <v>82</v>
      </c>
      <c r="AO618" t="s">
        <v>83</v>
      </c>
      <c r="AP618" t="s">
        <v>82</v>
      </c>
      <c r="AQ618" t="s">
        <v>82</v>
      </c>
      <c r="AR618" t="s">
        <v>82</v>
      </c>
      <c r="AS618" t="s">
        <v>82</v>
      </c>
      <c r="AT618" t="s">
        <v>83</v>
      </c>
      <c r="AU618" t="s">
        <v>88</v>
      </c>
      <c r="AV618" t="s">
        <v>89</v>
      </c>
      <c r="AW618" t="s">
        <v>100</v>
      </c>
      <c r="AZ618" t="s">
        <v>107</v>
      </c>
      <c r="BA618" t="s">
        <v>86</v>
      </c>
      <c r="BB618" t="s">
        <v>86</v>
      </c>
      <c r="BC618" t="s">
        <v>86</v>
      </c>
      <c r="BD618" t="s">
        <v>74</v>
      </c>
      <c r="BE618" t="s">
        <v>86</v>
      </c>
      <c r="BF618" t="s">
        <v>101</v>
      </c>
      <c r="BG618" t="s">
        <v>76</v>
      </c>
      <c r="BH618" t="s">
        <v>158</v>
      </c>
      <c r="BI618" t="s">
        <v>107</v>
      </c>
      <c r="BJ618" t="s">
        <v>102</v>
      </c>
      <c r="BK618">
        <v>0</v>
      </c>
      <c r="BL618">
        <v>0</v>
      </c>
      <c r="BM618">
        <v>0</v>
      </c>
      <c r="BN618">
        <v>0</v>
      </c>
      <c r="BO618">
        <v>0</v>
      </c>
      <c r="BP618">
        <v>1</v>
      </c>
      <c r="BQ618">
        <v>0</v>
      </c>
      <c r="BR618">
        <v>0</v>
      </c>
    </row>
    <row r="619" spans="1:72" x14ac:dyDescent="0.2">
      <c r="A619" s="1">
        <v>44586.109027777777</v>
      </c>
      <c r="B619" s="1">
        <v>44586.111111111109</v>
      </c>
      <c r="C619">
        <v>1</v>
      </c>
      <c r="D619">
        <v>0</v>
      </c>
      <c r="E619">
        <v>0</v>
      </c>
      <c r="F619">
        <v>0</v>
      </c>
      <c r="H619">
        <v>0</v>
      </c>
      <c r="I619">
        <v>0</v>
      </c>
      <c r="J619">
        <v>0</v>
      </c>
      <c r="K619">
        <v>0</v>
      </c>
      <c r="L619">
        <v>1</v>
      </c>
      <c r="M619" t="s">
        <v>326</v>
      </c>
      <c r="N619" t="s">
        <v>88</v>
      </c>
      <c r="O619" t="s">
        <v>89</v>
      </c>
      <c r="P619">
        <v>1</v>
      </c>
      <c r="Q619">
        <v>0</v>
      </c>
      <c r="R619">
        <v>0</v>
      </c>
      <c r="S619">
        <v>0</v>
      </c>
      <c r="T619">
        <v>0</v>
      </c>
      <c r="U619">
        <v>0</v>
      </c>
      <c r="V619">
        <v>0</v>
      </c>
      <c r="W619">
        <v>0</v>
      </c>
      <c r="X619">
        <v>0</v>
      </c>
      <c r="Y619">
        <v>0</v>
      </c>
      <c r="Z619">
        <v>0</v>
      </c>
      <c r="AA619">
        <v>0</v>
      </c>
      <c r="AC619">
        <v>0</v>
      </c>
      <c r="AD619">
        <v>0</v>
      </c>
      <c r="AE619">
        <v>1</v>
      </c>
      <c r="AF619">
        <v>0</v>
      </c>
      <c r="AG619">
        <v>0</v>
      </c>
      <c r="AH619">
        <v>0</v>
      </c>
      <c r="AI619">
        <v>0</v>
      </c>
      <c r="AJ619">
        <v>0</v>
      </c>
      <c r="AK619">
        <v>0</v>
      </c>
      <c r="AZ619" t="s">
        <v>73</v>
      </c>
      <c r="BA619" t="s">
        <v>87</v>
      </c>
      <c r="BB619" t="s">
        <v>86</v>
      </c>
      <c r="BC619" t="s">
        <v>86</v>
      </c>
      <c r="BD619" t="s">
        <v>87</v>
      </c>
      <c r="BE619" t="s">
        <v>86</v>
      </c>
      <c r="BF619" t="s">
        <v>97</v>
      </c>
      <c r="BG619" t="s">
        <v>76</v>
      </c>
      <c r="BH619" t="s">
        <v>98</v>
      </c>
      <c r="BI619" t="s">
        <v>73</v>
      </c>
      <c r="BJ619" t="s">
        <v>109</v>
      </c>
      <c r="BK619">
        <v>0</v>
      </c>
      <c r="BL619">
        <v>0</v>
      </c>
      <c r="BM619">
        <v>0</v>
      </c>
      <c r="BN619">
        <v>0</v>
      </c>
      <c r="BO619">
        <v>0</v>
      </c>
      <c r="BP619">
        <v>1</v>
      </c>
      <c r="BQ619">
        <v>0</v>
      </c>
      <c r="BR619">
        <v>0</v>
      </c>
    </row>
    <row r="620" spans="1:72" x14ac:dyDescent="0.2">
      <c r="A620" s="1">
        <v>44580.513194444444</v>
      </c>
      <c r="B620" s="1">
        <v>44580.515972222223</v>
      </c>
      <c r="C620">
        <v>1</v>
      </c>
      <c r="D620">
        <v>0</v>
      </c>
      <c r="E620">
        <v>0</v>
      </c>
      <c r="F620">
        <v>0</v>
      </c>
      <c r="H620">
        <v>0</v>
      </c>
      <c r="I620">
        <v>1</v>
      </c>
      <c r="J620">
        <v>1</v>
      </c>
      <c r="K620">
        <v>1</v>
      </c>
      <c r="L620">
        <v>0</v>
      </c>
      <c r="N620" t="s">
        <v>88</v>
      </c>
      <c r="O620" t="s">
        <v>142</v>
      </c>
      <c r="P620">
        <v>0</v>
      </c>
      <c r="Q620">
        <v>0</v>
      </c>
      <c r="R620">
        <v>1</v>
      </c>
      <c r="S620">
        <v>0</v>
      </c>
      <c r="T620">
        <v>0</v>
      </c>
      <c r="U620">
        <v>0</v>
      </c>
      <c r="V620">
        <v>0</v>
      </c>
      <c r="W620">
        <v>0</v>
      </c>
      <c r="X620">
        <v>0</v>
      </c>
      <c r="Y620">
        <v>0</v>
      </c>
      <c r="Z620">
        <v>0</v>
      </c>
      <c r="AA620">
        <v>0</v>
      </c>
      <c r="AM620" t="s">
        <v>81</v>
      </c>
      <c r="AN620" t="s">
        <v>82</v>
      </c>
      <c r="AO620" t="s">
        <v>82</v>
      </c>
      <c r="AP620" t="s">
        <v>81</v>
      </c>
      <c r="AQ620" t="s">
        <v>81</v>
      </c>
      <c r="AR620" t="s">
        <v>83</v>
      </c>
      <c r="AS620" t="s">
        <v>83</v>
      </c>
      <c r="AT620" t="s">
        <v>83</v>
      </c>
      <c r="AU620" t="s">
        <v>88</v>
      </c>
      <c r="AV620" t="s">
        <v>89</v>
      </c>
      <c r="AW620" t="s">
        <v>100</v>
      </c>
      <c r="AZ620" t="s">
        <v>96</v>
      </c>
      <c r="BA620" t="s">
        <v>87</v>
      </c>
      <c r="BB620" t="s">
        <v>86</v>
      </c>
      <c r="BC620" t="s">
        <v>87</v>
      </c>
      <c r="BD620" t="s">
        <v>87</v>
      </c>
      <c r="BE620" t="s">
        <v>86</v>
      </c>
      <c r="BF620" t="s">
        <v>97</v>
      </c>
      <c r="BG620" t="s">
        <v>92</v>
      </c>
      <c r="BH620" t="s">
        <v>98</v>
      </c>
      <c r="BI620" t="s">
        <v>96</v>
      </c>
      <c r="BJ620" t="s">
        <v>78</v>
      </c>
      <c r="BK620">
        <v>0</v>
      </c>
      <c r="BL620">
        <v>0</v>
      </c>
      <c r="BM620">
        <v>0</v>
      </c>
      <c r="BN620">
        <v>0</v>
      </c>
      <c r="BO620">
        <v>0</v>
      </c>
      <c r="BP620">
        <v>1</v>
      </c>
      <c r="BQ620">
        <v>0</v>
      </c>
      <c r="BR620">
        <v>0</v>
      </c>
    </row>
    <row r="621" spans="1:72" x14ac:dyDescent="0.2">
      <c r="A621" s="1">
        <v>44585.935416666667</v>
      </c>
      <c r="B621" s="1">
        <v>44585.938888888886</v>
      </c>
      <c r="C621">
        <v>1</v>
      </c>
      <c r="D621">
        <v>0</v>
      </c>
      <c r="E621">
        <v>0</v>
      </c>
      <c r="F621">
        <v>0</v>
      </c>
      <c r="H621">
        <v>1</v>
      </c>
      <c r="I621">
        <v>0</v>
      </c>
      <c r="J621">
        <v>0</v>
      </c>
      <c r="K621">
        <v>0</v>
      </c>
      <c r="L621">
        <v>0</v>
      </c>
      <c r="P621">
        <v>1</v>
      </c>
      <c r="Q621">
        <v>0</v>
      </c>
      <c r="R621">
        <v>0</v>
      </c>
      <c r="S621">
        <v>0</v>
      </c>
      <c r="T621">
        <v>0</v>
      </c>
      <c r="U621">
        <v>0</v>
      </c>
      <c r="V621">
        <v>0</v>
      </c>
      <c r="W621">
        <v>0</v>
      </c>
      <c r="X621">
        <v>0</v>
      </c>
      <c r="Y621">
        <v>0</v>
      </c>
      <c r="Z621">
        <v>0</v>
      </c>
      <c r="AA621">
        <v>0</v>
      </c>
      <c r="AC621">
        <v>0</v>
      </c>
      <c r="AD621">
        <v>0</v>
      </c>
      <c r="AE621">
        <v>1</v>
      </c>
      <c r="AF621">
        <v>0</v>
      </c>
      <c r="AG621">
        <v>0</v>
      </c>
      <c r="AH621">
        <v>1</v>
      </c>
      <c r="AI621">
        <v>0</v>
      </c>
      <c r="AJ621">
        <v>0</v>
      </c>
      <c r="AK621">
        <v>0</v>
      </c>
      <c r="AX621" t="s">
        <v>146</v>
      </c>
      <c r="AZ621" t="s">
        <v>120</v>
      </c>
      <c r="BA621" t="s">
        <v>86</v>
      </c>
      <c r="BB621" t="s">
        <v>86</v>
      </c>
      <c r="BC621" t="s">
        <v>87</v>
      </c>
      <c r="BD621" t="s">
        <v>87</v>
      </c>
      <c r="BE621" t="s">
        <v>86</v>
      </c>
      <c r="BF621" t="s">
        <v>75</v>
      </c>
      <c r="BG621" t="s">
        <v>92</v>
      </c>
      <c r="BH621" t="s">
        <v>98</v>
      </c>
      <c r="BI621" t="s">
        <v>120</v>
      </c>
      <c r="BJ621" t="s">
        <v>102</v>
      </c>
      <c r="BK621">
        <v>0</v>
      </c>
      <c r="BL621">
        <v>0</v>
      </c>
      <c r="BM621">
        <v>0</v>
      </c>
      <c r="BN621">
        <v>0</v>
      </c>
      <c r="BO621">
        <v>0</v>
      </c>
      <c r="BP621">
        <v>1</v>
      </c>
      <c r="BQ621">
        <v>0</v>
      </c>
      <c r="BR621">
        <v>0</v>
      </c>
    </row>
    <row r="622" spans="1:72" x14ac:dyDescent="0.2">
      <c r="A622" s="1">
        <v>44579.913194444445</v>
      </c>
      <c r="B622" s="1">
        <v>44579.916666666664</v>
      </c>
      <c r="C622">
        <v>0</v>
      </c>
      <c r="D622">
        <v>1</v>
      </c>
      <c r="E622">
        <v>0</v>
      </c>
      <c r="F622">
        <v>0</v>
      </c>
      <c r="H622">
        <v>0</v>
      </c>
      <c r="I622">
        <v>1</v>
      </c>
      <c r="J622">
        <v>0</v>
      </c>
      <c r="K622">
        <v>0</v>
      </c>
      <c r="L622">
        <v>0</v>
      </c>
      <c r="N622" t="s">
        <v>88</v>
      </c>
      <c r="O622" t="s">
        <v>89</v>
      </c>
      <c r="P622">
        <v>0</v>
      </c>
      <c r="Q622">
        <v>1</v>
      </c>
      <c r="R622">
        <v>0</v>
      </c>
      <c r="S622">
        <v>0</v>
      </c>
      <c r="T622">
        <v>1</v>
      </c>
      <c r="U622">
        <v>0</v>
      </c>
      <c r="V622">
        <v>0</v>
      </c>
      <c r="W622">
        <v>0</v>
      </c>
      <c r="X622">
        <v>0</v>
      </c>
      <c r="Y622">
        <v>0</v>
      </c>
      <c r="Z622">
        <v>0</v>
      </c>
      <c r="AA622">
        <v>0</v>
      </c>
      <c r="AM622" t="s">
        <v>90</v>
      </c>
      <c r="AN622" t="s">
        <v>82</v>
      </c>
      <c r="AO622" t="s">
        <v>81</v>
      </c>
      <c r="AP622" t="s">
        <v>90</v>
      </c>
      <c r="AQ622" t="s">
        <v>90</v>
      </c>
      <c r="AR622" t="s">
        <v>90</v>
      </c>
      <c r="AS622" t="s">
        <v>90</v>
      </c>
      <c r="AT622" t="s">
        <v>90</v>
      </c>
      <c r="AU622" t="s">
        <v>88</v>
      </c>
      <c r="AV622" t="s">
        <v>89</v>
      </c>
      <c r="AW622" t="s">
        <v>100</v>
      </c>
      <c r="AX622" t="s">
        <v>106</v>
      </c>
      <c r="AZ622" t="s">
        <v>107</v>
      </c>
      <c r="BA622" t="s">
        <v>87</v>
      </c>
      <c r="BB622" t="s">
        <v>87</v>
      </c>
      <c r="BC622" t="s">
        <v>87</v>
      </c>
      <c r="BD622" t="s">
        <v>87</v>
      </c>
      <c r="BE622" t="s">
        <v>87</v>
      </c>
      <c r="BF622" t="s">
        <v>75</v>
      </c>
      <c r="BG622" t="s">
        <v>92</v>
      </c>
      <c r="BH622" t="s">
        <v>98</v>
      </c>
      <c r="BI622" t="s">
        <v>107</v>
      </c>
      <c r="BJ622" t="s">
        <v>147</v>
      </c>
      <c r="BK622">
        <v>0</v>
      </c>
      <c r="BL622">
        <v>0</v>
      </c>
      <c r="BM622">
        <v>0</v>
      </c>
      <c r="BN622">
        <v>0</v>
      </c>
      <c r="BO622">
        <v>0</v>
      </c>
      <c r="BP622">
        <v>1</v>
      </c>
      <c r="BQ622">
        <v>0</v>
      </c>
      <c r="BR622">
        <v>0</v>
      </c>
    </row>
    <row r="623" spans="1:72" x14ac:dyDescent="0.2">
      <c r="A623" s="1">
        <v>44585.87777777778</v>
      </c>
      <c r="B623" s="1">
        <v>44585.941666666666</v>
      </c>
      <c r="C623">
        <v>0</v>
      </c>
      <c r="D623">
        <v>1</v>
      </c>
      <c r="E623">
        <v>0</v>
      </c>
      <c r="F623">
        <v>0</v>
      </c>
      <c r="H623">
        <v>1</v>
      </c>
      <c r="I623">
        <v>0</v>
      </c>
      <c r="J623">
        <v>0</v>
      </c>
      <c r="K623">
        <v>0</v>
      </c>
      <c r="L623">
        <v>0</v>
      </c>
      <c r="P623">
        <v>0</v>
      </c>
      <c r="Q623">
        <v>1</v>
      </c>
      <c r="R623">
        <v>0</v>
      </c>
      <c r="S623">
        <v>0</v>
      </c>
      <c r="T623">
        <v>0</v>
      </c>
      <c r="U623">
        <v>0</v>
      </c>
      <c r="V623">
        <v>0</v>
      </c>
      <c r="W623">
        <v>0</v>
      </c>
      <c r="X623">
        <v>0</v>
      </c>
      <c r="Y623">
        <v>0</v>
      </c>
      <c r="Z623">
        <v>0</v>
      </c>
      <c r="AA623">
        <v>0</v>
      </c>
      <c r="AM623" t="s">
        <v>90</v>
      </c>
      <c r="AN623" t="s">
        <v>82</v>
      </c>
      <c r="AO623" t="s">
        <v>81</v>
      </c>
      <c r="AP623" t="s">
        <v>90</v>
      </c>
      <c r="AQ623" t="s">
        <v>81</v>
      </c>
      <c r="AR623" t="s">
        <v>83</v>
      </c>
      <c r="AS623" t="s">
        <v>90</v>
      </c>
      <c r="AT623" t="s">
        <v>83</v>
      </c>
      <c r="AU623" t="s">
        <v>88</v>
      </c>
      <c r="AV623" t="s">
        <v>89</v>
      </c>
      <c r="AW623" t="s">
        <v>100</v>
      </c>
      <c r="AX623" t="s">
        <v>91</v>
      </c>
      <c r="AZ623" t="s">
        <v>107</v>
      </c>
      <c r="BA623" t="s">
        <v>86</v>
      </c>
      <c r="BB623" t="s">
        <v>86</v>
      </c>
      <c r="BC623" t="s">
        <v>87</v>
      </c>
      <c r="BD623" t="s">
        <v>87</v>
      </c>
      <c r="BE623" t="s">
        <v>86</v>
      </c>
      <c r="BF623" t="s">
        <v>75</v>
      </c>
      <c r="BG623" t="s">
        <v>92</v>
      </c>
      <c r="BH623" t="s">
        <v>77</v>
      </c>
      <c r="BI623" t="s">
        <v>107</v>
      </c>
      <c r="BJ623" t="s">
        <v>114</v>
      </c>
      <c r="BK623">
        <v>0</v>
      </c>
      <c r="BL623">
        <v>0</v>
      </c>
      <c r="BM623">
        <v>0</v>
      </c>
      <c r="BN623">
        <v>0</v>
      </c>
      <c r="BO623">
        <v>0</v>
      </c>
      <c r="BP623">
        <v>1</v>
      </c>
      <c r="BQ623">
        <v>0</v>
      </c>
      <c r="BR623">
        <v>0</v>
      </c>
    </row>
    <row r="624" spans="1:72" x14ac:dyDescent="0.2">
      <c r="A624" s="1">
        <v>44583.820833333331</v>
      </c>
      <c r="B624" s="1">
        <v>44583.822222222225</v>
      </c>
      <c r="C624">
        <v>1</v>
      </c>
      <c r="D624">
        <v>0</v>
      </c>
      <c r="E624">
        <v>0</v>
      </c>
      <c r="F624">
        <v>0</v>
      </c>
      <c r="H624">
        <v>0</v>
      </c>
      <c r="I624">
        <v>1</v>
      </c>
      <c r="J624">
        <v>0</v>
      </c>
      <c r="K624">
        <v>0</v>
      </c>
      <c r="L624">
        <v>0</v>
      </c>
      <c r="N624" t="s">
        <v>88</v>
      </c>
      <c r="O624" t="s">
        <v>89</v>
      </c>
      <c r="P624">
        <v>0</v>
      </c>
      <c r="Q624">
        <v>0</v>
      </c>
      <c r="R624">
        <v>1</v>
      </c>
      <c r="S624">
        <v>0</v>
      </c>
      <c r="T624">
        <v>0</v>
      </c>
      <c r="U624">
        <v>0</v>
      </c>
      <c r="V624">
        <v>0</v>
      </c>
      <c r="W624">
        <v>0</v>
      </c>
      <c r="X624">
        <v>0</v>
      </c>
      <c r="Y624">
        <v>0</v>
      </c>
      <c r="Z624">
        <v>0</v>
      </c>
      <c r="AA624">
        <v>0</v>
      </c>
      <c r="AM624" t="s">
        <v>83</v>
      </c>
      <c r="AN624" t="s">
        <v>81</v>
      </c>
      <c r="AO624" t="s">
        <v>83</v>
      </c>
      <c r="AP624" t="s">
        <v>83</v>
      </c>
      <c r="AQ624" t="s">
        <v>82</v>
      </c>
      <c r="AR624" t="s">
        <v>81</v>
      </c>
      <c r="AS624" t="s">
        <v>82</v>
      </c>
      <c r="AT624" t="s">
        <v>83</v>
      </c>
      <c r="AU624" t="s">
        <v>88</v>
      </c>
      <c r="AV624" t="s">
        <v>89</v>
      </c>
      <c r="AW624" t="s">
        <v>85</v>
      </c>
      <c r="AX624" t="s">
        <v>146</v>
      </c>
      <c r="AZ624" t="s">
        <v>107</v>
      </c>
      <c r="BA624" t="s">
        <v>87</v>
      </c>
      <c r="BB624" t="s">
        <v>87</v>
      </c>
      <c r="BC624" t="s">
        <v>87</v>
      </c>
      <c r="BD624" t="s">
        <v>74</v>
      </c>
      <c r="BE624" t="s">
        <v>87</v>
      </c>
      <c r="BF624" t="s">
        <v>75</v>
      </c>
      <c r="BG624" t="s">
        <v>76</v>
      </c>
      <c r="BH624" t="s">
        <v>98</v>
      </c>
      <c r="BI624" t="s">
        <v>107</v>
      </c>
      <c r="BJ624" t="s">
        <v>78</v>
      </c>
      <c r="BK624">
        <v>0</v>
      </c>
      <c r="BL624">
        <v>0</v>
      </c>
      <c r="BM624">
        <v>0</v>
      </c>
      <c r="BN624">
        <v>0</v>
      </c>
      <c r="BO624">
        <v>0</v>
      </c>
      <c r="BP624">
        <v>1</v>
      </c>
      <c r="BQ624">
        <v>0</v>
      </c>
      <c r="BR624">
        <v>0</v>
      </c>
    </row>
    <row r="625" spans="1:70" x14ac:dyDescent="0.2">
      <c r="A625" s="1">
        <v>44589.07916666667</v>
      </c>
      <c r="B625" s="1">
        <v>44589.083333333336</v>
      </c>
      <c r="C625">
        <v>1</v>
      </c>
      <c r="D625">
        <v>0</v>
      </c>
      <c r="E625">
        <v>0</v>
      </c>
      <c r="F625">
        <v>0</v>
      </c>
      <c r="H625">
        <v>0</v>
      </c>
      <c r="I625">
        <v>0</v>
      </c>
      <c r="J625">
        <v>0</v>
      </c>
      <c r="K625">
        <v>1</v>
      </c>
      <c r="L625">
        <v>1</v>
      </c>
      <c r="M625" t="s">
        <v>327</v>
      </c>
      <c r="N625" t="s">
        <v>88</v>
      </c>
      <c r="O625" t="s">
        <v>80</v>
      </c>
      <c r="P625">
        <v>1</v>
      </c>
      <c r="Q625">
        <v>0</v>
      </c>
      <c r="R625">
        <v>0</v>
      </c>
      <c r="S625">
        <v>0</v>
      </c>
      <c r="T625">
        <v>0</v>
      </c>
      <c r="U625">
        <v>0</v>
      </c>
      <c r="V625">
        <v>0</v>
      </c>
      <c r="W625">
        <v>0</v>
      </c>
      <c r="X625">
        <v>0</v>
      </c>
      <c r="Y625">
        <v>0</v>
      </c>
      <c r="Z625">
        <v>0</v>
      </c>
      <c r="AA625">
        <v>0</v>
      </c>
      <c r="AC625">
        <v>0</v>
      </c>
      <c r="AD625">
        <v>0</v>
      </c>
      <c r="AE625">
        <v>0</v>
      </c>
      <c r="AF625">
        <v>0</v>
      </c>
      <c r="AG625">
        <v>0</v>
      </c>
      <c r="AH625">
        <v>0</v>
      </c>
      <c r="AI625">
        <v>0</v>
      </c>
      <c r="AJ625">
        <v>0</v>
      </c>
      <c r="AK625">
        <v>1</v>
      </c>
      <c r="AL625" t="s">
        <v>328</v>
      </c>
      <c r="AX625" t="s">
        <v>179</v>
      </c>
      <c r="AZ625" t="s">
        <v>107</v>
      </c>
      <c r="BA625" t="s">
        <v>87</v>
      </c>
      <c r="BB625" t="s">
        <v>74</v>
      </c>
      <c r="BC625" t="s">
        <v>86</v>
      </c>
      <c r="BD625" t="s">
        <v>87</v>
      </c>
      <c r="BE625" t="s">
        <v>87</v>
      </c>
      <c r="BF625" t="s">
        <v>108</v>
      </c>
      <c r="BG625" t="s">
        <v>92</v>
      </c>
      <c r="BH625" t="s">
        <v>77</v>
      </c>
      <c r="BI625" t="s">
        <v>107</v>
      </c>
      <c r="BJ625" t="s">
        <v>109</v>
      </c>
      <c r="BK625">
        <v>1</v>
      </c>
      <c r="BL625">
        <v>0</v>
      </c>
      <c r="BM625">
        <v>0</v>
      </c>
      <c r="BN625">
        <v>0</v>
      </c>
      <c r="BO625">
        <v>0</v>
      </c>
      <c r="BP625">
        <v>0</v>
      </c>
      <c r="BQ625">
        <v>0</v>
      </c>
      <c r="BR625">
        <v>0</v>
      </c>
    </row>
    <row r="626" spans="1:70" x14ac:dyDescent="0.2">
      <c r="A626" s="1">
        <v>44579.907638888886</v>
      </c>
      <c r="B626" s="1">
        <v>44579.911111111112</v>
      </c>
      <c r="C626">
        <v>1</v>
      </c>
      <c r="D626">
        <v>0</v>
      </c>
      <c r="E626">
        <v>0</v>
      </c>
      <c r="F626">
        <v>0</v>
      </c>
      <c r="H626">
        <v>1</v>
      </c>
      <c r="I626">
        <v>0</v>
      </c>
      <c r="J626">
        <v>0</v>
      </c>
      <c r="K626">
        <v>0</v>
      </c>
      <c r="L626">
        <v>0</v>
      </c>
      <c r="P626">
        <v>1</v>
      </c>
      <c r="Q626">
        <v>0</v>
      </c>
      <c r="R626">
        <v>0</v>
      </c>
      <c r="S626">
        <v>0</v>
      </c>
      <c r="T626">
        <v>0</v>
      </c>
      <c r="U626">
        <v>0</v>
      </c>
      <c r="V626">
        <v>0</v>
      </c>
      <c r="W626">
        <v>0</v>
      </c>
      <c r="X626">
        <v>0</v>
      </c>
      <c r="Y626">
        <v>0</v>
      </c>
      <c r="Z626">
        <v>0</v>
      </c>
      <c r="AA626">
        <v>0</v>
      </c>
      <c r="AC626">
        <v>0</v>
      </c>
      <c r="AD626">
        <v>0</v>
      </c>
      <c r="AE626">
        <v>0</v>
      </c>
      <c r="AF626">
        <v>0</v>
      </c>
      <c r="AG626">
        <v>0</v>
      </c>
      <c r="AH626">
        <v>0</v>
      </c>
      <c r="AI626">
        <v>0</v>
      </c>
      <c r="AJ626">
        <v>0</v>
      </c>
      <c r="AK626">
        <v>1</v>
      </c>
      <c r="AL626" t="s">
        <v>329</v>
      </c>
      <c r="AZ626" t="s">
        <v>96</v>
      </c>
      <c r="BA626" t="s">
        <v>87</v>
      </c>
      <c r="BB626" t="s">
        <v>87</v>
      </c>
      <c r="BC626" t="s">
        <v>87</v>
      </c>
      <c r="BD626" t="s">
        <v>87</v>
      </c>
      <c r="BE626" t="s">
        <v>86</v>
      </c>
      <c r="BF626" t="s">
        <v>97</v>
      </c>
      <c r="BG626" t="s">
        <v>92</v>
      </c>
      <c r="BH626" t="s">
        <v>98</v>
      </c>
      <c r="BI626" t="s">
        <v>96</v>
      </c>
      <c r="BJ626" t="s">
        <v>165</v>
      </c>
      <c r="BK626">
        <v>0</v>
      </c>
      <c r="BL626">
        <v>0</v>
      </c>
      <c r="BM626">
        <v>0</v>
      </c>
      <c r="BN626">
        <v>0</v>
      </c>
      <c r="BO626">
        <v>0</v>
      </c>
      <c r="BP626">
        <v>1</v>
      </c>
      <c r="BQ626">
        <v>0</v>
      </c>
      <c r="BR626">
        <v>0</v>
      </c>
    </row>
    <row r="627" spans="1:70" x14ac:dyDescent="0.2">
      <c r="A627" s="1">
        <v>44585.823611111111</v>
      </c>
      <c r="B627" s="1">
        <v>44585.824305555558</v>
      </c>
      <c r="C627">
        <v>1</v>
      </c>
      <c r="D627">
        <v>0</v>
      </c>
      <c r="E627">
        <v>0</v>
      </c>
      <c r="F627">
        <v>0</v>
      </c>
      <c r="H627">
        <v>1</v>
      </c>
      <c r="I627">
        <v>0</v>
      </c>
      <c r="J627">
        <v>0</v>
      </c>
      <c r="K627">
        <v>0</v>
      </c>
      <c r="L627">
        <v>0</v>
      </c>
      <c r="P627">
        <v>1</v>
      </c>
      <c r="Q627">
        <v>0</v>
      </c>
      <c r="R627">
        <v>0</v>
      </c>
      <c r="S627">
        <v>0</v>
      </c>
      <c r="T627">
        <v>0</v>
      </c>
      <c r="U627">
        <v>0</v>
      </c>
      <c r="V627">
        <v>0</v>
      </c>
      <c r="W627">
        <v>0</v>
      </c>
      <c r="X627">
        <v>0</v>
      </c>
      <c r="Y627">
        <v>0</v>
      </c>
      <c r="Z627">
        <v>0</v>
      </c>
      <c r="AA627">
        <v>0</v>
      </c>
      <c r="AC627">
        <v>0</v>
      </c>
      <c r="AD627">
        <v>1</v>
      </c>
      <c r="AE627">
        <v>0</v>
      </c>
      <c r="AF627">
        <v>0</v>
      </c>
      <c r="AG627">
        <v>0</v>
      </c>
      <c r="AH627">
        <v>0</v>
      </c>
      <c r="AI627">
        <v>0</v>
      </c>
      <c r="AJ627">
        <v>0</v>
      </c>
      <c r="AK627">
        <v>0</v>
      </c>
      <c r="AX627" t="s">
        <v>199</v>
      </c>
      <c r="AZ627" t="s">
        <v>107</v>
      </c>
      <c r="BA627" t="s">
        <v>74</v>
      </c>
      <c r="BF627" t="s">
        <v>75</v>
      </c>
      <c r="BG627" t="s">
        <v>92</v>
      </c>
      <c r="BH627" t="s">
        <v>98</v>
      </c>
      <c r="BI627" t="s">
        <v>107</v>
      </c>
      <c r="BJ627" t="s">
        <v>78</v>
      </c>
      <c r="BK627">
        <v>0</v>
      </c>
      <c r="BL627">
        <v>0</v>
      </c>
      <c r="BM627">
        <v>0</v>
      </c>
      <c r="BN627">
        <v>0</v>
      </c>
      <c r="BO627">
        <v>0</v>
      </c>
      <c r="BP627">
        <v>1</v>
      </c>
      <c r="BQ627">
        <v>0</v>
      </c>
      <c r="BR627">
        <v>0</v>
      </c>
    </row>
    <row r="628" spans="1:70" x14ac:dyDescent="0.2">
      <c r="A628" s="1">
        <v>44585.571527777778</v>
      </c>
      <c r="B628" s="1">
        <v>44588.924305555556</v>
      </c>
      <c r="C628">
        <v>0</v>
      </c>
      <c r="D628">
        <v>1</v>
      </c>
      <c r="E628">
        <v>0</v>
      </c>
      <c r="F628">
        <v>0</v>
      </c>
      <c r="H628">
        <v>1</v>
      </c>
      <c r="I628">
        <v>0</v>
      </c>
      <c r="J628">
        <v>0</v>
      </c>
      <c r="K628">
        <v>0</v>
      </c>
      <c r="L628">
        <v>0</v>
      </c>
      <c r="P628">
        <v>1</v>
      </c>
      <c r="Q628">
        <v>0</v>
      </c>
      <c r="R628">
        <v>0</v>
      </c>
      <c r="S628">
        <v>0</v>
      </c>
      <c r="T628">
        <v>0</v>
      </c>
      <c r="U628">
        <v>0</v>
      </c>
      <c r="V628">
        <v>0</v>
      </c>
      <c r="W628">
        <v>0</v>
      </c>
      <c r="X628">
        <v>0</v>
      </c>
      <c r="Y628">
        <v>0</v>
      </c>
      <c r="Z628">
        <v>0</v>
      </c>
      <c r="AA628">
        <v>0</v>
      </c>
      <c r="AC628">
        <v>0</v>
      </c>
      <c r="AD628">
        <v>0</v>
      </c>
      <c r="AE628">
        <v>0</v>
      </c>
      <c r="AF628">
        <v>0</v>
      </c>
      <c r="AG628">
        <v>0</v>
      </c>
      <c r="AH628">
        <v>0</v>
      </c>
      <c r="AI628">
        <v>1</v>
      </c>
      <c r="AJ628">
        <v>0</v>
      </c>
      <c r="AK628">
        <v>0</v>
      </c>
      <c r="AZ628" t="s">
        <v>73</v>
      </c>
      <c r="BA628" t="s">
        <v>74</v>
      </c>
      <c r="BF628" t="s">
        <v>97</v>
      </c>
      <c r="BG628" t="s">
        <v>92</v>
      </c>
      <c r="BH628" t="s">
        <v>158</v>
      </c>
      <c r="BI628" t="s">
        <v>73</v>
      </c>
      <c r="BJ628" t="s">
        <v>78</v>
      </c>
      <c r="BK628">
        <v>0</v>
      </c>
      <c r="BL628">
        <v>0</v>
      </c>
      <c r="BM628">
        <v>0</v>
      </c>
      <c r="BN628">
        <v>0</v>
      </c>
      <c r="BO628">
        <v>0</v>
      </c>
      <c r="BP628">
        <v>1</v>
      </c>
      <c r="BQ628">
        <v>0</v>
      </c>
      <c r="BR628">
        <v>0</v>
      </c>
    </row>
    <row r="629" spans="1:70" x14ac:dyDescent="0.2">
      <c r="A629" s="1">
        <v>44579.925694444442</v>
      </c>
      <c r="B629" s="1">
        <v>44579.928472222222</v>
      </c>
      <c r="C629">
        <v>1</v>
      </c>
      <c r="D629">
        <v>0</v>
      </c>
      <c r="E629">
        <v>0</v>
      </c>
      <c r="F629">
        <v>0</v>
      </c>
      <c r="H629">
        <v>1</v>
      </c>
      <c r="I629">
        <v>0</v>
      </c>
      <c r="J629">
        <v>0</v>
      </c>
      <c r="K629">
        <v>0</v>
      </c>
      <c r="L629">
        <v>0</v>
      </c>
      <c r="P629">
        <v>0</v>
      </c>
      <c r="Q629">
        <v>1</v>
      </c>
      <c r="R629">
        <v>0</v>
      </c>
      <c r="S629">
        <v>0</v>
      </c>
      <c r="T629">
        <v>0</v>
      </c>
      <c r="U629">
        <v>0</v>
      </c>
      <c r="V629">
        <v>0</v>
      </c>
      <c r="W629">
        <v>0</v>
      </c>
      <c r="X629">
        <v>0</v>
      </c>
      <c r="Y629">
        <v>0</v>
      </c>
      <c r="Z629">
        <v>0</v>
      </c>
      <c r="AA629">
        <v>0</v>
      </c>
      <c r="AM629" t="s">
        <v>82</v>
      </c>
      <c r="AN629" t="s">
        <v>81</v>
      </c>
      <c r="AO629" t="s">
        <v>83</v>
      </c>
      <c r="AP629" t="s">
        <v>81</v>
      </c>
      <c r="AQ629" t="s">
        <v>82</v>
      </c>
      <c r="AR629" t="s">
        <v>81</v>
      </c>
      <c r="AS629" t="s">
        <v>81</v>
      </c>
      <c r="AT629" t="s">
        <v>83</v>
      </c>
      <c r="AU629" t="s">
        <v>84</v>
      </c>
      <c r="AV629" t="s">
        <v>80</v>
      </c>
      <c r="AW629" t="s">
        <v>153</v>
      </c>
      <c r="AZ629" t="s">
        <v>96</v>
      </c>
      <c r="BA629" t="s">
        <v>87</v>
      </c>
      <c r="BB629" t="s">
        <v>87</v>
      </c>
      <c r="BC629" t="s">
        <v>87</v>
      </c>
      <c r="BD629" t="s">
        <v>86</v>
      </c>
      <c r="BE629" t="s">
        <v>74</v>
      </c>
      <c r="BF629" t="s">
        <v>97</v>
      </c>
      <c r="BG629" t="s">
        <v>92</v>
      </c>
      <c r="BH629" t="s">
        <v>158</v>
      </c>
      <c r="BI629" t="s">
        <v>96</v>
      </c>
      <c r="BJ629" t="s">
        <v>78</v>
      </c>
      <c r="BK629">
        <v>0</v>
      </c>
      <c r="BL629">
        <v>0</v>
      </c>
      <c r="BM629">
        <v>0</v>
      </c>
      <c r="BN629">
        <v>0</v>
      </c>
      <c r="BO629">
        <v>0</v>
      </c>
      <c r="BP629">
        <v>1</v>
      </c>
      <c r="BQ629">
        <v>0</v>
      </c>
      <c r="BR629">
        <v>0</v>
      </c>
    </row>
    <row r="630" spans="1:70" x14ac:dyDescent="0.2">
      <c r="A630" s="1">
        <v>44580.656944444447</v>
      </c>
      <c r="B630" s="1">
        <v>44580.658333333333</v>
      </c>
      <c r="C630">
        <v>1</v>
      </c>
      <c r="D630">
        <v>0</v>
      </c>
      <c r="E630">
        <v>0</v>
      </c>
      <c r="F630">
        <v>0</v>
      </c>
      <c r="H630">
        <v>1</v>
      </c>
      <c r="I630">
        <v>0</v>
      </c>
      <c r="J630">
        <v>0</v>
      </c>
      <c r="K630">
        <v>0</v>
      </c>
      <c r="L630">
        <v>0</v>
      </c>
      <c r="P630">
        <v>1</v>
      </c>
      <c r="Q630">
        <v>0</v>
      </c>
      <c r="R630">
        <v>0</v>
      </c>
      <c r="S630">
        <v>0</v>
      </c>
      <c r="T630">
        <v>0</v>
      </c>
      <c r="U630">
        <v>0</v>
      </c>
      <c r="V630">
        <v>0</v>
      </c>
      <c r="W630">
        <v>0</v>
      </c>
      <c r="X630">
        <v>0</v>
      </c>
      <c r="Y630">
        <v>0</v>
      </c>
      <c r="Z630">
        <v>0</v>
      </c>
      <c r="AA630">
        <v>0</v>
      </c>
      <c r="AC630">
        <v>0</v>
      </c>
      <c r="AD630">
        <v>0</v>
      </c>
      <c r="AE630">
        <v>0</v>
      </c>
      <c r="AF630">
        <v>0</v>
      </c>
      <c r="AG630">
        <v>0</v>
      </c>
      <c r="AH630">
        <v>0</v>
      </c>
      <c r="AI630">
        <v>1</v>
      </c>
      <c r="AJ630">
        <v>0</v>
      </c>
      <c r="AK630">
        <v>0</v>
      </c>
      <c r="AZ630" t="s">
        <v>73</v>
      </c>
      <c r="BA630" t="s">
        <v>87</v>
      </c>
      <c r="BB630" t="s">
        <v>87</v>
      </c>
      <c r="BC630" t="s">
        <v>87</v>
      </c>
      <c r="BD630" t="s">
        <v>87</v>
      </c>
      <c r="BE630" t="s">
        <v>87</v>
      </c>
      <c r="BF630" t="s">
        <v>97</v>
      </c>
      <c r="BG630" t="s">
        <v>92</v>
      </c>
      <c r="BH630" t="s">
        <v>158</v>
      </c>
      <c r="BI630" t="s">
        <v>73</v>
      </c>
      <c r="BJ630" t="s">
        <v>114</v>
      </c>
      <c r="BK630">
        <v>0</v>
      </c>
      <c r="BL630">
        <v>0</v>
      </c>
      <c r="BM630">
        <v>0</v>
      </c>
      <c r="BN630">
        <v>0</v>
      </c>
      <c r="BO630">
        <v>0</v>
      </c>
      <c r="BP630">
        <v>1</v>
      </c>
      <c r="BQ630">
        <v>0</v>
      </c>
      <c r="BR630">
        <v>0</v>
      </c>
    </row>
    <row r="631" spans="1:70" x14ac:dyDescent="0.2">
      <c r="A631" s="1">
        <v>44583.813194444447</v>
      </c>
      <c r="B631" s="1">
        <v>44583.81527777778</v>
      </c>
      <c r="C631">
        <v>1</v>
      </c>
      <c r="D631">
        <v>0</v>
      </c>
      <c r="E631">
        <v>0</v>
      </c>
      <c r="F631">
        <v>0</v>
      </c>
      <c r="H631">
        <v>1</v>
      </c>
      <c r="I631">
        <v>0</v>
      </c>
      <c r="J631">
        <v>0</v>
      </c>
      <c r="K631">
        <v>0</v>
      </c>
      <c r="L631">
        <v>0</v>
      </c>
      <c r="P631">
        <v>1</v>
      </c>
      <c r="Q631">
        <v>0</v>
      </c>
      <c r="R631">
        <v>0</v>
      </c>
      <c r="S631">
        <v>0</v>
      </c>
      <c r="T631">
        <v>0</v>
      </c>
      <c r="U631">
        <v>0</v>
      </c>
      <c r="V631">
        <v>0</v>
      </c>
      <c r="W631">
        <v>0</v>
      </c>
      <c r="X631">
        <v>0</v>
      </c>
      <c r="Y631">
        <v>0</v>
      </c>
      <c r="Z631">
        <v>0</v>
      </c>
      <c r="AA631">
        <v>0</v>
      </c>
      <c r="AC631">
        <v>0</v>
      </c>
      <c r="AD631">
        <v>0</v>
      </c>
      <c r="AE631">
        <v>1</v>
      </c>
      <c r="AF631">
        <v>0</v>
      </c>
      <c r="AG631">
        <v>0</v>
      </c>
      <c r="AH631">
        <v>1</v>
      </c>
      <c r="AI631">
        <v>0</v>
      </c>
      <c r="AJ631">
        <v>0</v>
      </c>
      <c r="AK631">
        <v>0</v>
      </c>
      <c r="AZ631" t="s">
        <v>73</v>
      </c>
      <c r="BA631" t="s">
        <v>87</v>
      </c>
      <c r="BB631" t="s">
        <v>87</v>
      </c>
      <c r="BC631" t="s">
        <v>87</v>
      </c>
      <c r="BD631" t="s">
        <v>87</v>
      </c>
      <c r="BE631" t="s">
        <v>87</v>
      </c>
      <c r="BF631" t="s">
        <v>97</v>
      </c>
      <c r="BG631" t="s">
        <v>76</v>
      </c>
      <c r="BH631" t="s">
        <v>98</v>
      </c>
      <c r="BI631" t="s">
        <v>73</v>
      </c>
      <c r="BJ631" t="s">
        <v>114</v>
      </c>
      <c r="BK631">
        <v>1</v>
      </c>
      <c r="BL631">
        <v>0</v>
      </c>
      <c r="BM631">
        <v>0</v>
      </c>
      <c r="BN631">
        <v>0</v>
      </c>
      <c r="BO631">
        <v>0</v>
      </c>
      <c r="BP631">
        <v>0</v>
      </c>
      <c r="BQ631">
        <v>0</v>
      </c>
      <c r="BR631">
        <v>0</v>
      </c>
    </row>
    <row r="632" spans="1:70" x14ac:dyDescent="0.2">
      <c r="A632" s="1">
        <v>44579.939583333333</v>
      </c>
      <c r="B632" s="1">
        <v>44579.942361111112</v>
      </c>
      <c r="C632">
        <v>1</v>
      </c>
      <c r="D632">
        <v>0</v>
      </c>
      <c r="E632">
        <v>0</v>
      </c>
      <c r="F632">
        <v>0</v>
      </c>
      <c r="H632">
        <v>0</v>
      </c>
      <c r="I632">
        <v>1</v>
      </c>
      <c r="J632">
        <v>0</v>
      </c>
      <c r="K632">
        <v>0</v>
      </c>
      <c r="L632">
        <v>0</v>
      </c>
      <c r="N632" t="s">
        <v>88</v>
      </c>
      <c r="O632" t="s">
        <v>89</v>
      </c>
      <c r="P632">
        <v>0</v>
      </c>
      <c r="Q632">
        <v>1</v>
      </c>
      <c r="R632">
        <v>0</v>
      </c>
      <c r="S632">
        <v>0</v>
      </c>
      <c r="T632">
        <v>0</v>
      </c>
      <c r="U632">
        <v>0</v>
      </c>
      <c r="V632">
        <v>0</v>
      </c>
      <c r="W632">
        <v>0</v>
      </c>
      <c r="X632">
        <v>0</v>
      </c>
      <c r="Y632">
        <v>0</v>
      </c>
      <c r="Z632">
        <v>0</v>
      </c>
      <c r="AA632">
        <v>0</v>
      </c>
      <c r="AM632" t="s">
        <v>83</v>
      </c>
      <c r="AN632" t="s">
        <v>82</v>
      </c>
      <c r="AO632" t="s">
        <v>83</v>
      </c>
      <c r="AP632" t="s">
        <v>81</v>
      </c>
      <c r="AQ632" t="s">
        <v>81</v>
      </c>
      <c r="AR632" t="s">
        <v>83</v>
      </c>
      <c r="AS632" t="s">
        <v>83</v>
      </c>
      <c r="AT632" t="s">
        <v>83</v>
      </c>
      <c r="AU632" t="s">
        <v>88</v>
      </c>
      <c r="AV632" t="s">
        <v>89</v>
      </c>
      <c r="AW632" t="s">
        <v>100</v>
      </c>
      <c r="AX632" t="s">
        <v>146</v>
      </c>
      <c r="AZ632" t="s">
        <v>73</v>
      </c>
      <c r="BA632" t="s">
        <v>86</v>
      </c>
      <c r="BB632" t="s">
        <v>87</v>
      </c>
      <c r="BC632" t="s">
        <v>87</v>
      </c>
      <c r="BD632" t="s">
        <v>86</v>
      </c>
      <c r="BE632" t="s">
        <v>86</v>
      </c>
      <c r="BF632" t="s">
        <v>75</v>
      </c>
      <c r="BG632" t="s">
        <v>92</v>
      </c>
      <c r="BH632" t="s">
        <v>77</v>
      </c>
      <c r="BI632" t="s">
        <v>73</v>
      </c>
      <c r="BJ632" t="s">
        <v>78</v>
      </c>
      <c r="BK632">
        <v>0</v>
      </c>
      <c r="BL632">
        <v>0</v>
      </c>
      <c r="BM632">
        <v>0</v>
      </c>
      <c r="BN632">
        <v>0</v>
      </c>
      <c r="BO632">
        <v>0</v>
      </c>
      <c r="BP632">
        <v>1</v>
      </c>
      <c r="BQ632">
        <v>0</v>
      </c>
      <c r="BR632">
        <v>0</v>
      </c>
    </row>
    <row r="633" spans="1:70" x14ac:dyDescent="0.2">
      <c r="A633" s="1">
        <v>44585.6875</v>
      </c>
      <c r="B633" s="1">
        <v>44585.690972222219</v>
      </c>
      <c r="C633">
        <v>1</v>
      </c>
      <c r="D633">
        <v>0</v>
      </c>
      <c r="E633">
        <v>0</v>
      </c>
      <c r="F633">
        <v>0</v>
      </c>
      <c r="H633">
        <v>0</v>
      </c>
      <c r="I633">
        <v>1</v>
      </c>
      <c r="J633">
        <v>0</v>
      </c>
      <c r="K633">
        <v>0</v>
      </c>
      <c r="L633">
        <v>0</v>
      </c>
      <c r="N633" t="s">
        <v>79</v>
      </c>
      <c r="O633" t="s">
        <v>80</v>
      </c>
      <c r="P633">
        <v>1</v>
      </c>
      <c r="Q633">
        <v>0</v>
      </c>
      <c r="R633">
        <v>0</v>
      </c>
      <c r="S633">
        <v>0</v>
      </c>
      <c r="T633">
        <v>0</v>
      </c>
      <c r="U633">
        <v>0</v>
      </c>
      <c r="V633">
        <v>0</v>
      </c>
      <c r="W633">
        <v>0</v>
      </c>
      <c r="X633">
        <v>0</v>
      </c>
      <c r="Y633">
        <v>0</v>
      </c>
      <c r="Z633">
        <v>0</v>
      </c>
      <c r="AA633">
        <v>0</v>
      </c>
      <c r="AC633">
        <v>0</v>
      </c>
      <c r="AD633">
        <v>0</v>
      </c>
      <c r="AE633">
        <v>1</v>
      </c>
      <c r="AF633">
        <v>0</v>
      </c>
      <c r="AG633">
        <v>1</v>
      </c>
      <c r="AH633">
        <v>0</v>
      </c>
      <c r="AI633">
        <v>0</v>
      </c>
      <c r="AJ633">
        <v>0</v>
      </c>
      <c r="AK633">
        <v>0</v>
      </c>
      <c r="AX633" t="s">
        <v>110</v>
      </c>
      <c r="AY633" t="s">
        <v>330</v>
      </c>
      <c r="AZ633" t="s">
        <v>107</v>
      </c>
      <c r="BA633" t="s">
        <v>87</v>
      </c>
      <c r="BB633" t="s">
        <v>87</v>
      </c>
      <c r="BC633" t="s">
        <v>87</v>
      </c>
      <c r="BD633" t="s">
        <v>86</v>
      </c>
      <c r="BE633" t="s">
        <v>87</v>
      </c>
      <c r="BF633" t="s">
        <v>75</v>
      </c>
      <c r="BG633" t="s">
        <v>92</v>
      </c>
      <c r="BH633" t="s">
        <v>98</v>
      </c>
      <c r="BI633" t="s">
        <v>107</v>
      </c>
      <c r="BJ633" t="s">
        <v>99</v>
      </c>
      <c r="BK633">
        <v>1</v>
      </c>
      <c r="BL633">
        <v>0</v>
      </c>
      <c r="BM633">
        <v>0</v>
      </c>
      <c r="BN633">
        <v>0</v>
      </c>
      <c r="BO633">
        <v>0</v>
      </c>
      <c r="BP633">
        <v>0</v>
      </c>
      <c r="BQ633">
        <v>0</v>
      </c>
      <c r="BR633">
        <v>0</v>
      </c>
    </row>
    <row r="634" spans="1:70" x14ac:dyDescent="0.2">
      <c r="A634" s="1">
        <v>44580.490277777775</v>
      </c>
      <c r="B634" s="1">
        <v>44580.492361111108</v>
      </c>
      <c r="C634">
        <v>1</v>
      </c>
      <c r="D634">
        <v>0</v>
      </c>
      <c r="E634">
        <v>0</v>
      </c>
      <c r="F634">
        <v>0</v>
      </c>
      <c r="H634">
        <v>0</v>
      </c>
      <c r="I634">
        <v>1</v>
      </c>
      <c r="J634">
        <v>0</v>
      </c>
      <c r="K634">
        <v>0</v>
      </c>
      <c r="L634">
        <v>0</v>
      </c>
      <c r="N634" t="s">
        <v>88</v>
      </c>
      <c r="O634" t="s">
        <v>89</v>
      </c>
      <c r="P634">
        <v>0</v>
      </c>
      <c r="Q634">
        <v>0</v>
      </c>
      <c r="R634">
        <v>1</v>
      </c>
      <c r="S634">
        <v>1</v>
      </c>
      <c r="T634">
        <v>0</v>
      </c>
      <c r="U634">
        <v>0</v>
      </c>
      <c r="V634">
        <v>0</v>
      </c>
      <c r="W634">
        <v>0</v>
      </c>
      <c r="X634">
        <v>0</v>
      </c>
      <c r="Y634">
        <v>0</v>
      </c>
      <c r="Z634">
        <v>0</v>
      </c>
      <c r="AA634">
        <v>0</v>
      </c>
      <c r="AM634" t="s">
        <v>81</v>
      </c>
      <c r="AN634" t="s">
        <v>81</v>
      </c>
      <c r="AO634" t="s">
        <v>83</v>
      </c>
      <c r="AP634" t="s">
        <v>81</v>
      </c>
      <c r="AQ634" t="s">
        <v>81</v>
      </c>
      <c r="AR634" t="s">
        <v>81</v>
      </c>
      <c r="AS634" t="s">
        <v>81</v>
      </c>
      <c r="AT634" t="s">
        <v>83</v>
      </c>
      <c r="AU634" t="s">
        <v>88</v>
      </c>
      <c r="AV634" t="s">
        <v>89</v>
      </c>
      <c r="AW634" t="s">
        <v>100</v>
      </c>
      <c r="AZ634" t="s">
        <v>73</v>
      </c>
      <c r="BA634" t="s">
        <v>87</v>
      </c>
      <c r="BB634" t="s">
        <v>86</v>
      </c>
      <c r="BC634" t="s">
        <v>87</v>
      </c>
      <c r="BD634" t="s">
        <v>87</v>
      </c>
      <c r="BE634" t="s">
        <v>87</v>
      </c>
      <c r="BF634" t="s">
        <v>97</v>
      </c>
      <c r="BG634" t="s">
        <v>76</v>
      </c>
      <c r="BH634" t="s">
        <v>158</v>
      </c>
      <c r="BI634" t="s">
        <v>73</v>
      </c>
      <c r="BJ634" t="s">
        <v>165</v>
      </c>
      <c r="BK634">
        <v>1</v>
      </c>
      <c r="BL634">
        <v>0</v>
      </c>
      <c r="BM634">
        <v>0</v>
      </c>
      <c r="BN634">
        <v>0</v>
      </c>
      <c r="BO634">
        <v>0</v>
      </c>
      <c r="BP634">
        <v>0</v>
      </c>
      <c r="BQ634">
        <v>0</v>
      </c>
      <c r="BR634">
        <v>0</v>
      </c>
    </row>
    <row r="635" spans="1:70" x14ac:dyDescent="0.2">
      <c r="A635" s="1">
        <v>44591.575694444444</v>
      </c>
      <c r="B635" s="1">
        <v>44591.581250000003</v>
      </c>
      <c r="C635">
        <v>1</v>
      </c>
      <c r="D635">
        <v>0</v>
      </c>
      <c r="E635">
        <v>0</v>
      </c>
      <c r="F635">
        <v>0</v>
      </c>
      <c r="H635">
        <v>1</v>
      </c>
      <c r="I635">
        <v>0</v>
      </c>
      <c r="J635">
        <v>0</v>
      </c>
      <c r="K635">
        <v>0</v>
      </c>
      <c r="L635">
        <v>0</v>
      </c>
      <c r="P635">
        <v>1</v>
      </c>
      <c r="Q635">
        <v>0</v>
      </c>
      <c r="R635">
        <v>0</v>
      </c>
      <c r="S635">
        <v>0</v>
      </c>
      <c r="T635">
        <v>0</v>
      </c>
      <c r="U635">
        <v>0</v>
      </c>
      <c r="V635">
        <v>0</v>
      </c>
      <c r="W635">
        <v>0</v>
      </c>
      <c r="X635">
        <v>0</v>
      </c>
      <c r="Y635">
        <v>0</v>
      </c>
      <c r="Z635">
        <v>0</v>
      </c>
      <c r="AA635">
        <v>0</v>
      </c>
      <c r="AC635">
        <v>0</v>
      </c>
      <c r="AD635">
        <v>0</v>
      </c>
      <c r="AE635">
        <v>0</v>
      </c>
      <c r="AF635">
        <v>1</v>
      </c>
      <c r="AG635">
        <v>0</v>
      </c>
      <c r="AH635">
        <v>1</v>
      </c>
      <c r="AI635">
        <v>0</v>
      </c>
      <c r="AJ635">
        <v>0</v>
      </c>
      <c r="AK635">
        <v>0</v>
      </c>
      <c r="AZ635" t="s">
        <v>120</v>
      </c>
      <c r="BA635" t="s">
        <v>74</v>
      </c>
      <c r="BF635" t="s">
        <v>97</v>
      </c>
      <c r="BG635" t="s">
        <v>92</v>
      </c>
      <c r="BH635" t="s">
        <v>98</v>
      </c>
      <c r="BI635" t="s">
        <v>120</v>
      </c>
      <c r="BJ635" t="s">
        <v>129</v>
      </c>
      <c r="BK635">
        <v>0</v>
      </c>
      <c r="BL635">
        <v>0</v>
      </c>
      <c r="BM635">
        <v>0</v>
      </c>
      <c r="BN635">
        <v>0</v>
      </c>
      <c r="BO635">
        <v>0</v>
      </c>
      <c r="BP635">
        <v>1</v>
      </c>
      <c r="BQ635">
        <v>0</v>
      </c>
      <c r="BR635">
        <v>0</v>
      </c>
    </row>
    <row r="636" spans="1:70" x14ac:dyDescent="0.2">
      <c r="A636" s="1">
        <v>44589.663888888892</v>
      </c>
      <c r="B636" s="1">
        <v>44589.677777777775</v>
      </c>
      <c r="C636">
        <v>0</v>
      </c>
      <c r="D636">
        <v>1</v>
      </c>
      <c r="E636">
        <v>0</v>
      </c>
      <c r="F636">
        <v>0</v>
      </c>
      <c r="H636">
        <v>1</v>
      </c>
      <c r="I636">
        <v>0</v>
      </c>
      <c r="J636">
        <v>0</v>
      </c>
      <c r="K636">
        <v>0</v>
      </c>
      <c r="L636">
        <v>0</v>
      </c>
      <c r="P636">
        <v>1</v>
      </c>
      <c r="Q636">
        <v>0</v>
      </c>
      <c r="R636">
        <v>0</v>
      </c>
      <c r="S636">
        <v>0</v>
      </c>
      <c r="T636">
        <v>0</v>
      </c>
      <c r="U636">
        <v>0</v>
      </c>
      <c r="V636">
        <v>0</v>
      </c>
      <c r="W636">
        <v>0</v>
      </c>
      <c r="X636">
        <v>0</v>
      </c>
      <c r="Y636">
        <v>0</v>
      </c>
      <c r="Z636">
        <v>0</v>
      </c>
      <c r="AA636">
        <v>0</v>
      </c>
      <c r="AC636">
        <v>0</v>
      </c>
      <c r="AD636">
        <v>0</v>
      </c>
      <c r="AE636">
        <v>0</v>
      </c>
      <c r="AF636">
        <v>0</v>
      </c>
      <c r="AG636">
        <v>0</v>
      </c>
      <c r="AH636">
        <v>0</v>
      </c>
      <c r="AI636">
        <v>0</v>
      </c>
      <c r="AJ636">
        <v>0</v>
      </c>
      <c r="AK636">
        <v>1</v>
      </c>
      <c r="AL636" t="s">
        <v>331</v>
      </c>
      <c r="AX636" t="s">
        <v>191</v>
      </c>
      <c r="AZ636" t="s">
        <v>107</v>
      </c>
      <c r="BA636" t="s">
        <v>87</v>
      </c>
      <c r="BB636" t="s">
        <v>87</v>
      </c>
      <c r="BC636" t="s">
        <v>87</v>
      </c>
      <c r="BD636" t="s">
        <v>87</v>
      </c>
      <c r="BE636" t="s">
        <v>86</v>
      </c>
      <c r="BF636" t="s">
        <v>75</v>
      </c>
      <c r="BG636" t="s">
        <v>92</v>
      </c>
      <c r="BH636" t="s">
        <v>98</v>
      </c>
      <c r="BI636" t="s">
        <v>107</v>
      </c>
      <c r="BJ636" t="s">
        <v>109</v>
      </c>
      <c r="BK636">
        <v>0</v>
      </c>
      <c r="BL636">
        <v>0</v>
      </c>
      <c r="BM636">
        <v>0</v>
      </c>
      <c r="BN636">
        <v>0</v>
      </c>
      <c r="BO636">
        <v>0</v>
      </c>
      <c r="BP636">
        <v>1</v>
      </c>
      <c r="BQ636">
        <v>0</v>
      </c>
      <c r="BR636">
        <v>0</v>
      </c>
    </row>
    <row r="637" spans="1:70" x14ac:dyDescent="0.2">
      <c r="A637" s="1">
        <v>44580.189583333333</v>
      </c>
      <c r="B637" s="1">
        <v>44580.193055555559</v>
      </c>
      <c r="C637">
        <v>0</v>
      </c>
      <c r="D637">
        <v>1</v>
      </c>
      <c r="E637">
        <v>0</v>
      </c>
      <c r="F637">
        <v>0</v>
      </c>
      <c r="H637">
        <v>0</v>
      </c>
      <c r="I637">
        <v>1</v>
      </c>
      <c r="J637">
        <v>0</v>
      </c>
      <c r="K637">
        <v>1</v>
      </c>
      <c r="L637">
        <v>0</v>
      </c>
      <c r="N637" t="s">
        <v>135</v>
      </c>
      <c r="O637" t="s">
        <v>80</v>
      </c>
      <c r="P637">
        <v>0</v>
      </c>
      <c r="Q637">
        <v>0</v>
      </c>
      <c r="R637">
        <v>0</v>
      </c>
      <c r="S637">
        <v>0</v>
      </c>
      <c r="T637">
        <v>0</v>
      </c>
      <c r="U637">
        <v>0</v>
      </c>
      <c r="V637">
        <v>0</v>
      </c>
      <c r="W637">
        <v>0</v>
      </c>
      <c r="X637">
        <v>0</v>
      </c>
      <c r="Y637">
        <v>0</v>
      </c>
      <c r="Z637">
        <v>0</v>
      </c>
      <c r="AA637">
        <v>1</v>
      </c>
      <c r="AB637" t="s">
        <v>332</v>
      </c>
      <c r="AM637" t="s">
        <v>90</v>
      </c>
      <c r="AN637" t="s">
        <v>81</v>
      </c>
      <c r="AO637" t="s">
        <v>82</v>
      </c>
      <c r="AP637" t="s">
        <v>83</v>
      </c>
      <c r="AQ637" t="s">
        <v>81</v>
      </c>
      <c r="AR637" t="s">
        <v>83</v>
      </c>
      <c r="AS637" t="s">
        <v>83</v>
      </c>
      <c r="AT637" t="s">
        <v>81</v>
      </c>
      <c r="AU637" t="s">
        <v>88</v>
      </c>
      <c r="AV637" t="s">
        <v>89</v>
      </c>
      <c r="AW637" t="s">
        <v>100</v>
      </c>
      <c r="AZ637" t="s">
        <v>96</v>
      </c>
      <c r="BA637" t="s">
        <v>86</v>
      </c>
      <c r="BB637" t="s">
        <v>74</v>
      </c>
      <c r="BC637" t="s">
        <v>87</v>
      </c>
      <c r="BD637" t="s">
        <v>87</v>
      </c>
      <c r="BE637" t="s">
        <v>87</v>
      </c>
      <c r="BF637" t="s">
        <v>101</v>
      </c>
      <c r="BG637" t="s">
        <v>92</v>
      </c>
      <c r="BH637" t="s">
        <v>77</v>
      </c>
      <c r="BI637" t="s">
        <v>96</v>
      </c>
      <c r="BJ637" t="s">
        <v>78</v>
      </c>
      <c r="BK637">
        <v>0</v>
      </c>
      <c r="BL637">
        <v>0</v>
      </c>
      <c r="BM637">
        <v>0</v>
      </c>
      <c r="BN637">
        <v>0</v>
      </c>
      <c r="BO637">
        <v>0</v>
      </c>
      <c r="BP637">
        <v>0</v>
      </c>
      <c r="BQ637">
        <v>0</v>
      </c>
      <c r="BR637">
        <v>1</v>
      </c>
    </row>
    <row r="638" spans="1:70" x14ac:dyDescent="0.2">
      <c r="A638" s="1">
        <v>44585.899305555555</v>
      </c>
      <c r="B638" s="1">
        <v>44585.900694444441</v>
      </c>
      <c r="C638">
        <v>0</v>
      </c>
      <c r="D638">
        <v>1</v>
      </c>
      <c r="E638">
        <v>0</v>
      </c>
      <c r="F638">
        <v>0</v>
      </c>
      <c r="H638">
        <v>1</v>
      </c>
      <c r="I638">
        <v>0</v>
      </c>
      <c r="J638">
        <v>0</v>
      </c>
      <c r="K638">
        <v>0</v>
      </c>
      <c r="L638">
        <v>0</v>
      </c>
      <c r="P638">
        <v>1</v>
      </c>
      <c r="Q638">
        <v>0</v>
      </c>
      <c r="R638">
        <v>0</v>
      </c>
      <c r="S638">
        <v>0</v>
      </c>
      <c r="T638">
        <v>0</v>
      </c>
      <c r="U638">
        <v>0</v>
      </c>
      <c r="V638">
        <v>0</v>
      </c>
      <c r="W638">
        <v>0</v>
      </c>
      <c r="X638">
        <v>0</v>
      </c>
      <c r="Y638">
        <v>0</v>
      </c>
      <c r="Z638">
        <v>0</v>
      </c>
      <c r="AA638">
        <v>0</v>
      </c>
      <c r="AC638">
        <v>1</v>
      </c>
      <c r="AD638">
        <v>0</v>
      </c>
      <c r="AE638">
        <v>0</v>
      </c>
      <c r="AF638">
        <v>0</v>
      </c>
      <c r="AG638">
        <v>0</v>
      </c>
      <c r="AH638">
        <v>0</v>
      </c>
      <c r="AI638">
        <v>0</v>
      </c>
      <c r="AJ638">
        <v>0</v>
      </c>
      <c r="AK638">
        <v>0</v>
      </c>
      <c r="AX638" t="s">
        <v>106</v>
      </c>
      <c r="AZ638" t="s">
        <v>96</v>
      </c>
      <c r="BA638" t="s">
        <v>87</v>
      </c>
      <c r="BB638" t="s">
        <v>87</v>
      </c>
      <c r="BC638" t="s">
        <v>87</v>
      </c>
      <c r="BD638" t="s">
        <v>87</v>
      </c>
      <c r="BE638" t="s">
        <v>86</v>
      </c>
      <c r="BF638" t="s">
        <v>75</v>
      </c>
      <c r="BG638" t="s">
        <v>76</v>
      </c>
      <c r="BH638" t="s">
        <v>77</v>
      </c>
      <c r="BI638" t="s">
        <v>96</v>
      </c>
      <c r="BJ638" t="s">
        <v>114</v>
      </c>
      <c r="BK638">
        <v>1</v>
      </c>
      <c r="BL638">
        <v>0</v>
      </c>
      <c r="BM638">
        <v>0</v>
      </c>
      <c r="BN638">
        <v>0</v>
      </c>
      <c r="BO638">
        <v>0</v>
      </c>
      <c r="BP638">
        <v>0</v>
      </c>
      <c r="BQ638">
        <v>0</v>
      </c>
      <c r="BR638">
        <v>0</v>
      </c>
    </row>
    <row r="639" spans="1:70" x14ac:dyDescent="0.2">
      <c r="A639" s="1">
        <v>44580.506944444445</v>
      </c>
      <c r="B639" s="1">
        <v>44580.509027777778</v>
      </c>
      <c r="C639">
        <v>0</v>
      </c>
      <c r="D639">
        <v>1</v>
      </c>
      <c r="E639">
        <v>0</v>
      </c>
      <c r="F639">
        <v>0</v>
      </c>
      <c r="H639">
        <v>1</v>
      </c>
      <c r="I639">
        <v>0</v>
      </c>
      <c r="J639">
        <v>0</v>
      </c>
      <c r="K639">
        <v>0</v>
      </c>
      <c r="L639">
        <v>0</v>
      </c>
      <c r="P639">
        <v>0</v>
      </c>
      <c r="Q639">
        <v>1</v>
      </c>
      <c r="R639">
        <v>0</v>
      </c>
      <c r="S639">
        <v>0</v>
      </c>
      <c r="T639">
        <v>0</v>
      </c>
      <c r="U639">
        <v>0</v>
      </c>
      <c r="V639">
        <v>0</v>
      </c>
      <c r="W639">
        <v>0</v>
      </c>
      <c r="X639">
        <v>0</v>
      </c>
      <c r="Y639">
        <v>0</v>
      </c>
      <c r="Z639">
        <v>0</v>
      </c>
      <c r="AA639">
        <v>0</v>
      </c>
      <c r="AM639" t="s">
        <v>82</v>
      </c>
      <c r="AN639" t="s">
        <v>83</v>
      </c>
      <c r="AO639" t="s">
        <v>83</v>
      </c>
      <c r="AP639" t="s">
        <v>83</v>
      </c>
      <c r="AQ639" t="s">
        <v>82</v>
      </c>
      <c r="AR639" t="s">
        <v>83</v>
      </c>
      <c r="AS639" t="s">
        <v>83</v>
      </c>
      <c r="AT639" t="s">
        <v>90</v>
      </c>
      <c r="AU639" t="s">
        <v>88</v>
      </c>
      <c r="AV639" t="s">
        <v>89</v>
      </c>
      <c r="AW639" t="s">
        <v>85</v>
      </c>
      <c r="AZ639" t="s">
        <v>73</v>
      </c>
      <c r="BA639" t="s">
        <v>74</v>
      </c>
      <c r="BF639" t="s">
        <v>97</v>
      </c>
      <c r="BG639" t="s">
        <v>92</v>
      </c>
      <c r="BH639" t="s">
        <v>158</v>
      </c>
      <c r="BI639" t="s">
        <v>73</v>
      </c>
      <c r="BJ639" t="s">
        <v>78</v>
      </c>
      <c r="BK639">
        <v>0</v>
      </c>
      <c r="BL639">
        <v>0</v>
      </c>
      <c r="BM639">
        <v>0</v>
      </c>
      <c r="BN639">
        <v>0</v>
      </c>
      <c r="BO639">
        <v>0</v>
      </c>
      <c r="BP639">
        <v>1</v>
      </c>
      <c r="BQ639">
        <v>0</v>
      </c>
      <c r="BR639">
        <v>0</v>
      </c>
    </row>
    <row r="640" spans="1:70" x14ac:dyDescent="0.2">
      <c r="A640" s="1">
        <v>44579.895833333336</v>
      </c>
      <c r="B640" s="1">
        <v>44579.897222222222</v>
      </c>
      <c r="C640">
        <v>1</v>
      </c>
      <c r="D640">
        <v>0</v>
      </c>
      <c r="E640">
        <v>0</v>
      </c>
      <c r="F640">
        <v>0</v>
      </c>
      <c r="H640">
        <v>0</v>
      </c>
      <c r="I640">
        <v>1</v>
      </c>
      <c r="J640">
        <v>1</v>
      </c>
      <c r="K640">
        <v>0</v>
      </c>
      <c r="L640">
        <v>0</v>
      </c>
      <c r="N640" t="s">
        <v>88</v>
      </c>
      <c r="O640" t="s">
        <v>89</v>
      </c>
      <c r="P640">
        <v>0</v>
      </c>
      <c r="Q640">
        <v>0</v>
      </c>
      <c r="R640">
        <v>1</v>
      </c>
      <c r="S640">
        <v>0</v>
      </c>
      <c r="T640">
        <v>0</v>
      </c>
      <c r="U640">
        <v>0</v>
      </c>
      <c r="V640">
        <v>0</v>
      </c>
      <c r="W640">
        <v>0</v>
      </c>
      <c r="X640">
        <v>0</v>
      </c>
      <c r="Y640">
        <v>0</v>
      </c>
      <c r="Z640">
        <v>0</v>
      </c>
      <c r="AA640">
        <v>0</v>
      </c>
      <c r="AM640" t="s">
        <v>83</v>
      </c>
      <c r="AN640" t="s">
        <v>82</v>
      </c>
      <c r="AO640" t="s">
        <v>83</v>
      </c>
      <c r="AP640" t="s">
        <v>82</v>
      </c>
      <c r="AQ640" t="s">
        <v>82</v>
      </c>
      <c r="AR640" t="s">
        <v>81</v>
      </c>
      <c r="AS640" t="s">
        <v>83</v>
      </c>
      <c r="AT640" t="s">
        <v>81</v>
      </c>
      <c r="AU640" t="s">
        <v>88</v>
      </c>
      <c r="AV640" t="s">
        <v>89</v>
      </c>
      <c r="AW640" t="s">
        <v>85</v>
      </c>
      <c r="AX640" t="s">
        <v>242</v>
      </c>
      <c r="AZ640" t="s">
        <v>107</v>
      </c>
      <c r="BA640" t="s">
        <v>87</v>
      </c>
      <c r="BB640" t="s">
        <v>87</v>
      </c>
      <c r="BC640" t="s">
        <v>87</v>
      </c>
      <c r="BD640" t="s">
        <v>87</v>
      </c>
      <c r="BE640" t="s">
        <v>87</v>
      </c>
      <c r="BF640" t="s">
        <v>75</v>
      </c>
      <c r="BG640" t="s">
        <v>76</v>
      </c>
      <c r="BH640" t="s">
        <v>184</v>
      </c>
      <c r="BI640" t="s">
        <v>107</v>
      </c>
      <c r="BJ640" t="s">
        <v>78</v>
      </c>
      <c r="BK640">
        <v>0</v>
      </c>
      <c r="BL640">
        <v>0</v>
      </c>
      <c r="BM640">
        <v>0</v>
      </c>
      <c r="BN640">
        <v>0</v>
      </c>
      <c r="BO640">
        <v>0</v>
      </c>
      <c r="BP640">
        <v>1</v>
      </c>
      <c r="BQ640">
        <v>0</v>
      </c>
      <c r="BR640">
        <v>0</v>
      </c>
    </row>
    <row r="641" spans="1:70" x14ac:dyDescent="0.2">
      <c r="A641" s="1">
        <v>44589.933333333334</v>
      </c>
      <c r="B641" s="1">
        <v>44590.070138888892</v>
      </c>
      <c r="C641">
        <v>1</v>
      </c>
      <c r="D641">
        <v>0</v>
      </c>
      <c r="E641">
        <v>0</v>
      </c>
      <c r="F641">
        <v>0</v>
      </c>
      <c r="H641">
        <v>0</v>
      </c>
      <c r="I641">
        <v>1</v>
      </c>
      <c r="J641">
        <v>0</v>
      </c>
      <c r="K641">
        <v>1</v>
      </c>
      <c r="L641">
        <v>0</v>
      </c>
      <c r="N641" t="s">
        <v>79</v>
      </c>
      <c r="O641" t="s">
        <v>80</v>
      </c>
      <c r="P641">
        <v>0</v>
      </c>
      <c r="Q641">
        <v>1</v>
      </c>
      <c r="R641">
        <v>0</v>
      </c>
      <c r="S641">
        <v>0</v>
      </c>
      <c r="T641">
        <v>0</v>
      </c>
      <c r="U641">
        <v>0</v>
      </c>
      <c r="V641">
        <v>0</v>
      </c>
      <c r="W641">
        <v>0</v>
      </c>
      <c r="X641">
        <v>0</v>
      </c>
      <c r="Y641">
        <v>0</v>
      </c>
      <c r="Z641">
        <v>0</v>
      </c>
      <c r="AA641">
        <v>0</v>
      </c>
      <c r="AM641" t="s">
        <v>83</v>
      </c>
      <c r="AN641" t="s">
        <v>83</v>
      </c>
      <c r="AO641" t="s">
        <v>82</v>
      </c>
      <c r="AP641" t="s">
        <v>83</v>
      </c>
      <c r="AQ641" t="s">
        <v>83</v>
      </c>
      <c r="AR641" t="s">
        <v>83</v>
      </c>
      <c r="AS641" t="s">
        <v>83</v>
      </c>
      <c r="AT641" t="s">
        <v>83</v>
      </c>
      <c r="AU641" t="s">
        <v>88</v>
      </c>
      <c r="AV641" t="s">
        <v>89</v>
      </c>
      <c r="AW641" t="s">
        <v>100</v>
      </c>
      <c r="AX641" t="s">
        <v>199</v>
      </c>
      <c r="AZ641" t="s">
        <v>107</v>
      </c>
      <c r="BA641" t="s">
        <v>87</v>
      </c>
      <c r="BB641" t="s">
        <v>74</v>
      </c>
      <c r="BC641" t="s">
        <v>86</v>
      </c>
      <c r="BD641" t="s">
        <v>87</v>
      </c>
      <c r="BE641" t="s">
        <v>86</v>
      </c>
      <c r="BF641" t="s">
        <v>108</v>
      </c>
      <c r="BG641" t="s">
        <v>92</v>
      </c>
      <c r="BH641" t="s">
        <v>158</v>
      </c>
      <c r="BI641" t="s">
        <v>107</v>
      </c>
      <c r="BJ641" t="s">
        <v>109</v>
      </c>
      <c r="BK641">
        <v>0</v>
      </c>
      <c r="BL641">
        <v>0</v>
      </c>
      <c r="BM641">
        <v>0</v>
      </c>
      <c r="BN641">
        <v>0</v>
      </c>
      <c r="BO641">
        <v>0</v>
      </c>
      <c r="BP641">
        <v>1</v>
      </c>
      <c r="BQ641">
        <v>0</v>
      </c>
      <c r="BR641">
        <v>0</v>
      </c>
    </row>
    <row r="642" spans="1:70" x14ac:dyDescent="0.2">
      <c r="A642" s="1">
        <v>44588.970138888886</v>
      </c>
      <c r="B642" s="1">
        <v>44588.970833333333</v>
      </c>
      <c r="C642">
        <v>0</v>
      </c>
      <c r="D642">
        <v>1</v>
      </c>
      <c r="E642">
        <v>0</v>
      </c>
      <c r="F642">
        <v>0</v>
      </c>
      <c r="H642">
        <v>1</v>
      </c>
      <c r="I642">
        <v>0</v>
      </c>
      <c r="J642">
        <v>0</v>
      </c>
      <c r="K642">
        <v>0</v>
      </c>
      <c r="L642">
        <v>0</v>
      </c>
      <c r="P642">
        <v>1</v>
      </c>
      <c r="Q642">
        <v>0</v>
      </c>
      <c r="R642">
        <v>0</v>
      </c>
      <c r="S642">
        <v>0</v>
      </c>
      <c r="T642">
        <v>0</v>
      </c>
      <c r="U642">
        <v>0</v>
      </c>
      <c r="V642">
        <v>0</v>
      </c>
      <c r="W642">
        <v>0</v>
      </c>
      <c r="X642">
        <v>0</v>
      </c>
      <c r="Y642">
        <v>0</v>
      </c>
      <c r="Z642">
        <v>0</v>
      </c>
      <c r="AA642">
        <v>0</v>
      </c>
      <c r="AC642">
        <v>0</v>
      </c>
      <c r="AD642">
        <v>0</v>
      </c>
      <c r="AE642">
        <v>1</v>
      </c>
      <c r="AF642">
        <v>0</v>
      </c>
      <c r="AG642">
        <v>0</v>
      </c>
      <c r="AH642">
        <v>0</v>
      </c>
      <c r="AI642">
        <v>0</v>
      </c>
      <c r="AJ642">
        <v>1</v>
      </c>
      <c r="AK642">
        <v>0</v>
      </c>
      <c r="AZ642" t="s">
        <v>107</v>
      </c>
      <c r="BA642" t="s">
        <v>74</v>
      </c>
      <c r="BF642" t="s">
        <v>97</v>
      </c>
      <c r="BG642" t="s">
        <v>92</v>
      </c>
      <c r="BH642" t="s">
        <v>98</v>
      </c>
      <c r="BI642" t="s">
        <v>107</v>
      </c>
      <c r="BK642">
        <v>0</v>
      </c>
      <c r="BL642">
        <v>0</v>
      </c>
      <c r="BM642">
        <v>0</v>
      </c>
      <c r="BN642">
        <v>0</v>
      </c>
      <c r="BO642">
        <v>0</v>
      </c>
      <c r="BP642">
        <v>1</v>
      </c>
      <c r="BQ642">
        <v>0</v>
      </c>
      <c r="BR642">
        <v>0</v>
      </c>
    </row>
    <row r="643" spans="1:70" x14ac:dyDescent="0.2">
      <c r="A643" s="1">
        <v>44588.893750000003</v>
      </c>
      <c r="B643" s="1">
        <v>44588.895138888889</v>
      </c>
      <c r="C643">
        <v>1</v>
      </c>
      <c r="D643">
        <v>0</v>
      </c>
      <c r="E643">
        <v>0</v>
      </c>
      <c r="F643">
        <v>0</v>
      </c>
      <c r="H643">
        <v>0</v>
      </c>
      <c r="I643">
        <v>1</v>
      </c>
      <c r="J643">
        <v>1</v>
      </c>
      <c r="K643">
        <v>1</v>
      </c>
      <c r="L643">
        <v>0</v>
      </c>
      <c r="N643" t="s">
        <v>88</v>
      </c>
      <c r="O643" t="s">
        <v>80</v>
      </c>
      <c r="P643">
        <v>0</v>
      </c>
      <c r="Q643">
        <v>0</v>
      </c>
      <c r="R643">
        <v>1</v>
      </c>
      <c r="S643">
        <v>0</v>
      </c>
      <c r="T643">
        <v>0</v>
      </c>
      <c r="U643">
        <v>0</v>
      </c>
      <c r="V643">
        <v>0</v>
      </c>
      <c r="W643">
        <v>0</v>
      </c>
      <c r="X643">
        <v>0</v>
      </c>
      <c r="Y643">
        <v>0</v>
      </c>
      <c r="Z643">
        <v>0</v>
      </c>
      <c r="AA643">
        <v>0</v>
      </c>
      <c r="AM643" t="s">
        <v>82</v>
      </c>
      <c r="AN643" t="s">
        <v>81</v>
      </c>
      <c r="AO643" t="s">
        <v>82</v>
      </c>
      <c r="AP643" t="s">
        <v>81</v>
      </c>
      <c r="AQ643" t="s">
        <v>82</v>
      </c>
      <c r="AR643" t="s">
        <v>81</v>
      </c>
      <c r="AS643" t="s">
        <v>81</v>
      </c>
      <c r="AT643" t="s">
        <v>90</v>
      </c>
      <c r="AU643" t="s">
        <v>88</v>
      </c>
      <c r="AV643" t="s">
        <v>89</v>
      </c>
      <c r="AW643" t="s">
        <v>100</v>
      </c>
      <c r="AZ643" t="s">
        <v>107</v>
      </c>
      <c r="BA643" t="s">
        <v>86</v>
      </c>
      <c r="BB643" t="s">
        <v>74</v>
      </c>
      <c r="BC643" t="s">
        <v>87</v>
      </c>
      <c r="BD643" t="s">
        <v>86</v>
      </c>
      <c r="BE643" t="s">
        <v>87</v>
      </c>
      <c r="BF643" t="s">
        <v>97</v>
      </c>
      <c r="BG643" t="s">
        <v>92</v>
      </c>
      <c r="BH643" t="s">
        <v>98</v>
      </c>
      <c r="BI643" t="s">
        <v>107</v>
      </c>
      <c r="BJ643" t="s">
        <v>114</v>
      </c>
      <c r="BK643">
        <v>0</v>
      </c>
      <c r="BL643">
        <v>0</v>
      </c>
      <c r="BM643">
        <v>0</v>
      </c>
      <c r="BN643">
        <v>0</v>
      </c>
      <c r="BO643">
        <v>0</v>
      </c>
      <c r="BP643">
        <v>1</v>
      </c>
      <c r="BQ643">
        <v>0</v>
      </c>
      <c r="BR643">
        <v>0</v>
      </c>
    </row>
    <row r="644" spans="1:70" x14ac:dyDescent="0.2">
      <c r="A644" s="1">
        <v>44581.905555555553</v>
      </c>
      <c r="B644" s="1">
        <v>44581.908333333333</v>
      </c>
      <c r="C644">
        <v>0</v>
      </c>
      <c r="D644">
        <v>1</v>
      </c>
      <c r="E644">
        <v>0</v>
      </c>
      <c r="F644">
        <v>0</v>
      </c>
      <c r="H644">
        <v>1</v>
      </c>
      <c r="I644">
        <v>0</v>
      </c>
      <c r="J644">
        <v>0</v>
      </c>
      <c r="K644">
        <v>0</v>
      </c>
      <c r="L644">
        <v>0</v>
      </c>
      <c r="P644">
        <v>0</v>
      </c>
      <c r="Q644">
        <v>1</v>
      </c>
      <c r="R644">
        <v>0</v>
      </c>
      <c r="S644">
        <v>0</v>
      </c>
      <c r="T644">
        <v>0</v>
      </c>
      <c r="U644">
        <v>0</v>
      </c>
      <c r="V644">
        <v>0</v>
      </c>
      <c r="W644">
        <v>0</v>
      </c>
      <c r="X644">
        <v>0</v>
      </c>
      <c r="Y644">
        <v>0</v>
      </c>
      <c r="Z644">
        <v>0</v>
      </c>
      <c r="AA644">
        <v>0</v>
      </c>
      <c r="AM644" t="s">
        <v>83</v>
      </c>
      <c r="AN644" t="s">
        <v>82</v>
      </c>
      <c r="AO644" t="s">
        <v>81</v>
      </c>
      <c r="AP644" t="s">
        <v>83</v>
      </c>
      <c r="AQ644" t="s">
        <v>90</v>
      </c>
      <c r="AR644" t="s">
        <v>83</v>
      </c>
      <c r="AS644" t="s">
        <v>83</v>
      </c>
      <c r="AT644" t="s">
        <v>83</v>
      </c>
      <c r="AU644" t="s">
        <v>88</v>
      </c>
      <c r="AV644" t="s">
        <v>89</v>
      </c>
      <c r="AW644" t="s">
        <v>100</v>
      </c>
      <c r="AX644" t="s">
        <v>122</v>
      </c>
      <c r="AZ644" t="s">
        <v>73</v>
      </c>
      <c r="BA644" t="s">
        <v>86</v>
      </c>
      <c r="BB644" t="s">
        <v>87</v>
      </c>
      <c r="BC644" t="s">
        <v>87</v>
      </c>
      <c r="BD644" t="s">
        <v>87</v>
      </c>
      <c r="BE644" t="s">
        <v>87</v>
      </c>
      <c r="BF644" t="s">
        <v>75</v>
      </c>
      <c r="BG644" t="s">
        <v>76</v>
      </c>
      <c r="BH644" t="s">
        <v>77</v>
      </c>
      <c r="BI644" t="s">
        <v>73</v>
      </c>
      <c r="BJ644" t="s">
        <v>114</v>
      </c>
      <c r="BK644">
        <v>1</v>
      </c>
      <c r="BL644">
        <v>0</v>
      </c>
      <c r="BM644">
        <v>0</v>
      </c>
      <c r="BN644">
        <v>0</v>
      </c>
      <c r="BO644">
        <v>0</v>
      </c>
      <c r="BP644">
        <v>0</v>
      </c>
      <c r="BQ644">
        <v>0</v>
      </c>
      <c r="BR644">
        <v>0</v>
      </c>
    </row>
    <row r="645" spans="1:70" x14ac:dyDescent="0.2">
      <c r="A645" s="1">
        <v>44581.129166666666</v>
      </c>
      <c r="B645" s="1">
        <v>44581.131249999999</v>
      </c>
      <c r="C645">
        <v>1</v>
      </c>
      <c r="D645">
        <v>0</v>
      </c>
      <c r="E645">
        <v>0</v>
      </c>
      <c r="F645">
        <v>0</v>
      </c>
      <c r="H645">
        <v>1</v>
      </c>
      <c r="I645">
        <v>0</v>
      </c>
      <c r="J645">
        <v>0</v>
      </c>
      <c r="K645">
        <v>0</v>
      </c>
      <c r="L645">
        <v>0</v>
      </c>
      <c r="P645">
        <v>1</v>
      </c>
      <c r="Q645">
        <v>0</v>
      </c>
      <c r="R645">
        <v>0</v>
      </c>
      <c r="S645">
        <v>0</v>
      </c>
      <c r="T645">
        <v>0</v>
      </c>
      <c r="U645">
        <v>0</v>
      </c>
      <c r="V645">
        <v>0</v>
      </c>
      <c r="W645">
        <v>0</v>
      </c>
      <c r="X645">
        <v>0</v>
      </c>
      <c r="Y645">
        <v>0</v>
      </c>
      <c r="Z645">
        <v>0</v>
      </c>
      <c r="AA645">
        <v>0</v>
      </c>
      <c r="AC645">
        <v>0</v>
      </c>
      <c r="AD645">
        <v>0</v>
      </c>
      <c r="AE645">
        <v>1</v>
      </c>
      <c r="AF645">
        <v>0</v>
      </c>
      <c r="AG645">
        <v>0</v>
      </c>
      <c r="AH645">
        <v>1</v>
      </c>
      <c r="AI645">
        <v>0</v>
      </c>
      <c r="AJ645">
        <v>1</v>
      </c>
      <c r="AK645">
        <v>0</v>
      </c>
      <c r="AX645" t="s">
        <v>110</v>
      </c>
      <c r="AY645" t="s">
        <v>333</v>
      </c>
      <c r="AZ645" t="s">
        <v>73</v>
      </c>
      <c r="BA645" t="s">
        <v>87</v>
      </c>
      <c r="BB645" t="s">
        <v>87</v>
      </c>
      <c r="BC645" t="s">
        <v>87</v>
      </c>
      <c r="BD645" t="s">
        <v>87</v>
      </c>
      <c r="BE645" t="s">
        <v>87</v>
      </c>
      <c r="BF645" t="s">
        <v>75</v>
      </c>
      <c r="BG645" t="s">
        <v>76</v>
      </c>
      <c r="BH645" t="s">
        <v>98</v>
      </c>
      <c r="BI645" t="s">
        <v>73</v>
      </c>
      <c r="BJ645" t="s">
        <v>114</v>
      </c>
      <c r="BK645">
        <v>1</v>
      </c>
      <c r="BL645">
        <v>0</v>
      </c>
      <c r="BM645">
        <v>0</v>
      </c>
      <c r="BN645">
        <v>0</v>
      </c>
      <c r="BO645">
        <v>0</v>
      </c>
      <c r="BP645">
        <v>0</v>
      </c>
      <c r="BQ645">
        <v>0</v>
      </c>
      <c r="BR645">
        <v>0</v>
      </c>
    </row>
    <row r="646" spans="1:70" x14ac:dyDescent="0.2">
      <c r="A646" s="1">
        <v>44580.68472222222</v>
      </c>
      <c r="B646" s="1">
        <v>44580.686805555553</v>
      </c>
      <c r="C646">
        <v>1</v>
      </c>
      <c r="D646">
        <v>0</v>
      </c>
      <c r="E646">
        <v>0</v>
      </c>
      <c r="F646">
        <v>0</v>
      </c>
      <c r="H646">
        <v>0</v>
      </c>
      <c r="I646">
        <v>1</v>
      </c>
      <c r="J646">
        <v>0</v>
      </c>
      <c r="K646">
        <v>0</v>
      </c>
      <c r="L646">
        <v>0</v>
      </c>
      <c r="N646" t="s">
        <v>135</v>
      </c>
      <c r="O646" t="s">
        <v>80</v>
      </c>
      <c r="P646">
        <v>1</v>
      </c>
      <c r="Q646">
        <v>0</v>
      </c>
      <c r="R646">
        <v>0</v>
      </c>
      <c r="S646">
        <v>0</v>
      </c>
      <c r="T646">
        <v>0</v>
      </c>
      <c r="U646">
        <v>0</v>
      </c>
      <c r="V646">
        <v>0</v>
      </c>
      <c r="W646">
        <v>0</v>
      </c>
      <c r="X646">
        <v>0</v>
      </c>
      <c r="Y646">
        <v>0</v>
      </c>
      <c r="Z646">
        <v>0</v>
      </c>
      <c r="AA646">
        <v>0</v>
      </c>
      <c r="AC646">
        <v>0</v>
      </c>
      <c r="AD646">
        <v>1</v>
      </c>
      <c r="AE646">
        <v>0</v>
      </c>
      <c r="AF646">
        <v>0</v>
      </c>
      <c r="AG646">
        <v>0</v>
      </c>
      <c r="AH646">
        <v>0</v>
      </c>
      <c r="AI646">
        <v>0</v>
      </c>
      <c r="AJ646">
        <v>0</v>
      </c>
      <c r="AK646">
        <v>0</v>
      </c>
      <c r="AX646" t="s">
        <v>146</v>
      </c>
      <c r="AZ646" t="s">
        <v>107</v>
      </c>
      <c r="BA646" t="s">
        <v>87</v>
      </c>
      <c r="BB646" t="s">
        <v>87</v>
      </c>
      <c r="BC646" t="s">
        <v>87</v>
      </c>
      <c r="BD646" t="s">
        <v>86</v>
      </c>
      <c r="BE646" t="s">
        <v>74</v>
      </c>
      <c r="BF646" t="s">
        <v>75</v>
      </c>
      <c r="BG646" t="s">
        <v>92</v>
      </c>
      <c r="BH646" t="s">
        <v>98</v>
      </c>
      <c r="BI646" t="s">
        <v>107</v>
      </c>
      <c r="BJ646" t="s">
        <v>114</v>
      </c>
      <c r="BK646">
        <v>0</v>
      </c>
      <c r="BL646">
        <v>0</v>
      </c>
      <c r="BM646">
        <v>0</v>
      </c>
      <c r="BN646">
        <v>0</v>
      </c>
      <c r="BO646">
        <v>0</v>
      </c>
      <c r="BP646">
        <v>1</v>
      </c>
      <c r="BQ646">
        <v>0</v>
      </c>
      <c r="BR646">
        <v>0</v>
      </c>
    </row>
    <row r="647" spans="1:70" x14ac:dyDescent="0.2">
      <c r="A647" s="1">
        <v>44579.967361111114</v>
      </c>
      <c r="B647" s="1">
        <v>44579.972222222219</v>
      </c>
      <c r="C647">
        <v>1</v>
      </c>
      <c r="D647">
        <v>0</v>
      </c>
      <c r="E647">
        <v>0</v>
      </c>
      <c r="F647">
        <v>0</v>
      </c>
      <c r="H647">
        <v>0</v>
      </c>
      <c r="I647">
        <v>1</v>
      </c>
      <c r="J647">
        <v>1</v>
      </c>
      <c r="K647">
        <v>0</v>
      </c>
      <c r="L647">
        <v>0</v>
      </c>
      <c r="N647" t="s">
        <v>88</v>
      </c>
      <c r="O647" t="s">
        <v>89</v>
      </c>
      <c r="P647">
        <v>0</v>
      </c>
      <c r="Q647">
        <v>0</v>
      </c>
      <c r="R647">
        <v>1</v>
      </c>
      <c r="S647">
        <v>0</v>
      </c>
      <c r="T647">
        <v>0</v>
      </c>
      <c r="U647">
        <v>0</v>
      </c>
      <c r="V647">
        <v>0</v>
      </c>
      <c r="W647">
        <v>0</v>
      </c>
      <c r="X647">
        <v>0</v>
      </c>
      <c r="Y647">
        <v>0</v>
      </c>
      <c r="Z647">
        <v>0</v>
      </c>
      <c r="AA647">
        <v>0</v>
      </c>
      <c r="AM647" t="s">
        <v>83</v>
      </c>
      <c r="AN647" t="s">
        <v>82</v>
      </c>
      <c r="AO647" t="s">
        <v>81</v>
      </c>
      <c r="AP647" t="s">
        <v>81</v>
      </c>
      <c r="AQ647" t="s">
        <v>81</v>
      </c>
      <c r="AR647" t="s">
        <v>81</v>
      </c>
      <c r="AS647" t="s">
        <v>81</v>
      </c>
      <c r="AT647" t="s">
        <v>83</v>
      </c>
      <c r="AU647" t="s">
        <v>88</v>
      </c>
      <c r="AV647" t="s">
        <v>89</v>
      </c>
      <c r="AW647" t="s">
        <v>85</v>
      </c>
      <c r="AX647" t="s">
        <v>146</v>
      </c>
      <c r="AZ647" t="s">
        <v>107</v>
      </c>
      <c r="BA647" t="s">
        <v>86</v>
      </c>
      <c r="BB647" t="s">
        <v>87</v>
      </c>
      <c r="BC647" t="s">
        <v>87</v>
      </c>
      <c r="BD647" t="s">
        <v>87</v>
      </c>
      <c r="BE647" t="s">
        <v>86</v>
      </c>
      <c r="BF647" t="s">
        <v>75</v>
      </c>
      <c r="BG647" t="s">
        <v>76</v>
      </c>
      <c r="BH647" t="s">
        <v>184</v>
      </c>
      <c r="BI647" t="s">
        <v>107</v>
      </c>
      <c r="BJ647" t="s">
        <v>78</v>
      </c>
      <c r="BK647">
        <v>0</v>
      </c>
      <c r="BL647">
        <v>0</v>
      </c>
      <c r="BM647">
        <v>0</v>
      </c>
      <c r="BN647">
        <v>0</v>
      </c>
      <c r="BO647">
        <v>0</v>
      </c>
      <c r="BP647">
        <v>1</v>
      </c>
      <c r="BQ647">
        <v>0</v>
      </c>
      <c r="BR647">
        <v>0</v>
      </c>
    </row>
    <row r="648" spans="1:70" x14ac:dyDescent="0.2">
      <c r="A648" s="1">
        <v>44585.579861111109</v>
      </c>
      <c r="B648" s="1">
        <v>44585.580555555556</v>
      </c>
      <c r="C648">
        <v>1</v>
      </c>
      <c r="D648">
        <v>0</v>
      </c>
      <c r="E648">
        <v>0</v>
      </c>
      <c r="F648">
        <v>0</v>
      </c>
      <c r="H648">
        <v>1</v>
      </c>
      <c r="I648">
        <v>0</v>
      </c>
      <c r="J648">
        <v>0</v>
      </c>
      <c r="K648">
        <v>0</v>
      </c>
      <c r="L648">
        <v>0</v>
      </c>
      <c r="P648">
        <v>1</v>
      </c>
      <c r="Q648">
        <v>0</v>
      </c>
      <c r="R648">
        <v>0</v>
      </c>
      <c r="S648">
        <v>0</v>
      </c>
      <c r="T648">
        <v>0</v>
      </c>
      <c r="U648">
        <v>0</v>
      </c>
      <c r="V648">
        <v>0</v>
      </c>
      <c r="W648">
        <v>0</v>
      </c>
      <c r="X648">
        <v>0</v>
      </c>
      <c r="Y648">
        <v>0</v>
      </c>
      <c r="Z648">
        <v>0</v>
      </c>
      <c r="AA648">
        <v>0</v>
      </c>
      <c r="AC648">
        <v>0</v>
      </c>
      <c r="AD648">
        <v>0</v>
      </c>
      <c r="AE648">
        <v>0</v>
      </c>
      <c r="AF648">
        <v>0</v>
      </c>
      <c r="AG648">
        <v>0</v>
      </c>
      <c r="AH648">
        <v>0</v>
      </c>
      <c r="AI648">
        <v>1</v>
      </c>
      <c r="AJ648">
        <v>0</v>
      </c>
      <c r="AK648">
        <v>0</v>
      </c>
      <c r="AZ648" t="s">
        <v>107</v>
      </c>
      <c r="BA648" t="s">
        <v>86</v>
      </c>
      <c r="BB648" t="s">
        <v>87</v>
      </c>
      <c r="BC648" t="s">
        <v>74</v>
      </c>
      <c r="BD648" t="s">
        <v>87</v>
      </c>
      <c r="BE648" t="s">
        <v>87</v>
      </c>
      <c r="BF648" t="s">
        <v>97</v>
      </c>
      <c r="BG648" t="s">
        <v>76</v>
      </c>
      <c r="BH648" t="s">
        <v>98</v>
      </c>
      <c r="BI648" t="s">
        <v>107</v>
      </c>
      <c r="BJ648" t="s">
        <v>147</v>
      </c>
      <c r="BK648">
        <v>0</v>
      </c>
      <c r="BL648">
        <v>0</v>
      </c>
      <c r="BM648">
        <v>0</v>
      </c>
      <c r="BN648">
        <v>0</v>
      </c>
      <c r="BO648">
        <v>0</v>
      </c>
      <c r="BP648">
        <v>1</v>
      </c>
      <c r="BQ648">
        <v>0</v>
      </c>
      <c r="BR648">
        <v>0</v>
      </c>
    </row>
    <row r="649" spans="1:70" x14ac:dyDescent="0.2">
      <c r="A649" s="1">
        <v>44580.048611111109</v>
      </c>
      <c r="B649" s="1">
        <v>44580.050694444442</v>
      </c>
      <c r="C649">
        <v>1</v>
      </c>
      <c r="D649">
        <v>0</v>
      </c>
      <c r="E649">
        <v>0</v>
      </c>
      <c r="F649">
        <v>0</v>
      </c>
      <c r="H649">
        <v>0</v>
      </c>
      <c r="I649">
        <v>1</v>
      </c>
      <c r="J649">
        <v>1</v>
      </c>
      <c r="K649">
        <v>0</v>
      </c>
      <c r="L649">
        <v>0</v>
      </c>
      <c r="N649" t="s">
        <v>88</v>
      </c>
      <c r="O649" t="s">
        <v>142</v>
      </c>
      <c r="P649">
        <v>0</v>
      </c>
      <c r="Q649">
        <v>0</v>
      </c>
      <c r="R649">
        <v>1</v>
      </c>
      <c r="S649">
        <v>0</v>
      </c>
      <c r="T649">
        <v>0</v>
      </c>
      <c r="U649">
        <v>0</v>
      </c>
      <c r="V649">
        <v>0</v>
      </c>
      <c r="W649">
        <v>0</v>
      </c>
      <c r="X649">
        <v>0</v>
      </c>
      <c r="Y649">
        <v>0</v>
      </c>
      <c r="Z649">
        <v>0</v>
      </c>
      <c r="AA649">
        <v>0</v>
      </c>
      <c r="AM649" t="s">
        <v>81</v>
      </c>
      <c r="AN649" t="s">
        <v>81</v>
      </c>
      <c r="AO649" t="s">
        <v>83</v>
      </c>
      <c r="AP649" t="s">
        <v>81</v>
      </c>
      <c r="AQ649" t="s">
        <v>82</v>
      </c>
      <c r="AR649" t="s">
        <v>81</v>
      </c>
      <c r="AS649" t="s">
        <v>81</v>
      </c>
      <c r="AT649" t="s">
        <v>83</v>
      </c>
      <c r="AU649" t="s">
        <v>88</v>
      </c>
      <c r="AV649" t="s">
        <v>89</v>
      </c>
      <c r="AW649" t="s">
        <v>85</v>
      </c>
      <c r="AX649" t="s">
        <v>146</v>
      </c>
      <c r="AZ649" t="s">
        <v>107</v>
      </c>
      <c r="BA649" t="s">
        <v>86</v>
      </c>
      <c r="BB649" t="s">
        <v>86</v>
      </c>
      <c r="BC649" t="s">
        <v>86</v>
      </c>
      <c r="BD649" t="s">
        <v>74</v>
      </c>
      <c r="BE649" t="s">
        <v>74</v>
      </c>
      <c r="BF649" t="s">
        <v>75</v>
      </c>
      <c r="BG649" t="s">
        <v>92</v>
      </c>
      <c r="BH649" t="s">
        <v>77</v>
      </c>
      <c r="BI649" t="s">
        <v>107</v>
      </c>
      <c r="BJ649" t="s">
        <v>78</v>
      </c>
      <c r="BK649">
        <v>0</v>
      </c>
      <c r="BL649">
        <v>0</v>
      </c>
      <c r="BM649">
        <v>0</v>
      </c>
      <c r="BN649">
        <v>0</v>
      </c>
      <c r="BO649">
        <v>0</v>
      </c>
      <c r="BP649">
        <v>1</v>
      </c>
      <c r="BQ649">
        <v>0</v>
      </c>
      <c r="BR649">
        <v>0</v>
      </c>
    </row>
    <row r="650" spans="1:70" x14ac:dyDescent="0.2">
      <c r="A650" s="1">
        <v>44579.777083333334</v>
      </c>
      <c r="B650" s="1">
        <v>44579.779861111114</v>
      </c>
      <c r="C650">
        <v>1</v>
      </c>
      <c r="D650">
        <v>0</v>
      </c>
      <c r="E650">
        <v>0</v>
      </c>
      <c r="F650">
        <v>0</v>
      </c>
      <c r="H650">
        <v>1</v>
      </c>
      <c r="I650">
        <v>0</v>
      </c>
      <c r="J650">
        <v>0</v>
      </c>
      <c r="K650">
        <v>0</v>
      </c>
      <c r="L650">
        <v>0</v>
      </c>
      <c r="P650">
        <v>0</v>
      </c>
      <c r="Q650">
        <v>1</v>
      </c>
      <c r="R650">
        <v>0</v>
      </c>
      <c r="S650">
        <v>0</v>
      </c>
      <c r="T650">
        <v>0</v>
      </c>
      <c r="U650">
        <v>0</v>
      </c>
      <c r="V650">
        <v>0</v>
      </c>
      <c r="W650">
        <v>0</v>
      </c>
      <c r="X650">
        <v>0</v>
      </c>
      <c r="Y650">
        <v>0</v>
      </c>
      <c r="Z650">
        <v>1</v>
      </c>
      <c r="AA650">
        <v>0</v>
      </c>
      <c r="AM650" t="s">
        <v>90</v>
      </c>
      <c r="AN650" t="s">
        <v>82</v>
      </c>
      <c r="AO650" t="s">
        <v>81</v>
      </c>
      <c r="AP650" t="s">
        <v>82</v>
      </c>
      <c r="AQ650" t="s">
        <v>90</v>
      </c>
      <c r="AR650" t="s">
        <v>90</v>
      </c>
      <c r="AS650" t="s">
        <v>90</v>
      </c>
      <c r="AT650" t="s">
        <v>83</v>
      </c>
      <c r="AU650" t="s">
        <v>88</v>
      </c>
      <c r="AV650" t="s">
        <v>89</v>
      </c>
      <c r="AW650" t="s">
        <v>100</v>
      </c>
      <c r="AX650" t="s">
        <v>146</v>
      </c>
      <c r="AZ650" t="s">
        <v>73</v>
      </c>
      <c r="BA650" t="s">
        <v>86</v>
      </c>
      <c r="BB650" t="s">
        <v>86</v>
      </c>
      <c r="BC650" t="s">
        <v>86</v>
      </c>
      <c r="BD650" t="s">
        <v>86</v>
      </c>
      <c r="BE650" t="s">
        <v>86</v>
      </c>
      <c r="BF650" t="s">
        <v>75</v>
      </c>
      <c r="BG650" t="s">
        <v>92</v>
      </c>
      <c r="BH650" t="s">
        <v>98</v>
      </c>
      <c r="BI650" t="s">
        <v>73</v>
      </c>
      <c r="BJ650" t="s">
        <v>94</v>
      </c>
      <c r="BK650">
        <v>0</v>
      </c>
      <c r="BL650">
        <v>0</v>
      </c>
      <c r="BM650">
        <v>0</v>
      </c>
      <c r="BN650">
        <v>0</v>
      </c>
      <c r="BO650">
        <v>0</v>
      </c>
      <c r="BP650">
        <v>1</v>
      </c>
      <c r="BQ650">
        <v>0</v>
      </c>
      <c r="BR650">
        <v>0</v>
      </c>
    </row>
    <row r="651" spans="1:70" x14ac:dyDescent="0.2">
      <c r="A651" s="1">
        <v>44579.887499999997</v>
      </c>
      <c r="B651" s="1">
        <v>44579.88958333333</v>
      </c>
      <c r="C651">
        <v>1</v>
      </c>
      <c r="D651">
        <v>0</v>
      </c>
      <c r="E651">
        <v>0</v>
      </c>
      <c r="F651">
        <v>0</v>
      </c>
      <c r="H651">
        <v>0</v>
      </c>
      <c r="I651">
        <v>1</v>
      </c>
      <c r="J651">
        <v>1</v>
      </c>
      <c r="K651">
        <v>0</v>
      </c>
      <c r="L651">
        <v>0</v>
      </c>
      <c r="N651" t="s">
        <v>79</v>
      </c>
      <c r="O651" t="s">
        <v>80</v>
      </c>
      <c r="P651">
        <v>1</v>
      </c>
      <c r="Q651">
        <v>0</v>
      </c>
      <c r="R651">
        <v>0</v>
      </c>
      <c r="S651">
        <v>0</v>
      </c>
      <c r="T651">
        <v>0</v>
      </c>
      <c r="U651">
        <v>0</v>
      </c>
      <c r="V651">
        <v>0</v>
      </c>
      <c r="W651">
        <v>0</v>
      </c>
      <c r="X651">
        <v>0</v>
      </c>
      <c r="Y651">
        <v>0</v>
      </c>
      <c r="Z651">
        <v>0</v>
      </c>
      <c r="AA651">
        <v>0</v>
      </c>
      <c r="AC651">
        <v>0</v>
      </c>
      <c r="AD651">
        <v>1</v>
      </c>
      <c r="AE651">
        <v>0</v>
      </c>
      <c r="AF651">
        <v>0</v>
      </c>
      <c r="AG651">
        <v>0</v>
      </c>
      <c r="AH651">
        <v>0</v>
      </c>
      <c r="AI651">
        <v>0</v>
      </c>
      <c r="AJ651">
        <v>0</v>
      </c>
      <c r="AK651">
        <v>0</v>
      </c>
      <c r="AZ651" t="s">
        <v>73</v>
      </c>
      <c r="BA651" t="s">
        <v>86</v>
      </c>
      <c r="BB651" t="s">
        <v>86</v>
      </c>
      <c r="BC651" t="s">
        <v>87</v>
      </c>
      <c r="BD651" t="s">
        <v>74</v>
      </c>
      <c r="BE651" t="s">
        <v>86</v>
      </c>
      <c r="BF651" t="s">
        <v>97</v>
      </c>
      <c r="BG651" t="s">
        <v>92</v>
      </c>
      <c r="BH651" t="s">
        <v>98</v>
      </c>
      <c r="BI651" t="s">
        <v>73</v>
      </c>
      <c r="BJ651" t="s">
        <v>78</v>
      </c>
      <c r="BK651">
        <v>0</v>
      </c>
      <c r="BL651">
        <v>0</v>
      </c>
      <c r="BM651">
        <v>0</v>
      </c>
      <c r="BN651">
        <v>0</v>
      </c>
      <c r="BO651">
        <v>1</v>
      </c>
      <c r="BP651">
        <v>1</v>
      </c>
      <c r="BQ651">
        <v>0</v>
      </c>
      <c r="BR651">
        <v>0</v>
      </c>
    </row>
    <row r="652" spans="1:70" x14ac:dyDescent="0.2">
      <c r="A652" s="1">
        <v>44579.884722222225</v>
      </c>
      <c r="B652" s="1">
        <v>44579.886111111111</v>
      </c>
      <c r="C652">
        <v>0</v>
      </c>
      <c r="D652">
        <v>1</v>
      </c>
      <c r="E652">
        <v>0</v>
      </c>
      <c r="F652">
        <v>0</v>
      </c>
      <c r="H652">
        <v>1</v>
      </c>
      <c r="I652">
        <v>0</v>
      </c>
      <c r="J652">
        <v>0</v>
      </c>
      <c r="K652">
        <v>0</v>
      </c>
      <c r="L652">
        <v>0</v>
      </c>
      <c r="P652">
        <v>0</v>
      </c>
      <c r="Q652">
        <v>1</v>
      </c>
      <c r="R652">
        <v>0</v>
      </c>
      <c r="S652">
        <v>0</v>
      </c>
      <c r="T652">
        <v>0</v>
      </c>
      <c r="U652">
        <v>0</v>
      </c>
      <c r="V652">
        <v>0</v>
      </c>
      <c r="W652">
        <v>0</v>
      </c>
      <c r="X652">
        <v>0</v>
      </c>
      <c r="Y652">
        <v>0</v>
      </c>
      <c r="Z652">
        <v>0</v>
      </c>
      <c r="AA652">
        <v>0</v>
      </c>
      <c r="AM652" t="s">
        <v>83</v>
      </c>
      <c r="AN652" t="s">
        <v>82</v>
      </c>
      <c r="AO652" t="s">
        <v>83</v>
      </c>
      <c r="AP652" t="s">
        <v>83</v>
      </c>
      <c r="AQ652" t="s">
        <v>83</v>
      </c>
      <c r="AR652" t="s">
        <v>83</v>
      </c>
      <c r="AS652" t="s">
        <v>83</v>
      </c>
      <c r="AT652" t="s">
        <v>83</v>
      </c>
      <c r="AU652" t="s">
        <v>84</v>
      </c>
      <c r="AV652" t="s">
        <v>80</v>
      </c>
      <c r="AW652" t="s">
        <v>117</v>
      </c>
      <c r="AX652" t="s">
        <v>91</v>
      </c>
      <c r="AZ652" t="s">
        <v>107</v>
      </c>
      <c r="BA652" t="s">
        <v>87</v>
      </c>
      <c r="BB652" t="s">
        <v>87</v>
      </c>
      <c r="BC652" t="s">
        <v>87</v>
      </c>
      <c r="BD652" t="s">
        <v>74</v>
      </c>
      <c r="BE652" t="s">
        <v>87</v>
      </c>
      <c r="BF652" t="s">
        <v>75</v>
      </c>
      <c r="BG652" t="s">
        <v>92</v>
      </c>
      <c r="BH652" t="s">
        <v>98</v>
      </c>
      <c r="BI652" t="s">
        <v>107</v>
      </c>
      <c r="BJ652" t="s">
        <v>78</v>
      </c>
      <c r="BK652">
        <v>0</v>
      </c>
      <c r="BL652">
        <v>0</v>
      </c>
      <c r="BM652">
        <v>0</v>
      </c>
      <c r="BN652">
        <v>0</v>
      </c>
      <c r="BO652">
        <v>0</v>
      </c>
      <c r="BP652">
        <v>1</v>
      </c>
      <c r="BQ652">
        <v>0</v>
      </c>
      <c r="BR652">
        <v>0</v>
      </c>
    </row>
    <row r="653" spans="1:70" x14ac:dyDescent="0.2">
      <c r="A653" s="1">
        <v>44585.609722222223</v>
      </c>
      <c r="B653" s="1">
        <v>44589.591666666667</v>
      </c>
      <c r="C653">
        <v>0</v>
      </c>
      <c r="D653">
        <v>1</v>
      </c>
      <c r="E653">
        <v>0</v>
      </c>
      <c r="F653">
        <v>0</v>
      </c>
      <c r="H653">
        <v>0</v>
      </c>
      <c r="I653">
        <v>1</v>
      </c>
      <c r="J653">
        <v>0</v>
      </c>
      <c r="K653">
        <v>0</v>
      </c>
      <c r="L653">
        <v>0</v>
      </c>
      <c r="N653" t="s">
        <v>135</v>
      </c>
      <c r="O653" t="s">
        <v>142</v>
      </c>
      <c r="P653">
        <v>0</v>
      </c>
      <c r="Q653">
        <v>0</v>
      </c>
      <c r="R653">
        <v>0</v>
      </c>
      <c r="S653">
        <v>0</v>
      </c>
      <c r="T653">
        <v>1</v>
      </c>
      <c r="U653">
        <v>0</v>
      </c>
      <c r="V653">
        <v>0</v>
      </c>
      <c r="W653">
        <v>0</v>
      </c>
      <c r="X653">
        <v>0</v>
      </c>
      <c r="Y653">
        <v>0</v>
      </c>
      <c r="Z653">
        <v>0</v>
      </c>
      <c r="AA653">
        <v>0</v>
      </c>
      <c r="AM653" t="s">
        <v>83</v>
      </c>
      <c r="AN653" t="s">
        <v>83</v>
      </c>
      <c r="AO653" t="s">
        <v>83</v>
      </c>
      <c r="AP653" t="s">
        <v>83</v>
      </c>
      <c r="AQ653" t="s">
        <v>82</v>
      </c>
      <c r="AR653" t="s">
        <v>83</v>
      </c>
      <c r="AS653" t="s">
        <v>83</v>
      </c>
      <c r="AT653" t="s">
        <v>83</v>
      </c>
      <c r="AU653" t="s">
        <v>88</v>
      </c>
      <c r="AV653" t="s">
        <v>89</v>
      </c>
      <c r="AW653" t="s">
        <v>85</v>
      </c>
      <c r="AZ653" t="s">
        <v>73</v>
      </c>
      <c r="BA653" t="s">
        <v>74</v>
      </c>
      <c r="BF653" t="s">
        <v>159</v>
      </c>
      <c r="BG653" t="s">
        <v>92</v>
      </c>
      <c r="BH653" t="s">
        <v>158</v>
      </c>
      <c r="BI653" t="s">
        <v>73</v>
      </c>
      <c r="BJ653" t="s">
        <v>114</v>
      </c>
      <c r="BK653">
        <v>0</v>
      </c>
      <c r="BL653">
        <v>0</v>
      </c>
      <c r="BM653">
        <v>0</v>
      </c>
      <c r="BN653">
        <v>0</v>
      </c>
      <c r="BO653">
        <v>0</v>
      </c>
      <c r="BP653">
        <v>1</v>
      </c>
      <c r="BQ653">
        <v>0</v>
      </c>
      <c r="BR653">
        <v>0</v>
      </c>
    </row>
    <row r="654" spans="1:70" x14ac:dyDescent="0.2">
      <c r="A654" s="1">
        <v>44585.599999999999</v>
      </c>
      <c r="B654" s="1">
        <v>44585.600694444445</v>
      </c>
      <c r="C654">
        <v>0</v>
      </c>
      <c r="D654">
        <v>1</v>
      </c>
      <c r="E654">
        <v>0</v>
      </c>
      <c r="F654">
        <v>0</v>
      </c>
      <c r="H654">
        <v>1</v>
      </c>
      <c r="I654">
        <v>0</v>
      </c>
      <c r="J654">
        <v>0</v>
      </c>
      <c r="K654">
        <v>0</v>
      </c>
      <c r="L654">
        <v>0</v>
      </c>
      <c r="P654">
        <v>1</v>
      </c>
      <c r="Q654">
        <v>0</v>
      </c>
      <c r="R654">
        <v>0</v>
      </c>
      <c r="S654">
        <v>0</v>
      </c>
      <c r="T654">
        <v>0</v>
      </c>
      <c r="U654">
        <v>0</v>
      </c>
      <c r="V654">
        <v>0</v>
      </c>
      <c r="W654">
        <v>0</v>
      </c>
      <c r="X654">
        <v>0</v>
      </c>
      <c r="Y654">
        <v>0</v>
      </c>
      <c r="Z654">
        <v>0</v>
      </c>
      <c r="AA654">
        <v>0</v>
      </c>
      <c r="AC654">
        <v>0</v>
      </c>
      <c r="AD654">
        <v>0</v>
      </c>
      <c r="AE654">
        <v>0</v>
      </c>
      <c r="AF654">
        <v>0</v>
      </c>
      <c r="AG654">
        <v>0</v>
      </c>
      <c r="AH654">
        <v>0</v>
      </c>
      <c r="AI654">
        <v>1</v>
      </c>
      <c r="AJ654">
        <v>0</v>
      </c>
      <c r="AK654">
        <v>0</v>
      </c>
      <c r="AX654" t="s">
        <v>175</v>
      </c>
      <c r="AZ654" t="s">
        <v>107</v>
      </c>
      <c r="BA654" t="s">
        <v>74</v>
      </c>
      <c r="BF654" t="s">
        <v>75</v>
      </c>
      <c r="BG654" t="s">
        <v>92</v>
      </c>
      <c r="BH654" t="s">
        <v>98</v>
      </c>
      <c r="BI654" t="s">
        <v>107</v>
      </c>
      <c r="BJ654" t="s">
        <v>129</v>
      </c>
      <c r="BK654">
        <v>0</v>
      </c>
      <c r="BL654">
        <v>0</v>
      </c>
      <c r="BM654">
        <v>0</v>
      </c>
      <c r="BN654">
        <v>0</v>
      </c>
      <c r="BO654">
        <v>0</v>
      </c>
      <c r="BP654">
        <v>1</v>
      </c>
      <c r="BQ654">
        <v>0</v>
      </c>
      <c r="BR654">
        <v>0</v>
      </c>
    </row>
    <row r="655" spans="1:70" x14ac:dyDescent="0.2">
      <c r="A655" s="1">
        <v>44591.676388888889</v>
      </c>
      <c r="B655" s="1">
        <v>44591.686805555553</v>
      </c>
      <c r="C655">
        <v>0</v>
      </c>
      <c r="D655">
        <v>0</v>
      </c>
      <c r="E655">
        <v>0</v>
      </c>
      <c r="F655">
        <v>1</v>
      </c>
      <c r="P655">
        <v>0</v>
      </c>
      <c r="Q655">
        <v>0</v>
      </c>
      <c r="R655">
        <v>0</v>
      </c>
      <c r="S655">
        <v>0</v>
      </c>
      <c r="T655">
        <v>1</v>
      </c>
      <c r="U655">
        <v>0</v>
      </c>
      <c r="V655">
        <v>0</v>
      </c>
      <c r="W655">
        <v>0</v>
      </c>
      <c r="X655">
        <v>0</v>
      </c>
      <c r="Y655">
        <v>0</v>
      </c>
      <c r="Z655">
        <v>0</v>
      </c>
      <c r="AA655">
        <v>0</v>
      </c>
      <c r="AM655" t="s">
        <v>82</v>
      </c>
      <c r="AN655" t="s">
        <v>83</v>
      </c>
      <c r="AO655" t="s">
        <v>82</v>
      </c>
      <c r="AP655" t="s">
        <v>83</v>
      </c>
      <c r="AQ655" t="s">
        <v>82</v>
      </c>
      <c r="AR655" t="s">
        <v>83</v>
      </c>
      <c r="AS655" t="s">
        <v>81</v>
      </c>
      <c r="AT655" t="s">
        <v>90</v>
      </c>
      <c r="AU655" t="s">
        <v>88</v>
      </c>
      <c r="AV655" t="s">
        <v>89</v>
      </c>
      <c r="AW655" t="s">
        <v>85</v>
      </c>
      <c r="AZ655" t="s">
        <v>96</v>
      </c>
      <c r="BA655" t="s">
        <v>87</v>
      </c>
      <c r="BB655" t="s">
        <v>87</v>
      </c>
      <c r="BC655" t="s">
        <v>87</v>
      </c>
      <c r="BD655" t="s">
        <v>87</v>
      </c>
      <c r="BE655" t="s">
        <v>74</v>
      </c>
      <c r="BF655" t="s">
        <v>97</v>
      </c>
      <c r="BG655" t="s">
        <v>92</v>
      </c>
      <c r="BH655" t="s">
        <v>158</v>
      </c>
      <c r="BI655" t="s">
        <v>96</v>
      </c>
      <c r="BK655">
        <v>0</v>
      </c>
      <c r="BL655">
        <v>0</v>
      </c>
      <c r="BM655">
        <v>0</v>
      </c>
      <c r="BN655">
        <v>0</v>
      </c>
      <c r="BO655">
        <v>0</v>
      </c>
      <c r="BP655">
        <v>1</v>
      </c>
      <c r="BQ655">
        <v>0</v>
      </c>
      <c r="BR655">
        <v>0</v>
      </c>
    </row>
    <row r="656" spans="1:70" x14ac:dyDescent="0.2">
      <c r="A656" s="1">
        <v>44591.738194444442</v>
      </c>
      <c r="B656" s="1">
        <v>44591.739583333336</v>
      </c>
      <c r="C656">
        <v>0</v>
      </c>
      <c r="D656">
        <v>1</v>
      </c>
      <c r="E656">
        <v>0</v>
      </c>
      <c r="F656">
        <v>0</v>
      </c>
      <c r="H656">
        <v>0</v>
      </c>
      <c r="I656">
        <v>1</v>
      </c>
      <c r="J656">
        <v>1</v>
      </c>
      <c r="K656">
        <v>1</v>
      </c>
      <c r="L656">
        <v>0</v>
      </c>
      <c r="N656" t="s">
        <v>88</v>
      </c>
      <c r="O656" t="s">
        <v>89</v>
      </c>
      <c r="P656">
        <v>0</v>
      </c>
      <c r="Q656">
        <v>1</v>
      </c>
      <c r="R656">
        <v>0</v>
      </c>
      <c r="S656">
        <v>0</v>
      </c>
      <c r="T656">
        <v>0</v>
      </c>
      <c r="U656">
        <v>0</v>
      </c>
      <c r="V656">
        <v>0</v>
      </c>
      <c r="W656">
        <v>0</v>
      </c>
      <c r="X656">
        <v>0</v>
      </c>
      <c r="Y656">
        <v>0</v>
      </c>
      <c r="Z656">
        <v>0</v>
      </c>
      <c r="AA656">
        <v>0</v>
      </c>
      <c r="AM656" t="s">
        <v>90</v>
      </c>
      <c r="AN656" t="s">
        <v>82</v>
      </c>
      <c r="AO656" t="s">
        <v>81</v>
      </c>
      <c r="AP656" t="s">
        <v>81</v>
      </c>
      <c r="AQ656" t="s">
        <v>81</v>
      </c>
      <c r="AR656" t="s">
        <v>83</v>
      </c>
      <c r="AS656" t="s">
        <v>83</v>
      </c>
      <c r="AT656" t="s">
        <v>83</v>
      </c>
      <c r="AU656" t="s">
        <v>88</v>
      </c>
      <c r="AV656" t="s">
        <v>89</v>
      </c>
      <c r="AW656" t="s">
        <v>100</v>
      </c>
      <c r="AZ656" t="s">
        <v>107</v>
      </c>
      <c r="BA656" t="s">
        <v>87</v>
      </c>
      <c r="BB656" t="s">
        <v>87</v>
      </c>
      <c r="BC656" t="s">
        <v>87</v>
      </c>
      <c r="BD656" t="s">
        <v>87</v>
      </c>
      <c r="BE656" t="s">
        <v>87</v>
      </c>
      <c r="BF656" t="s">
        <v>97</v>
      </c>
      <c r="BG656" t="s">
        <v>92</v>
      </c>
      <c r="BH656" t="s">
        <v>98</v>
      </c>
      <c r="BI656" t="s">
        <v>107</v>
      </c>
      <c r="BJ656" t="s">
        <v>165</v>
      </c>
      <c r="BK656">
        <v>0</v>
      </c>
      <c r="BL656">
        <v>0</v>
      </c>
      <c r="BM656">
        <v>0</v>
      </c>
      <c r="BN656">
        <v>0</v>
      </c>
      <c r="BO656">
        <v>0</v>
      </c>
      <c r="BP656">
        <v>1</v>
      </c>
      <c r="BQ656">
        <v>0</v>
      </c>
      <c r="BR656">
        <v>0</v>
      </c>
    </row>
    <row r="657" spans="1:72" x14ac:dyDescent="0.2">
      <c r="A657" s="1">
        <v>44582.604861111111</v>
      </c>
      <c r="B657" s="1">
        <v>44582.609027777777</v>
      </c>
      <c r="C657">
        <v>1</v>
      </c>
      <c r="D657">
        <v>0</v>
      </c>
      <c r="E657">
        <v>1</v>
      </c>
      <c r="F657">
        <v>0</v>
      </c>
      <c r="G657" t="s">
        <v>334</v>
      </c>
      <c r="H657">
        <v>1</v>
      </c>
      <c r="I657">
        <v>0</v>
      </c>
      <c r="J657">
        <v>0</v>
      </c>
      <c r="K657">
        <v>0</v>
      </c>
      <c r="L657">
        <v>0</v>
      </c>
      <c r="P657">
        <v>1</v>
      </c>
      <c r="Q657">
        <v>0</v>
      </c>
      <c r="R657">
        <v>0</v>
      </c>
      <c r="S657">
        <v>0</v>
      </c>
      <c r="T657">
        <v>0</v>
      </c>
      <c r="U657">
        <v>0</v>
      </c>
      <c r="V657">
        <v>0</v>
      </c>
      <c r="W657">
        <v>0</v>
      </c>
      <c r="X657">
        <v>0</v>
      </c>
      <c r="Y657">
        <v>0</v>
      </c>
      <c r="Z657">
        <v>0</v>
      </c>
      <c r="AA657">
        <v>0</v>
      </c>
      <c r="AC657">
        <v>0</v>
      </c>
      <c r="AD657">
        <v>1</v>
      </c>
      <c r="AE657">
        <v>0</v>
      </c>
      <c r="AF657">
        <v>0</v>
      </c>
      <c r="AG657">
        <v>0</v>
      </c>
      <c r="AH657">
        <v>0</v>
      </c>
      <c r="AI657">
        <v>0</v>
      </c>
      <c r="AJ657">
        <v>0</v>
      </c>
      <c r="AK657">
        <v>0</v>
      </c>
      <c r="AZ657" t="s">
        <v>96</v>
      </c>
      <c r="BA657" t="s">
        <v>74</v>
      </c>
      <c r="BF657" t="s">
        <v>97</v>
      </c>
      <c r="BG657" t="s">
        <v>92</v>
      </c>
      <c r="BH657" t="s">
        <v>158</v>
      </c>
      <c r="BI657" t="s">
        <v>96</v>
      </c>
      <c r="BK657">
        <v>0</v>
      </c>
      <c r="BL657">
        <v>0</v>
      </c>
      <c r="BM657">
        <v>0</v>
      </c>
      <c r="BN657">
        <v>0</v>
      </c>
      <c r="BO657">
        <v>0</v>
      </c>
      <c r="BP657">
        <v>1</v>
      </c>
      <c r="BQ657">
        <v>0</v>
      </c>
      <c r="BR657">
        <v>0</v>
      </c>
      <c r="BT657" t="s">
        <v>138</v>
      </c>
    </row>
    <row r="658" spans="1:72" x14ac:dyDescent="0.2">
      <c r="A658" s="1">
        <v>44588.938194444447</v>
      </c>
      <c r="B658" s="1">
        <v>44588.939583333333</v>
      </c>
      <c r="C658">
        <v>1</v>
      </c>
      <c r="D658">
        <v>0</v>
      </c>
      <c r="E658">
        <v>0</v>
      </c>
      <c r="F658">
        <v>0</v>
      </c>
      <c r="H658">
        <v>1</v>
      </c>
      <c r="I658">
        <v>0</v>
      </c>
      <c r="J658">
        <v>0</v>
      </c>
      <c r="K658">
        <v>0</v>
      </c>
      <c r="L658">
        <v>0</v>
      </c>
      <c r="P658">
        <v>1</v>
      </c>
      <c r="Q658">
        <v>0</v>
      </c>
      <c r="R658">
        <v>0</v>
      </c>
      <c r="S658">
        <v>0</v>
      </c>
      <c r="T658">
        <v>0</v>
      </c>
      <c r="U658">
        <v>0</v>
      </c>
      <c r="V658">
        <v>0</v>
      </c>
      <c r="W658">
        <v>0</v>
      </c>
      <c r="X658">
        <v>0</v>
      </c>
      <c r="Y658">
        <v>0</v>
      </c>
      <c r="Z658">
        <v>0</v>
      </c>
      <c r="AA658">
        <v>0</v>
      </c>
      <c r="AC658">
        <v>0</v>
      </c>
      <c r="AD658">
        <v>0</v>
      </c>
      <c r="AE658">
        <v>1</v>
      </c>
      <c r="AF658">
        <v>0</v>
      </c>
      <c r="AG658">
        <v>1</v>
      </c>
      <c r="AH658">
        <v>1</v>
      </c>
      <c r="AI658">
        <v>0</v>
      </c>
      <c r="AJ658">
        <v>0</v>
      </c>
      <c r="AK658">
        <v>0</v>
      </c>
      <c r="AZ658" t="s">
        <v>73</v>
      </c>
      <c r="BA658" t="s">
        <v>74</v>
      </c>
      <c r="BF658" t="s">
        <v>97</v>
      </c>
      <c r="BG658" t="s">
        <v>92</v>
      </c>
      <c r="BH658" t="s">
        <v>158</v>
      </c>
      <c r="BI658" t="s">
        <v>73</v>
      </c>
      <c r="BJ658" t="s">
        <v>114</v>
      </c>
      <c r="BK658">
        <v>0</v>
      </c>
      <c r="BL658">
        <v>0</v>
      </c>
      <c r="BM658">
        <v>0</v>
      </c>
      <c r="BN658">
        <v>0</v>
      </c>
      <c r="BO658">
        <v>0</v>
      </c>
      <c r="BP658">
        <v>1</v>
      </c>
      <c r="BQ658">
        <v>0</v>
      </c>
      <c r="BR658">
        <v>0</v>
      </c>
    </row>
    <row r="659" spans="1:72" x14ac:dyDescent="0.2">
      <c r="A659" s="1">
        <v>44587.508333333331</v>
      </c>
      <c r="B659" s="1">
        <v>44587.509722222225</v>
      </c>
      <c r="C659">
        <v>0</v>
      </c>
      <c r="D659">
        <v>1</v>
      </c>
      <c r="E659">
        <v>0</v>
      </c>
      <c r="F659">
        <v>0</v>
      </c>
      <c r="H659">
        <v>1</v>
      </c>
      <c r="I659">
        <v>0</v>
      </c>
      <c r="J659">
        <v>0</v>
      </c>
      <c r="K659">
        <v>0</v>
      </c>
      <c r="L659">
        <v>0</v>
      </c>
      <c r="P659">
        <v>1</v>
      </c>
      <c r="Q659">
        <v>0</v>
      </c>
      <c r="R659">
        <v>0</v>
      </c>
      <c r="S659">
        <v>0</v>
      </c>
      <c r="T659">
        <v>0</v>
      </c>
      <c r="U659">
        <v>0</v>
      </c>
      <c r="V659">
        <v>0</v>
      </c>
      <c r="W659">
        <v>0</v>
      </c>
      <c r="X659">
        <v>0</v>
      </c>
      <c r="Y659">
        <v>0</v>
      </c>
      <c r="Z659">
        <v>0</v>
      </c>
      <c r="AA659">
        <v>0</v>
      </c>
      <c r="AC659">
        <v>0</v>
      </c>
      <c r="AD659">
        <v>0</v>
      </c>
      <c r="AE659">
        <v>0</v>
      </c>
      <c r="AF659">
        <v>0</v>
      </c>
      <c r="AG659">
        <v>0</v>
      </c>
      <c r="AH659">
        <v>0</v>
      </c>
      <c r="AI659">
        <v>1</v>
      </c>
      <c r="AJ659">
        <v>0</v>
      </c>
      <c r="AK659">
        <v>0</v>
      </c>
      <c r="AX659" t="s">
        <v>106</v>
      </c>
      <c r="AZ659" t="s">
        <v>107</v>
      </c>
      <c r="BA659" t="s">
        <v>74</v>
      </c>
      <c r="BF659" t="s">
        <v>75</v>
      </c>
      <c r="BG659" t="s">
        <v>76</v>
      </c>
      <c r="BH659" t="s">
        <v>98</v>
      </c>
      <c r="BI659" t="s">
        <v>107</v>
      </c>
      <c r="BJ659" t="s">
        <v>78</v>
      </c>
      <c r="BK659">
        <v>0</v>
      </c>
      <c r="BL659">
        <v>0</v>
      </c>
      <c r="BM659">
        <v>0</v>
      </c>
      <c r="BN659">
        <v>0</v>
      </c>
      <c r="BO659">
        <v>0</v>
      </c>
      <c r="BP659">
        <v>0</v>
      </c>
      <c r="BQ659">
        <v>0</v>
      </c>
      <c r="BR659">
        <v>1</v>
      </c>
    </row>
    <row r="660" spans="1:72" x14ac:dyDescent="0.2">
      <c r="A660" s="1">
        <v>44590.564583333333</v>
      </c>
      <c r="B660" s="1">
        <v>44590.570138888892</v>
      </c>
      <c r="C660">
        <v>1</v>
      </c>
      <c r="D660">
        <v>0</v>
      </c>
      <c r="E660">
        <v>1</v>
      </c>
      <c r="F660">
        <v>0</v>
      </c>
      <c r="G660" t="s">
        <v>335</v>
      </c>
      <c r="H660">
        <v>0</v>
      </c>
      <c r="I660">
        <v>1</v>
      </c>
      <c r="J660">
        <v>0</v>
      </c>
      <c r="K660">
        <v>0</v>
      </c>
      <c r="L660">
        <v>0</v>
      </c>
      <c r="N660" t="s">
        <v>79</v>
      </c>
      <c r="O660" t="s">
        <v>142</v>
      </c>
      <c r="P660">
        <v>1</v>
      </c>
      <c r="Q660">
        <v>0</v>
      </c>
      <c r="R660">
        <v>0</v>
      </c>
      <c r="S660">
        <v>0</v>
      </c>
      <c r="T660">
        <v>0</v>
      </c>
      <c r="U660">
        <v>0</v>
      </c>
      <c r="V660">
        <v>0</v>
      </c>
      <c r="W660">
        <v>0</v>
      </c>
      <c r="X660">
        <v>0</v>
      </c>
      <c r="Y660">
        <v>0</v>
      </c>
      <c r="Z660">
        <v>0</v>
      </c>
      <c r="AA660">
        <v>0</v>
      </c>
      <c r="AC660">
        <v>0</v>
      </c>
      <c r="AD660">
        <v>0</v>
      </c>
      <c r="AE660">
        <v>1</v>
      </c>
      <c r="AF660">
        <v>0</v>
      </c>
      <c r="AG660">
        <v>0</v>
      </c>
      <c r="AH660">
        <v>1</v>
      </c>
      <c r="AI660">
        <v>0</v>
      </c>
      <c r="AJ660">
        <v>0</v>
      </c>
      <c r="AK660">
        <v>0</v>
      </c>
      <c r="AZ660" t="s">
        <v>96</v>
      </c>
      <c r="BA660" t="s">
        <v>86</v>
      </c>
      <c r="BB660" t="s">
        <v>74</v>
      </c>
      <c r="BC660" t="s">
        <v>87</v>
      </c>
      <c r="BD660" t="s">
        <v>74</v>
      </c>
      <c r="BE660" t="s">
        <v>86</v>
      </c>
      <c r="BF660" t="s">
        <v>97</v>
      </c>
      <c r="BG660" t="s">
        <v>76</v>
      </c>
      <c r="BH660" t="s">
        <v>158</v>
      </c>
      <c r="BI660" t="s">
        <v>96</v>
      </c>
      <c r="BJ660" t="s">
        <v>114</v>
      </c>
      <c r="BK660">
        <v>1</v>
      </c>
      <c r="BL660">
        <v>0</v>
      </c>
      <c r="BM660">
        <v>0</v>
      </c>
      <c r="BN660">
        <v>0</v>
      </c>
      <c r="BO660">
        <v>0</v>
      </c>
      <c r="BP660">
        <v>0</v>
      </c>
      <c r="BQ660">
        <v>0</v>
      </c>
      <c r="BR660">
        <v>0</v>
      </c>
    </row>
    <row r="661" spans="1:72" x14ac:dyDescent="0.2">
      <c r="A661" s="1">
        <v>44587.049305555556</v>
      </c>
      <c r="B661" s="1">
        <v>44587.052083333336</v>
      </c>
      <c r="C661">
        <v>1</v>
      </c>
      <c r="D661">
        <v>0</v>
      </c>
      <c r="E661">
        <v>0</v>
      </c>
      <c r="F661">
        <v>0</v>
      </c>
      <c r="H661">
        <v>0</v>
      </c>
      <c r="I661">
        <v>1</v>
      </c>
      <c r="J661">
        <v>0</v>
      </c>
      <c r="K661">
        <v>0</v>
      </c>
      <c r="L661">
        <v>0</v>
      </c>
      <c r="N661" t="s">
        <v>88</v>
      </c>
      <c r="O661" t="s">
        <v>89</v>
      </c>
      <c r="P661">
        <v>0</v>
      </c>
      <c r="Q661">
        <v>0</v>
      </c>
      <c r="R661">
        <v>1</v>
      </c>
      <c r="S661">
        <v>0</v>
      </c>
      <c r="T661">
        <v>0</v>
      </c>
      <c r="U661">
        <v>0</v>
      </c>
      <c r="V661">
        <v>0</v>
      </c>
      <c r="W661">
        <v>0</v>
      </c>
      <c r="X661">
        <v>0</v>
      </c>
      <c r="Y661">
        <v>0</v>
      </c>
      <c r="Z661">
        <v>0</v>
      </c>
      <c r="AA661">
        <v>0</v>
      </c>
      <c r="AM661" t="s">
        <v>83</v>
      </c>
      <c r="AN661" t="s">
        <v>82</v>
      </c>
      <c r="AO661" t="s">
        <v>83</v>
      </c>
      <c r="AP661" t="s">
        <v>81</v>
      </c>
      <c r="AQ661" t="s">
        <v>81</v>
      </c>
      <c r="AR661" t="s">
        <v>83</v>
      </c>
      <c r="AS661" t="s">
        <v>83</v>
      </c>
      <c r="AT661" t="s">
        <v>81</v>
      </c>
      <c r="AU661" t="s">
        <v>88</v>
      </c>
      <c r="AV661" t="s">
        <v>89</v>
      </c>
      <c r="AW661" t="s">
        <v>100</v>
      </c>
      <c r="AX661" t="s">
        <v>146</v>
      </c>
      <c r="AZ661" t="s">
        <v>107</v>
      </c>
      <c r="BA661" t="s">
        <v>87</v>
      </c>
      <c r="BB661" t="s">
        <v>86</v>
      </c>
      <c r="BC661" t="s">
        <v>87</v>
      </c>
      <c r="BD661" t="s">
        <v>87</v>
      </c>
      <c r="BE661" t="s">
        <v>86</v>
      </c>
      <c r="BF661" t="s">
        <v>75</v>
      </c>
      <c r="BG661" t="s">
        <v>76</v>
      </c>
      <c r="BH661" t="s">
        <v>77</v>
      </c>
      <c r="BI661" t="s">
        <v>107</v>
      </c>
      <c r="BJ661" t="s">
        <v>137</v>
      </c>
      <c r="BK661">
        <v>1</v>
      </c>
      <c r="BL661">
        <v>0</v>
      </c>
      <c r="BM661">
        <v>0</v>
      </c>
      <c r="BN661">
        <v>0</v>
      </c>
      <c r="BO661">
        <v>0</v>
      </c>
      <c r="BP661">
        <v>0</v>
      </c>
      <c r="BQ661">
        <v>0</v>
      </c>
      <c r="BR661">
        <v>0</v>
      </c>
    </row>
    <row r="662" spans="1:72" x14ac:dyDescent="0.2">
      <c r="A662" s="1">
        <v>44585.945833333331</v>
      </c>
      <c r="B662" s="1">
        <v>44585.948611111111</v>
      </c>
      <c r="C662">
        <v>0</v>
      </c>
      <c r="D662">
        <v>1</v>
      </c>
      <c r="E662">
        <v>0</v>
      </c>
      <c r="F662">
        <v>0</v>
      </c>
      <c r="H662">
        <v>0</v>
      </c>
      <c r="I662">
        <v>1</v>
      </c>
      <c r="J662">
        <v>0</v>
      </c>
      <c r="K662">
        <v>0</v>
      </c>
      <c r="L662">
        <v>0</v>
      </c>
      <c r="N662" t="s">
        <v>135</v>
      </c>
      <c r="O662" t="s">
        <v>89</v>
      </c>
      <c r="P662">
        <v>0</v>
      </c>
      <c r="Q662">
        <v>1</v>
      </c>
      <c r="R662">
        <v>0</v>
      </c>
      <c r="S662">
        <v>0</v>
      </c>
      <c r="T662">
        <v>0</v>
      </c>
      <c r="U662">
        <v>0</v>
      </c>
      <c r="V662">
        <v>0</v>
      </c>
      <c r="W662">
        <v>0</v>
      </c>
      <c r="X662">
        <v>0</v>
      </c>
      <c r="Y662">
        <v>0</v>
      </c>
      <c r="Z662">
        <v>0</v>
      </c>
      <c r="AA662">
        <v>0</v>
      </c>
      <c r="AM662" t="s">
        <v>90</v>
      </c>
      <c r="AN662" t="s">
        <v>82</v>
      </c>
      <c r="AO662" t="s">
        <v>82</v>
      </c>
      <c r="AP662" t="s">
        <v>90</v>
      </c>
      <c r="AQ662" t="s">
        <v>81</v>
      </c>
      <c r="AR662" t="s">
        <v>90</v>
      </c>
      <c r="AS662" t="s">
        <v>81</v>
      </c>
      <c r="AT662" t="s">
        <v>90</v>
      </c>
      <c r="AU662" t="s">
        <v>88</v>
      </c>
      <c r="AV662" t="s">
        <v>89</v>
      </c>
      <c r="AW662" t="s">
        <v>100</v>
      </c>
      <c r="AX662" t="s">
        <v>110</v>
      </c>
      <c r="AY662" t="s">
        <v>226</v>
      </c>
      <c r="AZ662" t="s">
        <v>73</v>
      </c>
      <c r="BA662" t="s">
        <v>87</v>
      </c>
      <c r="BB662" t="s">
        <v>87</v>
      </c>
      <c r="BC662" t="s">
        <v>87</v>
      </c>
      <c r="BD662" t="s">
        <v>87</v>
      </c>
      <c r="BE662" t="s">
        <v>87</v>
      </c>
      <c r="BF662" t="s">
        <v>75</v>
      </c>
      <c r="BG662" t="s">
        <v>76</v>
      </c>
      <c r="BH662" t="s">
        <v>98</v>
      </c>
      <c r="BI662" t="s">
        <v>73</v>
      </c>
      <c r="BJ662" t="s">
        <v>102</v>
      </c>
      <c r="BK662">
        <v>0</v>
      </c>
      <c r="BL662">
        <v>0</v>
      </c>
      <c r="BM662">
        <v>0</v>
      </c>
      <c r="BN662">
        <v>0</v>
      </c>
      <c r="BO662">
        <v>0</v>
      </c>
      <c r="BP662">
        <v>1</v>
      </c>
      <c r="BQ662">
        <v>0</v>
      </c>
      <c r="BR662">
        <v>0</v>
      </c>
    </row>
    <row r="663" spans="1:72" x14ac:dyDescent="0.2">
      <c r="A663" s="1">
        <v>44585.929861111108</v>
      </c>
      <c r="B663" s="1">
        <v>44585.931944444441</v>
      </c>
      <c r="C663">
        <v>1</v>
      </c>
      <c r="D663">
        <v>0</v>
      </c>
      <c r="E663">
        <v>0</v>
      </c>
      <c r="F663">
        <v>0</v>
      </c>
      <c r="H663">
        <v>1</v>
      </c>
      <c r="I663">
        <v>0</v>
      </c>
      <c r="J663">
        <v>0</v>
      </c>
      <c r="K663">
        <v>0</v>
      </c>
      <c r="L663">
        <v>0</v>
      </c>
      <c r="P663">
        <v>1</v>
      </c>
      <c r="Q663">
        <v>0</v>
      </c>
      <c r="R663">
        <v>0</v>
      </c>
      <c r="S663">
        <v>0</v>
      </c>
      <c r="T663">
        <v>0</v>
      </c>
      <c r="U663">
        <v>0</v>
      </c>
      <c r="V663">
        <v>0</v>
      </c>
      <c r="W663">
        <v>0</v>
      </c>
      <c r="X663">
        <v>0</v>
      </c>
      <c r="Y663">
        <v>0</v>
      </c>
      <c r="Z663">
        <v>0</v>
      </c>
      <c r="AA663">
        <v>0</v>
      </c>
      <c r="AC663">
        <v>0</v>
      </c>
      <c r="AD663">
        <v>0</v>
      </c>
      <c r="AE663">
        <v>0</v>
      </c>
      <c r="AF663">
        <v>0</v>
      </c>
      <c r="AG663">
        <v>0</v>
      </c>
      <c r="AH663">
        <v>0</v>
      </c>
      <c r="AI663">
        <v>0</v>
      </c>
      <c r="AJ663">
        <v>0</v>
      </c>
      <c r="AK663">
        <v>1</v>
      </c>
      <c r="AL663" t="s">
        <v>336</v>
      </c>
      <c r="AZ663" t="s">
        <v>73</v>
      </c>
      <c r="BA663" t="s">
        <v>87</v>
      </c>
      <c r="BB663" t="s">
        <v>87</v>
      </c>
      <c r="BC663" t="s">
        <v>87</v>
      </c>
      <c r="BD663" t="s">
        <v>87</v>
      </c>
      <c r="BE663" t="s">
        <v>87</v>
      </c>
      <c r="BF663" t="s">
        <v>97</v>
      </c>
      <c r="BG663" t="s">
        <v>92</v>
      </c>
      <c r="BH663" t="s">
        <v>158</v>
      </c>
      <c r="BI663" t="s">
        <v>73</v>
      </c>
      <c r="BJ663" t="s">
        <v>114</v>
      </c>
      <c r="BK663">
        <v>1</v>
      </c>
      <c r="BL663">
        <v>0</v>
      </c>
      <c r="BM663">
        <v>0</v>
      </c>
      <c r="BN663">
        <v>0</v>
      </c>
      <c r="BO663">
        <v>0</v>
      </c>
      <c r="BP663">
        <v>0</v>
      </c>
      <c r="BQ663">
        <v>0</v>
      </c>
      <c r="BR663">
        <v>0</v>
      </c>
    </row>
    <row r="664" spans="1:72" x14ac:dyDescent="0.2">
      <c r="A664" s="1">
        <v>44579.926388888889</v>
      </c>
      <c r="B664" s="1">
        <v>44579.928472222222</v>
      </c>
      <c r="C664">
        <v>0</v>
      </c>
      <c r="D664">
        <v>1</v>
      </c>
      <c r="E664">
        <v>0</v>
      </c>
      <c r="F664">
        <v>0</v>
      </c>
      <c r="H664">
        <v>1</v>
      </c>
      <c r="I664">
        <v>0</v>
      </c>
      <c r="J664">
        <v>0</v>
      </c>
      <c r="K664">
        <v>0</v>
      </c>
      <c r="L664">
        <v>0</v>
      </c>
      <c r="P664">
        <v>0</v>
      </c>
      <c r="Q664">
        <v>1</v>
      </c>
      <c r="R664">
        <v>0</v>
      </c>
      <c r="S664">
        <v>0</v>
      </c>
      <c r="T664">
        <v>1</v>
      </c>
      <c r="U664">
        <v>0</v>
      </c>
      <c r="V664">
        <v>0</v>
      </c>
      <c r="W664">
        <v>0</v>
      </c>
      <c r="X664">
        <v>0</v>
      </c>
      <c r="Y664">
        <v>0</v>
      </c>
      <c r="Z664">
        <v>0</v>
      </c>
      <c r="AA664">
        <v>0</v>
      </c>
      <c r="AM664" t="s">
        <v>83</v>
      </c>
      <c r="AN664" t="s">
        <v>82</v>
      </c>
      <c r="AO664" t="s">
        <v>83</v>
      </c>
      <c r="AP664" t="s">
        <v>81</v>
      </c>
      <c r="AQ664" t="s">
        <v>83</v>
      </c>
      <c r="AR664" t="s">
        <v>83</v>
      </c>
      <c r="AS664" t="s">
        <v>83</v>
      </c>
      <c r="AT664" t="s">
        <v>83</v>
      </c>
      <c r="AU664" t="s">
        <v>88</v>
      </c>
      <c r="AV664" t="s">
        <v>127</v>
      </c>
      <c r="AW664" t="s">
        <v>85</v>
      </c>
      <c r="AZ664" t="s">
        <v>96</v>
      </c>
      <c r="BA664" t="s">
        <v>74</v>
      </c>
      <c r="BF664" t="s">
        <v>97</v>
      </c>
      <c r="BG664" t="s">
        <v>76</v>
      </c>
      <c r="BH664" t="s">
        <v>98</v>
      </c>
      <c r="BI664" t="s">
        <v>96</v>
      </c>
      <c r="BJ664" t="s">
        <v>78</v>
      </c>
      <c r="BK664">
        <v>1</v>
      </c>
      <c r="BL664">
        <v>0</v>
      </c>
      <c r="BM664">
        <v>0</v>
      </c>
      <c r="BN664">
        <v>0</v>
      </c>
      <c r="BO664">
        <v>0</v>
      </c>
      <c r="BP664">
        <v>0</v>
      </c>
      <c r="BQ664">
        <v>0</v>
      </c>
      <c r="BR664">
        <v>0</v>
      </c>
    </row>
    <row r="665" spans="1:72" x14ac:dyDescent="0.2">
      <c r="A665" s="1">
        <v>44579.910416666666</v>
      </c>
      <c r="B665" s="1">
        <v>44579.911805555559</v>
      </c>
      <c r="C665">
        <v>1</v>
      </c>
      <c r="D665">
        <v>0</v>
      </c>
      <c r="E665">
        <v>0</v>
      </c>
      <c r="F665">
        <v>0</v>
      </c>
      <c r="H665">
        <v>1</v>
      </c>
      <c r="I665">
        <v>0</v>
      </c>
      <c r="J665">
        <v>0</v>
      </c>
      <c r="K665">
        <v>0</v>
      </c>
      <c r="L665">
        <v>0</v>
      </c>
      <c r="P665">
        <v>1</v>
      </c>
      <c r="Q665">
        <v>0</v>
      </c>
      <c r="R665">
        <v>0</v>
      </c>
      <c r="S665">
        <v>0</v>
      </c>
      <c r="T665">
        <v>0</v>
      </c>
      <c r="U665">
        <v>0</v>
      </c>
      <c r="V665">
        <v>0</v>
      </c>
      <c r="W665">
        <v>0</v>
      </c>
      <c r="X665">
        <v>0</v>
      </c>
      <c r="Y665">
        <v>0</v>
      </c>
      <c r="Z665">
        <v>0</v>
      </c>
      <c r="AA665">
        <v>0</v>
      </c>
      <c r="AC665">
        <v>0</v>
      </c>
      <c r="AD665">
        <v>0</v>
      </c>
      <c r="AE665">
        <v>0</v>
      </c>
      <c r="AF665">
        <v>0</v>
      </c>
      <c r="AG665">
        <v>0</v>
      </c>
      <c r="AH665">
        <v>0</v>
      </c>
      <c r="AI665">
        <v>1</v>
      </c>
      <c r="AJ665">
        <v>1</v>
      </c>
      <c r="AK665">
        <v>0</v>
      </c>
      <c r="AX665" t="s">
        <v>179</v>
      </c>
      <c r="AZ665" t="s">
        <v>107</v>
      </c>
      <c r="BA665" t="s">
        <v>86</v>
      </c>
      <c r="BB665" t="s">
        <v>86</v>
      </c>
      <c r="BC665" t="s">
        <v>86</v>
      </c>
      <c r="BD665" t="s">
        <v>86</v>
      </c>
      <c r="BE665" t="s">
        <v>86</v>
      </c>
      <c r="BF665" t="s">
        <v>75</v>
      </c>
      <c r="BG665" t="s">
        <v>92</v>
      </c>
      <c r="BH665" t="s">
        <v>93</v>
      </c>
      <c r="BI665" t="s">
        <v>107</v>
      </c>
      <c r="BJ665" t="s">
        <v>94</v>
      </c>
      <c r="BK665">
        <v>0</v>
      </c>
      <c r="BL665">
        <v>0</v>
      </c>
      <c r="BM665">
        <v>0</v>
      </c>
      <c r="BN665">
        <v>0</v>
      </c>
      <c r="BO665">
        <v>0</v>
      </c>
      <c r="BP665">
        <v>1</v>
      </c>
      <c r="BQ665">
        <v>0</v>
      </c>
      <c r="BR665">
        <v>0</v>
      </c>
    </row>
    <row r="666" spans="1:72" x14ac:dyDescent="0.2">
      <c r="A666" s="1">
        <v>44582.79583333333</v>
      </c>
      <c r="B666" s="1">
        <v>44582.802777777775</v>
      </c>
      <c r="C666">
        <v>1</v>
      </c>
      <c r="D666">
        <v>0</v>
      </c>
      <c r="E666">
        <v>0</v>
      </c>
      <c r="F666">
        <v>0</v>
      </c>
      <c r="H666">
        <v>0</v>
      </c>
      <c r="I666">
        <v>1</v>
      </c>
      <c r="J666">
        <v>1</v>
      </c>
      <c r="K666">
        <v>1</v>
      </c>
      <c r="L666">
        <v>0</v>
      </c>
      <c r="N666" t="s">
        <v>88</v>
      </c>
      <c r="O666" t="s">
        <v>89</v>
      </c>
      <c r="P666">
        <v>0</v>
      </c>
      <c r="Q666">
        <v>0</v>
      </c>
      <c r="R666">
        <v>1</v>
      </c>
      <c r="S666">
        <v>0</v>
      </c>
      <c r="T666">
        <v>0</v>
      </c>
      <c r="U666">
        <v>0</v>
      </c>
      <c r="V666">
        <v>0</v>
      </c>
      <c r="W666">
        <v>0</v>
      </c>
      <c r="X666">
        <v>0</v>
      </c>
      <c r="Y666">
        <v>0</v>
      </c>
      <c r="Z666">
        <v>0</v>
      </c>
      <c r="AA666">
        <v>0</v>
      </c>
      <c r="AM666" t="s">
        <v>82</v>
      </c>
      <c r="AN666" t="s">
        <v>82</v>
      </c>
      <c r="AO666" t="s">
        <v>81</v>
      </c>
      <c r="AP666" t="s">
        <v>82</v>
      </c>
      <c r="AQ666" t="s">
        <v>82</v>
      </c>
      <c r="AR666" t="s">
        <v>83</v>
      </c>
      <c r="AS666" t="s">
        <v>82</v>
      </c>
      <c r="AT666" t="s">
        <v>81</v>
      </c>
      <c r="AU666" t="s">
        <v>88</v>
      </c>
      <c r="AV666" t="s">
        <v>89</v>
      </c>
      <c r="AW666" t="s">
        <v>85</v>
      </c>
      <c r="AZ666" t="s">
        <v>107</v>
      </c>
      <c r="BA666" t="s">
        <v>87</v>
      </c>
      <c r="BB666" t="s">
        <v>87</v>
      </c>
      <c r="BC666" t="s">
        <v>87</v>
      </c>
      <c r="BD666" t="s">
        <v>87</v>
      </c>
      <c r="BE666" t="s">
        <v>87</v>
      </c>
      <c r="BF666" t="s">
        <v>97</v>
      </c>
      <c r="BG666" t="s">
        <v>76</v>
      </c>
      <c r="BH666" t="s">
        <v>98</v>
      </c>
      <c r="BI666" t="s">
        <v>107</v>
      </c>
      <c r="BK666">
        <v>1</v>
      </c>
      <c r="BL666">
        <v>0</v>
      </c>
      <c r="BM666">
        <v>0</v>
      </c>
      <c r="BN666">
        <v>0</v>
      </c>
      <c r="BO666">
        <v>0</v>
      </c>
      <c r="BP666">
        <v>0</v>
      </c>
      <c r="BQ666">
        <v>0</v>
      </c>
      <c r="BR666">
        <v>0</v>
      </c>
      <c r="BT666" t="s">
        <v>230</v>
      </c>
    </row>
    <row r="667" spans="1:72" x14ac:dyDescent="0.2">
      <c r="A667" s="1">
        <v>44579.991666666669</v>
      </c>
      <c r="B667" s="1">
        <v>44579.994444444441</v>
      </c>
      <c r="C667">
        <v>1</v>
      </c>
      <c r="D667">
        <v>0</v>
      </c>
      <c r="E667">
        <v>0</v>
      </c>
      <c r="F667">
        <v>0</v>
      </c>
      <c r="H667">
        <v>0</v>
      </c>
      <c r="I667">
        <v>0</v>
      </c>
      <c r="J667">
        <v>0</v>
      </c>
      <c r="K667">
        <v>0</v>
      </c>
      <c r="L667">
        <v>1</v>
      </c>
      <c r="M667" t="s">
        <v>337</v>
      </c>
      <c r="N667" t="s">
        <v>127</v>
      </c>
      <c r="O667" t="s">
        <v>127</v>
      </c>
      <c r="P667">
        <v>1</v>
      </c>
      <c r="Q667">
        <v>0</v>
      </c>
      <c r="R667">
        <v>0</v>
      </c>
      <c r="S667">
        <v>0</v>
      </c>
      <c r="T667">
        <v>0</v>
      </c>
      <c r="U667">
        <v>0</v>
      </c>
      <c r="V667">
        <v>0</v>
      </c>
      <c r="W667">
        <v>0</v>
      </c>
      <c r="X667">
        <v>0</v>
      </c>
      <c r="Y667">
        <v>0</v>
      </c>
      <c r="Z667">
        <v>0</v>
      </c>
      <c r="AA667">
        <v>0</v>
      </c>
      <c r="AC667">
        <v>0</v>
      </c>
      <c r="AD667">
        <v>0</v>
      </c>
      <c r="AE667">
        <v>0</v>
      </c>
      <c r="AF667">
        <v>0</v>
      </c>
      <c r="AG667">
        <v>0</v>
      </c>
      <c r="AH667">
        <v>1</v>
      </c>
      <c r="AI667">
        <v>0</v>
      </c>
      <c r="AJ667">
        <v>0</v>
      </c>
      <c r="AK667">
        <v>0</v>
      </c>
      <c r="AZ667" t="s">
        <v>107</v>
      </c>
      <c r="BA667" t="s">
        <v>86</v>
      </c>
      <c r="BB667" t="s">
        <v>86</v>
      </c>
      <c r="BC667" t="s">
        <v>87</v>
      </c>
      <c r="BD667" t="s">
        <v>86</v>
      </c>
      <c r="BE667" t="s">
        <v>86</v>
      </c>
      <c r="BF667" t="s">
        <v>97</v>
      </c>
      <c r="BG667" t="s">
        <v>76</v>
      </c>
      <c r="BH667" t="s">
        <v>98</v>
      </c>
      <c r="BI667" t="s">
        <v>107</v>
      </c>
      <c r="BJ667" t="s">
        <v>114</v>
      </c>
      <c r="BK667">
        <v>1</v>
      </c>
      <c r="BL667">
        <v>0</v>
      </c>
      <c r="BM667">
        <v>0</v>
      </c>
      <c r="BN667">
        <v>0</v>
      </c>
      <c r="BO667">
        <v>0</v>
      </c>
      <c r="BP667">
        <v>0</v>
      </c>
      <c r="BQ667">
        <v>0</v>
      </c>
      <c r="BR667">
        <v>0</v>
      </c>
    </row>
    <row r="668" spans="1:72" x14ac:dyDescent="0.2">
      <c r="A668" s="1">
        <v>44579.902083333334</v>
      </c>
      <c r="B668" s="1">
        <v>44579.92083333333</v>
      </c>
      <c r="C668">
        <v>1</v>
      </c>
      <c r="D668">
        <v>0</v>
      </c>
      <c r="E668">
        <v>0</v>
      </c>
      <c r="F668">
        <v>0</v>
      </c>
      <c r="H668">
        <v>0</v>
      </c>
      <c r="I668">
        <v>0</v>
      </c>
      <c r="J668">
        <v>0</v>
      </c>
      <c r="K668">
        <v>0</v>
      </c>
      <c r="L668">
        <v>1</v>
      </c>
      <c r="M668" t="s">
        <v>338</v>
      </c>
      <c r="N668" t="s">
        <v>127</v>
      </c>
      <c r="O668" t="s">
        <v>127</v>
      </c>
      <c r="P668">
        <v>1</v>
      </c>
      <c r="Q668">
        <v>0</v>
      </c>
      <c r="R668">
        <v>0</v>
      </c>
      <c r="S668">
        <v>0</v>
      </c>
      <c r="T668">
        <v>0</v>
      </c>
      <c r="U668">
        <v>0</v>
      </c>
      <c r="V668">
        <v>0</v>
      </c>
      <c r="W668">
        <v>0</v>
      </c>
      <c r="X668">
        <v>0</v>
      </c>
      <c r="Y668">
        <v>0</v>
      </c>
      <c r="Z668">
        <v>0</v>
      </c>
      <c r="AA668">
        <v>0</v>
      </c>
      <c r="AC668">
        <v>0</v>
      </c>
      <c r="AD668">
        <v>0</v>
      </c>
      <c r="AE668">
        <v>0</v>
      </c>
      <c r="AF668">
        <v>1</v>
      </c>
      <c r="AG668">
        <v>0</v>
      </c>
      <c r="AH668">
        <v>0</v>
      </c>
      <c r="AI668">
        <v>1</v>
      </c>
      <c r="AJ668">
        <v>0</v>
      </c>
      <c r="AK668">
        <v>1</v>
      </c>
      <c r="AL668" t="s">
        <v>339</v>
      </c>
      <c r="AZ668" t="s">
        <v>73</v>
      </c>
      <c r="BA668" t="s">
        <v>86</v>
      </c>
      <c r="BB668" t="s">
        <v>86</v>
      </c>
      <c r="BC668" t="s">
        <v>87</v>
      </c>
      <c r="BD668" t="s">
        <v>86</v>
      </c>
      <c r="BE668" t="s">
        <v>74</v>
      </c>
      <c r="BF668" t="s">
        <v>97</v>
      </c>
      <c r="BG668" t="s">
        <v>92</v>
      </c>
      <c r="BH668" t="s">
        <v>158</v>
      </c>
      <c r="BI668" t="s">
        <v>73</v>
      </c>
      <c r="BJ668" t="s">
        <v>78</v>
      </c>
      <c r="BK668">
        <v>0</v>
      </c>
      <c r="BL668">
        <v>0</v>
      </c>
      <c r="BM668">
        <v>0</v>
      </c>
      <c r="BN668">
        <v>0</v>
      </c>
      <c r="BO668">
        <v>0</v>
      </c>
      <c r="BP668">
        <v>1</v>
      </c>
      <c r="BQ668">
        <v>0</v>
      </c>
      <c r="BR668">
        <v>0</v>
      </c>
    </row>
    <row r="669" spans="1:72" x14ac:dyDescent="0.2">
      <c r="A669" s="1">
        <v>44579.936805555553</v>
      </c>
      <c r="B669" s="1">
        <v>44579.94027777778</v>
      </c>
      <c r="C669">
        <v>0</v>
      </c>
      <c r="D669">
        <v>0</v>
      </c>
      <c r="E669">
        <v>1</v>
      </c>
      <c r="F669">
        <v>0</v>
      </c>
      <c r="G669" t="s">
        <v>340</v>
      </c>
      <c r="H669">
        <v>0</v>
      </c>
      <c r="I669">
        <v>1</v>
      </c>
      <c r="J669">
        <v>0</v>
      </c>
      <c r="K669">
        <v>0</v>
      </c>
      <c r="L669">
        <v>1</v>
      </c>
      <c r="M669" t="s">
        <v>341</v>
      </c>
      <c r="N669" t="s">
        <v>88</v>
      </c>
      <c r="O669" t="s">
        <v>89</v>
      </c>
      <c r="P669">
        <v>0</v>
      </c>
      <c r="Q669">
        <v>0</v>
      </c>
      <c r="R669">
        <v>0</v>
      </c>
      <c r="S669">
        <v>0</v>
      </c>
      <c r="T669">
        <v>0</v>
      </c>
      <c r="U669">
        <v>0</v>
      </c>
      <c r="V669">
        <v>0</v>
      </c>
      <c r="W669">
        <v>0</v>
      </c>
      <c r="X669">
        <v>0</v>
      </c>
      <c r="Y669">
        <v>0</v>
      </c>
      <c r="Z669">
        <v>0</v>
      </c>
      <c r="AA669">
        <v>1</v>
      </c>
      <c r="AB669" t="s">
        <v>342</v>
      </c>
      <c r="AM669" t="s">
        <v>90</v>
      </c>
      <c r="AN669" t="s">
        <v>82</v>
      </c>
      <c r="AO669" t="s">
        <v>83</v>
      </c>
      <c r="AP669" t="s">
        <v>82</v>
      </c>
      <c r="AQ669" t="s">
        <v>83</v>
      </c>
      <c r="AR669" t="s">
        <v>83</v>
      </c>
      <c r="AS669" t="s">
        <v>83</v>
      </c>
      <c r="AT669" t="s">
        <v>83</v>
      </c>
      <c r="AU669" t="s">
        <v>88</v>
      </c>
      <c r="AV669" t="s">
        <v>89</v>
      </c>
      <c r="AW669" t="s">
        <v>85</v>
      </c>
      <c r="AZ669" t="s">
        <v>96</v>
      </c>
      <c r="BA669" t="s">
        <v>86</v>
      </c>
      <c r="BB669" t="s">
        <v>86</v>
      </c>
      <c r="BC669" t="s">
        <v>86</v>
      </c>
      <c r="BD669" t="s">
        <v>74</v>
      </c>
      <c r="BE669" t="s">
        <v>74</v>
      </c>
      <c r="BF669" t="s">
        <v>97</v>
      </c>
      <c r="BG669" t="s">
        <v>76</v>
      </c>
      <c r="BH669" t="s">
        <v>98</v>
      </c>
      <c r="BI669" t="s">
        <v>96</v>
      </c>
      <c r="BJ669" t="s">
        <v>114</v>
      </c>
      <c r="BK669">
        <v>0</v>
      </c>
      <c r="BL669">
        <v>0</v>
      </c>
      <c r="BM669">
        <v>0</v>
      </c>
      <c r="BN669">
        <v>0</v>
      </c>
      <c r="BO669">
        <v>0</v>
      </c>
      <c r="BP669">
        <v>1</v>
      </c>
      <c r="BQ669">
        <v>0</v>
      </c>
      <c r="BR669">
        <v>0</v>
      </c>
    </row>
    <row r="670" spans="1:72" x14ac:dyDescent="0.2">
      <c r="A670" s="1">
        <v>44587.677777777775</v>
      </c>
      <c r="B670" s="1">
        <v>44587.679861111108</v>
      </c>
      <c r="C670">
        <v>1</v>
      </c>
      <c r="D670">
        <v>0</v>
      </c>
      <c r="E670">
        <v>0</v>
      </c>
      <c r="F670">
        <v>0</v>
      </c>
      <c r="H670">
        <v>1</v>
      </c>
      <c r="I670">
        <v>0</v>
      </c>
      <c r="J670">
        <v>0</v>
      </c>
      <c r="K670">
        <v>0</v>
      </c>
      <c r="L670">
        <v>0</v>
      </c>
      <c r="P670">
        <v>1</v>
      </c>
      <c r="Q670">
        <v>0</v>
      </c>
      <c r="R670">
        <v>0</v>
      </c>
      <c r="S670">
        <v>0</v>
      </c>
      <c r="T670">
        <v>0</v>
      </c>
      <c r="U670">
        <v>0</v>
      </c>
      <c r="V670">
        <v>0</v>
      </c>
      <c r="W670">
        <v>0</v>
      </c>
      <c r="X670">
        <v>0</v>
      </c>
      <c r="Y670">
        <v>0</v>
      </c>
      <c r="Z670">
        <v>0</v>
      </c>
      <c r="AA670">
        <v>0</v>
      </c>
      <c r="AC670">
        <v>0</v>
      </c>
      <c r="AD670">
        <v>0</v>
      </c>
      <c r="AE670">
        <v>0</v>
      </c>
      <c r="AF670">
        <v>0</v>
      </c>
      <c r="AG670">
        <v>0</v>
      </c>
      <c r="AH670">
        <v>0</v>
      </c>
      <c r="AI670">
        <v>1</v>
      </c>
      <c r="AJ670">
        <v>0</v>
      </c>
      <c r="AK670">
        <v>0</v>
      </c>
      <c r="AZ670" t="s">
        <v>107</v>
      </c>
      <c r="BA670" t="s">
        <v>74</v>
      </c>
      <c r="BF670" t="s">
        <v>97</v>
      </c>
      <c r="BG670" t="s">
        <v>76</v>
      </c>
      <c r="BH670" t="s">
        <v>158</v>
      </c>
      <c r="BI670" t="s">
        <v>107</v>
      </c>
      <c r="BJ670" t="s">
        <v>151</v>
      </c>
      <c r="BK670">
        <v>1</v>
      </c>
      <c r="BL670">
        <v>0</v>
      </c>
      <c r="BM670">
        <v>0</v>
      </c>
      <c r="BN670">
        <v>0</v>
      </c>
      <c r="BO670">
        <v>0</v>
      </c>
      <c r="BP670">
        <v>0</v>
      </c>
      <c r="BQ670">
        <v>0</v>
      </c>
      <c r="BR670">
        <v>0</v>
      </c>
    </row>
    <row r="671" spans="1:72" x14ac:dyDescent="0.2">
      <c r="A671" s="1">
        <v>44588.888194444444</v>
      </c>
      <c r="B671" s="1">
        <v>44588.88958333333</v>
      </c>
      <c r="C671">
        <v>0</v>
      </c>
      <c r="D671">
        <v>1</v>
      </c>
      <c r="E671">
        <v>0</v>
      </c>
      <c r="F671">
        <v>0</v>
      </c>
      <c r="H671">
        <v>0</v>
      </c>
      <c r="I671">
        <v>1</v>
      </c>
      <c r="J671">
        <v>0</v>
      </c>
      <c r="K671">
        <v>0</v>
      </c>
      <c r="L671">
        <v>0</v>
      </c>
      <c r="N671" t="s">
        <v>135</v>
      </c>
      <c r="O671" t="s">
        <v>127</v>
      </c>
      <c r="P671">
        <v>0</v>
      </c>
      <c r="Q671">
        <v>0</v>
      </c>
      <c r="R671">
        <v>0</v>
      </c>
      <c r="S671">
        <v>0</v>
      </c>
      <c r="T671">
        <v>1</v>
      </c>
      <c r="U671">
        <v>0</v>
      </c>
      <c r="V671">
        <v>0</v>
      </c>
      <c r="W671">
        <v>0</v>
      </c>
      <c r="X671">
        <v>0</v>
      </c>
      <c r="Y671">
        <v>0</v>
      </c>
      <c r="Z671">
        <v>0</v>
      </c>
      <c r="AA671">
        <v>0</v>
      </c>
      <c r="AM671" t="s">
        <v>83</v>
      </c>
      <c r="AN671" t="s">
        <v>81</v>
      </c>
      <c r="AO671" t="s">
        <v>81</v>
      </c>
      <c r="AP671" t="s">
        <v>83</v>
      </c>
      <c r="AQ671" t="s">
        <v>82</v>
      </c>
      <c r="AR671" t="s">
        <v>83</v>
      </c>
      <c r="AS671" t="s">
        <v>83</v>
      </c>
      <c r="AT671" t="s">
        <v>81</v>
      </c>
      <c r="AU671" t="s">
        <v>88</v>
      </c>
      <c r="AV671" t="s">
        <v>80</v>
      </c>
      <c r="AW671" t="s">
        <v>85</v>
      </c>
      <c r="AX671" t="s">
        <v>146</v>
      </c>
      <c r="AZ671" t="s">
        <v>107</v>
      </c>
      <c r="BA671" t="s">
        <v>87</v>
      </c>
      <c r="BB671" t="s">
        <v>74</v>
      </c>
      <c r="BC671" t="s">
        <v>86</v>
      </c>
      <c r="BD671" t="s">
        <v>74</v>
      </c>
      <c r="BE671" t="s">
        <v>74</v>
      </c>
      <c r="BF671" t="s">
        <v>75</v>
      </c>
      <c r="BG671" t="s">
        <v>76</v>
      </c>
      <c r="BH671" t="s">
        <v>77</v>
      </c>
      <c r="BI671" t="s">
        <v>107</v>
      </c>
      <c r="BJ671" t="s">
        <v>147</v>
      </c>
      <c r="BK671">
        <v>0</v>
      </c>
      <c r="BL671">
        <v>0</v>
      </c>
      <c r="BM671">
        <v>0</v>
      </c>
      <c r="BN671">
        <v>0</v>
      </c>
      <c r="BO671">
        <v>0</v>
      </c>
      <c r="BP671">
        <v>1</v>
      </c>
      <c r="BQ671">
        <v>0</v>
      </c>
      <c r="BR671">
        <v>0</v>
      </c>
    </row>
    <row r="672" spans="1:72" x14ac:dyDescent="0.2">
      <c r="A672" s="1">
        <v>44589.808333333334</v>
      </c>
      <c r="B672" s="1">
        <v>44589.811111111114</v>
      </c>
      <c r="C672">
        <v>1</v>
      </c>
      <c r="D672">
        <v>0</v>
      </c>
      <c r="E672">
        <v>0</v>
      </c>
      <c r="F672">
        <v>0</v>
      </c>
      <c r="H672">
        <v>1</v>
      </c>
      <c r="I672">
        <v>0</v>
      </c>
      <c r="J672">
        <v>0</v>
      </c>
      <c r="K672">
        <v>0</v>
      </c>
      <c r="L672">
        <v>0</v>
      </c>
      <c r="P672">
        <v>0</v>
      </c>
      <c r="Q672">
        <v>1</v>
      </c>
      <c r="R672">
        <v>0</v>
      </c>
      <c r="S672">
        <v>0</v>
      </c>
      <c r="T672">
        <v>0</v>
      </c>
      <c r="U672">
        <v>0</v>
      </c>
      <c r="V672">
        <v>0</v>
      </c>
      <c r="W672">
        <v>0</v>
      </c>
      <c r="X672">
        <v>0</v>
      </c>
      <c r="Y672">
        <v>0</v>
      </c>
      <c r="Z672">
        <v>0</v>
      </c>
      <c r="AA672">
        <v>0</v>
      </c>
      <c r="AM672" t="s">
        <v>82</v>
      </c>
      <c r="AN672" t="s">
        <v>83</v>
      </c>
      <c r="AO672" t="s">
        <v>83</v>
      </c>
      <c r="AP672" t="s">
        <v>83</v>
      </c>
      <c r="AQ672" t="s">
        <v>82</v>
      </c>
      <c r="AR672" t="s">
        <v>81</v>
      </c>
      <c r="AS672" t="s">
        <v>83</v>
      </c>
      <c r="AT672" t="s">
        <v>83</v>
      </c>
      <c r="AU672" t="s">
        <v>127</v>
      </c>
      <c r="AV672" t="s">
        <v>127</v>
      </c>
      <c r="AZ672" t="s">
        <v>96</v>
      </c>
      <c r="BA672" t="s">
        <v>86</v>
      </c>
      <c r="BB672" t="s">
        <v>74</v>
      </c>
      <c r="BC672" t="s">
        <v>74</v>
      </c>
      <c r="BD672" t="s">
        <v>74</v>
      </c>
      <c r="BE672" t="s">
        <v>74</v>
      </c>
      <c r="BF672" t="s">
        <v>97</v>
      </c>
      <c r="BG672" t="s">
        <v>92</v>
      </c>
      <c r="BH672" t="s">
        <v>98</v>
      </c>
      <c r="BI672" t="s">
        <v>96</v>
      </c>
      <c r="BJ672" t="s">
        <v>109</v>
      </c>
      <c r="BK672">
        <v>0</v>
      </c>
      <c r="BL672">
        <v>0</v>
      </c>
      <c r="BM672">
        <v>0</v>
      </c>
      <c r="BN672">
        <v>0</v>
      </c>
      <c r="BO672">
        <v>0</v>
      </c>
      <c r="BP672">
        <v>1</v>
      </c>
      <c r="BQ672">
        <v>0</v>
      </c>
      <c r="BR672">
        <v>0</v>
      </c>
    </row>
    <row r="673" spans="1:70" x14ac:dyDescent="0.2">
      <c r="A673" s="1">
        <v>44580.820138888892</v>
      </c>
      <c r="B673" s="1">
        <v>44580.821527777778</v>
      </c>
      <c r="C673">
        <v>1</v>
      </c>
      <c r="D673">
        <v>0</v>
      </c>
      <c r="E673">
        <v>0</v>
      </c>
      <c r="F673">
        <v>0</v>
      </c>
      <c r="H673">
        <v>1</v>
      </c>
      <c r="I673">
        <v>0</v>
      </c>
      <c r="J673">
        <v>0</v>
      </c>
      <c r="K673">
        <v>0</v>
      </c>
      <c r="L673">
        <v>0</v>
      </c>
      <c r="P673">
        <v>1</v>
      </c>
      <c r="Q673">
        <v>0</v>
      </c>
      <c r="R673">
        <v>0</v>
      </c>
      <c r="S673">
        <v>0</v>
      </c>
      <c r="T673">
        <v>0</v>
      </c>
      <c r="U673">
        <v>0</v>
      </c>
      <c r="V673">
        <v>0</v>
      </c>
      <c r="W673">
        <v>0</v>
      </c>
      <c r="X673">
        <v>0</v>
      </c>
      <c r="Y673">
        <v>0</v>
      </c>
      <c r="Z673">
        <v>0</v>
      </c>
      <c r="AA673">
        <v>0</v>
      </c>
      <c r="AC673">
        <v>0</v>
      </c>
      <c r="AD673">
        <v>0</v>
      </c>
      <c r="AE673">
        <v>0</v>
      </c>
      <c r="AF673">
        <v>0</v>
      </c>
      <c r="AG673">
        <v>0</v>
      </c>
      <c r="AH673">
        <v>0</v>
      </c>
      <c r="AI673">
        <v>0</v>
      </c>
      <c r="AJ673">
        <v>1</v>
      </c>
      <c r="AK673">
        <v>0</v>
      </c>
      <c r="AX673" t="s">
        <v>110</v>
      </c>
      <c r="AY673" t="s">
        <v>343</v>
      </c>
      <c r="AZ673" t="s">
        <v>73</v>
      </c>
      <c r="BA673" t="s">
        <v>74</v>
      </c>
      <c r="BF673" t="s">
        <v>75</v>
      </c>
      <c r="BG673" t="s">
        <v>76</v>
      </c>
      <c r="BH673" t="s">
        <v>77</v>
      </c>
      <c r="BI673" t="s">
        <v>73</v>
      </c>
      <c r="BJ673" t="s">
        <v>114</v>
      </c>
      <c r="BK673">
        <v>1</v>
      </c>
      <c r="BL673">
        <v>0</v>
      </c>
      <c r="BM673">
        <v>0</v>
      </c>
      <c r="BN673">
        <v>0</v>
      </c>
      <c r="BO673">
        <v>0</v>
      </c>
      <c r="BP673">
        <v>0</v>
      </c>
      <c r="BQ673">
        <v>0</v>
      </c>
      <c r="BR673">
        <v>0</v>
      </c>
    </row>
    <row r="674" spans="1:70" x14ac:dyDescent="0.2">
      <c r="A674" s="1">
        <v>44580.916666666664</v>
      </c>
      <c r="B674" s="1">
        <v>44580.919444444444</v>
      </c>
      <c r="C674">
        <v>0</v>
      </c>
      <c r="D674">
        <v>1</v>
      </c>
      <c r="E674">
        <v>0</v>
      </c>
      <c r="F674">
        <v>0</v>
      </c>
      <c r="H674">
        <v>1</v>
      </c>
      <c r="I674">
        <v>0</v>
      </c>
      <c r="J674">
        <v>0</v>
      </c>
      <c r="K674">
        <v>0</v>
      </c>
      <c r="L674">
        <v>0</v>
      </c>
      <c r="P674">
        <v>1</v>
      </c>
      <c r="Q674">
        <v>0</v>
      </c>
      <c r="R674">
        <v>0</v>
      </c>
      <c r="S674">
        <v>0</v>
      </c>
      <c r="T674">
        <v>0</v>
      </c>
      <c r="U674">
        <v>0</v>
      </c>
      <c r="V674">
        <v>0</v>
      </c>
      <c r="W674">
        <v>0</v>
      </c>
      <c r="X674">
        <v>0</v>
      </c>
      <c r="Y674">
        <v>0</v>
      </c>
      <c r="Z674">
        <v>0</v>
      </c>
      <c r="AA674">
        <v>0</v>
      </c>
      <c r="AC674">
        <v>0</v>
      </c>
      <c r="AD674">
        <v>0</v>
      </c>
      <c r="AE674">
        <v>1</v>
      </c>
      <c r="AF674">
        <v>0</v>
      </c>
      <c r="AG674">
        <v>0</v>
      </c>
      <c r="AH674">
        <v>0</v>
      </c>
      <c r="AI674">
        <v>0</v>
      </c>
      <c r="AJ674">
        <v>0</v>
      </c>
      <c r="AK674">
        <v>0</v>
      </c>
      <c r="AZ674" t="s">
        <v>96</v>
      </c>
      <c r="BA674" t="s">
        <v>87</v>
      </c>
      <c r="BB674" t="s">
        <v>87</v>
      </c>
      <c r="BC674" t="s">
        <v>86</v>
      </c>
      <c r="BD674" t="s">
        <v>87</v>
      </c>
      <c r="BE674" t="s">
        <v>86</v>
      </c>
      <c r="BF674" t="s">
        <v>101</v>
      </c>
      <c r="BG674" t="s">
        <v>76</v>
      </c>
      <c r="BH674" t="s">
        <v>98</v>
      </c>
      <c r="BI674" t="s">
        <v>96</v>
      </c>
      <c r="BJ674" t="s">
        <v>154</v>
      </c>
      <c r="BK674">
        <v>1</v>
      </c>
      <c r="BL674">
        <v>0</v>
      </c>
      <c r="BM674">
        <v>0</v>
      </c>
      <c r="BN674">
        <v>0</v>
      </c>
      <c r="BO674">
        <v>0</v>
      </c>
      <c r="BP674">
        <v>0</v>
      </c>
      <c r="BQ674">
        <v>0</v>
      </c>
      <c r="BR674">
        <v>0</v>
      </c>
    </row>
    <row r="675" spans="1:70" x14ac:dyDescent="0.2">
      <c r="A675" s="1">
        <v>44588.867361111108</v>
      </c>
      <c r="B675" s="1">
        <v>44588.868055555555</v>
      </c>
      <c r="C675">
        <v>0</v>
      </c>
      <c r="D675">
        <v>0</v>
      </c>
      <c r="E675">
        <v>0</v>
      </c>
      <c r="F675">
        <v>1</v>
      </c>
      <c r="P675">
        <v>1</v>
      </c>
      <c r="Q675">
        <v>0</v>
      </c>
      <c r="R675">
        <v>0</v>
      </c>
      <c r="S675">
        <v>0</v>
      </c>
      <c r="T675">
        <v>0</v>
      </c>
      <c r="U675">
        <v>0</v>
      </c>
      <c r="V675">
        <v>0</v>
      </c>
      <c r="W675">
        <v>0</v>
      </c>
      <c r="X675">
        <v>0</v>
      </c>
      <c r="Y675">
        <v>0</v>
      </c>
      <c r="Z675">
        <v>0</v>
      </c>
      <c r="AA675">
        <v>0</v>
      </c>
      <c r="AC675">
        <v>0</v>
      </c>
      <c r="AD675">
        <v>0</v>
      </c>
      <c r="AE675">
        <v>0</v>
      </c>
      <c r="AF675">
        <v>0</v>
      </c>
      <c r="AG675">
        <v>0</v>
      </c>
      <c r="AH675">
        <v>0</v>
      </c>
      <c r="AI675">
        <v>1</v>
      </c>
      <c r="AJ675">
        <v>0</v>
      </c>
      <c r="AK675">
        <v>0</v>
      </c>
      <c r="AZ675" t="s">
        <v>107</v>
      </c>
      <c r="BF675" t="s">
        <v>97</v>
      </c>
      <c r="BG675" t="s">
        <v>76</v>
      </c>
      <c r="BH675" t="s">
        <v>98</v>
      </c>
      <c r="BI675" t="s">
        <v>107</v>
      </c>
      <c r="BJ675" t="s">
        <v>154</v>
      </c>
      <c r="BK675">
        <v>0</v>
      </c>
      <c r="BL675">
        <v>0</v>
      </c>
      <c r="BM675">
        <v>0</v>
      </c>
      <c r="BN675">
        <v>0</v>
      </c>
      <c r="BO675">
        <v>0</v>
      </c>
      <c r="BP675">
        <v>0</v>
      </c>
      <c r="BQ675">
        <v>0</v>
      </c>
      <c r="BR675">
        <v>1</v>
      </c>
    </row>
    <row r="676" spans="1:70" x14ac:dyDescent="0.2">
      <c r="A676" s="1">
        <v>44579.956250000003</v>
      </c>
      <c r="B676" s="1">
        <v>44579.959027777775</v>
      </c>
      <c r="C676">
        <v>1</v>
      </c>
      <c r="D676">
        <v>0</v>
      </c>
      <c r="E676">
        <v>0</v>
      </c>
      <c r="F676">
        <v>0</v>
      </c>
      <c r="H676">
        <v>0</v>
      </c>
      <c r="I676">
        <v>0</v>
      </c>
      <c r="J676">
        <v>0</v>
      </c>
      <c r="K676">
        <v>0</v>
      </c>
      <c r="L676">
        <v>1</v>
      </c>
      <c r="M676" t="s">
        <v>344</v>
      </c>
      <c r="N676" t="s">
        <v>88</v>
      </c>
      <c r="O676" t="s">
        <v>89</v>
      </c>
      <c r="P676">
        <v>1</v>
      </c>
      <c r="Q676">
        <v>0</v>
      </c>
      <c r="R676">
        <v>0</v>
      </c>
      <c r="S676">
        <v>0</v>
      </c>
      <c r="T676">
        <v>0</v>
      </c>
      <c r="U676">
        <v>0</v>
      </c>
      <c r="V676">
        <v>0</v>
      </c>
      <c r="W676">
        <v>0</v>
      </c>
      <c r="X676">
        <v>0</v>
      </c>
      <c r="Y676">
        <v>0</v>
      </c>
      <c r="Z676">
        <v>0</v>
      </c>
      <c r="AA676">
        <v>0</v>
      </c>
      <c r="AC676">
        <v>0</v>
      </c>
      <c r="AD676">
        <v>0</v>
      </c>
      <c r="AE676">
        <v>0</v>
      </c>
      <c r="AF676">
        <v>0</v>
      </c>
      <c r="AG676">
        <v>0</v>
      </c>
      <c r="AH676">
        <v>0</v>
      </c>
      <c r="AI676">
        <v>1</v>
      </c>
      <c r="AJ676">
        <v>0</v>
      </c>
      <c r="AK676">
        <v>0</v>
      </c>
      <c r="AZ676" t="s">
        <v>107</v>
      </c>
      <c r="BA676" t="s">
        <v>86</v>
      </c>
      <c r="BB676" t="s">
        <v>74</v>
      </c>
      <c r="BC676" t="s">
        <v>74</v>
      </c>
      <c r="BD676" t="s">
        <v>74</v>
      </c>
      <c r="BE676" t="s">
        <v>86</v>
      </c>
      <c r="BF676" t="s">
        <v>97</v>
      </c>
      <c r="BG676" t="s">
        <v>92</v>
      </c>
      <c r="BH676" t="s">
        <v>158</v>
      </c>
      <c r="BI676" t="s">
        <v>107</v>
      </c>
      <c r="BJ676" t="s">
        <v>94</v>
      </c>
      <c r="BK676">
        <v>0</v>
      </c>
      <c r="BL676">
        <v>0</v>
      </c>
      <c r="BM676">
        <v>0</v>
      </c>
      <c r="BN676">
        <v>0</v>
      </c>
      <c r="BO676">
        <v>0</v>
      </c>
      <c r="BP676">
        <v>1</v>
      </c>
      <c r="BQ676">
        <v>0</v>
      </c>
      <c r="BR676">
        <v>0</v>
      </c>
    </row>
    <row r="677" spans="1:70" ht="48" x14ac:dyDescent="0.2">
      <c r="A677" s="1">
        <v>44579.875</v>
      </c>
      <c r="B677" s="1">
        <v>44579.879861111112</v>
      </c>
      <c r="C677">
        <v>1</v>
      </c>
      <c r="D677">
        <v>0</v>
      </c>
      <c r="E677">
        <v>0</v>
      </c>
      <c r="F677">
        <v>0</v>
      </c>
      <c r="H677">
        <v>1</v>
      </c>
      <c r="I677">
        <v>0</v>
      </c>
      <c r="J677">
        <v>0</v>
      </c>
      <c r="K677">
        <v>0</v>
      </c>
      <c r="L677">
        <v>0</v>
      </c>
      <c r="P677">
        <v>1</v>
      </c>
      <c r="Q677">
        <v>0</v>
      </c>
      <c r="R677">
        <v>0</v>
      </c>
      <c r="S677">
        <v>0</v>
      </c>
      <c r="T677">
        <v>0</v>
      </c>
      <c r="U677">
        <v>0</v>
      </c>
      <c r="V677">
        <v>0</v>
      </c>
      <c r="W677">
        <v>0</v>
      </c>
      <c r="X677">
        <v>0</v>
      </c>
      <c r="Y677">
        <v>0</v>
      </c>
      <c r="Z677">
        <v>0</v>
      </c>
      <c r="AA677">
        <v>0</v>
      </c>
      <c r="AC677">
        <v>0</v>
      </c>
      <c r="AD677">
        <v>0</v>
      </c>
      <c r="AE677">
        <v>1</v>
      </c>
      <c r="AF677">
        <v>0</v>
      </c>
      <c r="AG677">
        <v>0</v>
      </c>
      <c r="AH677">
        <v>0</v>
      </c>
      <c r="AI677">
        <v>1</v>
      </c>
      <c r="AJ677">
        <v>0</v>
      </c>
      <c r="AK677">
        <v>1</v>
      </c>
      <c r="AL677" s="2" t="s">
        <v>345</v>
      </c>
      <c r="AX677" t="s">
        <v>199</v>
      </c>
      <c r="AZ677" t="s">
        <v>73</v>
      </c>
      <c r="BA677" t="s">
        <v>86</v>
      </c>
      <c r="BB677" t="s">
        <v>86</v>
      </c>
      <c r="BC677" t="s">
        <v>74</v>
      </c>
      <c r="BD677" t="s">
        <v>86</v>
      </c>
      <c r="BE677" t="s">
        <v>86</v>
      </c>
      <c r="BF677" t="s">
        <v>75</v>
      </c>
      <c r="BG677" t="s">
        <v>76</v>
      </c>
      <c r="BH677" t="s">
        <v>77</v>
      </c>
      <c r="BI677" t="s">
        <v>73</v>
      </c>
      <c r="BJ677" t="s">
        <v>102</v>
      </c>
      <c r="BK677">
        <v>0</v>
      </c>
      <c r="BL677">
        <v>0</v>
      </c>
      <c r="BM677">
        <v>0</v>
      </c>
      <c r="BN677">
        <v>0</v>
      </c>
      <c r="BO677">
        <v>0</v>
      </c>
      <c r="BP677">
        <v>1</v>
      </c>
      <c r="BQ677">
        <v>0</v>
      </c>
      <c r="BR677">
        <v>0</v>
      </c>
    </row>
    <row r="678" spans="1:70" x14ac:dyDescent="0.2">
      <c r="A678" s="1">
        <v>44580.095833333333</v>
      </c>
      <c r="B678" s="1">
        <v>44580.099305555559</v>
      </c>
      <c r="C678">
        <v>1</v>
      </c>
      <c r="D678">
        <v>0</v>
      </c>
      <c r="E678">
        <v>0</v>
      </c>
      <c r="F678">
        <v>0</v>
      </c>
      <c r="H678">
        <v>1</v>
      </c>
      <c r="I678">
        <v>0</v>
      </c>
      <c r="J678">
        <v>0</v>
      </c>
      <c r="K678">
        <v>0</v>
      </c>
      <c r="L678">
        <v>0</v>
      </c>
      <c r="P678">
        <v>0</v>
      </c>
      <c r="Q678">
        <v>1</v>
      </c>
      <c r="R678">
        <v>0</v>
      </c>
      <c r="S678">
        <v>0</v>
      </c>
      <c r="T678">
        <v>0</v>
      </c>
      <c r="U678">
        <v>0</v>
      </c>
      <c r="V678">
        <v>0</v>
      </c>
      <c r="W678">
        <v>0</v>
      </c>
      <c r="X678">
        <v>0</v>
      </c>
      <c r="Y678">
        <v>0</v>
      </c>
      <c r="Z678">
        <v>0</v>
      </c>
      <c r="AA678">
        <v>0</v>
      </c>
      <c r="AM678" t="s">
        <v>83</v>
      </c>
      <c r="AN678" t="s">
        <v>83</v>
      </c>
      <c r="AO678" t="s">
        <v>83</v>
      </c>
      <c r="AP678" t="s">
        <v>83</v>
      </c>
      <c r="AQ678" t="s">
        <v>83</v>
      </c>
      <c r="AR678" t="s">
        <v>83</v>
      </c>
      <c r="AS678" t="s">
        <v>83</v>
      </c>
      <c r="AT678" t="s">
        <v>83</v>
      </c>
      <c r="AU678" t="s">
        <v>127</v>
      </c>
      <c r="AV678" t="s">
        <v>127</v>
      </c>
      <c r="AZ678" t="s">
        <v>73</v>
      </c>
      <c r="BA678" t="s">
        <v>74</v>
      </c>
      <c r="BF678" t="s">
        <v>97</v>
      </c>
      <c r="BG678" t="s">
        <v>92</v>
      </c>
      <c r="BH678" t="s">
        <v>98</v>
      </c>
      <c r="BI678" t="s">
        <v>73</v>
      </c>
      <c r="BJ678" t="s">
        <v>154</v>
      </c>
      <c r="BK678">
        <v>0</v>
      </c>
      <c r="BL678">
        <v>0</v>
      </c>
      <c r="BM678">
        <v>0</v>
      </c>
      <c r="BN678">
        <v>0</v>
      </c>
      <c r="BO678">
        <v>0</v>
      </c>
      <c r="BP678">
        <v>1</v>
      </c>
      <c r="BQ678">
        <v>0</v>
      </c>
      <c r="BR678">
        <v>0</v>
      </c>
    </row>
    <row r="679" spans="1:70" x14ac:dyDescent="0.2">
      <c r="A679" s="1">
        <v>44579.909722222219</v>
      </c>
      <c r="B679" s="1">
        <v>44579.913888888892</v>
      </c>
      <c r="C679">
        <v>0</v>
      </c>
      <c r="D679">
        <v>1</v>
      </c>
      <c r="E679">
        <v>0</v>
      </c>
      <c r="F679">
        <v>0</v>
      </c>
      <c r="H679">
        <v>0</v>
      </c>
      <c r="I679">
        <v>1</v>
      </c>
      <c r="J679">
        <v>1</v>
      </c>
      <c r="K679">
        <v>1</v>
      </c>
      <c r="L679">
        <v>1</v>
      </c>
      <c r="M679" t="s">
        <v>218</v>
      </c>
      <c r="N679" t="s">
        <v>88</v>
      </c>
      <c r="O679" t="s">
        <v>89</v>
      </c>
      <c r="P679">
        <v>0</v>
      </c>
      <c r="Q679">
        <v>1</v>
      </c>
      <c r="R679">
        <v>0</v>
      </c>
      <c r="S679">
        <v>0</v>
      </c>
      <c r="T679">
        <v>0</v>
      </c>
      <c r="U679">
        <v>0</v>
      </c>
      <c r="V679">
        <v>0</v>
      </c>
      <c r="W679">
        <v>0</v>
      </c>
      <c r="X679">
        <v>0</v>
      </c>
      <c r="Y679">
        <v>0</v>
      </c>
      <c r="Z679">
        <v>0</v>
      </c>
      <c r="AA679">
        <v>0</v>
      </c>
      <c r="AM679" t="s">
        <v>90</v>
      </c>
      <c r="AN679" t="s">
        <v>82</v>
      </c>
      <c r="AO679" t="s">
        <v>81</v>
      </c>
      <c r="AP679" t="s">
        <v>81</v>
      </c>
      <c r="AQ679" t="s">
        <v>90</v>
      </c>
      <c r="AR679" t="s">
        <v>90</v>
      </c>
      <c r="AS679" t="s">
        <v>90</v>
      </c>
      <c r="AT679" t="s">
        <v>90</v>
      </c>
      <c r="AU679" t="s">
        <v>88</v>
      </c>
      <c r="AV679" t="s">
        <v>89</v>
      </c>
      <c r="AW679" t="s">
        <v>100</v>
      </c>
      <c r="AZ679" t="s">
        <v>73</v>
      </c>
      <c r="BA679" t="s">
        <v>87</v>
      </c>
      <c r="BB679" t="s">
        <v>87</v>
      </c>
      <c r="BC679" t="s">
        <v>87</v>
      </c>
      <c r="BD679" t="s">
        <v>87</v>
      </c>
      <c r="BE679" t="s">
        <v>86</v>
      </c>
      <c r="BF679" t="s">
        <v>97</v>
      </c>
      <c r="BG679" t="s">
        <v>92</v>
      </c>
      <c r="BH679" t="s">
        <v>158</v>
      </c>
      <c r="BI679" t="s">
        <v>73</v>
      </c>
      <c r="BJ679" t="s">
        <v>102</v>
      </c>
      <c r="BK679">
        <v>0</v>
      </c>
      <c r="BL679">
        <v>0</v>
      </c>
      <c r="BM679">
        <v>0</v>
      </c>
      <c r="BN679">
        <v>0</v>
      </c>
      <c r="BO679">
        <v>0</v>
      </c>
      <c r="BP679">
        <v>1</v>
      </c>
      <c r="BQ679">
        <v>0</v>
      </c>
      <c r="BR679">
        <v>0</v>
      </c>
    </row>
    <row r="680" spans="1:70" x14ac:dyDescent="0.2">
      <c r="A680" s="1">
        <v>44589.806944444441</v>
      </c>
      <c r="B680" s="1">
        <v>44589.80972222222</v>
      </c>
      <c r="C680">
        <v>0</v>
      </c>
      <c r="D680">
        <v>0</v>
      </c>
      <c r="E680">
        <v>1</v>
      </c>
      <c r="F680">
        <v>0</v>
      </c>
      <c r="G680" t="s">
        <v>346</v>
      </c>
      <c r="H680">
        <v>1</v>
      </c>
      <c r="I680">
        <v>0</v>
      </c>
      <c r="J680">
        <v>0</v>
      </c>
      <c r="K680">
        <v>0</v>
      </c>
      <c r="L680">
        <v>0</v>
      </c>
      <c r="P680">
        <v>1</v>
      </c>
      <c r="Q680">
        <v>0</v>
      </c>
      <c r="R680">
        <v>0</v>
      </c>
      <c r="S680">
        <v>0</v>
      </c>
      <c r="T680">
        <v>0</v>
      </c>
      <c r="U680">
        <v>0</v>
      </c>
      <c r="V680">
        <v>0</v>
      </c>
      <c r="W680">
        <v>0</v>
      </c>
      <c r="X680">
        <v>0</v>
      </c>
      <c r="Y680">
        <v>0</v>
      </c>
      <c r="Z680">
        <v>0</v>
      </c>
      <c r="AA680">
        <v>0</v>
      </c>
      <c r="AC680">
        <v>0</v>
      </c>
      <c r="AD680">
        <v>1</v>
      </c>
      <c r="AE680">
        <v>0</v>
      </c>
      <c r="AF680">
        <v>0</v>
      </c>
      <c r="AG680">
        <v>0</v>
      </c>
      <c r="AH680">
        <v>0</v>
      </c>
      <c r="AI680">
        <v>0</v>
      </c>
      <c r="AJ680">
        <v>0</v>
      </c>
      <c r="AK680">
        <v>0</v>
      </c>
      <c r="AZ680" t="s">
        <v>120</v>
      </c>
      <c r="BA680" t="s">
        <v>86</v>
      </c>
      <c r="BB680" t="s">
        <v>74</v>
      </c>
      <c r="BC680" t="s">
        <v>74</v>
      </c>
      <c r="BD680" t="s">
        <v>74</v>
      </c>
      <c r="BE680" t="s">
        <v>74</v>
      </c>
      <c r="BF680" t="s">
        <v>101</v>
      </c>
      <c r="BG680" t="s">
        <v>92</v>
      </c>
      <c r="BH680" t="s">
        <v>98</v>
      </c>
      <c r="BI680" t="s">
        <v>120</v>
      </c>
      <c r="BJ680" t="s">
        <v>154</v>
      </c>
      <c r="BK680">
        <v>0</v>
      </c>
      <c r="BL680">
        <v>0</v>
      </c>
      <c r="BM680">
        <v>0</v>
      </c>
      <c r="BN680">
        <v>0</v>
      </c>
      <c r="BO680">
        <v>0</v>
      </c>
      <c r="BP680">
        <v>1</v>
      </c>
      <c r="BQ680">
        <v>0</v>
      </c>
      <c r="BR680">
        <v>0</v>
      </c>
    </row>
    <row r="681" spans="1:70" x14ac:dyDescent="0.2">
      <c r="A681" s="1">
        <v>44579.90625</v>
      </c>
      <c r="B681" s="1">
        <v>44579.90902777778</v>
      </c>
      <c r="C681">
        <v>1</v>
      </c>
      <c r="D681">
        <v>0</v>
      </c>
      <c r="E681">
        <v>0</v>
      </c>
      <c r="F681">
        <v>0</v>
      </c>
      <c r="H681">
        <v>0</v>
      </c>
      <c r="I681">
        <v>1</v>
      </c>
      <c r="J681">
        <v>0</v>
      </c>
      <c r="K681">
        <v>0</v>
      </c>
      <c r="L681">
        <v>0</v>
      </c>
      <c r="N681" t="s">
        <v>135</v>
      </c>
      <c r="O681" t="s">
        <v>89</v>
      </c>
      <c r="P681">
        <v>0</v>
      </c>
      <c r="Q681">
        <v>0</v>
      </c>
      <c r="R681">
        <v>1</v>
      </c>
      <c r="S681">
        <v>0</v>
      </c>
      <c r="T681">
        <v>0</v>
      </c>
      <c r="U681">
        <v>0</v>
      </c>
      <c r="V681">
        <v>0</v>
      </c>
      <c r="W681">
        <v>0</v>
      </c>
      <c r="X681">
        <v>0</v>
      </c>
      <c r="Y681">
        <v>0</v>
      </c>
      <c r="Z681">
        <v>0</v>
      </c>
      <c r="AA681">
        <v>0</v>
      </c>
      <c r="AM681" t="s">
        <v>83</v>
      </c>
      <c r="AN681" t="s">
        <v>82</v>
      </c>
      <c r="AO681" t="s">
        <v>83</v>
      </c>
      <c r="AP681" t="s">
        <v>81</v>
      </c>
      <c r="AQ681" t="s">
        <v>81</v>
      </c>
      <c r="AR681" t="s">
        <v>83</v>
      </c>
      <c r="AS681" t="s">
        <v>83</v>
      </c>
      <c r="AT681" t="s">
        <v>83</v>
      </c>
      <c r="AU681" t="s">
        <v>88</v>
      </c>
      <c r="AV681" t="s">
        <v>89</v>
      </c>
      <c r="AW681" t="s">
        <v>85</v>
      </c>
      <c r="AX681" t="s">
        <v>122</v>
      </c>
      <c r="AZ681" t="s">
        <v>73</v>
      </c>
      <c r="BA681" t="s">
        <v>86</v>
      </c>
      <c r="BB681" t="s">
        <v>86</v>
      </c>
      <c r="BC681" t="s">
        <v>86</v>
      </c>
      <c r="BD681" t="s">
        <v>86</v>
      </c>
      <c r="BE681" t="s">
        <v>86</v>
      </c>
      <c r="BF681" t="s">
        <v>108</v>
      </c>
      <c r="BG681" t="s">
        <v>76</v>
      </c>
      <c r="BH681" t="s">
        <v>77</v>
      </c>
      <c r="BI681" t="s">
        <v>73</v>
      </c>
      <c r="BJ681" t="s">
        <v>78</v>
      </c>
      <c r="BK681">
        <v>1</v>
      </c>
      <c r="BL681">
        <v>0</v>
      </c>
      <c r="BM681">
        <v>0</v>
      </c>
      <c r="BN681">
        <v>0</v>
      </c>
      <c r="BO681">
        <v>0</v>
      </c>
      <c r="BP681">
        <v>0</v>
      </c>
      <c r="BQ681">
        <v>0</v>
      </c>
      <c r="BR681">
        <v>0</v>
      </c>
    </row>
    <row r="682" spans="1:70" x14ac:dyDescent="0.2">
      <c r="A682" s="1">
        <v>44583.131249999999</v>
      </c>
      <c r="B682" s="1">
        <v>44583.134027777778</v>
      </c>
      <c r="C682">
        <v>1</v>
      </c>
      <c r="D682">
        <v>0</v>
      </c>
      <c r="E682">
        <v>0</v>
      </c>
      <c r="F682">
        <v>0</v>
      </c>
      <c r="H682">
        <v>1</v>
      </c>
      <c r="I682">
        <v>0</v>
      </c>
      <c r="J682">
        <v>0</v>
      </c>
      <c r="K682">
        <v>0</v>
      </c>
      <c r="L682">
        <v>0</v>
      </c>
      <c r="P682">
        <v>1</v>
      </c>
      <c r="Q682">
        <v>0</v>
      </c>
      <c r="R682">
        <v>0</v>
      </c>
      <c r="S682">
        <v>0</v>
      </c>
      <c r="T682">
        <v>0</v>
      </c>
      <c r="U682">
        <v>0</v>
      </c>
      <c r="V682">
        <v>0</v>
      </c>
      <c r="W682">
        <v>0</v>
      </c>
      <c r="X682">
        <v>0</v>
      </c>
      <c r="Y682">
        <v>0</v>
      </c>
      <c r="Z682">
        <v>0</v>
      </c>
      <c r="AA682">
        <v>0</v>
      </c>
      <c r="AC682">
        <v>0</v>
      </c>
      <c r="AD682">
        <v>0</v>
      </c>
      <c r="AE682">
        <v>1</v>
      </c>
      <c r="AF682">
        <v>0</v>
      </c>
      <c r="AG682">
        <v>0</v>
      </c>
      <c r="AH682">
        <v>0</v>
      </c>
      <c r="AI682">
        <v>0</v>
      </c>
      <c r="AJ682">
        <v>0</v>
      </c>
      <c r="AK682">
        <v>0</v>
      </c>
      <c r="AX682" t="s">
        <v>110</v>
      </c>
      <c r="AY682" t="s">
        <v>347</v>
      </c>
      <c r="AZ682" t="s">
        <v>120</v>
      </c>
      <c r="BA682" t="s">
        <v>86</v>
      </c>
      <c r="BB682" t="s">
        <v>74</v>
      </c>
      <c r="BC682" t="s">
        <v>74</v>
      </c>
      <c r="BD682" t="s">
        <v>87</v>
      </c>
      <c r="BE682" t="s">
        <v>87</v>
      </c>
      <c r="BF682" t="s">
        <v>75</v>
      </c>
      <c r="BG682" t="s">
        <v>76</v>
      </c>
      <c r="BH682" t="s">
        <v>98</v>
      </c>
      <c r="BI682" t="s">
        <v>120</v>
      </c>
      <c r="BJ682" t="s">
        <v>189</v>
      </c>
      <c r="BK682">
        <v>0</v>
      </c>
      <c r="BL682">
        <v>0</v>
      </c>
      <c r="BM682">
        <v>0</v>
      </c>
      <c r="BN682">
        <v>0</v>
      </c>
      <c r="BO682">
        <v>0</v>
      </c>
      <c r="BP682">
        <v>1</v>
      </c>
      <c r="BQ682">
        <v>0</v>
      </c>
      <c r="BR682">
        <v>0</v>
      </c>
    </row>
    <row r="683" spans="1:70" x14ac:dyDescent="0.2">
      <c r="A683" s="1">
        <v>44585.626388888886</v>
      </c>
      <c r="B683" s="1">
        <v>44585.627083333333</v>
      </c>
      <c r="C683">
        <v>0</v>
      </c>
      <c r="D683">
        <v>1</v>
      </c>
      <c r="E683">
        <v>0</v>
      </c>
      <c r="F683">
        <v>0</v>
      </c>
      <c r="H683">
        <v>1</v>
      </c>
      <c r="I683">
        <v>0</v>
      </c>
      <c r="J683">
        <v>0</v>
      </c>
      <c r="K683">
        <v>0</v>
      </c>
      <c r="L683">
        <v>0</v>
      </c>
      <c r="P683">
        <v>0</v>
      </c>
      <c r="Q683">
        <v>1</v>
      </c>
      <c r="R683">
        <v>0</v>
      </c>
      <c r="S683">
        <v>0</v>
      </c>
      <c r="T683">
        <v>0</v>
      </c>
      <c r="U683">
        <v>0</v>
      </c>
      <c r="V683">
        <v>0</v>
      </c>
      <c r="W683">
        <v>0</v>
      </c>
      <c r="X683">
        <v>0</v>
      </c>
      <c r="Y683">
        <v>0</v>
      </c>
      <c r="Z683">
        <v>0</v>
      </c>
      <c r="AA683">
        <v>0</v>
      </c>
      <c r="AM683" t="s">
        <v>90</v>
      </c>
      <c r="AN683" t="s">
        <v>82</v>
      </c>
      <c r="AO683" t="s">
        <v>83</v>
      </c>
      <c r="AP683" t="s">
        <v>90</v>
      </c>
      <c r="AQ683" t="s">
        <v>90</v>
      </c>
      <c r="AR683" t="s">
        <v>90</v>
      </c>
      <c r="AS683" t="s">
        <v>90</v>
      </c>
      <c r="AT683" t="s">
        <v>83</v>
      </c>
      <c r="AU683" t="s">
        <v>84</v>
      </c>
      <c r="AV683" t="s">
        <v>80</v>
      </c>
      <c r="AW683" t="s">
        <v>85</v>
      </c>
      <c r="AZ683" t="s">
        <v>73</v>
      </c>
      <c r="BA683" t="s">
        <v>87</v>
      </c>
      <c r="BB683" t="s">
        <v>87</v>
      </c>
      <c r="BC683" t="s">
        <v>87</v>
      </c>
      <c r="BD683" t="s">
        <v>87</v>
      </c>
      <c r="BE683" t="s">
        <v>87</v>
      </c>
      <c r="BF683" t="s">
        <v>101</v>
      </c>
      <c r="BG683" t="s">
        <v>76</v>
      </c>
      <c r="BH683" t="s">
        <v>98</v>
      </c>
      <c r="BI683" t="s">
        <v>73</v>
      </c>
      <c r="BJ683" t="s">
        <v>78</v>
      </c>
      <c r="BK683">
        <v>0</v>
      </c>
      <c r="BL683">
        <v>0</v>
      </c>
      <c r="BM683">
        <v>0</v>
      </c>
      <c r="BN683">
        <v>0</v>
      </c>
      <c r="BO683">
        <v>0</v>
      </c>
      <c r="BP683">
        <v>1</v>
      </c>
      <c r="BQ683">
        <v>0</v>
      </c>
      <c r="BR683">
        <v>0</v>
      </c>
    </row>
    <row r="684" spans="1:70" x14ac:dyDescent="0.2">
      <c r="A684" s="1">
        <v>44585.01666666667</v>
      </c>
      <c r="B684" s="1">
        <v>44585.018750000003</v>
      </c>
      <c r="C684">
        <v>1</v>
      </c>
      <c r="D684">
        <v>0</v>
      </c>
      <c r="E684">
        <v>0</v>
      </c>
      <c r="F684">
        <v>0</v>
      </c>
      <c r="H684">
        <v>1</v>
      </c>
      <c r="I684">
        <v>0</v>
      </c>
      <c r="J684">
        <v>0</v>
      </c>
      <c r="K684">
        <v>0</v>
      </c>
      <c r="L684">
        <v>0</v>
      </c>
      <c r="P684">
        <v>0</v>
      </c>
      <c r="Q684">
        <v>1</v>
      </c>
      <c r="R684">
        <v>0</v>
      </c>
      <c r="S684">
        <v>0</v>
      </c>
      <c r="T684">
        <v>0</v>
      </c>
      <c r="U684">
        <v>0</v>
      </c>
      <c r="V684">
        <v>0</v>
      </c>
      <c r="W684">
        <v>0</v>
      </c>
      <c r="X684">
        <v>0</v>
      </c>
      <c r="Y684">
        <v>0</v>
      </c>
      <c r="Z684">
        <v>0</v>
      </c>
      <c r="AA684">
        <v>0</v>
      </c>
      <c r="AM684" t="s">
        <v>83</v>
      </c>
      <c r="AN684" t="s">
        <v>82</v>
      </c>
      <c r="AO684" t="s">
        <v>83</v>
      </c>
      <c r="AP684" t="s">
        <v>83</v>
      </c>
      <c r="AQ684" t="s">
        <v>82</v>
      </c>
      <c r="AR684" t="s">
        <v>83</v>
      </c>
      <c r="AS684" t="s">
        <v>83</v>
      </c>
      <c r="AT684" t="s">
        <v>81</v>
      </c>
      <c r="AU684" t="s">
        <v>88</v>
      </c>
      <c r="AV684" t="s">
        <v>89</v>
      </c>
      <c r="AW684" t="s">
        <v>85</v>
      </c>
      <c r="AX684" t="s">
        <v>106</v>
      </c>
      <c r="AZ684" t="s">
        <v>107</v>
      </c>
      <c r="BA684" t="s">
        <v>87</v>
      </c>
      <c r="BB684" t="s">
        <v>87</v>
      </c>
      <c r="BC684" t="s">
        <v>87</v>
      </c>
      <c r="BD684" t="s">
        <v>87</v>
      </c>
      <c r="BE684" t="s">
        <v>87</v>
      </c>
      <c r="BF684" t="s">
        <v>113</v>
      </c>
      <c r="BG684" t="s">
        <v>76</v>
      </c>
      <c r="BH684" t="s">
        <v>98</v>
      </c>
      <c r="BI684" t="s">
        <v>107</v>
      </c>
      <c r="BJ684" t="s">
        <v>78</v>
      </c>
      <c r="BK684">
        <v>1</v>
      </c>
      <c r="BL684">
        <v>0</v>
      </c>
      <c r="BM684">
        <v>0</v>
      </c>
      <c r="BN684">
        <v>0</v>
      </c>
      <c r="BO684">
        <v>0</v>
      </c>
      <c r="BP684">
        <v>0</v>
      </c>
      <c r="BQ684">
        <v>0</v>
      </c>
      <c r="BR684">
        <v>0</v>
      </c>
    </row>
    <row r="685" spans="1:70" x14ac:dyDescent="0.2">
      <c r="A685" s="1">
        <v>44585.601388888892</v>
      </c>
      <c r="B685" s="1">
        <v>44585.604166666664</v>
      </c>
      <c r="C685">
        <v>1</v>
      </c>
      <c r="D685">
        <v>0</v>
      </c>
      <c r="E685">
        <v>0</v>
      </c>
      <c r="F685">
        <v>0</v>
      </c>
      <c r="H685">
        <v>0</v>
      </c>
      <c r="I685">
        <v>1</v>
      </c>
      <c r="J685">
        <v>0</v>
      </c>
      <c r="K685">
        <v>0</v>
      </c>
      <c r="L685">
        <v>0</v>
      </c>
      <c r="N685" t="s">
        <v>135</v>
      </c>
      <c r="O685" t="s">
        <v>80</v>
      </c>
      <c r="P685">
        <v>1</v>
      </c>
      <c r="Q685">
        <v>0</v>
      </c>
      <c r="R685">
        <v>0</v>
      </c>
      <c r="S685">
        <v>0</v>
      </c>
      <c r="T685">
        <v>0</v>
      </c>
      <c r="U685">
        <v>0</v>
      </c>
      <c r="V685">
        <v>0</v>
      </c>
      <c r="W685">
        <v>0</v>
      </c>
      <c r="X685">
        <v>0</v>
      </c>
      <c r="Y685">
        <v>0</v>
      </c>
      <c r="Z685">
        <v>0</v>
      </c>
      <c r="AA685">
        <v>0</v>
      </c>
      <c r="AC685">
        <v>0</v>
      </c>
      <c r="AD685">
        <v>0</v>
      </c>
      <c r="AE685">
        <v>0</v>
      </c>
      <c r="AF685">
        <v>1</v>
      </c>
      <c r="AG685">
        <v>0</v>
      </c>
      <c r="AH685">
        <v>0</v>
      </c>
      <c r="AI685">
        <v>0</v>
      </c>
      <c r="AJ685">
        <v>0</v>
      </c>
      <c r="AK685">
        <v>1</v>
      </c>
      <c r="AL685" t="s">
        <v>348</v>
      </c>
      <c r="AX685" t="s">
        <v>106</v>
      </c>
      <c r="AZ685" t="s">
        <v>96</v>
      </c>
      <c r="BA685" t="s">
        <v>87</v>
      </c>
      <c r="BB685" t="s">
        <v>74</v>
      </c>
      <c r="BC685" t="s">
        <v>87</v>
      </c>
      <c r="BD685" t="s">
        <v>86</v>
      </c>
      <c r="BE685" t="s">
        <v>87</v>
      </c>
      <c r="BF685" t="s">
        <v>75</v>
      </c>
      <c r="BG685" t="s">
        <v>76</v>
      </c>
      <c r="BH685" t="s">
        <v>98</v>
      </c>
      <c r="BI685" t="s">
        <v>96</v>
      </c>
      <c r="BJ685" t="s">
        <v>78</v>
      </c>
      <c r="BK685">
        <v>1</v>
      </c>
      <c r="BL685">
        <v>0</v>
      </c>
      <c r="BM685">
        <v>0</v>
      </c>
      <c r="BN685">
        <v>0</v>
      </c>
      <c r="BO685">
        <v>0</v>
      </c>
      <c r="BP685">
        <v>0</v>
      </c>
      <c r="BQ685">
        <v>0</v>
      </c>
      <c r="BR685">
        <v>0</v>
      </c>
    </row>
    <row r="686" spans="1:70" x14ac:dyDescent="0.2">
      <c r="A686" s="1">
        <v>44579.890277777777</v>
      </c>
      <c r="B686" s="1">
        <v>44579.893750000003</v>
      </c>
      <c r="C686">
        <v>0</v>
      </c>
      <c r="D686">
        <v>1</v>
      </c>
      <c r="E686">
        <v>0</v>
      </c>
      <c r="F686">
        <v>0</v>
      </c>
      <c r="H686">
        <v>0</v>
      </c>
      <c r="I686">
        <v>1</v>
      </c>
      <c r="J686">
        <v>0</v>
      </c>
      <c r="K686">
        <v>0</v>
      </c>
      <c r="L686">
        <v>0</v>
      </c>
      <c r="N686" t="s">
        <v>79</v>
      </c>
      <c r="O686" t="s">
        <v>80</v>
      </c>
      <c r="P686">
        <v>1</v>
      </c>
      <c r="Q686">
        <v>0</v>
      </c>
      <c r="R686">
        <v>0</v>
      </c>
      <c r="S686">
        <v>0</v>
      </c>
      <c r="T686">
        <v>0</v>
      </c>
      <c r="U686">
        <v>0</v>
      </c>
      <c r="V686">
        <v>0</v>
      </c>
      <c r="W686">
        <v>0</v>
      </c>
      <c r="X686">
        <v>0</v>
      </c>
      <c r="Y686">
        <v>0</v>
      </c>
      <c r="Z686">
        <v>0</v>
      </c>
      <c r="AA686">
        <v>0</v>
      </c>
      <c r="AC686">
        <v>0</v>
      </c>
      <c r="AD686">
        <v>0</v>
      </c>
      <c r="AE686">
        <v>0</v>
      </c>
      <c r="AF686">
        <v>0</v>
      </c>
      <c r="AG686">
        <v>0</v>
      </c>
      <c r="AH686">
        <v>0</v>
      </c>
      <c r="AI686">
        <v>0</v>
      </c>
      <c r="AJ686">
        <v>0</v>
      </c>
      <c r="AK686">
        <v>1</v>
      </c>
      <c r="AL686" t="s">
        <v>349</v>
      </c>
      <c r="AX686" t="s">
        <v>242</v>
      </c>
      <c r="AZ686" t="s">
        <v>107</v>
      </c>
      <c r="BA686" t="s">
        <v>86</v>
      </c>
      <c r="BB686" t="s">
        <v>74</v>
      </c>
      <c r="BC686" t="s">
        <v>87</v>
      </c>
      <c r="BD686" t="s">
        <v>87</v>
      </c>
      <c r="BE686" t="s">
        <v>74</v>
      </c>
      <c r="BF686" t="s">
        <v>113</v>
      </c>
      <c r="BG686" t="s">
        <v>92</v>
      </c>
      <c r="BH686" t="s">
        <v>98</v>
      </c>
      <c r="BI686" t="s">
        <v>107</v>
      </c>
      <c r="BJ686" t="s">
        <v>78</v>
      </c>
      <c r="BK686">
        <v>1</v>
      </c>
      <c r="BL686">
        <v>0</v>
      </c>
      <c r="BM686">
        <v>0</v>
      </c>
      <c r="BN686">
        <v>0</v>
      </c>
      <c r="BO686">
        <v>0</v>
      </c>
      <c r="BP686">
        <v>0</v>
      </c>
      <c r="BQ686">
        <v>0</v>
      </c>
      <c r="BR686">
        <v>0</v>
      </c>
    </row>
    <row r="687" spans="1:70" x14ac:dyDescent="0.2">
      <c r="A687" s="1">
        <v>44580.036111111112</v>
      </c>
      <c r="B687" s="1">
        <v>44580.038888888892</v>
      </c>
      <c r="C687">
        <v>1</v>
      </c>
      <c r="D687">
        <v>0</v>
      </c>
      <c r="E687">
        <v>0</v>
      </c>
      <c r="F687">
        <v>0</v>
      </c>
      <c r="H687">
        <v>0</v>
      </c>
      <c r="I687">
        <v>1</v>
      </c>
      <c r="J687">
        <v>1</v>
      </c>
      <c r="K687">
        <v>1</v>
      </c>
      <c r="L687">
        <v>0</v>
      </c>
      <c r="N687" t="s">
        <v>88</v>
      </c>
      <c r="O687" t="s">
        <v>89</v>
      </c>
      <c r="P687">
        <v>0</v>
      </c>
      <c r="Q687">
        <v>0</v>
      </c>
      <c r="R687">
        <v>0</v>
      </c>
      <c r="S687">
        <v>1</v>
      </c>
      <c r="T687">
        <v>0</v>
      </c>
      <c r="U687">
        <v>0</v>
      </c>
      <c r="V687">
        <v>0</v>
      </c>
      <c r="W687">
        <v>0</v>
      </c>
      <c r="X687">
        <v>0</v>
      </c>
      <c r="Y687">
        <v>0</v>
      </c>
      <c r="Z687">
        <v>0</v>
      </c>
      <c r="AA687">
        <v>1</v>
      </c>
      <c r="AB687" t="s">
        <v>350</v>
      </c>
      <c r="AM687" t="s">
        <v>90</v>
      </c>
      <c r="AN687" t="s">
        <v>82</v>
      </c>
      <c r="AO687" t="s">
        <v>82</v>
      </c>
      <c r="AP687" t="s">
        <v>81</v>
      </c>
      <c r="AQ687" t="s">
        <v>90</v>
      </c>
      <c r="AR687" t="s">
        <v>90</v>
      </c>
      <c r="AS687" t="s">
        <v>90</v>
      </c>
      <c r="AT687" t="s">
        <v>90</v>
      </c>
      <c r="AU687" t="s">
        <v>88</v>
      </c>
      <c r="AV687" t="s">
        <v>89</v>
      </c>
      <c r="AW687" t="s">
        <v>100</v>
      </c>
      <c r="AX687" t="s">
        <v>110</v>
      </c>
      <c r="AY687" t="s">
        <v>351</v>
      </c>
      <c r="AZ687" t="s">
        <v>107</v>
      </c>
      <c r="BA687" t="s">
        <v>87</v>
      </c>
      <c r="BB687" t="s">
        <v>74</v>
      </c>
      <c r="BC687" t="s">
        <v>87</v>
      </c>
      <c r="BD687" t="s">
        <v>87</v>
      </c>
      <c r="BE687" t="s">
        <v>87</v>
      </c>
      <c r="BF687" t="s">
        <v>75</v>
      </c>
      <c r="BG687" t="s">
        <v>92</v>
      </c>
      <c r="BH687" t="s">
        <v>98</v>
      </c>
      <c r="BI687" t="s">
        <v>107</v>
      </c>
      <c r="BJ687" t="s">
        <v>78</v>
      </c>
      <c r="BK687">
        <v>0</v>
      </c>
      <c r="BL687">
        <v>0</v>
      </c>
      <c r="BM687">
        <v>0</v>
      </c>
      <c r="BN687">
        <v>0</v>
      </c>
      <c r="BO687">
        <v>0</v>
      </c>
      <c r="BP687">
        <v>1</v>
      </c>
      <c r="BQ687">
        <v>0</v>
      </c>
      <c r="BR687">
        <v>0</v>
      </c>
    </row>
    <row r="688" spans="1:70" x14ac:dyDescent="0.2">
      <c r="A688" s="1">
        <v>44580.036111111112</v>
      </c>
      <c r="B688" s="1">
        <v>44580.037499999999</v>
      </c>
      <c r="C688">
        <v>0</v>
      </c>
      <c r="D688">
        <v>1</v>
      </c>
      <c r="E688">
        <v>0</v>
      </c>
      <c r="F688">
        <v>0</v>
      </c>
      <c r="H688">
        <v>1</v>
      </c>
      <c r="I688">
        <v>0</v>
      </c>
      <c r="J688">
        <v>0</v>
      </c>
      <c r="K688">
        <v>0</v>
      </c>
      <c r="L688">
        <v>0</v>
      </c>
      <c r="P688">
        <v>1</v>
      </c>
      <c r="Q688">
        <v>0</v>
      </c>
      <c r="R688">
        <v>0</v>
      </c>
      <c r="S688">
        <v>0</v>
      </c>
      <c r="T688">
        <v>0</v>
      </c>
      <c r="U688">
        <v>0</v>
      </c>
      <c r="V688">
        <v>0</v>
      </c>
      <c r="W688">
        <v>0</v>
      </c>
      <c r="X688">
        <v>0</v>
      </c>
      <c r="Y688">
        <v>0</v>
      </c>
      <c r="Z688">
        <v>0</v>
      </c>
      <c r="AA688">
        <v>0</v>
      </c>
      <c r="AC688">
        <v>0</v>
      </c>
      <c r="AD688">
        <v>0</v>
      </c>
      <c r="AE688">
        <v>0</v>
      </c>
      <c r="AF688">
        <v>0</v>
      </c>
      <c r="AG688">
        <v>0</v>
      </c>
      <c r="AH688">
        <v>0</v>
      </c>
      <c r="AI688">
        <v>0</v>
      </c>
      <c r="AJ688">
        <v>1</v>
      </c>
      <c r="AK688">
        <v>0</v>
      </c>
      <c r="AZ688" t="s">
        <v>107</v>
      </c>
      <c r="BA688" t="s">
        <v>74</v>
      </c>
      <c r="BF688" t="s">
        <v>97</v>
      </c>
      <c r="BG688" t="s">
        <v>92</v>
      </c>
      <c r="BH688" t="s">
        <v>98</v>
      </c>
      <c r="BI688" t="s">
        <v>107</v>
      </c>
      <c r="BJ688" t="s">
        <v>165</v>
      </c>
      <c r="BK688">
        <v>0</v>
      </c>
      <c r="BL688">
        <v>0</v>
      </c>
      <c r="BM688">
        <v>0</v>
      </c>
      <c r="BN688">
        <v>0</v>
      </c>
      <c r="BO688">
        <v>0</v>
      </c>
      <c r="BP688">
        <v>1</v>
      </c>
      <c r="BQ688">
        <v>0</v>
      </c>
      <c r="BR688">
        <v>0</v>
      </c>
    </row>
    <row r="689" spans="1:72" x14ac:dyDescent="0.2">
      <c r="A689" s="1">
        <v>44579.984722222223</v>
      </c>
      <c r="B689" s="1">
        <v>44579.987500000003</v>
      </c>
      <c r="C689">
        <v>1</v>
      </c>
      <c r="D689">
        <v>0</v>
      </c>
      <c r="E689">
        <v>0</v>
      </c>
      <c r="F689">
        <v>0</v>
      </c>
      <c r="H689">
        <v>0</v>
      </c>
      <c r="I689">
        <v>1</v>
      </c>
      <c r="J689">
        <v>0</v>
      </c>
      <c r="K689">
        <v>0</v>
      </c>
      <c r="L689">
        <v>0</v>
      </c>
      <c r="N689" t="s">
        <v>79</v>
      </c>
      <c r="O689" t="s">
        <v>80</v>
      </c>
      <c r="P689">
        <v>0</v>
      </c>
      <c r="Q689">
        <v>1</v>
      </c>
      <c r="R689">
        <v>1</v>
      </c>
      <c r="S689">
        <v>0</v>
      </c>
      <c r="T689">
        <v>0</v>
      </c>
      <c r="U689">
        <v>0</v>
      </c>
      <c r="V689">
        <v>0</v>
      </c>
      <c r="W689">
        <v>0</v>
      </c>
      <c r="X689">
        <v>0</v>
      </c>
      <c r="Y689">
        <v>0</v>
      </c>
      <c r="Z689">
        <v>0</v>
      </c>
      <c r="AA689">
        <v>0</v>
      </c>
      <c r="AM689" t="s">
        <v>90</v>
      </c>
      <c r="AN689" t="s">
        <v>90</v>
      </c>
      <c r="AO689" t="s">
        <v>83</v>
      </c>
      <c r="AP689" t="s">
        <v>90</v>
      </c>
      <c r="AQ689" t="s">
        <v>81</v>
      </c>
      <c r="AR689" t="s">
        <v>90</v>
      </c>
      <c r="AS689" t="s">
        <v>83</v>
      </c>
      <c r="AT689" t="s">
        <v>90</v>
      </c>
      <c r="AU689" t="s">
        <v>84</v>
      </c>
      <c r="AV689" t="s">
        <v>80</v>
      </c>
      <c r="AW689" t="s">
        <v>117</v>
      </c>
      <c r="AX689" t="s">
        <v>118</v>
      </c>
      <c r="AZ689" t="s">
        <v>73</v>
      </c>
      <c r="BA689" t="s">
        <v>86</v>
      </c>
      <c r="BB689" t="s">
        <v>86</v>
      </c>
      <c r="BC689" t="s">
        <v>86</v>
      </c>
      <c r="BD689" t="s">
        <v>86</v>
      </c>
      <c r="BE689" t="s">
        <v>86</v>
      </c>
      <c r="BF689" t="s">
        <v>75</v>
      </c>
      <c r="BG689" t="s">
        <v>76</v>
      </c>
      <c r="BH689" t="s">
        <v>98</v>
      </c>
      <c r="BI689" t="s">
        <v>73</v>
      </c>
      <c r="BJ689" t="s">
        <v>174</v>
      </c>
      <c r="BK689">
        <v>1</v>
      </c>
      <c r="BL689">
        <v>0</v>
      </c>
      <c r="BM689">
        <v>0</v>
      </c>
      <c r="BN689">
        <v>0</v>
      </c>
      <c r="BO689">
        <v>0</v>
      </c>
      <c r="BP689">
        <v>0</v>
      </c>
      <c r="BQ689">
        <v>0</v>
      </c>
      <c r="BR689">
        <v>0</v>
      </c>
    </row>
    <row r="690" spans="1:72" x14ac:dyDescent="0.2">
      <c r="A690" s="1">
        <v>44588.92083333333</v>
      </c>
      <c r="B690" s="1">
        <v>44588.92291666667</v>
      </c>
      <c r="C690">
        <v>1</v>
      </c>
      <c r="D690">
        <v>0</v>
      </c>
      <c r="E690">
        <v>0</v>
      </c>
      <c r="F690">
        <v>0</v>
      </c>
      <c r="H690">
        <v>0</v>
      </c>
      <c r="I690">
        <v>1</v>
      </c>
      <c r="J690">
        <v>0</v>
      </c>
      <c r="K690">
        <v>0</v>
      </c>
      <c r="L690">
        <v>0</v>
      </c>
      <c r="N690" t="s">
        <v>135</v>
      </c>
      <c r="O690" t="s">
        <v>127</v>
      </c>
      <c r="P690">
        <v>0</v>
      </c>
      <c r="Q690">
        <v>0</v>
      </c>
      <c r="R690">
        <v>1</v>
      </c>
      <c r="S690">
        <v>0</v>
      </c>
      <c r="T690">
        <v>0</v>
      </c>
      <c r="U690">
        <v>0</v>
      </c>
      <c r="V690">
        <v>0</v>
      </c>
      <c r="W690">
        <v>0</v>
      </c>
      <c r="X690">
        <v>0</v>
      </c>
      <c r="Y690">
        <v>0</v>
      </c>
      <c r="Z690">
        <v>0</v>
      </c>
      <c r="AA690">
        <v>0</v>
      </c>
      <c r="AM690" t="s">
        <v>83</v>
      </c>
      <c r="AN690" t="s">
        <v>81</v>
      </c>
      <c r="AO690" t="s">
        <v>83</v>
      </c>
      <c r="AP690" t="s">
        <v>82</v>
      </c>
      <c r="AQ690" t="s">
        <v>81</v>
      </c>
      <c r="AR690" t="s">
        <v>83</v>
      </c>
      <c r="AS690" t="s">
        <v>83</v>
      </c>
      <c r="AT690" t="s">
        <v>83</v>
      </c>
      <c r="AU690" t="s">
        <v>135</v>
      </c>
      <c r="AV690" t="s">
        <v>127</v>
      </c>
      <c r="AW690" t="s">
        <v>85</v>
      </c>
      <c r="AZ690" t="s">
        <v>96</v>
      </c>
      <c r="BA690" t="s">
        <v>87</v>
      </c>
      <c r="BB690" t="s">
        <v>87</v>
      </c>
      <c r="BC690" t="s">
        <v>87</v>
      </c>
      <c r="BD690" t="s">
        <v>87</v>
      </c>
      <c r="BE690" t="s">
        <v>87</v>
      </c>
      <c r="BF690" t="s">
        <v>101</v>
      </c>
      <c r="BG690" t="s">
        <v>76</v>
      </c>
      <c r="BH690" t="s">
        <v>93</v>
      </c>
      <c r="BI690" t="s">
        <v>96</v>
      </c>
      <c r="BK690">
        <v>0</v>
      </c>
      <c r="BL690">
        <v>0</v>
      </c>
      <c r="BM690">
        <v>0</v>
      </c>
      <c r="BN690">
        <v>0</v>
      </c>
      <c r="BO690">
        <v>0</v>
      </c>
      <c r="BP690">
        <v>1</v>
      </c>
      <c r="BQ690">
        <v>0</v>
      </c>
      <c r="BR690">
        <v>0</v>
      </c>
      <c r="BT690" t="s">
        <v>109</v>
      </c>
    </row>
    <row r="691" spans="1:72" x14ac:dyDescent="0.2">
      <c r="A691" s="1">
        <v>44585.665972222225</v>
      </c>
      <c r="B691" s="1">
        <v>44585.668749999997</v>
      </c>
      <c r="C691">
        <v>0</v>
      </c>
      <c r="D691">
        <v>1</v>
      </c>
      <c r="E691">
        <v>0</v>
      </c>
      <c r="F691">
        <v>0</v>
      </c>
      <c r="H691">
        <v>1</v>
      </c>
      <c r="I691">
        <v>0</v>
      </c>
      <c r="J691">
        <v>0</v>
      </c>
      <c r="K691">
        <v>0</v>
      </c>
      <c r="L691">
        <v>0</v>
      </c>
      <c r="P691">
        <v>0</v>
      </c>
      <c r="Q691">
        <v>0</v>
      </c>
      <c r="R691">
        <v>0</v>
      </c>
      <c r="S691">
        <v>0</v>
      </c>
      <c r="T691">
        <v>0</v>
      </c>
      <c r="U691">
        <v>0</v>
      </c>
      <c r="V691">
        <v>0</v>
      </c>
      <c r="W691">
        <v>0</v>
      </c>
      <c r="X691">
        <v>0</v>
      </c>
      <c r="Y691">
        <v>0</v>
      </c>
      <c r="Z691">
        <v>0</v>
      </c>
      <c r="AA691">
        <v>1</v>
      </c>
      <c r="AB691" t="s">
        <v>352</v>
      </c>
      <c r="AM691" t="s">
        <v>81</v>
      </c>
      <c r="AN691" t="s">
        <v>81</v>
      </c>
      <c r="AO691" t="s">
        <v>81</v>
      </c>
      <c r="AP691" t="s">
        <v>81</v>
      </c>
      <c r="AQ691" t="s">
        <v>83</v>
      </c>
      <c r="AR691" t="s">
        <v>83</v>
      </c>
      <c r="AS691" t="s">
        <v>83</v>
      </c>
      <c r="AT691" t="s">
        <v>83</v>
      </c>
      <c r="AU691" t="s">
        <v>135</v>
      </c>
      <c r="AV691" t="s">
        <v>127</v>
      </c>
      <c r="AW691" t="s">
        <v>85</v>
      </c>
      <c r="AZ691" t="s">
        <v>107</v>
      </c>
      <c r="BA691" t="s">
        <v>86</v>
      </c>
      <c r="BB691" t="s">
        <v>86</v>
      </c>
      <c r="BC691" t="s">
        <v>86</v>
      </c>
      <c r="BD691" t="s">
        <v>86</v>
      </c>
      <c r="BE691" t="s">
        <v>86</v>
      </c>
      <c r="BF691" t="s">
        <v>101</v>
      </c>
      <c r="BG691" t="s">
        <v>76</v>
      </c>
      <c r="BH691" t="s">
        <v>98</v>
      </c>
      <c r="BI691" t="s">
        <v>107</v>
      </c>
      <c r="BJ691" t="s">
        <v>78</v>
      </c>
      <c r="BK691">
        <v>1</v>
      </c>
      <c r="BL691">
        <v>0</v>
      </c>
      <c r="BM691">
        <v>0</v>
      </c>
      <c r="BN691">
        <v>0</v>
      </c>
      <c r="BO691">
        <v>0</v>
      </c>
      <c r="BP691">
        <v>0</v>
      </c>
      <c r="BQ691">
        <v>0</v>
      </c>
      <c r="BR691">
        <v>0</v>
      </c>
    </row>
    <row r="692" spans="1:72" x14ac:dyDescent="0.2">
      <c r="A692" s="1">
        <v>44585.788888888892</v>
      </c>
      <c r="B692" s="1">
        <v>44585.791666666664</v>
      </c>
      <c r="C692">
        <v>1</v>
      </c>
      <c r="D692">
        <v>0</v>
      </c>
      <c r="E692">
        <v>0</v>
      </c>
      <c r="F692">
        <v>0</v>
      </c>
      <c r="H692">
        <v>0</v>
      </c>
      <c r="I692">
        <v>1</v>
      </c>
      <c r="J692">
        <v>1</v>
      </c>
      <c r="K692">
        <v>0</v>
      </c>
      <c r="L692">
        <v>0</v>
      </c>
      <c r="N692" t="s">
        <v>79</v>
      </c>
      <c r="O692" t="s">
        <v>89</v>
      </c>
      <c r="P692">
        <v>0</v>
      </c>
      <c r="Q692">
        <v>1</v>
      </c>
      <c r="R692">
        <v>0</v>
      </c>
      <c r="S692">
        <v>0</v>
      </c>
      <c r="T692">
        <v>0</v>
      </c>
      <c r="U692">
        <v>0</v>
      </c>
      <c r="V692">
        <v>0</v>
      </c>
      <c r="W692">
        <v>0</v>
      </c>
      <c r="X692">
        <v>0</v>
      </c>
      <c r="Y692">
        <v>0</v>
      </c>
      <c r="Z692">
        <v>0</v>
      </c>
      <c r="AA692">
        <v>0</v>
      </c>
      <c r="AM692" t="s">
        <v>81</v>
      </c>
      <c r="AN692" t="s">
        <v>82</v>
      </c>
      <c r="AO692" t="s">
        <v>81</v>
      </c>
      <c r="AP692" t="s">
        <v>90</v>
      </c>
      <c r="AQ692" t="s">
        <v>82</v>
      </c>
      <c r="AR692" t="s">
        <v>81</v>
      </c>
      <c r="AS692" t="s">
        <v>83</v>
      </c>
      <c r="AT692" t="s">
        <v>83</v>
      </c>
      <c r="AU692" t="s">
        <v>88</v>
      </c>
      <c r="AV692" t="s">
        <v>89</v>
      </c>
      <c r="AW692" t="s">
        <v>100</v>
      </c>
      <c r="AZ692" t="s">
        <v>96</v>
      </c>
      <c r="BA692" t="s">
        <v>87</v>
      </c>
      <c r="BB692" t="s">
        <v>87</v>
      </c>
      <c r="BC692" t="s">
        <v>87</v>
      </c>
      <c r="BD692" t="s">
        <v>87</v>
      </c>
      <c r="BE692" t="s">
        <v>87</v>
      </c>
      <c r="BF692" t="s">
        <v>97</v>
      </c>
      <c r="BG692" t="s">
        <v>76</v>
      </c>
      <c r="BH692" t="s">
        <v>158</v>
      </c>
      <c r="BI692" t="s">
        <v>96</v>
      </c>
      <c r="BJ692" t="s">
        <v>78</v>
      </c>
      <c r="BK692">
        <v>1</v>
      </c>
      <c r="BL692">
        <v>0</v>
      </c>
      <c r="BM692">
        <v>0</v>
      </c>
      <c r="BN692">
        <v>0</v>
      </c>
      <c r="BO692">
        <v>0</v>
      </c>
      <c r="BP692">
        <v>0</v>
      </c>
      <c r="BQ692">
        <v>0</v>
      </c>
      <c r="BR692">
        <v>0</v>
      </c>
    </row>
    <row r="693" spans="1:72" x14ac:dyDescent="0.2">
      <c r="A693" s="1">
        <v>44580.534722222219</v>
      </c>
      <c r="B693" s="1">
        <v>44580.536111111112</v>
      </c>
      <c r="C693">
        <v>1</v>
      </c>
      <c r="D693">
        <v>0</v>
      </c>
      <c r="E693">
        <v>0</v>
      </c>
      <c r="F693">
        <v>0</v>
      </c>
      <c r="H693">
        <v>0</v>
      </c>
      <c r="I693">
        <v>1</v>
      </c>
      <c r="J693">
        <v>0</v>
      </c>
      <c r="K693">
        <v>0</v>
      </c>
      <c r="L693">
        <v>0</v>
      </c>
      <c r="N693" t="s">
        <v>79</v>
      </c>
      <c r="O693" t="s">
        <v>80</v>
      </c>
      <c r="P693">
        <v>0</v>
      </c>
      <c r="Q693">
        <v>1</v>
      </c>
      <c r="R693">
        <v>0</v>
      </c>
      <c r="S693">
        <v>0</v>
      </c>
      <c r="T693">
        <v>0</v>
      </c>
      <c r="U693">
        <v>0</v>
      </c>
      <c r="V693">
        <v>0</v>
      </c>
      <c r="W693">
        <v>0</v>
      </c>
      <c r="X693">
        <v>0</v>
      </c>
      <c r="Y693">
        <v>0</v>
      </c>
      <c r="Z693">
        <v>0</v>
      </c>
      <c r="AA693">
        <v>0</v>
      </c>
      <c r="AM693" t="s">
        <v>90</v>
      </c>
      <c r="AN693" t="s">
        <v>82</v>
      </c>
      <c r="AO693" t="s">
        <v>90</v>
      </c>
      <c r="AP693" t="s">
        <v>81</v>
      </c>
      <c r="AQ693" t="s">
        <v>83</v>
      </c>
      <c r="AR693" t="s">
        <v>90</v>
      </c>
      <c r="AS693" t="s">
        <v>90</v>
      </c>
      <c r="AT693" t="s">
        <v>90</v>
      </c>
      <c r="AU693" t="s">
        <v>88</v>
      </c>
      <c r="AV693" t="s">
        <v>89</v>
      </c>
      <c r="AW693" t="s">
        <v>85</v>
      </c>
      <c r="AX693" t="s">
        <v>146</v>
      </c>
      <c r="AZ693" t="s">
        <v>73</v>
      </c>
      <c r="BA693" t="s">
        <v>87</v>
      </c>
      <c r="BB693" t="s">
        <v>87</v>
      </c>
      <c r="BC693" t="s">
        <v>87</v>
      </c>
      <c r="BD693" t="s">
        <v>87</v>
      </c>
      <c r="BE693" t="s">
        <v>87</v>
      </c>
      <c r="BF693" t="s">
        <v>108</v>
      </c>
      <c r="BG693" t="s">
        <v>92</v>
      </c>
      <c r="BH693" t="s">
        <v>98</v>
      </c>
      <c r="BI693" t="s">
        <v>73</v>
      </c>
      <c r="BJ693" t="s">
        <v>78</v>
      </c>
      <c r="BK693">
        <v>0</v>
      </c>
      <c r="BL693">
        <v>0</v>
      </c>
      <c r="BM693">
        <v>0</v>
      </c>
      <c r="BN693">
        <v>0</v>
      </c>
      <c r="BO693">
        <v>0</v>
      </c>
      <c r="BP693">
        <v>1</v>
      </c>
      <c r="BQ693">
        <v>0</v>
      </c>
      <c r="BR693">
        <v>0</v>
      </c>
    </row>
    <row r="694" spans="1:72" x14ac:dyDescent="0.2">
      <c r="A694" s="1">
        <v>44580.11041666667</v>
      </c>
      <c r="B694" s="1">
        <v>44580.111805555556</v>
      </c>
      <c r="C694">
        <v>0</v>
      </c>
      <c r="D694">
        <v>1</v>
      </c>
      <c r="E694">
        <v>0</v>
      </c>
      <c r="F694">
        <v>0</v>
      </c>
      <c r="H694">
        <v>1</v>
      </c>
      <c r="I694">
        <v>0</v>
      </c>
      <c r="J694">
        <v>0</v>
      </c>
      <c r="K694">
        <v>0</v>
      </c>
      <c r="L694">
        <v>0</v>
      </c>
      <c r="P694">
        <v>1</v>
      </c>
      <c r="Q694">
        <v>0</v>
      </c>
      <c r="R694">
        <v>0</v>
      </c>
      <c r="S694">
        <v>0</v>
      </c>
      <c r="T694">
        <v>0</v>
      </c>
      <c r="U694">
        <v>0</v>
      </c>
      <c r="V694">
        <v>0</v>
      </c>
      <c r="W694">
        <v>0</v>
      </c>
      <c r="X694">
        <v>0</v>
      </c>
      <c r="Y694">
        <v>0</v>
      </c>
      <c r="Z694">
        <v>0</v>
      </c>
      <c r="AA694">
        <v>0</v>
      </c>
      <c r="AC694">
        <v>0</v>
      </c>
      <c r="AD694">
        <v>0</v>
      </c>
      <c r="AE694">
        <v>1</v>
      </c>
      <c r="AF694">
        <v>0</v>
      </c>
      <c r="AG694">
        <v>1</v>
      </c>
      <c r="AH694">
        <v>0</v>
      </c>
      <c r="AI694">
        <v>0</v>
      </c>
      <c r="AJ694">
        <v>0</v>
      </c>
      <c r="AK694">
        <v>0</v>
      </c>
      <c r="AX694" t="s">
        <v>259</v>
      </c>
      <c r="AZ694" t="s">
        <v>120</v>
      </c>
      <c r="BA694" t="s">
        <v>87</v>
      </c>
      <c r="BB694" t="s">
        <v>87</v>
      </c>
      <c r="BC694" t="s">
        <v>87</v>
      </c>
      <c r="BD694" t="s">
        <v>87</v>
      </c>
      <c r="BE694" t="s">
        <v>87</v>
      </c>
      <c r="BF694" t="s">
        <v>75</v>
      </c>
      <c r="BG694" t="s">
        <v>76</v>
      </c>
      <c r="BH694" t="s">
        <v>77</v>
      </c>
      <c r="BI694" t="s">
        <v>120</v>
      </c>
      <c r="BJ694" t="s">
        <v>109</v>
      </c>
      <c r="BK694">
        <v>0</v>
      </c>
      <c r="BL694">
        <v>0</v>
      </c>
      <c r="BM694">
        <v>0</v>
      </c>
      <c r="BN694">
        <v>0</v>
      </c>
      <c r="BO694">
        <v>0</v>
      </c>
      <c r="BP694">
        <v>1</v>
      </c>
      <c r="BQ694">
        <v>0</v>
      </c>
      <c r="BR694">
        <v>0</v>
      </c>
    </row>
    <row r="695" spans="1:72" x14ac:dyDescent="0.2">
      <c r="A695" s="1">
        <v>44579.936111111114</v>
      </c>
      <c r="B695" s="1">
        <v>44579.991666666669</v>
      </c>
      <c r="C695">
        <v>0</v>
      </c>
      <c r="D695">
        <v>1</v>
      </c>
      <c r="E695">
        <v>0</v>
      </c>
      <c r="F695">
        <v>0</v>
      </c>
      <c r="H695">
        <v>1</v>
      </c>
      <c r="I695">
        <v>0</v>
      </c>
      <c r="J695">
        <v>0</v>
      </c>
      <c r="K695">
        <v>0</v>
      </c>
      <c r="L695">
        <v>0</v>
      </c>
      <c r="P695">
        <v>1</v>
      </c>
      <c r="Q695">
        <v>0</v>
      </c>
      <c r="R695">
        <v>0</v>
      </c>
      <c r="S695">
        <v>0</v>
      </c>
      <c r="T695">
        <v>0</v>
      </c>
      <c r="U695">
        <v>0</v>
      </c>
      <c r="V695">
        <v>0</v>
      </c>
      <c r="W695">
        <v>0</v>
      </c>
      <c r="X695">
        <v>0</v>
      </c>
      <c r="Y695">
        <v>0</v>
      </c>
      <c r="Z695">
        <v>0</v>
      </c>
      <c r="AA695">
        <v>0</v>
      </c>
      <c r="AC695">
        <v>0</v>
      </c>
      <c r="AD695">
        <v>0</v>
      </c>
      <c r="AE695">
        <v>1</v>
      </c>
      <c r="AF695">
        <v>0</v>
      </c>
      <c r="AG695">
        <v>1</v>
      </c>
      <c r="AH695">
        <v>0</v>
      </c>
      <c r="AI695">
        <v>0</v>
      </c>
      <c r="AJ695">
        <v>1</v>
      </c>
      <c r="AK695">
        <v>0</v>
      </c>
      <c r="AZ695" t="s">
        <v>120</v>
      </c>
      <c r="BA695" t="s">
        <v>86</v>
      </c>
      <c r="BB695" t="s">
        <v>86</v>
      </c>
      <c r="BC695" t="s">
        <v>74</v>
      </c>
      <c r="BD695" t="s">
        <v>86</v>
      </c>
      <c r="BE695" t="s">
        <v>87</v>
      </c>
      <c r="BF695" t="s">
        <v>101</v>
      </c>
      <c r="BG695" t="s">
        <v>76</v>
      </c>
      <c r="BH695" t="s">
        <v>77</v>
      </c>
      <c r="BI695" t="s">
        <v>120</v>
      </c>
      <c r="BJ695" t="s">
        <v>78</v>
      </c>
      <c r="BK695">
        <v>0</v>
      </c>
      <c r="BL695">
        <v>0</v>
      </c>
      <c r="BM695">
        <v>0</v>
      </c>
      <c r="BN695">
        <v>0</v>
      </c>
      <c r="BO695">
        <v>0</v>
      </c>
      <c r="BP695">
        <v>1</v>
      </c>
      <c r="BQ695">
        <v>0</v>
      </c>
      <c r="BR695">
        <v>0</v>
      </c>
    </row>
    <row r="696" spans="1:72" x14ac:dyDescent="0.2">
      <c r="A696" s="1">
        <v>44588.882638888892</v>
      </c>
      <c r="B696" s="1">
        <v>44588.885416666664</v>
      </c>
      <c r="C696">
        <v>1</v>
      </c>
      <c r="D696">
        <v>0</v>
      </c>
      <c r="E696">
        <v>0</v>
      </c>
      <c r="F696">
        <v>0</v>
      </c>
      <c r="H696">
        <v>1</v>
      </c>
      <c r="I696">
        <v>0</v>
      </c>
      <c r="J696">
        <v>0</v>
      </c>
      <c r="K696">
        <v>0</v>
      </c>
      <c r="L696">
        <v>0</v>
      </c>
      <c r="P696">
        <v>1</v>
      </c>
      <c r="Q696">
        <v>0</v>
      </c>
      <c r="R696">
        <v>0</v>
      </c>
      <c r="S696">
        <v>0</v>
      </c>
      <c r="T696">
        <v>0</v>
      </c>
      <c r="U696">
        <v>0</v>
      </c>
      <c r="V696">
        <v>0</v>
      </c>
      <c r="W696">
        <v>0</v>
      </c>
      <c r="X696">
        <v>0</v>
      </c>
      <c r="Y696">
        <v>0</v>
      </c>
      <c r="Z696">
        <v>0</v>
      </c>
      <c r="AA696">
        <v>0</v>
      </c>
      <c r="AC696">
        <v>1</v>
      </c>
      <c r="AD696">
        <v>0</v>
      </c>
      <c r="AE696">
        <v>0</v>
      </c>
      <c r="AF696">
        <v>0</v>
      </c>
      <c r="AG696">
        <v>0</v>
      </c>
      <c r="AH696">
        <v>0</v>
      </c>
      <c r="AI696">
        <v>0</v>
      </c>
      <c r="AJ696">
        <v>0</v>
      </c>
      <c r="AK696">
        <v>0</v>
      </c>
      <c r="AX696" t="s">
        <v>91</v>
      </c>
      <c r="AZ696" t="s">
        <v>96</v>
      </c>
      <c r="BA696" t="s">
        <v>87</v>
      </c>
      <c r="BB696" t="s">
        <v>87</v>
      </c>
      <c r="BC696" t="s">
        <v>87</v>
      </c>
      <c r="BD696" t="s">
        <v>87</v>
      </c>
      <c r="BE696" t="s">
        <v>87</v>
      </c>
      <c r="BF696" t="s">
        <v>75</v>
      </c>
      <c r="BG696" t="s">
        <v>92</v>
      </c>
      <c r="BH696" t="s">
        <v>77</v>
      </c>
      <c r="BI696" t="s">
        <v>96</v>
      </c>
      <c r="BJ696" t="s">
        <v>78</v>
      </c>
      <c r="BK696">
        <v>1</v>
      </c>
      <c r="BL696">
        <v>0</v>
      </c>
      <c r="BM696">
        <v>0</v>
      </c>
      <c r="BN696">
        <v>0</v>
      </c>
      <c r="BO696">
        <v>0</v>
      </c>
      <c r="BP696">
        <v>0</v>
      </c>
      <c r="BQ696">
        <v>0</v>
      </c>
      <c r="BR696">
        <v>0</v>
      </c>
    </row>
    <row r="697" spans="1:72" x14ac:dyDescent="0.2">
      <c r="A697" s="1">
        <v>44585.620833333334</v>
      </c>
      <c r="B697" s="1">
        <v>44585.622916666667</v>
      </c>
      <c r="C697">
        <v>1</v>
      </c>
      <c r="D697">
        <v>0</v>
      </c>
      <c r="E697">
        <v>0</v>
      </c>
      <c r="F697">
        <v>0</v>
      </c>
      <c r="H697">
        <v>1</v>
      </c>
      <c r="I697">
        <v>0</v>
      </c>
      <c r="J697">
        <v>0</v>
      </c>
      <c r="K697">
        <v>0</v>
      </c>
      <c r="L697">
        <v>0</v>
      </c>
      <c r="P697">
        <v>1</v>
      </c>
      <c r="Q697">
        <v>0</v>
      </c>
      <c r="R697">
        <v>0</v>
      </c>
      <c r="S697">
        <v>0</v>
      </c>
      <c r="T697">
        <v>0</v>
      </c>
      <c r="U697">
        <v>0</v>
      </c>
      <c r="V697">
        <v>0</v>
      </c>
      <c r="W697">
        <v>0</v>
      </c>
      <c r="X697">
        <v>0</v>
      </c>
      <c r="Y697">
        <v>0</v>
      </c>
      <c r="Z697">
        <v>0</v>
      </c>
      <c r="AA697">
        <v>0</v>
      </c>
      <c r="AC697">
        <v>0</v>
      </c>
      <c r="AD697">
        <v>1</v>
      </c>
      <c r="AE697">
        <v>0</v>
      </c>
      <c r="AF697">
        <v>0</v>
      </c>
      <c r="AG697">
        <v>0</v>
      </c>
      <c r="AH697">
        <v>0</v>
      </c>
      <c r="AI697">
        <v>0</v>
      </c>
      <c r="AJ697">
        <v>0</v>
      </c>
      <c r="AK697">
        <v>0</v>
      </c>
      <c r="AZ697" t="s">
        <v>73</v>
      </c>
      <c r="BA697" t="s">
        <v>87</v>
      </c>
      <c r="BB697" t="s">
        <v>87</v>
      </c>
      <c r="BC697" t="s">
        <v>86</v>
      </c>
      <c r="BD697" t="s">
        <v>87</v>
      </c>
      <c r="BE697" t="s">
        <v>86</v>
      </c>
      <c r="BF697" t="s">
        <v>97</v>
      </c>
      <c r="BG697" t="s">
        <v>92</v>
      </c>
      <c r="BH697" t="s">
        <v>158</v>
      </c>
      <c r="BI697" t="s">
        <v>73</v>
      </c>
      <c r="BJ697" t="s">
        <v>154</v>
      </c>
      <c r="BK697">
        <v>0</v>
      </c>
      <c r="BL697">
        <v>0</v>
      </c>
      <c r="BM697">
        <v>0</v>
      </c>
      <c r="BN697">
        <v>0</v>
      </c>
      <c r="BO697">
        <v>0</v>
      </c>
      <c r="BP697">
        <v>1</v>
      </c>
      <c r="BQ697">
        <v>0</v>
      </c>
      <c r="BR697">
        <v>0</v>
      </c>
    </row>
    <row r="698" spans="1:72" x14ac:dyDescent="0.2">
      <c r="A698" s="1">
        <v>44579.972222222219</v>
      </c>
      <c r="B698" s="1">
        <v>44579.973611111112</v>
      </c>
      <c r="C698">
        <v>1</v>
      </c>
      <c r="D698">
        <v>0</v>
      </c>
      <c r="E698">
        <v>0</v>
      </c>
      <c r="F698">
        <v>0</v>
      </c>
      <c r="H698">
        <v>1</v>
      </c>
      <c r="I698">
        <v>0</v>
      </c>
      <c r="J698">
        <v>0</v>
      </c>
      <c r="K698">
        <v>0</v>
      </c>
      <c r="L698">
        <v>0</v>
      </c>
      <c r="P698">
        <v>1</v>
      </c>
      <c r="Q698">
        <v>0</v>
      </c>
      <c r="R698">
        <v>0</v>
      </c>
      <c r="S698">
        <v>0</v>
      </c>
      <c r="T698">
        <v>0</v>
      </c>
      <c r="U698">
        <v>0</v>
      </c>
      <c r="V698">
        <v>0</v>
      </c>
      <c r="W698">
        <v>0</v>
      </c>
      <c r="X698">
        <v>0</v>
      </c>
      <c r="Y698">
        <v>0</v>
      </c>
      <c r="Z698">
        <v>0</v>
      </c>
      <c r="AA698">
        <v>0</v>
      </c>
      <c r="AC698">
        <v>0</v>
      </c>
      <c r="AD698">
        <v>0</v>
      </c>
      <c r="AE698">
        <v>1</v>
      </c>
      <c r="AF698">
        <v>0</v>
      </c>
      <c r="AG698">
        <v>0</v>
      </c>
      <c r="AH698">
        <v>0</v>
      </c>
      <c r="AI698">
        <v>0</v>
      </c>
      <c r="AJ698">
        <v>0</v>
      </c>
      <c r="AK698">
        <v>0</v>
      </c>
      <c r="AZ698" t="s">
        <v>73</v>
      </c>
      <c r="BA698" t="s">
        <v>74</v>
      </c>
      <c r="BF698" t="s">
        <v>97</v>
      </c>
      <c r="BG698" t="s">
        <v>92</v>
      </c>
      <c r="BH698" t="s">
        <v>158</v>
      </c>
      <c r="BI698" t="s">
        <v>73</v>
      </c>
      <c r="BJ698" t="s">
        <v>78</v>
      </c>
      <c r="BK698">
        <v>0</v>
      </c>
      <c r="BL698">
        <v>0</v>
      </c>
      <c r="BM698">
        <v>0</v>
      </c>
      <c r="BN698">
        <v>1</v>
      </c>
      <c r="BO698">
        <v>0</v>
      </c>
      <c r="BP698">
        <v>0</v>
      </c>
      <c r="BQ698">
        <v>0</v>
      </c>
      <c r="BR698">
        <v>0</v>
      </c>
    </row>
    <row r="699" spans="1:72" x14ac:dyDescent="0.2">
      <c r="A699" s="1">
        <v>44580.78125</v>
      </c>
      <c r="B699" s="1">
        <v>44580.783333333333</v>
      </c>
      <c r="C699">
        <v>0</v>
      </c>
      <c r="D699">
        <v>1</v>
      </c>
      <c r="E699">
        <v>0</v>
      </c>
      <c r="F699">
        <v>0</v>
      </c>
      <c r="H699">
        <v>1</v>
      </c>
      <c r="I699">
        <v>0</v>
      </c>
      <c r="J699">
        <v>0</v>
      </c>
      <c r="K699">
        <v>0</v>
      </c>
      <c r="L699">
        <v>0</v>
      </c>
      <c r="P699">
        <v>0</v>
      </c>
      <c r="Q699">
        <v>1</v>
      </c>
      <c r="R699">
        <v>0</v>
      </c>
      <c r="S699">
        <v>0</v>
      </c>
      <c r="T699">
        <v>0</v>
      </c>
      <c r="U699">
        <v>0</v>
      </c>
      <c r="V699">
        <v>0</v>
      </c>
      <c r="W699">
        <v>0</v>
      </c>
      <c r="X699">
        <v>0</v>
      </c>
      <c r="Y699">
        <v>0</v>
      </c>
      <c r="Z699">
        <v>0</v>
      </c>
      <c r="AA699">
        <v>0</v>
      </c>
      <c r="AM699" t="s">
        <v>83</v>
      </c>
      <c r="AN699" t="s">
        <v>81</v>
      </c>
      <c r="AO699" t="s">
        <v>83</v>
      </c>
      <c r="AP699" t="s">
        <v>83</v>
      </c>
      <c r="AQ699" t="s">
        <v>83</v>
      </c>
      <c r="AR699" t="s">
        <v>83</v>
      </c>
      <c r="AS699" t="s">
        <v>83</v>
      </c>
      <c r="AT699" t="s">
        <v>83</v>
      </c>
      <c r="AU699" t="s">
        <v>88</v>
      </c>
      <c r="AV699" t="s">
        <v>89</v>
      </c>
      <c r="AW699" t="s">
        <v>100</v>
      </c>
      <c r="AZ699" t="s">
        <v>120</v>
      </c>
      <c r="BA699" t="s">
        <v>87</v>
      </c>
      <c r="BB699" t="s">
        <v>87</v>
      </c>
      <c r="BC699" t="s">
        <v>87</v>
      </c>
      <c r="BD699" t="s">
        <v>87</v>
      </c>
      <c r="BE699" t="s">
        <v>87</v>
      </c>
      <c r="BF699" t="s">
        <v>97</v>
      </c>
      <c r="BG699" t="s">
        <v>76</v>
      </c>
      <c r="BH699" t="s">
        <v>98</v>
      </c>
      <c r="BI699" t="s">
        <v>120</v>
      </c>
      <c r="BJ699" t="s">
        <v>78</v>
      </c>
      <c r="BK699">
        <v>0</v>
      </c>
      <c r="BL699">
        <v>0</v>
      </c>
      <c r="BM699">
        <v>0</v>
      </c>
      <c r="BN699">
        <v>0</v>
      </c>
      <c r="BO699">
        <v>1</v>
      </c>
      <c r="BP699">
        <v>0</v>
      </c>
      <c r="BQ699">
        <v>0</v>
      </c>
      <c r="BR699">
        <v>0</v>
      </c>
    </row>
    <row r="700" spans="1:72" x14ac:dyDescent="0.2">
      <c r="A700" s="1">
        <v>44588.915972222225</v>
      </c>
      <c r="B700" s="1">
        <v>44588.918055555558</v>
      </c>
      <c r="C700">
        <v>1</v>
      </c>
      <c r="D700">
        <v>0</v>
      </c>
      <c r="E700">
        <v>0</v>
      </c>
      <c r="F700">
        <v>0</v>
      </c>
      <c r="H700">
        <v>1</v>
      </c>
      <c r="I700">
        <v>0</v>
      </c>
      <c r="J700">
        <v>0</v>
      </c>
      <c r="K700">
        <v>0</v>
      </c>
      <c r="L700">
        <v>0</v>
      </c>
      <c r="P700">
        <v>1</v>
      </c>
      <c r="Q700">
        <v>0</v>
      </c>
      <c r="R700">
        <v>0</v>
      </c>
      <c r="S700">
        <v>0</v>
      </c>
      <c r="T700">
        <v>0</v>
      </c>
      <c r="U700">
        <v>0</v>
      </c>
      <c r="V700">
        <v>0</v>
      </c>
      <c r="W700">
        <v>0</v>
      </c>
      <c r="X700">
        <v>0</v>
      </c>
      <c r="Y700">
        <v>0</v>
      </c>
      <c r="Z700">
        <v>0</v>
      </c>
      <c r="AA700">
        <v>0</v>
      </c>
      <c r="AC700">
        <v>0</v>
      </c>
      <c r="AD700">
        <v>0</v>
      </c>
      <c r="AE700">
        <v>1</v>
      </c>
      <c r="AF700">
        <v>0</v>
      </c>
      <c r="AG700">
        <v>0</v>
      </c>
      <c r="AH700">
        <v>0</v>
      </c>
      <c r="AI700">
        <v>0</v>
      </c>
      <c r="AJ700">
        <v>0</v>
      </c>
      <c r="AK700">
        <v>0</v>
      </c>
      <c r="AX700" t="s">
        <v>91</v>
      </c>
      <c r="AZ700" t="s">
        <v>73</v>
      </c>
      <c r="BA700" t="s">
        <v>87</v>
      </c>
      <c r="BB700" t="s">
        <v>87</v>
      </c>
      <c r="BC700" t="s">
        <v>74</v>
      </c>
      <c r="BD700" t="s">
        <v>74</v>
      </c>
      <c r="BE700" t="s">
        <v>74</v>
      </c>
      <c r="BF700" t="s">
        <v>75</v>
      </c>
      <c r="BG700" t="s">
        <v>76</v>
      </c>
      <c r="BH700" t="s">
        <v>98</v>
      </c>
      <c r="BI700" t="s">
        <v>73</v>
      </c>
      <c r="BJ700" t="s">
        <v>78</v>
      </c>
      <c r="BK700">
        <v>0</v>
      </c>
      <c r="BL700">
        <v>0</v>
      </c>
      <c r="BM700">
        <v>0</v>
      </c>
      <c r="BN700">
        <v>1</v>
      </c>
      <c r="BO700">
        <v>0</v>
      </c>
      <c r="BP700">
        <v>0</v>
      </c>
      <c r="BQ700">
        <v>0</v>
      </c>
      <c r="BR700">
        <v>0</v>
      </c>
    </row>
    <row r="701" spans="1:72" x14ac:dyDescent="0.2">
      <c r="A701" s="1">
        <v>44580.712500000001</v>
      </c>
      <c r="B701" s="1">
        <v>44580.713888888888</v>
      </c>
      <c r="C701">
        <v>1</v>
      </c>
      <c r="D701">
        <v>0</v>
      </c>
      <c r="E701">
        <v>0</v>
      </c>
      <c r="F701">
        <v>0</v>
      </c>
      <c r="H701">
        <v>0</v>
      </c>
      <c r="I701">
        <v>1</v>
      </c>
      <c r="J701">
        <v>0</v>
      </c>
      <c r="K701">
        <v>0</v>
      </c>
      <c r="L701">
        <v>0</v>
      </c>
      <c r="N701" t="s">
        <v>135</v>
      </c>
      <c r="O701" t="s">
        <v>142</v>
      </c>
      <c r="P701">
        <v>1</v>
      </c>
      <c r="Q701">
        <v>0</v>
      </c>
      <c r="R701">
        <v>0</v>
      </c>
      <c r="S701">
        <v>0</v>
      </c>
      <c r="T701">
        <v>0</v>
      </c>
      <c r="U701">
        <v>0</v>
      </c>
      <c r="V701">
        <v>0</v>
      </c>
      <c r="W701">
        <v>0</v>
      </c>
      <c r="X701">
        <v>0</v>
      </c>
      <c r="Y701">
        <v>0</v>
      </c>
      <c r="Z701">
        <v>0</v>
      </c>
      <c r="AA701">
        <v>0</v>
      </c>
      <c r="AC701">
        <v>0</v>
      </c>
      <c r="AD701">
        <v>0</v>
      </c>
      <c r="AE701">
        <v>0</v>
      </c>
      <c r="AF701">
        <v>0</v>
      </c>
      <c r="AG701">
        <v>0</v>
      </c>
      <c r="AH701">
        <v>0</v>
      </c>
      <c r="AI701">
        <v>1</v>
      </c>
      <c r="AJ701">
        <v>0</v>
      </c>
      <c r="AK701">
        <v>0</v>
      </c>
      <c r="AZ701" t="s">
        <v>73</v>
      </c>
      <c r="BA701" t="s">
        <v>74</v>
      </c>
      <c r="BF701" t="s">
        <v>97</v>
      </c>
      <c r="BG701" t="s">
        <v>76</v>
      </c>
      <c r="BH701" t="s">
        <v>98</v>
      </c>
      <c r="BI701" t="s">
        <v>73</v>
      </c>
      <c r="BJ701" t="s">
        <v>94</v>
      </c>
      <c r="BK701">
        <v>0</v>
      </c>
      <c r="BL701">
        <v>0</v>
      </c>
      <c r="BM701">
        <v>0</v>
      </c>
      <c r="BN701">
        <v>0</v>
      </c>
      <c r="BO701">
        <v>1</v>
      </c>
      <c r="BP701">
        <v>1</v>
      </c>
      <c r="BQ701">
        <v>0</v>
      </c>
      <c r="BR701">
        <v>0</v>
      </c>
    </row>
    <row r="702" spans="1:72" x14ac:dyDescent="0.2">
      <c r="A702" s="1">
        <v>44579.892361111109</v>
      </c>
      <c r="B702" s="1">
        <v>44579.894444444442</v>
      </c>
      <c r="C702">
        <v>1</v>
      </c>
      <c r="D702">
        <v>0</v>
      </c>
      <c r="E702">
        <v>0</v>
      </c>
      <c r="F702">
        <v>0</v>
      </c>
      <c r="H702">
        <v>0</v>
      </c>
      <c r="I702">
        <v>1</v>
      </c>
      <c r="J702">
        <v>1</v>
      </c>
      <c r="K702">
        <v>0</v>
      </c>
      <c r="L702">
        <v>0</v>
      </c>
      <c r="N702" t="s">
        <v>88</v>
      </c>
      <c r="O702" t="s">
        <v>89</v>
      </c>
      <c r="P702">
        <v>0</v>
      </c>
      <c r="Q702">
        <v>0</v>
      </c>
      <c r="R702">
        <v>1</v>
      </c>
      <c r="S702">
        <v>0</v>
      </c>
      <c r="T702">
        <v>0</v>
      </c>
      <c r="U702">
        <v>0</v>
      </c>
      <c r="V702">
        <v>0</v>
      </c>
      <c r="W702">
        <v>0</v>
      </c>
      <c r="X702">
        <v>0</v>
      </c>
      <c r="Y702">
        <v>0</v>
      </c>
      <c r="Z702">
        <v>0</v>
      </c>
      <c r="AA702">
        <v>0</v>
      </c>
      <c r="AM702" t="s">
        <v>81</v>
      </c>
      <c r="AN702" t="s">
        <v>82</v>
      </c>
      <c r="AO702" t="s">
        <v>83</v>
      </c>
      <c r="AP702" t="s">
        <v>82</v>
      </c>
      <c r="AQ702" t="s">
        <v>82</v>
      </c>
      <c r="AR702" t="s">
        <v>83</v>
      </c>
      <c r="AS702" t="s">
        <v>83</v>
      </c>
      <c r="AT702" t="s">
        <v>81</v>
      </c>
      <c r="AU702" t="s">
        <v>88</v>
      </c>
      <c r="AV702" t="s">
        <v>89</v>
      </c>
      <c r="AW702" t="s">
        <v>85</v>
      </c>
      <c r="AX702" t="s">
        <v>118</v>
      </c>
      <c r="AZ702" t="s">
        <v>73</v>
      </c>
      <c r="BA702" t="s">
        <v>87</v>
      </c>
      <c r="BB702" t="s">
        <v>87</v>
      </c>
      <c r="BC702" t="s">
        <v>87</v>
      </c>
      <c r="BD702" t="s">
        <v>87</v>
      </c>
      <c r="BE702" t="s">
        <v>87</v>
      </c>
      <c r="BF702" t="s">
        <v>75</v>
      </c>
      <c r="BG702" t="s">
        <v>92</v>
      </c>
      <c r="BH702" t="s">
        <v>77</v>
      </c>
      <c r="BI702" t="s">
        <v>73</v>
      </c>
      <c r="BJ702" t="s">
        <v>94</v>
      </c>
      <c r="BK702">
        <v>0</v>
      </c>
      <c r="BL702">
        <v>0</v>
      </c>
      <c r="BM702">
        <v>0</v>
      </c>
      <c r="BN702">
        <v>0</v>
      </c>
      <c r="BO702">
        <v>0</v>
      </c>
      <c r="BP702">
        <v>1</v>
      </c>
      <c r="BQ702">
        <v>0</v>
      </c>
      <c r="BR702">
        <v>0</v>
      </c>
    </row>
    <row r="703" spans="1:72" x14ac:dyDescent="0.2">
      <c r="A703" s="1">
        <v>44580.55</v>
      </c>
      <c r="B703" s="1">
        <v>44580.552777777775</v>
      </c>
      <c r="C703">
        <v>1</v>
      </c>
      <c r="D703">
        <v>0</v>
      </c>
      <c r="E703">
        <v>0</v>
      </c>
      <c r="F703">
        <v>0</v>
      </c>
      <c r="H703">
        <v>1</v>
      </c>
      <c r="I703">
        <v>0</v>
      </c>
      <c r="J703">
        <v>0</v>
      </c>
      <c r="K703">
        <v>0</v>
      </c>
      <c r="L703">
        <v>0</v>
      </c>
      <c r="P703">
        <v>0</v>
      </c>
      <c r="Q703">
        <v>1</v>
      </c>
      <c r="R703">
        <v>0</v>
      </c>
      <c r="S703">
        <v>0</v>
      </c>
      <c r="T703">
        <v>0</v>
      </c>
      <c r="U703">
        <v>0</v>
      </c>
      <c r="V703">
        <v>0</v>
      </c>
      <c r="W703">
        <v>0</v>
      </c>
      <c r="X703">
        <v>0</v>
      </c>
      <c r="Y703">
        <v>0</v>
      </c>
      <c r="Z703">
        <v>0</v>
      </c>
      <c r="AA703">
        <v>0</v>
      </c>
      <c r="AM703" t="s">
        <v>83</v>
      </c>
      <c r="AN703" t="s">
        <v>83</v>
      </c>
      <c r="AO703" t="s">
        <v>83</v>
      </c>
      <c r="AP703" t="s">
        <v>83</v>
      </c>
      <c r="AQ703" t="s">
        <v>82</v>
      </c>
      <c r="AR703" t="s">
        <v>83</v>
      </c>
      <c r="AS703" t="s">
        <v>82</v>
      </c>
      <c r="AT703" t="s">
        <v>83</v>
      </c>
      <c r="AU703" t="s">
        <v>88</v>
      </c>
      <c r="AV703" t="s">
        <v>142</v>
      </c>
      <c r="AW703" t="s">
        <v>85</v>
      </c>
      <c r="AZ703" t="s">
        <v>96</v>
      </c>
      <c r="BA703" t="s">
        <v>86</v>
      </c>
      <c r="BB703" t="s">
        <v>87</v>
      </c>
      <c r="BC703" t="s">
        <v>87</v>
      </c>
      <c r="BD703" t="s">
        <v>87</v>
      </c>
      <c r="BE703" t="s">
        <v>87</v>
      </c>
      <c r="BF703" t="s">
        <v>97</v>
      </c>
      <c r="BG703" t="s">
        <v>76</v>
      </c>
      <c r="BH703" t="s">
        <v>98</v>
      </c>
      <c r="BI703" t="s">
        <v>96</v>
      </c>
      <c r="BJ703" t="s">
        <v>78</v>
      </c>
      <c r="BK703">
        <v>0</v>
      </c>
      <c r="BL703">
        <v>0</v>
      </c>
      <c r="BM703">
        <v>0</v>
      </c>
      <c r="BN703">
        <v>0</v>
      </c>
      <c r="BO703">
        <v>1</v>
      </c>
      <c r="BP703">
        <v>0</v>
      </c>
      <c r="BQ703">
        <v>0</v>
      </c>
      <c r="BR703">
        <v>0</v>
      </c>
    </row>
    <row r="704" spans="1:72" x14ac:dyDescent="0.2">
      <c r="A704" s="1">
        <v>44589.032638888886</v>
      </c>
      <c r="B704" s="1">
        <v>44589.034722222219</v>
      </c>
      <c r="C704">
        <v>1</v>
      </c>
      <c r="D704">
        <v>0</v>
      </c>
      <c r="E704">
        <v>0</v>
      </c>
      <c r="F704">
        <v>0</v>
      </c>
      <c r="H704">
        <v>1</v>
      </c>
      <c r="I704">
        <v>0</v>
      </c>
      <c r="J704">
        <v>0</v>
      </c>
      <c r="K704">
        <v>0</v>
      </c>
      <c r="L704">
        <v>0</v>
      </c>
      <c r="P704">
        <v>1</v>
      </c>
      <c r="Q704">
        <v>0</v>
      </c>
      <c r="R704">
        <v>0</v>
      </c>
      <c r="S704">
        <v>0</v>
      </c>
      <c r="T704">
        <v>0</v>
      </c>
      <c r="U704">
        <v>0</v>
      </c>
      <c r="V704">
        <v>0</v>
      </c>
      <c r="W704">
        <v>0</v>
      </c>
      <c r="X704">
        <v>0</v>
      </c>
      <c r="Y704">
        <v>0</v>
      </c>
      <c r="Z704">
        <v>0</v>
      </c>
      <c r="AA704">
        <v>0</v>
      </c>
      <c r="AC704">
        <v>0</v>
      </c>
      <c r="AD704">
        <v>0</v>
      </c>
      <c r="AE704">
        <v>1</v>
      </c>
      <c r="AF704">
        <v>0</v>
      </c>
      <c r="AG704">
        <v>0</v>
      </c>
      <c r="AH704">
        <v>0</v>
      </c>
      <c r="AI704">
        <v>0</v>
      </c>
      <c r="AJ704">
        <v>0</v>
      </c>
      <c r="AK704">
        <v>0</v>
      </c>
      <c r="AX704" t="s">
        <v>110</v>
      </c>
      <c r="AY704" t="s">
        <v>353</v>
      </c>
      <c r="AZ704" t="s">
        <v>120</v>
      </c>
      <c r="BA704" t="s">
        <v>87</v>
      </c>
      <c r="BB704" t="s">
        <v>87</v>
      </c>
      <c r="BC704" t="s">
        <v>87</v>
      </c>
      <c r="BD704" t="s">
        <v>87</v>
      </c>
      <c r="BE704" t="s">
        <v>87</v>
      </c>
      <c r="BF704" t="s">
        <v>108</v>
      </c>
      <c r="BG704" t="s">
        <v>76</v>
      </c>
      <c r="BH704" t="s">
        <v>77</v>
      </c>
      <c r="BI704" t="s">
        <v>120</v>
      </c>
      <c r="BJ704" t="s">
        <v>114</v>
      </c>
      <c r="BK704">
        <v>0</v>
      </c>
      <c r="BL704">
        <v>0</v>
      </c>
      <c r="BM704">
        <v>0</v>
      </c>
      <c r="BN704">
        <v>0</v>
      </c>
      <c r="BO704">
        <v>0</v>
      </c>
      <c r="BP704">
        <v>0</v>
      </c>
      <c r="BQ704">
        <v>0</v>
      </c>
      <c r="BR704">
        <v>1</v>
      </c>
    </row>
    <row r="705" spans="1:71" x14ac:dyDescent="0.2">
      <c r="A705" s="1">
        <v>44579.878472222219</v>
      </c>
      <c r="B705" s="1">
        <v>44579.879861111112</v>
      </c>
      <c r="C705">
        <v>0</v>
      </c>
      <c r="D705">
        <v>1</v>
      </c>
      <c r="E705">
        <v>0</v>
      </c>
      <c r="F705">
        <v>0</v>
      </c>
      <c r="H705">
        <v>1</v>
      </c>
      <c r="I705">
        <v>0</v>
      </c>
      <c r="J705">
        <v>0</v>
      </c>
      <c r="K705">
        <v>0</v>
      </c>
      <c r="L705">
        <v>0</v>
      </c>
      <c r="P705">
        <v>1</v>
      </c>
      <c r="Q705">
        <v>0</v>
      </c>
      <c r="R705">
        <v>0</v>
      </c>
      <c r="S705">
        <v>0</v>
      </c>
      <c r="T705">
        <v>0</v>
      </c>
      <c r="U705">
        <v>0</v>
      </c>
      <c r="V705">
        <v>0</v>
      </c>
      <c r="W705">
        <v>0</v>
      </c>
      <c r="X705">
        <v>0</v>
      </c>
      <c r="Y705">
        <v>0</v>
      </c>
      <c r="Z705">
        <v>0</v>
      </c>
      <c r="AA705">
        <v>0</v>
      </c>
      <c r="AC705">
        <v>0</v>
      </c>
      <c r="AD705">
        <v>0</v>
      </c>
      <c r="AE705">
        <v>0</v>
      </c>
      <c r="AF705">
        <v>0</v>
      </c>
      <c r="AG705">
        <v>1</v>
      </c>
      <c r="AH705">
        <v>0</v>
      </c>
      <c r="AI705">
        <v>0</v>
      </c>
      <c r="AJ705">
        <v>0</v>
      </c>
      <c r="AK705">
        <v>1</v>
      </c>
      <c r="AL705" t="s">
        <v>354</v>
      </c>
      <c r="AX705" t="s">
        <v>242</v>
      </c>
      <c r="AZ705" t="s">
        <v>73</v>
      </c>
      <c r="BA705" t="s">
        <v>87</v>
      </c>
      <c r="BB705" t="s">
        <v>87</v>
      </c>
      <c r="BC705" t="s">
        <v>87</v>
      </c>
      <c r="BD705" t="s">
        <v>87</v>
      </c>
      <c r="BE705" t="s">
        <v>87</v>
      </c>
      <c r="BF705" t="s">
        <v>75</v>
      </c>
      <c r="BG705" t="s">
        <v>92</v>
      </c>
      <c r="BH705" t="s">
        <v>93</v>
      </c>
      <c r="BI705" t="s">
        <v>73</v>
      </c>
      <c r="BJ705" t="s">
        <v>78</v>
      </c>
      <c r="BK705">
        <v>0</v>
      </c>
      <c r="BL705">
        <v>0</v>
      </c>
      <c r="BM705">
        <v>0</v>
      </c>
      <c r="BN705">
        <v>1</v>
      </c>
      <c r="BO705">
        <v>0</v>
      </c>
      <c r="BP705">
        <v>0</v>
      </c>
      <c r="BQ705">
        <v>0</v>
      </c>
      <c r="BR705">
        <v>0</v>
      </c>
    </row>
    <row r="706" spans="1:71" x14ac:dyDescent="0.2">
      <c r="A706" s="1">
        <v>44579.887499999997</v>
      </c>
      <c r="B706" s="1">
        <v>44579.890972222223</v>
      </c>
      <c r="C706">
        <v>1</v>
      </c>
      <c r="D706">
        <v>0</v>
      </c>
      <c r="E706">
        <v>0</v>
      </c>
      <c r="F706">
        <v>0</v>
      </c>
      <c r="H706">
        <v>0</v>
      </c>
      <c r="I706">
        <v>1</v>
      </c>
      <c r="J706">
        <v>1</v>
      </c>
      <c r="K706">
        <v>1</v>
      </c>
      <c r="L706">
        <v>0</v>
      </c>
      <c r="N706" t="s">
        <v>79</v>
      </c>
      <c r="O706" t="s">
        <v>89</v>
      </c>
      <c r="P706">
        <v>0</v>
      </c>
      <c r="Q706">
        <v>0</v>
      </c>
      <c r="R706">
        <v>0</v>
      </c>
      <c r="S706">
        <v>0</v>
      </c>
      <c r="T706">
        <v>0</v>
      </c>
      <c r="U706">
        <v>0</v>
      </c>
      <c r="V706">
        <v>0</v>
      </c>
      <c r="W706">
        <v>0</v>
      </c>
      <c r="X706">
        <v>0</v>
      </c>
      <c r="Y706">
        <v>0</v>
      </c>
      <c r="Z706">
        <v>0</v>
      </c>
      <c r="AA706">
        <v>1</v>
      </c>
      <c r="AB706" t="s">
        <v>355</v>
      </c>
      <c r="AM706" t="s">
        <v>83</v>
      </c>
      <c r="AN706" t="s">
        <v>82</v>
      </c>
      <c r="AO706" t="s">
        <v>81</v>
      </c>
      <c r="AP706" t="s">
        <v>82</v>
      </c>
      <c r="AQ706" t="s">
        <v>83</v>
      </c>
      <c r="AR706" t="s">
        <v>83</v>
      </c>
      <c r="AS706" t="s">
        <v>83</v>
      </c>
      <c r="AT706" t="s">
        <v>83</v>
      </c>
      <c r="AU706" t="s">
        <v>88</v>
      </c>
      <c r="AV706" t="s">
        <v>89</v>
      </c>
      <c r="AW706" t="s">
        <v>100</v>
      </c>
      <c r="AZ706" t="s">
        <v>73</v>
      </c>
      <c r="BA706" t="s">
        <v>74</v>
      </c>
      <c r="BF706" t="s">
        <v>97</v>
      </c>
      <c r="BG706" t="s">
        <v>76</v>
      </c>
      <c r="BH706" t="s">
        <v>98</v>
      </c>
      <c r="BI706" t="s">
        <v>73</v>
      </c>
      <c r="BJ706" t="s">
        <v>78</v>
      </c>
      <c r="BK706">
        <v>0</v>
      </c>
      <c r="BL706">
        <v>0</v>
      </c>
      <c r="BM706">
        <v>0</v>
      </c>
      <c r="BN706">
        <v>1</v>
      </c>
      <c r="BO706">
        <v>0</v>
      </c>
      <c r="BP706">
        <v>0</v>
      </c>
      <c r="BQ706">
        <v>0</v>
      </c>
      <c r="BR706">
        <v>0</v>
      </c>
    </row>
    <row r="707" spans="1:71" x14ac:dyDescent="0.2">
      <c r="A707" s="1">
        <v>44580.479166666664</v>
      </c>
      <c r="B707" s="1">
        <v>44580.481944444444</v>
      </c>
      <c r="C707">
        <v>0</v>
      </c>
      <c r="D707">
        <v>1</v>
      </c>
      <c r="E707">
        <v>0</v>
      </c>
      <c r="F707">
        <v>0</v>
      </c>
      <c r="H707">
        <v>0</v>
      </c>
      <c r="I707">
        <v>0</v>
      </c>
      <c r="J707">
        <v>1</v>
      </c>
      <c r="K707">
        <v>0</v>
      </c>
      <c r="L707">
        <v>0</v>
      </c>
      <c r="N707" t="s">
        <v>79</v>
      </c>
      <c r="O707" t="s">
        <v>80</v>
      </c>
      <c r="P707">
        <v>1</v>
      </c>
      <c r="Q707">
        <v>0</v>
      </c>
      <c r="R707">
        <v>0</v>
      </c>
      <c r="S707">
        <v>0</v>
      </c>
      <c r="T707">
        <v>0</v>
      </c>
      <c r="U707">
        <v>0</v>
      </c>
      <c r="V707">
        <v>0</v>
      </c>
      <c r="W707">
        <v>0</v>
      </c>
      <c r="X707">
        <v>0</v>
      </c>
      <c r="Y707">
        <v>0</v>
      </c>
      <c r="Z707">
        <v>0</v>
      </c>
      <c r="AA707">
        <v>0</v>
      </c>
      <c r="AC707">
        <v>1</v>
      </c>
      <c r="AD707">
        <v>0</v>
      </c>
      <c r="AE707">
        <v>0</v>
      </c>
      <c r="AF707">
        <v>0</v>
      </c>
      <c r="AG707">
        <v>0</v>
      </c>
      <c r="AH707">
        <v>0</v>
      </c>
      <c r="AI707">
        <v>0</v>
      </c>
      <c r="AJ707">
        <v>0</v>
      </c>
      <c r="AK707">
        <v>0</v>
      </c>
      <c r="AZ707" t="s">
        <v>73</v>
      </c>
      <c r="BA707" t="s">
        <v>86</v>
      </c>
      <c r="BB707" t="s">
        <v>86</v>
      </c>
      <c r="BC707" t="s">
        <v>86</v>
      </c>
      <c r="BD707" t="s">
        <v>87</v>
      </c>
      <c r="BE707" t="s">
        <v>86</v>
      </c>
      <c r="BF707" t="s">
        <v>97</v>
      </c>
      <c r="BG707" t="s">
        <v>92</v>
      </c>
      <c r="BH707" t="s">
        <v>98</v>
      </c>
      <c r="BI707" t="s">
        <v>73</v>
      </c>
      <c r="BJ707" t="s">
        <v>78</v>
      </c>
      <c r="BK707">
        <v>0</v>
      </c>
      <c r="BL707">
        <v>0</v>
      </c>
      <c r="BM707">
        <v>0</v>
      </c>
      <c r="BN707">
        <v>1</v>
      </c>
      <c r="BO707">
        <v>0</v>
      </c>
      <c r="BP707">
        <v>0</v>
      </c>
      <c r="BQ707">
        <v>0</v>
      </c>
      <c r="BR707">
        <v>0</v>
      </c>
    </row>
    <row r="708" spans="1:71" x14ac:dyDescent="0.2">
      <c r="A708" s="1">
        <v>44588.987500000003</v>
      </c>
      <c r="B708" s="1">
        <v>44588.990277777775</v>
      </c>
      <c r="C708">
        <v>1</v>
      </c>
      <c r="D708">
        <v>0</v>
      </c>
      <c r="E708">
        <v>0</v>
      </c>
      <c r="F708">
        <v>0</v>
      </c>
      <c r="H708">
        <v>1</v>
      </c>
      <c r="I708">
        <v>0</v>
      </c>
      <c r="J708">
        <v>0</v>
      </c>
      <c r="K708">
        <v>0</v>
      </c>
      <c r="L708">
        <v>0</v>
      </c>
      <c r="P708">
        <v>1</v>
      </c>
      <c r="Q708">
        <v>0</v>
      </c>
      <c r="R708">
        <v>0</v>
      </c>
      <c r="S708">
        <v>0</v>
      </c>
      <c r="T708">
        <v>0</v>
      </c>
      <c r="U708">
        <v>0</v>
      </c>
      <c r="V708">
        <v>0</v>
      </c>
      <c r="W708">
        <v>0</v>
      </c>
      <c r="X708">
        <v>0</v>
      </c>
      <c r="Y708">
        <v>0</v>
      </c>
      <c r="Z708">
        <v>0</v>
      </c>
      <c r="AA708">
        <v>0</v>
      </c>
      <c r="AC708">
        <v>0</v>
      </c>
      <c r="AD708">
        <v>0</v>
      </c>
      <c r="AE708">
        <v>0</v>
      </c>
      <c r="AF708">
        <v>0</v>
      </c>
      <c r="AG708">
        <v>0</v>
      </c>
      <c r="AH708">
        <v>0</v>
      </c>
      <c r="AI708">
        <v>1</v>
      </c>
      <c r="AJ708">
        <v>1</v>
      </c>
      <c r="AK708">
        <v>0</v>
      </c>
      <c r="AX708" t="s">
        <v>110</v>
      </c>
      <c r="AY708" t="s">
        <v>356</v>
      </c>
      <c r="AZ708" t="s">
        <v>73</v>
      </c>
      <c r="BA708" t="s">
        <v>87</v>
      </c>
      <c r="BB708" t="s">
        <v>87</v>
      </c>
      <c r="BC708" t="s">
        <v>74</v>
      </c>
      <c r="BD708" t="s">
        <v>74</v>
      </c>
      <c r="BE708" t="s">
        <v>86</v>
      </c>
      <c r="BF708" t="s">
        <v>108</v>
      </c>
      <c r="BG708" t="s">
        <v>76</v>
      </c>
      <c r="BH708" t="s">
        <v>98</v>
      </c>
      <c r="BI708" t="s">
        <v>73</v>
      </c>
      <c r="BJ708" t="s">
        <v>114</v>
      </c>
      <c r="BK708">
        <v>0</v>
      </c>
      <c r="BL708">
        <v>0</v>
      </c>
      <c r="BM708">
        <v>0</v>
      </c>
      <c r="BN708">
        <v>0</v>
      </c>
      <c r="BO708">
        <v>1</v>
      </c>
      <c r="BP708">
        <v>0</v>
      </c>
      <c r="BQ708">
        <v>0</v>
      </c>
      <c r="BR708">
        <v>0</v>
      </c>
    </row>
    <row r="709" spans="1:71" x14ac:dyDescent="0.2">
      <c r="A709" s="1">
        <v>44579.890277777777</v>
      </c>
      <c r="B709" s="1">
        <v>44579.899305555555</v>
      </c>
      <c r="C709">
        <v>1</v>
      </c>
      <c r="D709">
        <v>0</v>
      </c>
      <c r="E709">
        <v>0</v>
      </c>
      <c r="F709">
        <v>0</v>
      </c>
      <c r="H709">
        <v>1</v>
      </c>
      <c r="I709">
        <v>0</v>
      </c>
      <c r="J709">
        <v>0</v>
      </c>
      <c r="K709">
        <v>0</v>
      </c>
      <c r="L709">
        <v>0</v>
      </c>
      <c r="P709">
        <v>1</v>
      </c>
      <c r="Q709">
        <v>0</v>
      </c>
      <c r="R709">
        <v>0</v>
      </c>
      <c r="S709">
        <v>0</v>
      </c>
      <c r="T709">
        <v>0</v>
      </c>
      <c r="U709">
        <v>0</v>
      </c>
      <c r="V709">
        <v>0</v>
      </c>
      <c r="W709">
        <v>0</v>
      </c>
      <c r="X709">
        <v>0</v>
      </c>
      <c r="Y709">
        <v>0</v>
      </c>
      <c r="Z709">
        <v>0</v>
      </c>
      <c r="AA709">
        <v>0</v>
      </c>
      <c r="AC709">
        <v>0</v>
      </c>
      <c r="AD709">
        <v>0</v>
      </c>
      <c r="AE709">
        <v>0</v>
      </c>
      <c r="AF709">
        <v>0</v>
      </c>
      <c r="AG709">
        <v>0</v>
      </c>
      <c r="AH709">
        <v>0</v>
      </c>
      <c r="AI709">
        <v>1</v>
      </c>
      <c r="AJ709">
        <v>0</v>
      </c>
      <c r="AK709">
        <v>0</v>
      </c>
      <c r="AZ709" t="s">
        <v>107</v>
      </c>
      <c r="BA709" t="s">
        <v>86</v>
      </c>
      <c r="BB709" t="s">
        <v>74</v>
      </c>
      <c r="BC709" t="s">
        <v>74</v>
      </c>
      <c r="BD709" t="s">
        <v>74</v>
      </c>
      <c r="BE709" t="s">
        <v>74</v>
      </c>
      <c r="BF709" t="s">
        <v>97</v>
      </c>
      <c r="BG709" t="s">
        <v>76</v>
      </c>
      <c r="BH709" t="s">
        <v>158</v>
      </c>
      <c r="BI709" t="s">
        <v>107</v>
      </c>
      <c r="BJ709" t="s">
        <v>78</v>
      </c>
      <c r="BK709">
        <v>0</v>
      </c>
      <c r="BL709">
        <v>0</v>
      </c>
      <c r="BM709">
        <v>0</v>
      </c>
      <c r="BN709">
        <v>0</v>
      </c>
      <c r="BO709">
        <v>0</v>
      </c>
      <c r="BP709">
        <v>1</v>
      </c>
      <c r="BQ709">
        <v>0</v>
      </c>
      <c r="BR709">
        <v>0</v>
      </c>
    </row>
    <row r="710" spans="1:71" x14ac:dyDescent="0.2">
      <c r="A710" s="1">
        <v>44579.880555555559</v>
      </c>
      <c r="B710" s="1">
        <v>44579.915972222225</v>
      </c>
      <c r="C710">
        <v>1</v>
      </c>
      <c r="D710">
        <v>0</v>
      </c>
      <c r="E710">
        <v>0</v>
      </c>
      <c r="F710">
        <v>0</v>
      </c>
      <c r="H710">
        <v>0</v>
      </c>
      <c r="I710">
        <v>1</v>
      </c>
      <c r="J710">
        <v>0</v>
      </c>
      <c r="K710">
        <v>1</v>
      </c>
      <c r="L710">
        <v>1</v>
      </c>
      <c r="M710" t="s">
        <v>357</v>
      </c>
      <c r="N710" t="s">
        <v>135</v>
      </c>
      <c r="O710" t="s">
        <v>80</v>
      </c>
      <c r="P710">
        <v>1</v>
      </c>
      <c r="Q710">
        <v>0</v>
      </c>
      <c r="R710">
        <v>0</v>
      </c>
      <c r="S710">
        <v>0</v>
      </c>
      <c r="T710">
        <v>0</v>
      </c>
      <c r="U710">
        <v>0</v>
      </c>
      <c r="V710">
        <v>0</v>
      </c>
      <c r="W710">
        <v>0</v>
      </c>
      <c r="X710">
        <v>0</v>
      </c>
      <c r="Y710">
        <v>0</v>
      </c>
      <c r="Z710">
        <v>0</v>
      </c>
      <c r="AA710">
        <v>0</v>
      </c>
      <c r="AC710">
        <v>0</v>
      </c>
      <c r="AD710">
        <v>1</v>
      </c>
      <c r="AE710">
        <v>0</v>
      </c>
      <c r="AF710">
        <v>0</v>
      </c>
      <c r="AG710">
        <v>0</v>
      </c>
      <c r="AH710">
        <v>0</v>
      </c>
      <c r="AI710">
        <v>0</v>
      </c>
      <c r="AJ710">
        <v>0</v>
      </c>
      <c r="AK710">
        <v>0</v>
      </c>
      <c r="AZ710" t="s">
        <v>73</v>
      </c>
      <c r="BA710" t="s">
        <v>87</v>
      </c>
      <c r="BB710" t="s">
        <v>87</v>
      </c>
      <c r="BC710" t="s">
        <v>87</v>
      </c>
      <c r="BD710" t="s">
        <v>87</v>
      </c>
      <c r="BE710" t="s">
        <v>87</v>
      </c>
      <c r="BF710" t="s">
        <v>97</v>
      </c>
      <c r="BG710" t="s">
        <v>76</v>
      </c>
      <c r="BH710" t="s">
        <v>98</v>
      </c>
      <c r="BI710" t="s">
        <v>73</v>
      </c>
      <c r="BJ710" t="s">
        <v>78</v>
      </c>
      <c r="BK710">
        <v>0</v>
      </c>
      <c r="BL710">
        <v>0</v>
      </c>
      <c r="BM710">
        <v>0</v>
      </c>
      <c r="BN710">
        <v>0</v>
      </c>
      <c r="BO710">
        <v>1</v>
      </c>
      <c r="BP710">
        <v>1</v>
      </c>
      <c r="BQ710">
        <v>0</v>
      </c>
      <c r="BR710">
        <v>0</v>
      </c>
    </row>
    <row r="711" spans="1:71" x14ac:dyDescent="0.2">
      <c r="A711" s="1">
        <v>44585.542361111111</v>
      </c>
      <c r="B711" s="1">
        <v>44585.543055555558</v>
      </c>
      <c r="C711">
        <v>1</v>
      </c>
      <c r="D711">
        <v>0</v>
      </c>
      <c r="E711">
        <v>0</v>
      </c>
      <c r="F711">
        <v>0</v>
      </c>
      <c r="H711">
        <v>1</v>
      </c>
      <c r="I711">
        <v>0</v>
      </c>
      <c r="J711">
        <v>0</v>
      </c>
      <c r="K711">
        <v>0</v>
      </c>
      <c r="L711">
        <v>0</v>
      </c>
      <c r="P711">
        <v>1</v>
      </c>
      <c r="Q711">
        <v>0</v>
      </c>
      <c r="R711">
        <v>0</v>
      </c>
      <c r="S711">
        <v>0</v>
      </c>
      <c r="T711">
        <v>0</v>
      </c>
      <c r="U711">
        <v>0</v>
      </c>
      <c r="V711">
        <v>0</v>
      </c>
      <c r="W711">
        <v>0</v>
      </c>
      <c r="X711">
        <v>0</v>
      </c>
      <c r="Y711">
        <v>0</v>
      </c>
      <c r="Z711">
        <v>0</v>
      </c>
      <c r="AA711">
        <v>0</v>
      </c>
      <c r="AC711">
        <v>0</v>
      </c>
      <c r="AD711">
        <v>1</v>
      </c>
      <c r="AE711">
        <v>0</v>
      </c>
      <c r="AF711">
        <v>0</v>
      </c>
      <c r="AG711">
        <v>0</v>
      </c>
      <c r="AH711">
        <v>0</v>
      </c>
      <c r="AI711">
        <v>0</v>
      </c>
      <c r="AJ711">
        <v>0</v>
      </c>
      <c r="AK711">
        <v>0</v>
      </c>
      <c r="AZ711" t="s">
        <v>120</v>
      </c>
      <c r="BA711" t="s">
        <v>74</v>
      </c>
      <c r="BF711" t="s">
        <v>97</v>
      </c>
      <c r="BG711" t="s">
        <v>76</v>
      </c>
      <c r="BH711" t="s">
        <v>98</v>
      </c>
      <c r="BI711" t="s">
        <v>120</v>
      </c>
      <c r="BJ711" t="s">
        <v>129</v>
      </c>
      <c r="BK711">
        <v>0</v>
      </c>
      <c r="BL711">
        <v>0</v>
      </c>
      <c r="BM711">
        <v>0</v>
      </c>
      <c r="BN711">
        <v>0</v>
      </c>
      <c r="BO711">
        <v>1</v>
      </c>
      <c r="BP711">
        <v>0</v>
      </c>
      <c r="BQ711">
        <v>0</v>
      </c>
      <c r="BR711">
        <v>0</v>
      </c>
    </row>
    <row r="712" spans="1:71" x14ac:dyDescent="0.2">
      <c r="A712" s="1">
        <v>44588.931944444441</v>
      </c>
      <c r="B712" s="1">
        <v>44588.933333333334</v>
      </c>
      <c r="C712">
        <v>0</v>
      </c>
      <c r="D712">
        <v>1</v>
      </c>
      <c r="E712">
        <v>0</v>
      </c>
      <c r="F712">
        <v>0</v>
      </c>
      <c r="H712">
        <v>1</v>
      </c>
      <c r="I712">
        <v>0</v>
      </c>
      <c r="J712">
        <v>0</v>
      </c>
      <c r="K712">
        <v>0</v>
      </c>
      <c r="L712">
        <v>0</v>
      </c>
      <c r="P712">
        <v>1</v>
      </c>
      <c r="Q712">
        <v>0</v>
      </c>
      <c r="R712">
        <v>0</v>
      </c>
      <c r="S712">
        <v>0</v>
      </c>
      <c r="T712">
        <v>0</v>
      </c>
      <c r="U712">
        <v>0</v>
      </c>
      <c r="V712">
        <v>0</v>
      </c>
      <c r="W712">
        <v>0</v>
      </c>
      <c r="X712">
        <v>0</v>
      </c>
      <c r="Y712">
        <v>0</v>
      </c>
      <c r="Z712">
        <v>0</v>
      </c>
      <c r="AA712">
        <v>0</v>
      </c>
      <c r="AC712">
        <v>0</v>
      </c>
      <c r="AD712">
        <v>0</v>
      </c>
      <c r="AE712">
        <v>0</v>
      </c>
      <c r="AF712">
        <v>0</v>
      </c>
      <c r="AG712">
        <v>0</v>
      </c>
      <c r="AH712">
        <v>0</v>
      </c>
      <c r="AI712">
        <v>1</v>
      </c>
      <c r="AJ712">
        <v>0</v>
      </c>
      <c r="AK712">
        <v>0</v>
      </c>
      <c r="AZ712" t="s">
        <v>96</v>
      </c>
      <c r="BA712" t="s">
        <v>86</v>
      </c>
      <c r="BB712" t="s">
        <v>87</v>
      </c>
      <c r="BC712" t="s">
        <v>87</v>
      </c>
      <c r="BD712" t="s">
        <v>87</v>
      </c>
      <c r="BE712" t="s">
        <v>87</v>
      </c>
      <c r="BF712" t="s">
        <v>159</v>
      </c>
      <c r="BG712" t="s">
        <v>76</v>
      </c>
      <c r="BH712" t="s">
        <v>77</v>
      </c>
      <c r="BI712" t="s">
        <v>96</v>
      </c>
      <c r="BJ712" t="s">
        <v>137</v>
      </c>
      <c r="BK712">
        <v>0</v>
      </c>
      <c r="BL712">
        <v>0</v>
      </c>
      <c r="BM712">
        <v>0</v>
      </c>
      <c r="BN712">
        <v>0</v>
      </c>
      <c r="BO712">
        <v>0</v>
      </c>
      <c r="BP712">
        <v>1</v>
      </c>
      <c r="BQ712">
        <v>0</v>
      </c>
      <c r="BR712">
        <v>0</v>
      </c>
    </row>
    <row r="713" spans="1:71" x14ac:dyDescent="0.2">
      <c r="A713" s="1">
        <v>44585.676388888889</v>
      </c>
      <c r="B713" s="1">
        <v>44585.678472222222</v>
      </c>
      <c r="C713">
        <v>0</v>
      </c>
      <c r="D713">
        <v>1</v>
      </c>
      <c r="E713">
        <v>0</v>
      </c>
      <c r="F713">
        <v>0</v>
      </c>
      <c r="H713">
        <v>1</v>
      </c>
      <c r="I713">
        <v>0</v>
      </c>
      <c r="J713">
        <v>0</v>
      </c>
      <c r="K713">
        <v>0</v>
      </c>
      <c r="L713">
        <v>0</v>
      </c>
      <c r="P713">
        <v>1</v>
      </c>
      <c r="Q713">
        <v>0</v>
      </c>
      <c r="R713">
        <v>0</v>
      </c>
      <c r="S713">
        <v>0</v>
      </c>
      <c r="T713">
        <v>0</v>
      </c>
      <c r="U713">
        <v>0</v>
      </c>
      <c r="V713">
        <v>0</v>
      </c>
      <c r="W713">
        <v>0</v>
      </c>
      <c r="X713">
        <v>0</v>
      </c>
      <c r="Y713">
        <v>0</v>
      </c>
      <c r="Z713">
        <v>0</v>
      </c>
      <c r="AA713">
        <v>0</v>
      </c>
      <c r="AC713">
        <v>1</v>
      </c>
      <c r="AD713">
        <v>0</v>
      </c>
      <c r="AE713">
        <v>0</v>
      </c>
      <c r="AF713">
        <v>0</v>
      </c>
      <c r="AG713">
        <v>0</v>
      </c>
      <c r="AH713">
        <v>0</v>
      </c>
      <c r="AI713">
        <v>0</v>
      </c>
      <c r="AJ713">
        <v>0</v>
      </c>
      <c r="AK713">
        <v>0</v>
      </c>
      <c r="AX713" t="s">
        <v>308</v>
      </c>
      <c r="AZ713" t="s">
        <v>120</v>
      </c>
      <c r="BA713" t="s">
        <v>87</v>
      </c>
      <c r="BB713" t="s">
        <v>87</v>
      </c>
      <c r="BC713" t="s">
        <v>87</v>
      </c>
      <c r="BD713" t="s">
        <v>87</v>
      </c>
      <c r="BE713" t="s">
        <v>87</v>
      </c>
      <c r="BF713" t="s">
        <v>75</v>
      </c>
      <c r="BG713" t="s">
        <v>92</v>
      </c>
      <c r="BH713" t="s">
        <v>77</v>
      </c>
      <c r="BI713" t="s">
        <v>120</v>
      </c>
      <c r="BJ713" t="s">
        <v>102</v>
      </c>
      <c r="BK713">
        <v>0</v>
      </c>
      <c r="BL713">
        <v>0</v>
      </c>
      <c r="BM713">
        <v>0</v>
      </c>
      <c r="BN713">
        <v>0</v>
      </c>
      <c r="BO713">
        <v>1</v>
      </c>
      <c r="BP713">
        <v>0</v>
      </c>
      <c r="BQ713">
        <v>0</v>
      </c>
      <c r="BR713">
        <v>0</v>
      </c>
    </row>
    <row r="714" spans="1:71" x14ac:dyDescent="0.2">
      <c r="A714" s="1">
        <v>44579.875</v>
      </c>
      <c r="B714" s="1">
        <v>44579.879166666666</v>
      </c>
      <c r="C714">
        <v>0</v>
      </c>
      <c r="D714">
        <v>1</v>
      </c>
      <c r="E714">
        <v>0</v>
      </c>
      <c r="F714">
        <v>0</v>
      </c>
      <c r="H714">
        <v>1</v>
      </c>
      <c r="I714">
        <v>0</v>
      </c>
      <c r="J714">
        <v>0</v>
      </c>
      <c r="K714">
        <v>0</v>
      </c>
      <c r="L714">
        <v>0</v>
      </c>
      <c r="P714">
        <v>1</v>
      </c>
      <c r="Q714">
        <v>0</v>
      </c>
      <c r="R714">
        <v>0</v>
      </c>
      <c r="S714">
        <v>0</v>
      </c>
      <c r="T714">
        <v>0</v>
      </c>
      <c r="U714">
        <v>0</v>
      </c>
      <c r="V714">
        <v>0</v>
      </c>
      <c r="W714">
        <v>0</v>
      </c>
      <c r="X714">
        <v>0</v>
      </c>
      <c r="Y714">
        <v>0</v>
      </c>
      <c r="Z714">
        <v>0</v>
      </c>
      <c r="AA714">
        <v>0</v>
      </c>
      <c r="AC714">
        <v>0</v>
      </c>
      <c r="AD714">
        <v>0</v>
      </c>
      <c r="AE714">
        <v>1</v>
      </c>
      <c r="AF714">
        <v>0</v>
      </c>
      <c r="AG714">
        <v>1</v>
      </c>
      <c r="AH714">
        <v>0</v>
      </c>
      <c r="AI714">
        <v>1</v>
      </c>
      <c r="AJ714">
        <v>1</v>
      </c>
      <c r="AK714">
        <v>0</v>
      </c>
      <c r="AX714" t="s">
        <v>91</v>
      </c>
      <c r="AZ714" t="s">
        <v>73</v>
      </c>
      <c r="BA714" t="s">
        <v>87</v>
      </c>
      <c r="BB714" t="s">
        <v>74</v>
      </c>
      <c r="BC714" t="s">
        <v>86</v>
      </c>
      <c r="BD714" t="s">
        <v>87</v>
      </c>
      <c r="BE714" t="s">
        <v>87</v>
      </c>
      <c r="BF714" t="s">
        <v>75</v>
      </c>
      <c r="BG714" t="s">
        <v>92</v>
      </c>
      <c r="BH714" t="s">
        <v>98</v>
      </c>
      <c r="BI714" t="s">
        <v>73</v>
      </c>
      <c r="BJ714" t="s">
        <v>78</v>
      </c>
      <c r="BK714">
        <v>0</v>
      </c>
      <c r="BL714">
        <v>0</v>
      </c>
      <c r="BM714">
        <v>0</v>
      </c>
      <c r="BN714">
        <v>1</v>
      </c>
      <c r="BO714">
        <v>0</v>
      </c>
      <c r="BP714">
        <v>0</v>
      </c>
      <c r="BQ714">
        <v>0</v>
      </c>
      <c r="BR714">
        <v>0</v>
      </c>
    </row>
    <row r="715" spans="1:71" x14ac:dyDescent="0.2">
      <c r="A715" s="1">
        <v>44581.853472222225</v>
      </c>
      <c r="B715" s="1">
        <v>44581.855555555558</v>
      </c>
      <c r="C715">
        <v>1</v>
      </c>
      <c r="D715">
        <v>0</v>
      </c>
      <c r="E715">
        <v>0</v>
      </c>
      <c r="F715">
        <v>0</v>
      </c>
      <c r="H715">
        <v>1</v>
      </c>
      <c r="I715">
        <v>0</v>
      </c>
      <c r="J715">
        <v>0</v>
      </c>
      <c r="K715">
        <v>0</v>
      </c>
      <c r="L715">
        <v>0</v>
      </c>
      <c r="P715">
        <v>1</v>
      </c>
      <c r="Q715">
        <v>0</v>
      </c>
      <c r="R715">
        <v>0</v>
      </c>
      <c r="S715">
        <v>0</v>
      </c>
      <c r="T715">
        <v>0</v>
      </c>
      <c r="U715">
        <v>0</v>
      </c>
      <c r="V715">
        <v>0</v>
      </c>
      <c r="W715">
        <v>0</v>
      </c>
      <c r="X715">
        <v>0</v>
      </c>
      <c r="Y715">
        <v>0</v>
      </c>
      <c r="Z715">
        <v>0</v>
      </c>
      <c r="AA715">
        <v>0</v>
      </c>
      <c r="AC715">
        <v>0</v>
      </c>
      <c r="AD715">
        <v>1</v>
      </c>
      <c r="AE715">
        <v>0</v>
      </c>
      <c r="AF715">
        <v>0</v>
      </c>
      <c r="AG715">
        <v>0</v>
      </c>
      <c r="AH715">
        <v>0</v>
      </c>
      <c r="AI715">
        <v>0</v>
      </c>
      <c r="AJ715">
        <v>0</v>
      </c>
      <c r="AK715">
        <v>0</v>
      </c>
      <c r="AZ715" t="s">
        <v>73</v>
      </c>
      <c r="BA715" t="s">
        <v>87</v>
      </c>
      <c r="BB715" t="s">
        <v>87</v>
      </c>
      <c r="BC715" t="s">
        <v>87</v>
      </c>
      <c r="BD715" t="s">
        <v>86</v>
      </c>
      <c r="BE715" t="s">
        <v>87</v>
      </c>
      <c r="BF715" t="s">
        <v>97</v>
      </c>
      <c r="BG715" t="s">
        <v>92</v>
      </c>
      <c r="BH715" t="s">
        <v>98</v>
      </c>
      <c r="BI715" t="s">
        <v>73</v>
      </c>
      <c r="BJ715" t="s">
        <v>114</v>
      </c>
      <c r="BK715">
        <v>0</v>
      </c>
      <c r="BL715">
        <v>0</v>
      </c>
      <c r="BM715">
        <v>0</v>
      </c>
      <c r="BN715">
        <v>0</v>
      </c>
      <c r="BO715">
        <v>0</v>
      </c>
      <c r="BP715">
        <v>1</v>
      </c>
      <c r="BQ715">
        <v>0</v>
      </c>
      <c r="BR715">
        <v>0</v>
      </c>
    </row>
    <row r="716" spans="1:71" x14ac:dyDescent="0.2">
      <c r="A716" s="1">
        <v>44579.963194444441</v>
      </c>
      <c r="B716" s="1">
        <v>44579.968055555553</v>
      </c>
      <c r="C716">
        <v>1</v>
      </c>
      <c r="D716">
        <v>0</v>
      </c>
      <c r="E716">
        <v>0</v>
      </c>
      <c r="F716">
        <v>0</v>
      </c>
      <c r="H716">
        <v>1</v>
      </c>
      <c r="I716">
        <v>0</v>
      </c>
      <c r="J716">
        <v>0</v>
      </c>
      <c r="K716">
        <v>0</v>
      </c>
      <c r="L716">
        <v>0</v>
      </c>
      <c r="P716">
        <v>0</v>
      </c>
      <c r="Q716">
        <v>0</v>
      </c>
      <c r="R716">
        <v>1</v>
      </c>
      <c r="S716">
        <v>1</v>
      </c>
      <c r="T716">
        <v>0</v>
      </c>
      <c r="U716">
        <v>0</v>
      </c>
      <c r="V716">
        <v>0</v>
      </c>
      <c r="W716">
        <v>0</v>
      </c>
      <c r="X716">
        <v>0</v>
      </c>
      <c r="Y716">
        <v>0</v>
      </c>
      <c r="Z716">
        <v>0</v>
      </c>
      <c r="AA716">
        <v>0</v>
      </c>
      <c r="AM716" t="s">
        <v>81</v>
      </c>
      <c r="AN716" t="s">
        <v>83</v>
      </c>
      <c r="AO716" t="s">
        <v>83</v>
      </c>
      <c r="AP716" t="s">
        <v>83</v>
      </c>
      <c r="AQ716" t="s">
        <v>81</v>
      </c>
      <c r="AR716" t="s">
        <v>82</v>
      </c>
      <c r="AS716" t="s">
        <v>83</v>
      </c>
      <c r="AT716" t="s">
        <v>83</v>
      </c>
      <c r="AU716" t="s">
        <v>88</v>
      </c>
      <c r="AV716" t="s">
        <v>89</v>
      </c>
      <c r="AW716" t="s">
        <v>100</v>
      </c>
      <c r="AZ716" t="s">
        <v>73</v>
      </c>
      <c r="BA716" t="s">
        <v>86</v>
      </c>
      <c r="BB716" t="s">
        <v>86</v>
      </c>
      <c r="BC716" t="s">
        <v>86</v>
      </c>
      <c r="BD716" t="s">
        <v>86</v>
      </c>
      <c r="BE716" t="s">
        <v>74</v>
      </c>
      <c r="BF716" t="s">
        <v>97</v>
      </c>
      <c r="BG716" t="s">
        <v>92</v>
      </c>
      <c r="BH716" t="s">
        <v>98</v>
      </c>
      <c r="BI716" t="s">
        <v>73</v>
      </c>
      <c r="BJ716" t="s">
        <v>78</v>
      </c>
      <c r="BK716">
        <v>0</v>
      </c>
      <c r="BL716">
        <v>0</v>
      </c>
      <c r="BM716">
        <v>0</v>
      </c>
      <c r="BN716">
        <v>1</v>
      </c>
      <c r="BO716">
        <v>0</v>
      </c>
      <c r="BP716">
        <v>0</v>
      </c>
      <c r="BQ716">
        <v>0</v>
      </c>
      <c r="BR716">
        <v>0</v>
      </c>
    </row>
    <row r="717" spans="1:71" x14ac:dyDescent="0.2">
      <c r="A717" s="1">
        <v>44580.024305555555</v>
      </c>
      <c r="B717" s="1">
        <v>44580.025694444441</v>
      </c>
      <c r="C717">
        <v>1</v>
      </c>
      <c r="D717">
        <v>0</v>
      </c>
      <c r="E717">
        <v>0</v>
      </c>
      <c r="F717">
        <v>0</v>
      </c>
      <c r="H717">
        <v>0</v>
      </c>
      <c r="I717">
        <v>1</v>
      </c>
      <c r="J717">
        <v>1</v>
      </c>
      <c r="K717">
        <v>0</v>
      </c>
      <c r="L717">
        <v>0</v>
      </c>
      <c r="N717" t="s">
        <v>88</v>
      </c>
      <c r="O717" t="s">
        <v>89</v>
      </c>
      <c r="P717">
        <v>0</v>
      </c>
      <c r="Q717">
        <v>0</v>
      </c>
      <c r="R717">
        <v>1</v>
      </c>
      <c r="S717">
        <v>1</v>
      </c>
      <c r="T717">
        <v>0</v>
      </c>
      <c r="U717">
        <v>0</v>
      </c>
      <c r="V717">
        <v>0</v>
      </c>
      <c r="W717">
        <v>0</v>
      </c>
      <c r="X717">
        <v>0</v>
      </c>
      <c r="Y717">
        <v>0</v>
      </c>
      <c r="Z717">
        <v>0</v>
      </c>
      <c r="AA717">
        <v>0</v>
      </c>
      <c r="AM717" t="s">
        <v>83</v>
      </c>
      <c r="AN717" t="s">
        <v>82</v>
      </c>
      <c r="AO717" t="s">
        <v>81</v>
      </c>
      <c r="AP717" t="s">
        <v>90</v>
      </c>
      <c r="AQ717" t="s">
        <v>83</v>
      </c>
      <c r="AR717" t="s">
        <v>83</v>
      </c>
      <c r="AS717" t="s">
        <v>83</v>
      </c>
      <c r="AT717" t="s">
        <v>83</v>
      </c>
      <c r="AU717" t="s">
        <v>88</v>
      </c>
      <c r="AV717" t="s">
        <v>89</v>
      </c>
      <c r="AW717" t="s">
        <v>85</v>
      </c>
      <c r="AX717" t="s">
        <v>146</v>
      </c>
      <c r="AZ717" t="s">
        <v>73</v>
      </c>
      <c r="BA717" t="s">
        <v>87</v>
      </c>
      <c r="BB717" t="s">
        <v>87</v>
      </c>
      <c r="BC717" t="s">
        <v>87</v>
      </c>
      <c r="BD717" t="s">
        <v>86</v>
      </c>
      <c r="BE717" t="s">
        <v>86</v>
      </c>
      <c r="BF717" t="s">
        <v>75</v>
      </c>
      <c r="BG717" t="s">
        <v>92</v>
      </c>
      <c r="BH717" t="s">
        <v>77</v>
      </c>
      <c r="BI717" t="s">
        <v>73</v>
      </c>
      <c r="BJ717" t="s">
        <v>114</v>
      </c>
      <c r="BK717">
        <v>0</v>
      </c>
      <c r="BL717">
        <v>0</v>
      </c>
      <c r="BM717">
        <v>0</v>
      </c>
      <c r="BN717">
        <v>0</v>
      </c>
      <c r="BO717">
        <v>1</v>
      </c>
      <c r="BP717">
        <v>0</v>
      </c>
      <c r="BQ717">
        <v>1</v>
      </c>
      <c r="BR717">
        <v>0</v>
      </c>
      <c r="BS717" t="s">
        <v>358</v>
      </c>
    </row>
    <row r="718" spans="1:71" x14ac:dyDescent="0.2">
      <c r="A718" s="1">
        <v>44589.127083333333</v>
      </c>
      <c r="B718" s="1">
        <v>44589.129166666666</v>
      </c>
      <c r="C718">
        <v>1</v>
      </c>
      <c r="D718">
        <v>0</v>
      </c>
      <c r="E718">
        <v>0</v>
      </c>
      <c r="F718">
        <v>0</v>
      </c>
      <c r="H718">
        <v>0</v>
      </c>
      <c r="I718">
        <v>1</v>
      </c>
      <c r="J718">
        <v>0</v>
      </c>
      <c r="K718">
        <v>0</v>
      </c>
      <c r="L718">
        <v>0</v>
      </c>
      <c r="N718" t="s">
        <v>88</v>
      </c>
      <c r="O718" t="s">
        <v>89</v>
      </c>
      <c r="P718">
        <v>0</v>
      </c>
      <c r="Q718">
        <v>0</v>
      </c>
      <c r="R718">
        <v>1</v>
      </c>
      <c r="S718">
        <v>0</v>
      </c>
      <c r="T718">
        <v>0</v>
      </c>
      <c r="U718">
        <v>0</v>
      </c>
      <c r="V718">
        <v>0</v>
      </c>
      <c r="W718">
        <v>0</v>
      </c>
      <c r="X718">
        <v>0</v>
      </c>
      <c r="Y718">
        <v>0</v>
      </c>
      <c r="Z718">
        <v>0</v>
      </c>
      <c r="AA718">
        <v>0</v>
      </c>
      <c r="AM718" t="s">
        <v>83</v>
      </c>
      <c r="AN718" t="s">
        <v>82</v>
      </c>
      <c r="AO718" t="s">
        <v>83</v>
      </c>
      <c r="AP718" t="s">
        <v>81</v>
      </c>
      <c r="AQ718" t="s">
        <v>83</v>
      </c>
      <c r="AR718" t="s">
        <v>83</v>
      </c>
      <c r="AS718" t="s">
        <v>81</v>
      </c>
      <c r="AT718" t="s">
        <v>81</v>
      </c>
      <c r="AU718" t="s">
        <v>88</v>
      </c>
      <c r="AV718" t="s">
        <v>89</v>
      </c>
      <c r="AW718" t="s">
        <v>85</v>
      </c>
      <c r="AX718" t="s">
        <v>122</v>
      </c>
      <c r="AZ718" t="s">
        <v>73</v>
      </c>
      <c r="BA718" t="s">
        <v>87</v>
      </c>
      <c r="BB718" t="s">
        <v>86</v>
      </c>
      <c r="BC718" t="s">
        <v>74</v>
      </c>
      <c r="BD718" t="s">
        <v>74</v>
      </c>
      <c r="BE718" t="s">
        <v>74</v>
      </c>
      <c r="BF718" t="s">
        <v>75</v>
      </c>
      <c r="BG718" t="s">
        <v>92</v>
      </c>
      <c r="BH718" t="s">
        <v>98</v>
      </c>
      <c r="BI718" t="s">
        <v>73</v>
      </c>
      <c r="BJ718" t="s">
        <v>114</v>
      </c>
      <c r="BK718">
        <v>0</v>
      </c>
      <c r="BL718">
        <v>0</v>
      </c>
      <c r="BM718">
        <v>0</v>
      </c>
      <c r="BN718">
        <v>1</v>
      </c>
      <c r="BO718">
        <v>0</v>
      </c>
      <c r="BP718">
        <v>0</v>
      </c>
      <c r="BQ718">
        <v>0</v>
      </c>
      <c r="BR718">
        <v>0</v>
      </c>
    </row>
    <row r="719" spans="1:71" x14ac:dyDescent="0.2">
      <c r="A719" s="1">
        <v>44579.972916666666</v>
      </c>
      <c r="B719" s="1">
        <v>44579.974305555559</v>
      </c>
      <c r="C719">
        <v>0</v>
      </c>
      <c r="D719">
        <v>1</v>
      </c>
      <c r="E719">
        <v>0</v>
      </c>
      <c r="F719">
        <v>0</v>
      </c>
      <c r="H719">
        <v>1</v>
      </c>
      <c r="I719">
        <v>0</v>
      </c>
      <c r="J719">
        <v>0</v>
      </c>
      <c r="K719">
        <v>0</v>
      </c>
      <c r="L719">
        <v>0</v>
      </c>
      <c r="P719">
        <v>0</v>
      </c>
      <c r="Q719">
        <v>0</v>
      </c>
      <c r="R719">
        <v>0</v>
      </c>
      <c r="S719">
        <v>0</v>
      </c>
      <c r="T719">
        <v>0</v>
      </c>
      <c r="U719">
        <v>0</v>
      </c>
      <c r="V719">
        <v>0</v>
      </c>
      <c r="W719">
        <v>0</v>
      </c>
      <c r="X719">
        <v>0</v>
      </c>
      <c r="Y719">
        <v>0</v>
      </c>
      <c r="Z719">
        <v>0</v>
      </c>
      <c r="AA719">
        <v>1</v>
      </c>
      <c r="AB719" t="s">
        <v>359</v>
      </c>
      <c r="AM719" t="s">
        <v>90</v>
      </c>
      <c r="AN719" t="s">
        <v>81</v>
      </c>
      <c r="AO719" t="s">
        <v>82</v>
      </c>
      <c r="AP719" t="s">
        <v>90</v>
      </c>
      <c r="AQ719" t="s">
        <v>90</v>
      </c>
      <c r="AR719" t="s">
        <v>90</v>
      </c>
      <c r="AS719" t="s">
        <v>90</v>
      </c>
      <c r="AT719" t="s">
        <v>90</v>
      </c>
      <c r="AU719" t="s">
        <v>84</v>
      </c>
      <c r="AV719" t="s">
        <v>89</v>
      </c>
      <c r="AW719" t="s">
        <v>100</v>
      </c>
      <c r="AX719" t="s">
        <v>146</v>
      </c>
      <c r="AZ719" t="s">
        <v>107</v>
      </c>
      <c r="BA719" t="s">
        <v>74</v>
      </c>
      <c r="BF719" t="s">
        <v>75</v>
      </c>
      <c r="BG719" t="s">
        <v>76</v>
      </c>
      <c r="BH719" t="s">
        <v>93</v>
      </c>
      <c r="BI719" t="s">
        <v>107</v>
      </c>
      <c r="BJ719" t="s">
        <v>78</v>
      </c>
      <c r="BK719">
        <v>0</v>
      </c>
      <c r="BL719">
        <v>0</v>
      </c>
      <c r="BM719">
        <v>0</v>
      </c>
      <c r="BN719">
        <v>0</v>
      </c>
      <c r="BO719">
        <v>1</v>
      </c>
      <c r="BP719">
        <v>1</v>
      </c>
      <c r="BQ719">
        <v>0</v>
      </c>
      <c r="BR719">
        <v>0</v>
      </c>
    </row>
    <row r="720" spans="1:71" x14ac:dyDescent="0.2">
      <c r="A720" s="1">
        <v>44580.011805555558</v>
      </c>
      <c r="B720" s="1">
        <v>44580.015277777777</v>
      </c>
      <c r="C720">
        <v>1</v>
      </c>
      <c r="D720">
        <v>0</v>
      </c>
      <c r="E720">
        <v>0</v>
      </c>
      <c r="F720">
        <v>0</v>
      </c>
      <c r="H720">
        <v>1</v>
      </c>
      <c r="I720">
        <v>0</v>
      </c>
      <c r="J720">
        <v>0</v>
      </c>
      <c r="K720">
        <v>0</v>
      </c>
      <c r="L720">
        <v>0</v>
      </c>
      <c r="P720">
        <v>0</v>
      </c>
      <c r="Q720">
        <v>0</v>
      </c>
      <c r="R720">
        <v>1</v>
      </c>
      <c r="S720">
        <v>0</v>
      </c>
      <c r="T720">
        <v>0</v>
      </c>
      <c r="U720">
        <v>0</v>
      </c>
      <c r="V720">
        <v>0</v>
      </c>
      <c r="W720">
        <v>0</v>
      </c>
      <c r="X720">
        <v>0</v>
      </c>
      <c r="Y720">
        <v>0</v>
      </c>
      <c r="Z720">
        <v>0</v>
      </c>
      <c r="AA720">
        <v>0</v>
      </c>
      <c r="AM720" t="s">
        <v>82</v>
      </c>
      <c r="AN720" t="s">
        <v>83</v>
      </c>
      <c r="AO720" t="s">
        <v>83</v>
      </c>
      <c r="AP720" t="s">
        <v>83</v>
      </c>
      <c r="AQ720" t="s">
        <v>81</v>
      </c>
      <c r="AR720" t="s">
        <v>83</v>
      </c>
      <c r="AS720" t="s">
        <v>81</v>
      </c>
      <c r="AT720" t="s">
        <v>83</v>
      </c>
      <c r="AU720" t="s">
        <v>135</v>
      </c>
      <c r="AV720" t="s">
        <v>142</v>
      </c>
      <c r="AW720" t="s">
        <v>85</v>
      </c>
      <c r="AZ720" t="s">
        <v>96</v>
      </c>
      <c r="BA720" t="s">
        <v>86</v>
      </c>
      <c r="BB720" t="s">
        <v>74</v>
      </c>
      <c r="BC720" t="s">
        <v>74</v>
      </c>
      <c r="BD720" t="s">
        <v>74</v>
      </c>
      <c r="BE720" t="s">
        <v>74</v>
      </c>
      <c r="BF720" t="s">
        <v>97</v>
      </c>
      <c r="BG720" t="s">
        <v>92</v>
      </c>
      <c r="BH720" t="s">
        <v>98</v>
      </c>
      <c r="BI720" t="s">
        <v>96</v>
      </c>
      <c r="BJ720" t="s">
        <v>78</v>
      </c>
      <c r="BK720">
        <v>0</v>
      </c>
      <c r="BL720">
        <v>0</v>
      </c>
      <c r="BM720">
        <v>0</v>
      </c>
      <c r="BN720">
        <v>0</v>
      </c>
      <c r="BO720">
        <v>1</v>
      </c>
      <c r="BP720">
        <v>0</v>
      </c>
      <c r="BQ720">
        <v>0</v>
      </c>
      <c r="BR720">
        <v>0</v>
      </c>
    </row>
    <row r="721" spans="1:71" x14ac:dyDescent="0.2">
      <c r="A721" s="1">
        <v>44585.522916666669</v>
      </c>
      <c r="B721" s="1">
        <v>44585.523611111108</v>
      </c>
      <c r="C721">
        <v>0</v>
      </c>
      <c r="D721">
        <v>1</v>
      </c>
      <c r="E721">
        <v>0</v>
      </c>
      <c r="F721">
        <v>0</v>
      </c>
      <c r="H721">
        <v>1</v>
      </c>
      <c r="I721">
        <v>0</v>
      </c>
      <c r="J721">
        <v>0</v>
      </c>
      <c r="K721">
        <v>0</v>
      </c>
      <c r="L721">
        <v>0</v>
      </c>
      <c r="P721">
        <v>1</v>
      </c>
      <c r="Q721">
        <v>0</v>
      </c>
      <c r="R721">
        <v>0</v>
      </c>
      <c r="S721">
        <v>0</v>
      </c>
      <c r="T721">
        <v>0</v>
      </c>
      <c r="U721">
        <v>0</v>
      </c>
      <c r="V721">
        <v>0</v>
      </c>
      <c r="W721">
        <v>0</v>
      </c>
      <c r="X721">
        <v>0</v>
      </c>
      <c r="Y721">
        <v>0</v>
      </c>
      <c r="Z721">
        <v>0</v>
      </c>
      <c r="AA721">
        <v>0</v>
      </c>
      <c r="AC721">
        <v>0</v>
      </c>
      <c r="AD721">
        <v>0</v>
      </c>
      <c r="AE721">
        <v>0</v>
      </c>
      <c r="AF721">
        <v>0</v>
      </c>
      <c r="AG721">
        <v>1</v>
      </c>
      <c r="AH721">
        <v>0</v>
      </c>
      <c r="AI721">
        <v>0</v>
      </c>
      <c r="AJ721">
        <v>0</v>
      </c>
      <c r="AK721">
        <v>0</v>
      </c>
      <c r="AX721" t="s">
        <v>118</v>
      </c>
      <c r="AZ721" t="s">
        <v>107</v>
      </c>
      <c r="BA721" t="s">
        <v>86</v>
      </c>
      <c r="BB721" t="s">
        <v>87</v>
      </c>
      <c r="BC721" t="s">
        <v>87</v>
      </c>
      <c r="BD721" t="s">
        <v>87</v>
      </c>
      <c r="BE721" t="s">
        <v>87</v>
      </c>
      <c r="BF721" t="s">
        <v>75</v>
      </c>
      <c r="BG721" t="s">
        <v>76</v>
      </c>
      <c r="BH721" t="s">
        <v>98</v>
      </c>
      <c r="BI721" t="s">
        <v>107</v>
      </c>
      <c r="BJ721" t="s">
        <v>114</v>
      </c>
      <c r="BK721">
        <v>0</v>
      </c>
      <c r="BL721">
        <v>0</v>
      </c>
      <c r="BM721">
        <v>0</v>
      </c>
      <c r="BN721">
        <v>0</v>
      </c>
      <c r="BO721">
        <v>0</v>
      </c>
      <c r="BP721">
        <v>1</v>
      </c>
      <c r="BQ721">
        <v>0</v>
      </c>
      <c r="BR721">
        <v>0</v>
      </c>
    </row>
    <row r="722" spans="1:71" x14ac:dyDescent="0.2">
      <c r="A722" s="1">
        <v>44580.04791666667</v>
      </c>
      <c r="B722" s="1">
        <v>44580.133333333331</v>
      </c>
      <c r="C722">
        <v>1</v>
      </c>
      <c r="D722">
        <v>0</v>
      </c>
      <c r="E722">
        <v>0</v>
      </c>
      <c r="F722">
        <v>0</v>
      </c>
      <c r="H722">
        <v>0</v>
      </c>
      <c r="I722">
        <v>1</v>
      </c>
      <c r="J722">
        <v>0</v>
      </c>
      <c r="K722">
        <v>0</v>
      </c>
      <c r="L722">
        <v>1</v>
      </c>
      <c r="M722" t="s">
        <v>218</v>
      </c>
      <c r="N722" t="s">
        <v>88</v>
      </c>
      <c r="O722" t="s">
        <v>89</v>
      </c>
      <c r="P722">
        <v>0</v>
      </c>
      <c r="Q722">
        <v>0</v>
      </c>
      <c r="R722">
        <v>1</v>
      </c>
      <c r="S722">
        <v>0</v>
      </c>
      <c r="T722">
        <v>0</v>
      </c>
      <c r="U722">
        <v>0</v>
      </c>
      <c r="V722">
        <v>0</v>
      </c>
      <c r="W722">
        <v>0</v>
      </c>
      <c r="X722">
        <v>0</v>
      </c>
      <c r="Y722">
        <v>0</v>
      </c>
      <c r="Z722">
        <v>0</v>
      </c>
      <c r="AA722">
        <v>0</v>
      </c>
      <c r="AM722" t="s">
        <v>81</v>
      </c>
      <c r="AN722" t="s">
        <v>82</v>
      </c>
      <c r="AO722" t="s">
        <v>83</v>
      </c>
      <c r="AP722" t="s">
        <v>83</v>
      </c>
      <c r="AQ722" t="s">
        <v>82</v>
      </c>
      <c r="AR722" t="s">
        <v>83</v>
      </c>
      <c r="AS722" t="s">
        <v>81</v>
      </c>
      <c r="AT722" t="s">
        <v>83</v>
      </c>
      <c r="AU722" t="s">
        <v>88</v>
      </c>
      <c r="AV722" t="s">
        <v>80</v>
      </c>
      <c r="AW722" t="s">
        <v>85</v>
      </c>
      <c r="AX722" t="s">
        <v>191</v>
      </c>
      <c r="AZ722" t="s">
        <v>107</v>
      </c>
      <c r="BA722" t="s">
        <v>87</v>
      </c>
      <c r="BB722" t="s">
        <v>86</v>
      </c>
      <c r="BC722" t="s">
        <v>87</v>
      </c>
      <c r="BD722" t="s">
        <v>87</v>
      </c>
      <c r="BE722" t="s">
        <v>87</v>
      </c>
      <c r="BF722" t="s">
        <v>75</v>
      </c>
      <c r="BG722" t="s">
        <v>76</v>
      </c>
      <c r="BH722" t="s">
        <v>98</v>
      </c>
      <c r="BI722" t="s">
        <v>107</v>
      </c>
      <c r="BJ722" t="s">
        <v>78</v>
      </c>
      <c r="BK722">
        <v>0</v>
      </c>
      <c r="BL722">
        <v>0</v>
      </c>
      <c r="BM722">
        <v>0</v>
      </c>
      <c r="BN722">
        <v>0</v>
      </c>
      <c r="BO722">
        <v>1</v>
      </c>
      <c r="BP722">
        <v>0</v>
      </c>
      <c r="BQ722">
        <v>0</v>
      </c>
      <c r="BR722">
        <v>0</v>
      </c>
    </row>
    <row r="723" spans="1:71" x14ac:dyDescent="0.2">
      <c r="A723" s="1">
        <v>44587.883333333331</v>
      </c>
      <c r="B723" s="1">
        <v>44587.886111111111</v>
      </c>
      <c r="C723">
        <v>1</v>
      </c>
      <c r="D723">
        <v>0</v>
      </c>
      <c r="E723">
        <v>0</v>
      </c>
      <c r="F723">
        <v>0</v>
      </c>
      <c r="H723">
        <v>0</v>
      </c>
      <c r="I723">
        <v>1</v>
      </c>
      <c r="J723">
        <v>1</v>
      </c>
      <c r="K723">
        <v>0</v>
      </c>
      <c r="L723">
        <v>0</v>
      </c>
      <c r="N723" t="s">
        <v>88</v>
      </c>
      <c r="O723" t="s">
        <v>89</v>
      </c>
      <c r="P723">
        <v>0</v>
      </c>
      <c r="Q723">
        <v>0</v>
      </c>
      <c r="R723">
        <v>1</v>
      </c>
      <c r="S723">
        <v>0</v>
      </c>
      <c r="T723">
        <v>0</v>
      </c>
      <c r="U723">
        <v>0</v>
      </c>
      <c r="V723">
        <v>0</v>
      </c>
      <c r="W723">
        <v>0</v>
      </c>
      <c r="X723">
        <v>0</v>
      </c>
      <c r="Y723">
        <v>0</v>
      </c>
      <c r="Z723">
        <v>0</v>
      </c>
      <c r="AA723">
        <v>0</v>
      </c>
      <c r="AM723" t="s">
        <v>83</v>
      </c>
      <c r="AN723" t="s">
        <v>81</v>
      </c>
      <c r="AO723" t="s">
        <v>83</v>
      </c>
      <c r="AP723" t="s">
        <v>81</v>
      </c>
      <c r="AQ723" t="s">
        <v>82</v>
      </c>
      <c r="AR723" t="s">
        <v>83</v>
      </c>
      <c r="AS723" t="s">
        <v>83</v>
      </c>
      <c r="AT723" t="s">
        <v>83</v>
      </c>
      <c r="AU723" t="s">
        <v>88</v>
      </c>
      <c r="AV723" t="s">
        <v>89</v>
      </c>
      <c r="AW723" t="s">
        <v>85</v>
      </c>
      <c r="AX723" t="s">
        <v>110</v>
      </c>
      <c r="AY723" t="s">
        <v>360</v>
      </c>
      <c r="AZ723" t="s">
        <v>73</v>
      </c>
      <c r="BA723" t="s">
        <v>86</v>
      </c>
      <c r="BB723" t="s">
        <v>87</v>
      </c>
      <c r="BC723" t="s">
        <v>87</v>
      </c>
      <c r="BD723" t="s">
        <v>74</v>
      </c>
      <c r="BE723" t="s">
        <v>74</v>
      </c>
      <c r="BF723" t="s">
        <v>75</v>
      </c>
      <c r="BG723" t="s">
        <v>92</v>
      </c>
      <c r="BH723" t="s">
        <v>98</v>
      </c>
      <c r="BI723" t="s">
        <v>73</v>
      </c>
      <c r="BJ723" t="s">
        <v>114</v>
      </c>
      <c r="BK723">
        <v>0</v>
      </c>
      <c r="BL723">
        <v>0</v>
      </c>
      <c r="BM723">
        <v>0</v>
      </c>
      <c r="BN723">
        <v>0</v>
      </c>
      <c r="BO723">
        <v>1</v>
      </c>
      <c r="BP723">
        <v>0</v>
      </c>
      <c r="BQ723">
        <v>0</v>
      </c>
      <c r="BR723">
        <v>0</v>
      </c>
    </row>
    <row r="724" spans="1:71" x14ac:dyDescent="0.2">
      <c r="A724" s="1">
        <v>44585.575694444444</v>
      </c>
      <c r="B724" s="1">
        <v>44585.57708333333</v>
      </c>
      <c r="C724">
        <v>0</v>
      </c>
      <c r="D724">
        <v>1</v>
      </c>
      <c r="E724">
        <v>0</v>
      </c>
      <c r="F724">
        <v>0</v>
      </c>
      <c r="H724">
        <v>1</v>
      </c>
      <c r="I724">
        <v>0</v>
      </c>
      <c r="J724">
        <v>0</v>
      </c>
      <c r="K724">
        <v>0</v>
      </c>
      <c r="L724">
        <v>0</v>
      </c>
      <c r="P724">
        <v>1</v>
      </c>
      <c r="Q724">
        <v>0</v>
      </c>
      <c r="R724">
        <v>0</v>
      </c>
      <c r="S724">
        <v>0</v>
      </c>
      <c r="T724">
        <v>0</v>
      </c>
      <c r="U724">
        <v>0</v>
      </c>
      <c r="V724">
        <v>0</v>
      </c>
      <c r="W724">
        <v>0</v>
      </c>
      <c r="X724">
        <v>0</v>
      </c>
      <c r="Y724">
        <v>0</v>
      </c>
      <c r="Z724">
        <v>0</v>
      </c>
      <c r="AA724">
        <v>0</v>
      </c>
      <c r="AC724">
        <v>0</v>
      </c>
      <c r="AD724">
        <v>0</v>
      </c>
      <c r="AE724">
        <v>0</v>
      </c>
      <c r="AF724">
        <v>0</v>
      </c>
      <c r="AG724">
        <v>0</v>
      </c>
      <c r="AH724">
        <v>0</v>
      </c>
      <c r="AI724">
        <v>0</v>
      </c>
      <c r="AJ724">
        <v>0</v>
      </c>
      <c r="AK724">
        <v>1</v>
      </c>
      <c r="AL724" t="s">
        <v>361</v>
      </c>
      <c r="AZ724" t="s">
        <v>73</v>
      </c>
      <c r="BA724" t="s">
        <v>74</v>
      </c>
      <c r="BF724" t="s">
        <v>159</v>
      </c>
      <c r="BG724" t="s">
        <v>92</v>
      </c>
      <c r="BH724" t="s">
        <v>98</v>
      </c>
      <c r="BI724" t="s">
        <v>73</v>
      </c>
      <c r="BJ724" t="s">
        <v>78</v>
      </c>
      <c r="BK724">
        <v>0</v>
      </c>
      <c r="BL724">
        <v>0</v>
      </c>
      <c r="BM724">
        <v>0</v>
      </c>
      <c r="BN724">
        <v>0</v>
      </c>
      <c r="BO724">
        <v>0</v>
      </c>
      <c r="BP724">
        <v>1</v>
      </c>
      <c r="BQ724">
        <v>0</v>
      </c>
      <c r="BR724">
        <v>0</v>
      </c>
    </row>
    <row r="725" spans="1:71" x14ac:dyDescent="0.2">
      <c r="A725" s="1">
        <v>44582.720833333333</v>
      </c>
      <c r="B725" s="1">
        <v>44582.722916666666</v>
      </c>
      <c r="C725">
        <v>0</v>
      </c>
      <c r="D725">
        <v>1</v>
      </c>
      <c r="E725">
        <v>0</v>
      </c>
      <c r="F725">
        <v>0</v>
      </c>
      <c r="H725">
        <v>1</v>
      </c>
      <c r="I725">
        <v>0</v>
      </c>
      <c r="J725">
        <v>0</v>
      </c>
      <c r="K725">
        <v>0</v>
      </c>
      <c r="L725">
        <v>0</v>
      </c>
      <c r="P725">
        <v>1</v>
      </c>
      <c r="Q725">
        <v>0</v>
      </c>
      <c r="R725">
        <v>0</v>
      </c>
      <c r="S725">
        <v>0</v>
      </c>
      <c r="T725">
        <v>0</v>
      </c>
      <c r="U725">
        <v>0</v>
      </c>
      <c r="V725">
        <v>0</v>
      </c>
      <c r="W725">
        <v>0</v>
      </c>
      <c r="X725">
        <v>0</v>
      </c>
      <c r="Y725">
        <v>0</v>
      </c>
      <c r="Z725">
        <v>0</v>
      </c>
      <c r="AA725">
        <v>0</v>
      </c>
      <c r="AC725">
        <v>0</v>
      </c>
      <c r="AD725">
        <v>1</v>
      </c>
      <c r="AE725">
        <v>0</v>
      </c>
      <c r="AF725">
        <v>0</v>
      </c>
      <c r="AG725">
        <v>0</v>
      </c>
      <c r="AH725">
        <v>0</v>
      </c>
      <c r="AI725">
        <v>0</v>
      </c>
      <c r="AJ725">
        <v>0</v>
      </c>
      <c r="AK725">
        <v>0</v>
      </c>
      <c r="AZ725" t="s">
        <v>73</v>
      </c>
      <c r="BA725" t="s">
        <v>87</v>
      </c>
      <c r="BB725" t="s">
        <v>74</v>
      </c>
      <c r="BC725" t="s">
        <v>87</v>
      </c>
      <c r="BD725" t="s">
        <v>87</v>
      </c>
      <c r="BE725" t="s">
        <v>87</v>
      </c>
      <c r="BF725" t="s">
        <v>101</v>
      </c>
      <c r="BG725" t="s">
        <v>76</v>
      </c>
      <c r="BH725" t="s">
        <v>98</v>
      </c>
      <c r="BI725" t="s">
        <v>73</v>
      </c>
      <c r="BJ725" t="s">
        <v>78</v>
      </c>
      <c r="BK725">
        <v>0</v>
      </c>
      <c r="BL725">
        <v>0</v>
      </c>
      <c r="BM725">
        <v>0</v>
      </c>
      <c r="BN725">
        <v>0</v>
      </c>
      <c r="BO725">
        <v>1</v>
      </c>
      <c r="BP725">
        <v>0</v>
      </c>
      <c r="BQ725">
        <v>0</v>
      </c>
      <c r="BR725">
        <v>0</v>
      </c>
    </row>
    <row r="726" spans="1:71" x14ac:dyDescent="0.2">
      <c r="A726" s="1">
        <v>44590.841666666667</v>
      </c>
      <c r="B726" s="1">
        <v>44590.843055555553</v>
      </c>
      <c r="C726">
        <v>1</v>
      </c>
      <c r="D726">
        <v>0</v>
      </c>
      <c r="E726">
        <v>0</v>
      </c>
      <c r="F726">
        <v>0</v>
      </c>
      <c r="H726">
        <v>1</v>
      </c>
      <c r="I726">
        <v>0</v>
      </c>
      <c r="J726">
        <v>0</v>
      </c>
      <c r="K726">
        <v>0</v>
      </c>
      <c r="L726">
        <v>0</v>
      </c>
      <c r="P726">
        <v>1</v>
      </c>
      <c r="Q726">
        <v>0</v>
      </c>
      <c r="R726">
        <v>0</v>
      </c>
      <c r="S726">
        <v>0</v>
      </c>
      <c r="T726">
        <v>0</v>
      </c>
      <c r="U726">
        <v>0</v>
      </c>
      <c r="V726">
        <v>0</v>
      </c>
      <c r="W726">
        <v>0</v>
      </c>
      <c r="X726">
        <v>0</v>
      </c>
      <c r="Y726">
        <v>0</v>
      </c>
      <c r="Z726">
        <v>0</v>
      </c>
      <c r="AA726">
        <v>0</v>
      </c>
      <c r="AC726">
        <v>0</v>
      </c>
      <c r="AD726">
        <v>0</v>
      </c>
      <c r="AE726">
        <v>1</v>
      </c>
      <c r="AF726">
        <v>0</v>
      </c>
      <c r="AG726">
        <v>1</v>
      </c>
      <c r="AH726">
        <v>1</v>
      </c>
      <c r="AI726">
        <v>1</v>
      </c>
      <c r="AJ726">
        <v>0</v>
      </c>
      <c r="AK726">
        <v>0</v>
      </c>
      <c r="AZ726" t="s">
        <v>73</v>
      </c>
      <c r="BA726" t="s">
        <v>87</v>
      </c>
      <c r="BB726" t="s">
        <v>87</v>
      </c>
      <c r="BC726" t="s">
        <v>87</v>
      </c>
      <c r="BD726" t="s">
        <v>87</v>
      </c>
      <c r="BE726" t="s">
        <v>87</v>
      </c>
      <c r="BF726" t="s">
        <v>101</v>
      </c>
      <c r="BG726" t="s">
        <v>92</v>
      </c>
      <c r="BH726" t="s">
        <v>98</v>
      </c>
      <c r="BI726" t="s">
        <v>73</v>
      </c>
      <c r="BJ726" t="s">
        <v>114</v>
      </c>
      <c r="BK726">
        <v>0</v>
      </c>
      <c r="BL726">
        <v>0</v>
      </c>
      <c r="BM726">
        <v>0</v>
      </c>
      <c r="BN726">
        <v>0</v>
      </c>
      <c r="BO726">
        <v>1</v>
      </c>
      <c r="BP726">
        <v>1</v>
      </c>
      <c r="BQ726">
        <v>0</v>
      </c>
      <c r="BR726">
        <v>0</v>
      </c>
    </row>
    <row r="727" spans="1:71" x14ac:dyDescent="0.2">
      <c r="A727" s="1">
        <v>44589.8125</v>
      </c>
      <c r="B727" s="1">
        <v>44589.813194444447</v>
      </c>
      <c r="C727">
        <v>1</v>
      </c>
      <c r="D727">
        <v>0</v>
      </c>
      <c r="E727">
        <v>0</v>
      </c>
      <c r="F727">
        <v>0</v>
      </c>
      <c r="H727">
        <v>1</v>
      </c>
      <c r="I727">
        <v>0</v>
      </c>
      <c r="J727">
        <v>0</v>
      </c>
      <c r="K727">
        <v>0</v>
      </c>
      <c r="L727">
        <v>0</v>
      </c>
      <c r="P727">
        <v>1</v>
      </c>
      <c r="Q727">
        <v>0</v>
      </c>
      <c r="R727">
        <v>0</v>
      </c>
      <c r="S727">
        <v>0</v>
      </c>
      <c r="T727">
        <v>0</v>
      </c>
      <c r="U727">
        <v>0</v>
      </c>
      <c r="V727">
        <v>0</v>
      </c>
      <c r="W727">
        <v>0</v>
      </c>
      <c r="X727">
        <v>0</v>
      </c>
      <c r="Y727">
        <v>0</v>
      </c>
      <c r="Z727">
        <v>0</v>
      </c>
      <c r="AA727">
        <v>0</v>
      </c>
      <c r="AC727">
        <v>0</v>
      </c>
      <c r="AD727">
        <v>0</v>
      </c>
      <c r="AE727">
        <v>0</v>
      </c>
      <c r="AF727">
        <v>0</v>
      </c>
      <c r="AG727">
        <v>0</v>
      </c>
      <c r="AH727">
        <v>0</v>
      </c>
      <c r="AI727">
        <v>1</v>
      </c>
      <c r="AJ727">
        <v>0</v>
      </c>
      <c r="AK727">
        <v>0</v>
      </c>
      <c r="AZ727" t="s">
        <v>73</v>
      </c>
      <c r="BA727" t="s">
        <v>74</v>
      </c>
      <c r="BF727" t="s">
        <v>97</v>
      </c>
      <c r="BG727" t="s">
        <v>92</v>
      </c>
      <c r="BH727" t="s">
        <v>98</v>
      </c>
      <c r="BI727" t="s">
        <v>73</v>
      </c>
      <c r="BJ727" t="s">
        <v>78</v>
      </c>
      <c r="BK727">
        <v>0</v>
      </c>
      <c r="BL727">
        <v>0</v>
      </c>
      <c r="BM727">
        <v>0</v>
      </c>
      <c r="BN727">
        <v>0</v>
      </c>
      <c r="BO727">
        <v>0</v>
      </c>
      <c r="BP727">
        <v>0</v>
      </c>
      <c r="BQ727">
        <v>1</v>
      </c>
      <c r="BR727">
        <v>0</v>
      </c>
      <c r="BS727" t="s">
        <v>362</v>
      </c>
    </row>
    <row r="728" spans="1:71" x14ac:dyDescent="0.2">
      <c r="A728" s="1">
        <v>44585.525000000001</v>
      </c>
      <c r="B728" s="1">
        <v>44585.527083333334</v>
      </c>
      <c r="C728">
        <v>1</v>
      </c>
      <c r="D728">
        <v>0</v>
      </c>
      <c r="E728">
        <v>0</v>
      </c>
      <c r="F728">
        <v>0</v>
      </c>
      <c r="H728">
        <v>0</v>
      </c>
      <c r="I728">
        <v>1</v>
      </c>
      <c r="J728">
        <v>1</v>
      </c>
      <c r="K728">
        <v>1</v>
      </c>
      <c r="L728">
        <v>0</v>
      </c>
      <c r="N728" t="s">
        <v>88</v>
      </c>
      <c r="O728" t="s">
        <v>89</v>
      </c>
      <c r="P728">
        <v>0</v>
      </c>
      <c r="Q728">
        <v>0</v>
      </c>
      <c r="R728">
        <v>1</v>
      </c>
      <c r="S728">
        <v>0</v>
      </c>
      <c r="T728">
        <v>0</v>
      </c>
      <c r="U728">
        <v>0</v>
      </c>
      <c r="V728">
        <v>0</v>
      </c>
      <c r="W728">
        <v>0</v>
      </c>
      <c r="X728">
        <v>0</v>
      </c>
      <c r="Y728">
        <v>0</v>
      </c>
      <c r="Z728">
        <v>0</v>
      </c>
      <c r="AA728">
        <v>0</v>
      </c>
      <c r="AM728" t="s">
        <v>83</v>
      </c>
      <c r="AN728" t="s">
        <v>82</v>
      </c>
      <c r="AO728" t="s">
        <v>81</v>
      </c>
      <c r="AP728" t="s">
        <v>81</v>
      </c>
      <c r="AQ728" t="s">
        <v>83</v>
      </c>
      <c r="AR728" t="s">
        <v>81</v>
      </c>
      <c r="AS728" t="s">
        <v>83</v>
      </c>
      <c r="AT728" t="s">
        <v>83</v>
      </c>
      <c r="AU728" t="s">
        <v>88</v>
      </c>
      <c r="AV728" t="s">
        <v>89</v>
      </c>
      <c r="AW728" t="s">
        <v>100</v>
      </c>
      <c r="AX728" t="s">
        <v>146</v>
      </c>
      <c r="AZ728" t="s">
        <v>73</v>
      </c>
      <c r="BA728" t="s">
        <v>86</v>
      </c>
      <c r="BB728" t="s">
        <v>87</v>
      </c>
      <c r="BC728" t="s">
        <v>87</v>
      </c>
      <c r="BD728" t="s">
        <v>87</v>
      </c>
      <c r="BE728" t="s">
        <v>87</v>
      </c>
      <c r="BF728" t="s">
        <v>108</v>
      </c>
      <c r="BG728" t="s">
        <v>92</v>
      </c>
      <c r="BH728" t="s">
        <v>98</v>
      </c>
      <c r="BI728" t="s">
        <v>73</v>
      </c>
      <c r="BJ728" t="s">
        <v>114</v>
      </c>
      <c r="BK728">
        <v>0</v>
      </c>
      <c r="BL728">
        <v>0</v>
      </c>
      <c r="BM728">
        <v>0</v>
      </c>
      <c r="BN728">
        <v>0</v>
      </c>
      <c r="BO728">
        <v>1</v>
      </c>
      <c r="BP728">
        <v>0</v>
      </c>
      <c r="BQ728">
        <v>0</v>
      </c>
      <c r="BR728">
        <v>0</v>
      </c>
    </row>
    <row r="729" spans="1:71" x14ac:dyDescent="0.2">
      <c r="A729" s="1">
        <v>44579.877083333333</v>
      </c>
      <c r="B729" s="1">
        <v>44579.878472222219</v>
      </c>
      <c r="C729">
        <v>1</v>
      </c>
      <c r="D729">
        <v>0</v>
      </c>
      <c r="E729">
        <v>0</v>
      </c>
      <c r="F729">
        <v>0</v>
      </c>
      <c r="H729">
        <v>1</v>
      </c>
      <c r="I729">
        <v>0</v>
      </c>
      <c r="J729">
        <v>0</v>
      </c>
      <c r="K729">
        <v>0</v>
      </c>
      <c r="L729">
        <v>0</v>
      </c>
      <c r="P729">
        <v>0</v>
      </c>
      <c r="Q729">
        <v>1</v>
      </c>
      <c r="R729">
        <v>0</v>
      </c>
      <c r="S729">
        <v>0</v>
      </c>
      <c r="T729">
        <v>0</v>
      </c>
      <c r="U729">
        <v>0</v>
      </c>
      <c r="V729">
        <v>0</v>
      </c>
      <c r="W729">
        <v>0</v>
      </c>
      <c r="X729">
        <v>0</v>
      </c>
      <c r="Y729">
        <v>0</v>
      </c>
      <c r="Z729">
        <v>0</v>
      </c>
      <c r="AA729">
        <v>0</v>
      </c>
      <c r="AM729" t="s">
        <v>90</v>
      </c>
      <c r="AN729" t="s">
        <v>82</v>
      </c>
      <c r="AO729" t="s">
        <v>90</v>
      </c>
      <c r="AP729" t="s">
        <v>90</v>
      </c>
      <c r="AQ729" t="s">
        <v>90</v>
      </c>
      <c r="AR729" t="s">
        <v>90</v>
      </c>
      <c r="AS729" t="s">
        <v>90</v>
      </c>
      <c r="AT729" t="s">
        <v>90</v>
      </c>
      <c r="AU729" t="s">
        <v>135</v>
      </c>
      <c r="AV729" t="s">
        <v>127</v>
      </c>
      <c r="AW729" t="s">
        <v>85</v>
      </c>
      <c r="AZ729" t="s">
        <v>73</v>
      </c>
      <c r="BA729" t="s">
        <v>74</v>
      </c>
      <c r="BF729" t="s">
        <v>97</v>
      </c>
      <c r="BG729" t="s">
        <v>76</v>
      </c>
      <c r="BH729" t="s">
        <v>98</v>
      </c>
      <c r="BI729" t="s">
        <v>73</v>
      </c>
      <c r="BJ729" t="s">
        <v>78</v>
      </c>
      <c r="BK729">
        <v>0</v>
      </c>
      <c r="BL729">
        <v>0</v>
      </c>
      <c r="BM729">
        <v>0</v>
      </c>
      <c r="BN729">
        <v>0</v>
      </c>
      <c r="BO729">
        <v>0</v>
      </c>
      <c r="BP729">
        <v>1</v>
      </c>
      <c r="BQ729">
        <v>0</v>
      </c>
      <c r="BR729">
        <v>0</v>
      </c>
    </row>
    <row r="730" spans="1:71" x14ac:dyDescent="0.2">
      <c r="A730" s="1">
        <v>44585.599999999999</v>
      </c>
      <c r="B730" s="1">
        <v>44585.601388888892</v>
      </c>
      <c r="C730">
        <v>1</v>
      </c>
      <c r="D730">
        <v>0</v>
      </c>
      <c r="E730">
        <v>0</v>
      </c>
      <c r="F730">
        <v>0</v>
      </c>
      <c r="H730">
        <v>1</v>
      </c>
      <c r="I730">
        <v>0</v>
      </c>
      <c r="J730">
        <v>0</v>
      </c>
      <c r="K730">
        <v>0</v>
      </c>
      <c r="L730">
        <v>0</v>
      </c>
      <c r="P730">
        <v>1</v>
      </c>
      <c r="Q730">
        <v>0</v>
      </c>
      <c r="R730">
        <v>0</v>
      </c>
      <c r="S730">
        <v>0</v>
      </c>
      <c r="T730">
        <v>0</v>
      </c>
      <c r="U730">
        <v>0</v>
      </c>
      <c r="V730">
        <v>0</v>
      </c>
      <c r="W730">
        <v>0</v>
      </c>
      <c r="X730">
        <v>0</v>
      </c>
      <c r="Y730">
        <v>0</v>
      </c>
      <c r="Z730">
        <v>0</v>
      </c>
      <c r="AA730">
        <v>0</v>
      </c>
      <c r="AC730">
        <v>0</v>
      </c>
      <c r="AD730">
        <v>0</v>
      </c>
      <c r="AE730">
        <v>1</v>
      </c>
      <c r="AF730">
        <v>0</v>
      </c>
      <c r="AG730">
        <v>0</v>
      </c>
      <c r="AH730">
        <v>0</v>
      </c>
      <c r="AI730">
        <v>0</v>
      </c>
      <c r="AJ730">
        <v>0</v>
      </c>
      <c r="AK730">
        <v>0</v>
      </c>
      <c r="AZ730" t="s">
        <v>96</v>
      </c>
      <c r="BA730" t="s">
        <v>87</v>
      </c>
      <c r="BB730" t="s">
        <v>87</v>
      </c>
      <c r="BC730" t="s">
        <v>86</v>
      </c>
      <c r="BD730" t="s">
        <v>87</v>
      </c>
      <c r="BE730" t="s">
        <v>86</v>
      </c>
      <c r="BF730" t="s">
        <v>159</v>
      </c>
      <c r="BG730" t="s">
        <v>76</v>
      </c>
      <c r="BH730" t="s">
        <v>93</v>
      </c>
      <c r="BI730" t="s">
        <v>96</v>
      </c>
      <c r="BJ730" t="s">
        <v>99</v>
      </c>
      <c r="BK730">
        <v>0</v>
      </c>
      <c r="BL730">
        <v>0</v>
      </c>
      <c r="BM730">
        <v>0</v>
      </c>
      <c r="BN730">
        <v>0</v>
      </c>
      <c r="BO730">
        <v>0</v>
      </c>
      <c r="BP730">
        <v>1</v>
      </c>
      <c r="BQ730">
        <v>0</v>
      </c>
      <c r="BR730">
        <v>0</v>
      </c>
    </row>
    <row r="731" spans="1:71" x14ac:dyDescent="0.2">
      <c r="A731" s="1">
        <v>44581.00277777778</v>
      </c>
      <c r="B731" s="1">
        <v>44581.004861111112</v>
      </c>
      <c r="C731">
        <v>0</v>
      </c>
      <c r="D731">
        <v>1</v>
      </c>
      <c r="E731">
        <v>0</v>
      </c>
      <c r="F731">
        <v>0</v>
      </c>
      <c r="H731">
        <v>0</v>
      </c>
      <c r="I731">
        <v>1</v>
      </c>
      <c r="J731">
        <v>0</v>
      </c>
      <c r="K731">
        <v>1</v>
      </c>
      <c r="L731">
        <v>0</v>
      </c>
      <c r="N731" t="s">
        <v>88</v>
      </c>
      <c r="O731" t="s">
        <v>89</v>
      </c>
      <c r="P731">
        <v>0</v>
      </c>
      <c r="Q731">
        <v>1</v>
      </c>
      <c r="R731">
        <v>0</v>
      </c>
      <c r="S731">
        <v>0</v>
      </c>
      <c r="T731">
        <v>0</v>
      </c>
      <c r="U731">
        <v>0</v>
      </c>
      <c r="V731">
        <v>0</v>
      </c>
      <c r="W731">
        <v>0</v>
      </c>
      <c r="X731">
        <v>0</v>
      </c>
      <c r="Y731">
        <v>0</v>
      </c>
      <c r="Z731">
        <v>0</v>
      </c>
      <c r="AA731">
        <v>0</v>
      </c>
      <c r="AM731" t="s">
        <v>83</v>
      </c>
      <c r="AN731" t="s">
        <v>82</v>
      </c>
      <c r="AO731" t="s">
        <v>81</v>
      </c>
      <c r="AP731" t="s">
        <v>81</v>
      </c>
      <c r="AQ731" t="s">
        <v>83</v>
      </c>
      <c r="AR731" t="s">
        <v>83</v>
      </c>
      <c r="AS731" t="s">
        <v>83</v>
      </c>
      <c r="AT731" t="s">
        <v>81</v>
      </c>
      <c r="AU731" t="s">
        <v>88</v>
      </c>
      <c r="AV731" t="s">
        <v>89</v>
      </c>
      <c r="AW731" t="s">
        <v>100</v>
      </c>
      <c r="AX731" t="s">
        <v>122</v>
      </c>
      <c r="AZ731" t="s">
        <v>73</v>
      </c>
      <c r="BA731" t="s">
        <v>87</v>
      </c>
      <c r="BB731" t="s">
        <v>86</v>
      </c>
      <c r="BC731" t="s">
        <v>87</v>
      </c>
      <c r="BD731" t="s">
        <v>87</v>
      </c>
      <c r="BE731" t="s">
        <v>87</v>
      </c>
      <c r="BF731" t="s">
        <v>75</v>
      </c>
      <c r="BG731" t="s">
        <v>76</v>
      </c>
      <c r="BH731" t="s">
        <v>77</v>
      </c>
      <c r="BI731" t="s">
        <v>73</v>
      </c>
      <c r="BJ731" t="s">
        <v>176</v>
      </c>
      <c r="BK731">
        <v>0</v>
      </c>
      <c r="BL731">
        <v>0</v>
      </c>
      <c r="BM731">
        <v>0</v>
      </c>
      <c r="BN731">
        <v>0</v>
      </c>
      <c r="BO731">
        <v>0</v>
      </c>
      <c r="BP731">
        <v>1</v>
      </c>
      <c r="BQ731">
        <v>0</v>
      </c>
      <c r="BR731">
        <v>0</v>
      </c>
    </row>
    <row r="732" spans="1:71" x14ac:dyDescent="0.2">
      <c r="A732" s="1">
        <v>44580.025694444441</v>
      </c>
      <c r="B732" s="1">
        <v>44580.026388888888</v>
      </c>
      <c r="C732">
        <v>1</v>
      </c>
      <c r="D732">
        <v>0</v>
      </c>
      <c r="E732">
        <v>0</v>
      </c>
      <c r="F732">
        <v>0</v>
      </c>
      <c r="H732">
        <v>0</v>
      </c>
      <c r="I732">
        <v>1</v>
      </c>
      <c r="J732">
        <v>0</v>
      </c>
      <c r="K732">
        <v>0</v>
      </c>
      <c r="L732">
        <v>0</v>
      </c>
      <c r="N732" t="s">
        <v>135</v>
      </c>
      <c r="O732" t="s">
        <v>80</v>
      </c>
      <c r="P732">
        <v>0</v>
      </c>
      <c r="Q732">
        <v>1</v>
      </c>
      <c r="R732">
        <v>0</v>
      </c>
      <c r="S732">
        <v>0</v>
      </c>
      <c r="T732">
        <v>0</v>
      </c>
      <c r="U732">
        <v>0</v>
      </c>
      <c r="V732">
        <v>0</v>
      </c>
      <c r="W732">
        <v>0</v>
      </c>
      <c r="X732">
        <v>0</v>
      </c>
      <c r="Y732">
        <v>0</v>
      </c>
      <c r="Z732">
        <v>0</v>
      </c>
      <c r="AA732">
        <v>0</v>
      </c>
      <c r="AM732" t="s">
        <v>90</v>
      </c>
      <c r="AN732" t="s">
        <v>82</v>
      </c>
      <c r="AO732" t="s">
        <v>81</v>
      </c>
      <c r="AP732" t="s">
        <v>81</v>
      </c>
      <c r="AQ732" t="s">
        <v>83</v>
      </c>
      <c r="AR732" t="s">
        <v>90</v>
      </c>
      <c r="AS732" t="s">
        <v>90</v>
      </c>
      <c r="AT732" t="s">
        <v>83</v>
      </c>
      <c r="AU732" t="s">
        <v>127</v>
      </c>
      <c r="AV732" t="s">
        <v>127</v>
      </c>
      <c r="AZ732" t="s">
        <v>73</v>
      </c>
      <c r="BA732" t="s">
        <v>87</v>
      </c>
      <c r="BB732" t="s">
        <v>87</v>
      </c>
      <c r="BC732" t="s">
        <v>87</v>
      </c>
      <c r="BD732" t="s">
        <v>87</v>
      </c>
      <c r="BE732" t="s">
        <v>87</v>
      </c>
      <c r="BF732" t="s">
        <v>159</v>
      </c>
      <c r="BG732" t="s">
        <v>92</v>
      </c>
      <c r="BH732" t="s">
        <v>184</v>
      </c>
      <c r="BI732" t="s">
        <v>73</v>
      </c>
      <c r="BJ732" t="s">
        <v>212</v>
      </c>
      <c r="BK732">
        <v>0</v>
      </c>
      <c r="BL732">
        <v>0</v>
      </c>
      <c r="BM732">
        <v>0</v>
      </c>
      <c r="BN732">
        <v>0</v>
      </c>
      <c r="BO732">
        <v>0</v>
      </c>
      <c r="BP732">
        <v>1</v>
      </c>
      <c r="BQ732">
        <v>0</v>
      </c>
      <c r="BR732">
        <v>0</v>
      </c>
    </row>
    <row r="733" spans="1:71" x14ac:dyDescent="0.2">
      <c r="A733" s="1">
        <v>44582.356249999997</v>
      </c>
      <c r="B733" s="1">
        <v>44582.35833333333</v>
      </c>
      <c r="C733">
        <v>1</v>
      </c>
      <c r="D733">
        <v>0</v>
      </c>
      <c r="E733">
        <v>0</v>
      </c>
      <c r="F733">
        <v>0</v>
      </c>
      <c r="H733">
        <v>0</v>
      </c>
      <c r="I733">
        <v>0</v>
      </c>
      <c r="J733">
        <v>1</v>
      </c>
      <c r="K733">
        <v>0</v>
      </c>
      <c r="L733">
        <v>0</v>
      </c>
      <c r="N733" t="s">
        <v>88</v>
      </c>
      <c r="O733" t="s">
        <v>89</v>
      </c>
      <c r="P733">
        <v>0</v>
      </c>
      <c r="Q733">
        <v>1</v>
      </c>
      <c r="R733">
        <v>1</v>
      </c>
      <c r="S733">
        <v>0</v>
      </c>
      <c r="T733">
        <v>0</v>
      </c>
      <c r="U733">
        <v>0</v>
      </c>
      <c r="V733">
        <v>0</v>
      </c>
      <c r="W733">
        <v>0</v>
      </c>
      <c r="X733">
        <v>0</v>
      </c>
      <c r="Y733">
        <v>0</v>
      </c>
      <c r="Z733">
        <v>0</v>
      </c>
      <c r="AA733">
        <v>0</v>
      </c>
      <c r="AM733" t="s">
        <v>83</v>
      </c>
      <c r="AN733" t="s">
        <v>82</v>
      </c>
      <c r="AO733" t="s">
        <v>83</v>
      </c>
      <c r="AP733" t="s">
        <v>81</v>
      </c>
      <c r="AQ733" t="s">
        <v>81</v>
      </c>
      <c r="AR733" t="s">
        <v>90</v>
      </c>
      <c r="AS733" t="s">
        <v>83</v>
      </c>
      <c r="AT733" t="s">
        <v>83</v>
      </c>
      <c r="AU733" t="s">
        <v>88</v>
      </c>
      <c r="AV733" t="s">
        <v>89</v>
      </c>
      <c r="AW733" t="s">
        <v>85</v>
      </c>
      <c r="AX733" t="s">
        <v>122</v>
      </c>
      <c r="AZ733" t="s">
        <v>107</v>
      </c>
      <c r="BA733" t="s">
        <v>87</v>
      </c>
      <c r="BB733" t="s">
        <v>87</v>
      </c>
      <c r="BC733" t="s">
        <v>87</v>
      </c>
      <c r="BD733" t="s">
        <v>87</v>
      </c>
      <c r="BE733" t="s">
        <v>87</v>
      </c>
      <c r="BF733" t="s">
        <v>75</v>
      </c>
      <c r="BG733" t="s">
        <v>76</v>
      </c>
      <c r="BH733" t="s">
        <v>77</v>
      </c>
      <c r="BI733" t="s">
        <v>107</v>
      </c>
      <c r="BJ733" t="s">
        <v>147</v>
      </c>
      <c r="BK733">
        <v>1</v>
      </c>
      <c r="BL733">
        <v>0</v>
      </c>
      <c r="BM733">
        <v>0</v>
      </c>
      <c r="BN733">
        <v>0</v>
      </c>
      <c r="BO733">
        <v>0</v>
      </c>
      <c r="BP733">
        <v>0</v>
      </c>
      <c r="BQ733">
        <v>0</v>
      </c>
      <c r="BR733">
        <v>0</v>
      </c>
    </row>
    <row r="734" spans="1:71" x14ac:dyDescent="0.2">
      <c r="A734" s="1">
        <v>44581.138888888891</v>
      </c>
      <c r="B734" s="1">
        <v>44581.140972222223</v>
      </c>
      <c r="C734">
        <v>1</v>
      </c>
      <c r="D734">
        <v>0</v>
      </c>
      <c r="E734">
        <v>0</v>
      </c>
      <c r="F734">
        <v>0</v>
      </c>
      <c r="H734">
        <v>0</v>
      </c>
      <c r="I734">
        <v>1</v>
      </c>
      <c r="J734">
        <v>1</v>
      </c>
      <c r="K734">
        <v>0</v>
      </c>
      <c r="L734">
        <v>0</v>
      </c>
      <c r="N734" t="s">
        <v>88</v>
      </c>
      <c r="O734" t="s">
        <v>89</v>
      </c>
      <c r="P734">
        <v>0</v>
      </c>
      <c r="Q734">
        <v>0</v>
      </c>
      <c r="R734">
        <v>1</v>
      </c>
      <c r="S734">
        <v>0</v>
      </c>
      <c r="T734">
        <v>0</v>
      </c>
      <c r="U734">
        <v>0</v>
      </c>
      <c r="V734">
        <v>0</v>
      </c>
      <c r="W734">
        <v>0</v>
      </c>
      <c r="X734">
        <v>0</v>
      </c>
      <c r="Y734">
        <v>0</v>
      </c>
      <c r="Z734">
        <v>0</v>
      </c>
      <c r="AA734">
        <v>0</v>
      </c>
      <c r="AM734" t="s">
        <v>83</v>
      </c>
      <c r="AN734" t="s">
        <v>82</v>
      </c>
      <c r="AO734" t="s">
        <v>81</v>
      </c>
      <c r="AP734" t="s">
        <v>81</v>
      </c>
      <c r="AQ734" t="s">
        <v>81</v>
      </c>
      <c r="AR734" t="s">
        <v>83</v>
      </c>
      <c r="AS734" t="s">
        <v>83</v>
      </c>
      <c r="AT734" t="s">
        <v>83</v>
      </c>
      <c r="AU734" t="s">
        <v>88</v>
      </c>
      <c r="AV734" t="s">
        <v>89</v>
      </c>
      <c r="AW734" t="s">
        <v>85</v>
      </c>
      <c r="AX734" t="s">
        <v>118</v>
      </c>
      <c r="AZ734" t="s">
        <v>73</v>
      </c>
      <c r="BA734" t="s">
        <v>87</v>
      </c>
      <c r="BB734" t="s">
        <v>87</v>
      </c>
      <c r="BC734" t="s">
        <v>87</v>
      </c>
      <c r="BD734" t="s">
        <v>86</v>
      </c>
      <c r="BE734" t="s">
        <v>87</v>
      </c>
      <c r="BF734" t="s">
        <v>75</v>
      </c>
      <c r="BG734" t="s">
        <v>76</v>
      </c>
      <c r="BH734" t="s">
        <v>77</v>
      </c>
      <c r="BI734" t="s">
        <v>73</v>
      </c>
      <c r="BJ734" t="s">
        <v>154</v>
      </c>
      <c r="BK734">
        <v>0</v>
      </c>
      <c r="BL734">
        <v>0</v>
      </c>
      <c r="BM734">
        <v>0</v>
      </c>
      <c r="BN734">
        <v>0</v>
      </c>
      <c r="BO734">
        <v>0</v>
      </c>
      <c r="BP734">
        <v>1</v>
      </c>
      <c r="BQ734">
        <v>0</v>
      </c>
      <c r="BR734">
        <v>0</v>
      </c>
    </row>
    <row r="735" spans="1:71" x14ac:dyDescent="0.2">
      <c r="A735" s="1">
        <v>44581.087500000001</v>
      </c>
      <c r="B735" s="1">
        <v>44581.09097222222</v>
      </c>
      <c r="C735">
        <v>0</v>
      </c>
      <c r="D735">
        <v>1</v>
      </c>
      <c r="E735">
        <v>0</v>
      </c>
      <c r="F735">
        <v>0</v>
      </c>
      <c r="H735">
        <v>0</v>
      </c>
      <c r="I735">
        <v>0</v>
      </c>
      <c r="J735">
        <v>0</v>
      </c>
      <c r="K735">
        <v>0</v>
      </c>
      <c r="L735">
        <v>1</v>
      </c>
      <c r="M735" t="s">
        <v>363</v>
      </c>
      <c r="N735" t="s">
        <v>88</v>
      </c>
      <c r="O735" t="s">
        <v>89</v>
      </c>
      <c r="P735">
        <v>0</v>
      </c>
      <c r="Q735">
        <v>0</v>
      </c>
      <c r="R735">
        <v>0</v>
      </c>
      <c r="S735">
        <v>0</v>
      </c>
      <c r="T735">
        <v>0</v>
      </c>
      <c r="U735">
        <v>0</v>
      </c>
      <c r="V735">
        <v>0</v>
      </c>
      <c r="W735">
        <v>0</v>
      </c>
      <c r="X735">
        <v>0</v>
      </c>
      <c r="Y735">
        <v>0</v>
      </c>
      <c r="Z735">
        <v>0</v>
      </c>
      <c r="AA735">
        <v>1</v>
      </c>
      <c r="AB735" t="s">
        <v>364</v>
      </c>
      <c r="AM735" t="s">
        <v>90</v>
      </c>
      <c r="AN735" t="s">
        <v>90</v>
      </c>
      <c r="AO735" t="s">
        <v>90</v>
      </c>
      <c r="AP735" t="s">
        <v>90</v>
      </c>
      <c r="AQ735" t="s">
        <v>90</v>
      </c>
      <c r="AR735" t="s">
        <v>90</v>
      </c>
      <c r="AS735" t="s">
        <v>90</v>
      </c>
      <c r="AT735" t="s">
        <v>90</v>
      </c>
      <c r="AU735" t="s">
        <v>88</v>
      </c>
      <c r="AV735" t="s">
        <v>89</v>
      </c>
      <c r="AW735" t="s">
        <v>100</v>
      </c>
      <c r="AX735" t="s">
        <v>110</v>
      </c>
      <c r="AY735" t="s">
        <v>365</v>
      </c>
      <c r="AZ735" t="s">
        <v>107</v>
      </c>
      <c r="BA735" t="s">
        <v>87</v>
      </c>
      <c r="BB735" t="s">
        <v>74</v>
      </c>
      <c r="BC735" t="s">
        <v>86</v>
      </c>
      <c r="BD735" t="s">
        <v>86</v>
      </c>
      <c r="BE735" t="s">
        <v>86</v>
      </c>
      <c r="BF735" t="s">
        <v>75</v>
      </c>
      <c r="BG735" t="s">
        <v>92</v>
      </c>
      <c r="BH735" t="s">
        <v>98</v>
      </c>
      <c r="BI735" t="s">
        <v>107</v>
      </c>
      <c r="BJ735" t="s">
        <v>114</v>
      </c>
      <c r="BK735">
        <v>0</v>
      </c>
      <c r="BL735">
        <v>0</v>
      </c>
      <c r="BM735">
        <v>0</v>
      </c>
      <c r="BN735">
        <v>1</v>
      </c>
      <c r="BO735">
        <v>0</v>
      </c>
      <c r="BP735">
        <v>0</v>
      </c>
      <c r="BQ735">
        <v>0</v>
      </c>
      <c r="BR735">
        <v>0</v>
      </c>
    </row>
    <row r="736" spans="1:71" x14ac:dyDescent="0.2">
      <c r="A736" s="1">
        <v>44585.512499999997</v>
      </c>
      <c r="B736" s="1">
        <v>44585.51458333333</v>
      </c>
      <c r="C736">
        <v>1</v>
      </c>
      <c r="D736">
        <v>0</v>
      </c>
      <c r="E736">
        <v>0</v>
      </c>
      <c r="F736">
        <v>0</v>
      </c>
      <c r="H736">
        <v>0</v>
      </c>
      <c r="I736">
        <v>1</v>
      </c>
      <c r="J736">
        <v>0</v>
      </c>
      <c r="K736">
        <v>1</v>
      </c>
      <c r="L736">
        <v>0</v>
      </c>
      <c r="N736" t="s">
        <v>135</v>
      </c>
      <c r="O736" t="s">
        <v>80</v>
      </c>
      <c r="P736">
        <v>0</v>
      </c>
      <c r="Q736">
        <v>0</v>
      </c>
      <c r="R736">
        <v>1</v>
      </c>
      <c r="S736">
        <v>0</v>
      </c>
      <c r="T736">
        <v>0</v>
      </c>
      <c r="U736">
        <v>0</v>
      </c>
      <c r="V736">
        <v>0</v>
      </c>
      <c r="W736">
        <v>0</v>
      </c>
      <c r="X736">
        <v>0</v>
      </c>
      <c r="Y736">
        <v>0</v>
      </c>
      <c r="Z736">
        <v>0</v>
      </c>
      <c r="AA736">
        <v>0</v>
      </c>
      <c r="AM736" t="s">
        <v>83</v>
      </c>
      <c r="AN736" t="s">
        <v>81</v>
      </c>
      <c r="AO736" t="s">
        <v>83</v>
      </c>
      <c r="AP736" t="s">
        <v>90</v>
      </c>
      <c r="AQ736" t="s">
        <v>82</v>
      </c>
      <c r="AR736" t="s">
        <v>81</v>
      </c>
      <c r="AS736" t="s">
        <v>81</v>
      </c>
      <c r="AT736" t="s">
        <v>83</v>
      </c>
      <c r="AU736" t="s">
        <v>88</v>
      </c>
      <c r="AV736" t="s">
        <v>80</v>
      </c>
      <c r="AW736" t="s">
        <v>85</v>
      </c>
      <c r="AX736" t="s">
        <v>72</v>
      </c>
      <c r="AZ736" t="s">
        <v>73</v>
      </c>
      <c r="BA736" t="s">
        <v>74</v>
      </c>
      <c r="BF736" t="s">
        <v>75</v>
      </c>
      <c r="BG736" t="s">
        <v>76</v>
      </c>
      <c r="BH736" t="s">
        <v>77</v>
      </c>
      <c r="BI736" t="s">
        <v>73</v>
      </c>
      <c r="BJ736" t="s">
        <v>78</v>
      </c>
      <c r="BK736">
        <v>0</v>
      </c>
      <c r="BL736">
        <v>0</v>
      </c>
      <c r="BM736">
        <v>0</v>
      </c>
      <c r="BN736">
        <v>0</v>
      </c>
      <c r="BO736">
        <v>0</v>
      </c>
      <c r="BP736">
        <v>1</v>
      </c>
      <c r="BQ736">
        <v>0</v>
      </c>
      <c r="BR736">
        <v>0</v>
      </c>
    </row>
    <row r="737" spans="1:70" x14ac:dyDescent="0.2">
      <c r="A737" s="1">
        <v>44580.002083333333</v>
      </c>
      <c r="B737" s="1">
        <v>44580.474999999999</v>
      </c>
      <c r="C737">
        <v>1</v>
      </c>
      <c r="D737">
        <v>0</v>
      </c>
      <c r="E737">
        <v>0</v>
      </c>
      <c r="F737">
        <v>0</v>
      </c>
      <c r="H737">
        <v>0</v>
      </c>
      <c r="I737">
        <v>1</v>
      </c>
      <c r="J737">
        <v>0</v>
      </c>
      <c r="K737">
        <v>0</v>
      </c>
      <c r="L737">
        <v>0</v>
      </c>
      <c r="N737" t="s">
        <v>79</v>
      </c>
      <c r="O737" t="s">
        <v>80</v>
      </c>
      <c r="P737">
        <v>1</v>
      </c>
      <c r="Q737">
        <v>0</v>
      </c>
      <c r="R737">
        <v>0</v>
      </c>
      <c r="S737">
        <v>0</v>
      </c>
      <c r="T737">
        <v>0</v>
      </c>
      <c r="U737">
        <v>0</v>
      </c>
      <c r="V737">
        <v>0</v>
      </c>
      <c r="W737">
        <v>0</v>
      </c>
      <c r="X737">
        <v>0</v>
      </c>
      <c r="Y737">
        <v>0</v>
      </c>
      <c r="Z737">
        <v>0</v>
      </c>
      <c r="AA737">
        <v>0</v>
      </c>
      <c r="AC737">
        <v>0</v>
      </c>
      <c r="AD737">
        <v>1</v>
      </c>
      <c r="AE737">
        <v>0</v>
      </c>
      <c r="AF737">
        <v>0</v>
      </c>
      <c r="AG737">
        <v>0</v>
      </c>
      <c r="AH737">
        <v>0</v>
      </c>
      <c r="AI737">
        <v>0</v>
      </c>
      <c r="AJ737">
        <v>0</v>
      </c>
      <c r="AK737">
        <v>0</v>
      </c>
      <c r="AZ737" t="s">
        <v>107</v>
      </c>
      <c r="BA737" t="s">
        <v>74</v>
      </c>
      <c r="BF737" t="s">
        <v>159</v>
      </c>
      <c r="BG737" t="s">
        <v>92</v>
      </c>
      <c r="BH737" t="s">
        <v>158</v>
      </c>
      <c r="BI737" t="s">
        <v>107</v>
      </c>
      <c r="BJ737" t="s">
        <v>78</v>
      </c>
      <c r="BK737">
        <v>0</v>
      </c>
      <c r="BL737">
        <v>0</v>
      </c>
      <c r="BM737">
        <v>0</v>
      </c>
      <c r="BN737">
        <v>1</v>
      </c>
      <c r="BO737">
        <v>0</v>
      </c>
      <c r="BP737">
        <v>0</v>
      </c>
      <c r="BQ737">
        <v>0</v>
      </c>
      <c r="BR737">
        <v>0</v>
      </c>
    </row>
    <row r="738" spans="1:70" x14ac:dyDescent="0.2">
      <c r="A738" s="1">
        <v>44581.898611111108</v>
      </c>
      <c r="B738" s="1">
        <v>44581.9</v>
      </c>
      <c r="C738">
        <v>1</v>
      </c>
      <c r="D738">
        <v>0</v>
      </c>
      <c r="E738">
        <v>0</v>
      </c>
      <c r="F738">
        <v>0</v>
      </c>
      <c r="H738">
        <v>0</v>
      </c>
      <c r="I738">
        <v>1</v>
      </c>
      <c r="J738">
        <v>0</v>
      </c>
      <c r="K738">
        <v>0</v>
      </c>
      <c r="L738">
        <v>0</v>
      </c>
      <c r="N738" t="s">
        <v>88</v>
      </c>
      <c r="O738" t="s">
        <v>89</v>
      </c>
      <c r="P738">
        <v>1</v>
      </c>
      <c r="Q738">
        <v>0</v>
      </c>
      <c r="R738">
        <v>0</v>
      </c>
      <c r="S738">
        <v>0</v>
      </c>
      <c r="T738">
        <v>0</v>
      </c>
      <c r="U738">
        <v>0</v>
      </c>
      <c r="V738">
        <v>0</v>
      </c>
      <c r="W738">
        <v>0</v>
      </c>
      <c r="X738">
        <v>0</v>
      </c>
      <c r="Y738">
        <v>0</v>
      </c>
      <c r="Z738">
        <v>0</v>
      </c>
      <c r="AA738">
        <v>0</v>
      </c>
      <c r="AC738">
        <v>0</v>
      </c>
      <c r="AD738">
        <v>0</v>
      </c>
      <c r="AE738">
        <v>0</v>
      </c>
      <c r="AF738">
        <v>0</v>
      </c>
      <c r="AG738">
        <v>0</v>
      </c>
      <c r="AH738">
        <v>0</v>
      </c>
      <c r="AI738">
        <v>0</v>
      </c>
      <c r="AJ738">
        <v>0</v>
      </c>
      <c r="AK738">
        <v>1</v>
      </c>
      <c r="AL738" t="s">
        <v>366</v>
      </c>
      <c r="AX738" t="s">
        <v>128</v>
      </c>
      <c r="AZ738" t="s">
        <v>73</v>
      </c>
      <c r="BA738" t="s">
        <v>86</v>
      </c>
      <c r="BB738" t="s">
        <v>86</v>
      </c>
      <c r="BC738" t="s">
        <v>87</v>
      </c>
      <c r="BD738" t="s">
        <v>86</v>
      </c>
      <c r="BE738" t="s">
        <v>87</v>
      </c>
      <c r="BF738" t="s">
        <v>75</v>
      </c>
      <c r="BG738" t="s">
        <v>76</v>
      </c>
      <c r="BH738" t="s">
        <v>77</v>
      </c>
      <c r="BI738" t="s">
        <v>73</v>
      </c>
      <c r="BJ738" t="s">
        <v>114</v>
      </c>
      <c r="BK738">
        <v>0</v>
      </c>
      <c r="BL738">
        <v>0</v>
      </c>
      <c r="BM738">
        <v>0</v>
      </c>
      <c r="BN738">
        <v>0</v>
      </c>
      <c r="BO738">
        <v>0</v>
      </c>
      <c r="BP738">
        <v>1</v>
      </c>
      <c r="BQ738">
        <v>0</v>
      </c>
      <c r="BR738">
        <v>0</v>
      </c>
    </row>
    <row r="739" spans="1:70" x14ac:dyDescent="0.2">
      <c r="A739" s="1">
        <v>44585.786111111112</v>
      </c>
      <c r="B739" s="1">
        <v>44585.787499999999</v>
      </c>
      <c r="C739">
        <v>1</v>
      </c>
      <c r="D739">
        <v>0</v>
      </c>
      <c r="E739">
        <v>0</v>
      </c>
      <c r="F739">
        <v>0</v>
      </c>
      <c r="H739">
        <v>0</v>
      </c>
      <c r="I739">
        <v>1</v>
      </c>
      <c r="J739">
        <v>0</v>
      </c>
      <c r="K739">
        <v>0</v>
      </c>
      <c r="L739">
        <v>0</v>
      </c>
      <c r="N739" t="s">
        <v>79</v>
      </c>
      <c r="O739" t="s">
        <v>89</v>
      </c>
      <c r="P739">
        <v>0</v>
      </c>
      <c r="Q739">
        <v>0</v>
      </c>
      <c r="R739">
        <v>1</v>
      </c>
      <c r="S739">
        <v>0</v>
      </c>
      <c r="T739">
        <v>0</v>
      </c>
      <c r="U739">
        <v>0</v>
      </c>
      <c r="V739">
        <v>0</v>
      </c>
      <c r="W739">
        <v>0</v>
      </c>
      <c r="X739">
        <v>0</v>
      </c>
      <c r="Y739">
        <v>0</v>
      </c>
      <c r="Z739">
        <v>0</v>
      </c>
      <c r="AA739">
        <v>0</v>
      </c>
      <c r="AM739" t="s">
        <v>83</v>
      </c>
      <c r="AN739" t="s">
        <v>82</v>
      </c>
      <c r="AO739" t="s">
        <v>83</v>
      </c>
      <c r="AP739" t="s">
        <v>81</v>
      </c>
      <c r="AQ739" t="s">
        <v>83</v>
      </c>
      <c r="AR739" t="s">
        <v>83</v>
      </c>
      <c r="AS739" t="s">
        <v>83</v>
      </c>
      <c r="AT739" t="s">
        <v>83</v>
      </c>
      <c r="AU739" t="s">
        <v>88</v>
      </c>
      <c r="AV739" t="s">
        <v>89</v>
      </c>
      <c r="AW739" t="s">
        <v>85</v>
      </c>
      <c r="AZ739" t="s">
        <v>107</v>
      </c>
      <c r="BA739" t="s">
        <v>74</v>
      </c>
      <c r="BF739" t="s">
        <v>159</v>
      </c>
      <c r="BG739" t="s">
        <v>76</v>
      </c>
      <c r="BH739" t="s">
        <v>77</v>
      </c>
      <c r="BI739" t="s">
        <v>107</v>
      </c>
      <c r="BJ739" t="s">
        <v>78</v>
      </c>
      <c r="BK739">
        <v>0</v>
      </c>
      <c r="BL739">
        <v>0</v>
      </c>
      <c r="BM739">
        <v>0</v>
      </c>
      <c r="BN739">
        <v>0</v>
      </c>
      <c r="BO739">
        <v>0</v>
      </c>
      <c r="BP739">
        <v>1</v>
      </c>
      <c r="BQ739">
        <v>0</v>
      </c>
      <c r="BR739">
        <v>0</v>
      </c>
    </row>
    <row r="740" spans="1:70" x14ac:dyDescent="0.2">
      <c r="A740" s="1">
        <v>44585.59652777778</v>
      </c>
      <c r="B740" s="1">
        <v>44585.597916666666</v>
      </c>
      <c r="C740">
        <v>1</v>
      </c>
      <c r="D740">
        <v>0</v>
      </c>
      <c r="E740">
        <v>0</v>
      </c>
      <c r="F740">
        <v>0</v>
      </c>
      <c r="H740">
        <v>0</v>
      </c>
      <c r="I740">
        <v>1</v>
      </c>
      <c r="J740">
        <v>0</v>
      </c>
      <c r="K740">
        <v>0</v>
      </c>
      <c r="L740">
        <v>0</v>
      </c>
      <c r="N740" t="s">
        <v>88</v>
      </c>
      <c r="O740" t="s">
        <v>89</v>
      </c>
      <c r="P740">
        <v>0</v>
      </c>
      <c r="Q740">
        <v>0</v>
      </c>
      <c r="R740">
        <v>1</v>
      </c>
      <c r="S740">
        <v>0</v>
      </c>
      <c r="T740">
        <v>0</v>
      </c>
      <c r="U740">
        <v>0</v>
      </c>
      <c r="V740">
        <v>0</v>
      </c>
      <c r="W740">
        <v>0</v>
      </c>
      <c r="X740">
        <v>0</v>
      </c>
      <c r="Y740">
        <v>0</v>
      </c>
      <c r="Z740">
        <v>0</v>
      </c>
      <c r="AA740">
        <v>0</v>
      </c>
      <c r="AM740" t="s">
        <v>83</v>
      </c>
      <c r="AN740" t="s">
        <v>81</v>
      </c>
      <c r="AO740" t="s">
        <v>83</v>
      </c>
      <c r="AP740" t="s">
        <v>81</v>
      </c>
      <c r="AQ740" t="s">
        <v>82</v>
      </c>
      <c r="AR740" t="s">
        <v>83</v>
      </c>
      <c r="AS740" t="s">
        <v>83</v>
      </c>
      <c r="AT740" t="s">
        <v>81</v>
      </c>
      <c r="AU740" t="s">
        <v>88</v>
      </c>
      <c r="AV740" t="s">
        <v>89</v>
      </c>
      <c r="AW740" t="s">
        <v>85</v>
      </c>
      <c r="AX740" t="s">
        <v>146</v>
      </c>
      <c r="AZ740" t="s">
        <v>73</v>
      </c>
      <c r="BA740" t="s">
        <v>87</v>
      </c>
      <c r="BB740" t="s">
        <v>87</v>
      </c>
      <c r="BC740" t="s">
        <v>87</v>
      </c>
      <c r="BD740" t="s">
        <v>74</v>
      </c>
      <c r="BE740" t="s">
        <v>87</v>
      </c>
      <c r="BF740" t="s">
        <v>75</v>
      </c>
      <c r="BG740" t="s">
        <v>76</v>
      </c>
      <c r="BH740" t="s">
        <v>77</v>
      </c>
      <c r="BI740" t="s">
        <v>73</v>
      </c>
      <c r="BJ740" t="s">
        <v>78</v>
      </c>
      <c r="BK740">
        <v>0</v>
      </c>
      <c r="BL740">
        <v>0</v>
      </c>
      <c r="BM740">
        <v>0</v>
      </c>
      <c r="BN740">
        <v>0</v>
      </c>
      <c r="BO740">
        <v>0</v>
      </c>
      <c r="BP740">
        <v>1</v>
      </c>
      <c r="BQ740">
        <v>0</v>
      </c>
      <c r="BR740">
        <v>0</v>
      </c>
    </row>
    <row r="741" spans="1:70" x14ac:dyDescent="0.2">
      <c r="A741" s="1">
        <v>44585.550694444442</v>
      </c>
      <c r="B741" s="1">
        <v>44585.552083333336</v>
      </c>
      <c r="C741">
        <v>1</v>
      </c>
      <c r="D741">
        <v>0</v>
      </c>
      <c r="E741">
        <v>0</v>
      </c>
      <c r="F741">
        <v>0</v>
      </c>
      <c r="H741">
        <v>0</v>
      </c>
      <c r="I741">
        <v>1</v>
      </c>
      <c r="J741">
        <v>0</v>
      </c>
      <c r="K741">
        <v>1</v>
      </c>
      <c r="L741">
        <v>0</v>
      </c>
      <c r="N741" t="s">
        <v>135</v>
      </c>
      <c r="O741" t="s">
        <v>89</v>
      </c>
      <c r="P741">
        <v>0</v>
      </c>
      <c r="Q741">
        <v>1</v>
      </c>
      <c r="R741">
        <v>0</v>
      </c>
      <c r="S741">
        <v>0</v>
      </c>
      <c r="T741">
        <v>0</v>
      </c>
      <c r="U741">
        <v>0</v>
      </c>
      <c r="V741">
        <v>0</v>
      </c>
      <c r="W741">
        <v>0</v>
      </c>
      <c r="X741">
        <v>0</v>
      </c>
      <c r="Y741">
        <v>0</v>
      </c>
      <c r="Z741">
        <v>0</v>
      </c>
      <c r="AA741">
        <v>0</v>
      </c>
      <c r="AM741" t="s">
        <v>90</v>
      </c>
      <c r="AN741" t="s">
        <v>90</v>
      </c>
      <c r="AO741" t="s">
        <v>90</v>
      </c>
      <c r="AP741" t="s">
        <v>82</v>
      </c>
      <c r="AQ741" t="s">
        <v>90</v>
      </c>
      <c r="AR741" t="s">
        <v>90</v>
      </c>
      <c r="AS741" t="s">
        <v>90</v>
      </c>
      <c r="AT741" t="s">
        <v>90</v>
      </c>
      <c r="AU741" t="s">
        <v>88</v>
      </c>
      <c r="AV741" t="s">
        <v>89</v>
      </c>
      <c r="AW741" t="s">
        <v>100</v>
      </c>
      <c r="AX741" t="s">
        <v>128</v>
      </c>
      <c r="AZ741" t="s">
        <v>73</v>
      </c>
      <c r="BA741" t="s">
        <v>87</v>
      </c>
      <c r="BB741" t="s">
        <v>87</v>
      </c>
      <c r="BC741" t="s">
        <v>87</v>
      </c>
      <c r="BD741" t="s">
        <v>87</v>
      </c>
      <c r="BE741" t="s">
        <v>87</v>
      </c>
      <c r="BF741" t="s">
        <v>108</v>
      </c>
      <c r="BG741" t="s">
        <v>76</v>
      </c>
      <c r="BH741" t="s">
        <v>77</v>
      </c>
      <c r="BI741" t="s">
        <v>73</v>
      </c>
      <c r="BJ741" t="s">
        <v>94</v>
      </c>
      <c r="BK741">
        <v>0</v>
      </c>
      <c r="BL741">
        <v>0</v>
      </c>
      <c r="BM741">
        <v>0</v>
      </c>
      <c r="BN741">
        <v>0</v>
      </c>
      <c r="BO741">
        <v>0</v>
      </c>
      <c r="BP741">
        <v>1</v>
      </c>
      <c r="BQ741">
        <v>0</v>
      </c>
      <c r="BR741">
        <v>0</v>
      </c>
    </row>
    <row r="742" spans="1:70" x14ac:dyDescent="0.2">
      <c r="A742" s="1">
        <v>44580.520833333336</v>
      </c>
      <c r="B742" s="1">
        <v>44580.524305555555</v>
      </c>
      <c r="C742">
        <v>0</v>
      </c>
      <c r="D742">
        <v>1</v>
      </c>
      <c r="E742">
        <v>0</v>
      </c>
      <c r="F742">
        <v>0</v>
      </c>
      <c r="H742">
        <v>0</v>
      </c>
      <c r="I742">
        <v>1</v>
      </c>
      <c r="J742">
        <v>0</v>
      </c>
      <c r="K742">
        <v>0</v>
      </c>
      <c r="L742">
        <v>0</v>
      </c>
      <c r="N742" t="s">
        <v>88</v>
      </c>
      <c r="O742" t="s">
        <v>89</v>
      </c>
      <c r="P742">
        <v>0</v>
      </c>
      <c r="Q742">
        <v>1</v>
      </c>
      <c r="R742">
        <v>0</v>
      </c>
      <c r="S742">
        <v>0</v>
      </c>
      <c r="T742">
        <v>0</v>
      </c>
      <c r="U742">
        <v>0</v>
      </c>
      <c r="V742">
        <v>0</v>
      </c>
      <c r="W742">
        <v>0</v>
      </c>
      <c r="X742">
        <v>0</v>
      </c>
      <c r="Y742">
        <v>0</v>
      </c>
      <c r="Z742">
        <v>0</v>
      </c>
      <c r="AA742">
        <v>0</v>
      </c>
      <c r="AM742" t="s">
        <v>83</v>
      </c>
      <c r="AN742" t="s">
        <v>82</v>
      </c>
      <c r="AO742" t="s">
        <v>81</v>
      </c>
      <c r="AP742" t="s">
        <v>83</v>
      </c>
      <c r="AQ742" t="s">
        <v>83</v>
      </c>
      <c r="AR742" t="s">
        <v>83</v>
      </c>
      <c r="AS742" t="s">
        <v>81</v>
      </c>
      <c r="AT742" t="s">
        <v>83</v>
      </c>
      <c r="AU742" t="s">
        <v>88</v>
      </c>
      <c r="AV742" t="s">
        <v>89</v>
      </c>
      <c r="AW742" t="s">
        <v>85</v>
      </c>
      <c r="AX742" t="s">
        <v>242</v>
      </c>
      <c r="AZ742" t="s">
        <v>107</v>
      </c>
      <c r="BA742" t="s">
        <v>87</v>
      </c>
      <c r="BB742" t="s">
        <v>87</v>
      </c>
      <c r="BC742" t="s">
        <v>87</v>
      </c>
      <c r="BD742" t="s">
        <v>74</v>
      </c>
      <c r="BE742" t="s">
        <v>87</v>
      </c>
      <c r="BF742" t="s">
        <v>75</v>
      </c>
      <c r="BG742" t="s">
        <v>92</v>
      </c>
      <c r="BH742" t="s">
        <v>98</v>
      </c>
      <c r="BI742" t="s">
        <v>107</v>
      </c>
      <c r="BJ742" t="s">
        <v>102</v>
      </c>
      <c r="BK742">
        <v>0</v>
      </c>
      <c r="BL742">
        <v>0</v>
      </c>
      <c r="BM742">
        <v>0</v>
      </c>
      <c r="BN742">
        <v>0</v>
      </c>
      <c r="BO742">
        <v>1</v>
      </c>
      <c r="BP742">
        <v>0</v>
      </c>
      <c r="BQ742">
        <v>0</v>
      </c>
      <c r="BR742">
        <v>0</v>
      </c>
    </row>
    <row r="743" spans="1:70" x14ac:dyDescent="0.2">
      <c r="A743" s="1">
        <v>44579.923611111109</v>
      </c>
      <c r="B743" s="1">
        <v>44579.925000000003</v>
      </c>
      <c r="C743">
        <v>0</v>
      </c>
      <c r="D743">
        <v>1</v>
      </c>
      <c r="E743">
        <v>0</v>
      </c>
      <c r="F743">
        <v>0</v>
      </c>
      <c r="H743">
        <v>0</v>
      </c>
      <c r="I743">
        <v>0</v>
      </c>
      <c r="J743">
        <v>1</v>
      </c>
      <c r="K743">
        <v>1</v>
      </c>
      <c r="L743">
        <v>0</v>
      </c>
      <c r="N743" t="s">
        <v>135</v>
      </c>
      <c r="O743" t="s">
        <v>80</v>
      </c>
      <c r="P743">
        <v>0</v>
      </c>
      <c r="Q743">
        <v>0</v>
      </c>
      <c r="R743">
        <v>0</v>
      </c>
      <c r="S743">
        <v>1</v>
      </c>
      <c r="T743">
        <v>0</v>
      </c>
      <c r="U743">
        <v>0</v>
      </c>
      <c r="V743">
        <v>0</v>
      </c>
      <c r="W743">
        <v>0</v>
      </c>
      <c r="X743">
        <v>0</v>
      </c>
      <c r="Y743">
        <v>0</v>
      </c>
      <c r="Z743">
        <v>0</v>
      </c>
      <c r="AA743">
        <v>0</v>
      </c>
      <c r="AM743" t="s">
        <v>83</v>
      </c>
      <c r="AN743" t="s">
        <v>82</v>
      </c>
      <c r="AO743" t="s">
        <v>82</v>
      </c>
      <c r="AP743" t="s">
        <v>82</v>
      </c>
      <c r="AQ743" t="s">
        <v>83</v>
      </c>
      <c r="AR743" t="s">
        <v>83</v>
      </c>
      <c r="AS743" t="s">
        <v>83</v>
      </c>
      <c r="AT743" t="s">
        <v>83</v>
      </c>
      <c r="AU743" t="s">
        <v>88</v>
      </c>
      <c r="AV743" t="s">
        <v>89</v>
      </c>
      <c r="AW743" t="s">
        <v>100</v>
      </c>
      <c r="AX743" t="s">
        <v>106</v>
      </c>
      <c r="AZ743" t="s">
        <v>107</v>
      </c>
      <c r="BA743" t="s">
        <v>74</v>
      </c>
      <c r="BF743" t="s">
        <v>75</v>
      </c>
      <c r="BG743" t="s">
        <v>76</v>
      </c>
      <c r="BH743" t="s">
        <v>77</v>
      </c>
      <c r="BI743" t="s">
        <v>107</v>
      </c>
      <c r="BJ743" t="s">
        <v>78</v>
      </c>
      <c r="BK743">
        <v>0</v>
      </c>
      <c r="BL743">
        <v>0</v>
      </c>
      <c r="BM743">
        <v>0</v>
      </c>
      <c r="BN743">
        <v>0</v>
      </c>
      <c r="BO743">
        <v>0</v>
      </c>
      <c r="BP743">
        <v>1</v>
      </c>
      <c r="BQ743">
        <v>0</v>
      </c>
      <c r="BR743">
        <v>0</v>
      </c>
    </row>
    <row r="744" spans="1:70" x14ac:dyDescent="0.2">
      <c r="A744" s="1">
        <v>44582.872916666667</v>
      </c>
      <c r="B744" s="1">
        <v>44582.875</v>
      </c>
      <c r="C744">
        <v>0</v>
      </c>
      <c r="D744">
        <v>0</v>
      </c>
      <c r="E744">
        <v>0</v>
      </c>
      <c r="F744">
        <v>1</v>
      </c>
      <c r="P744">
        <v>1</v>
      </c>
      <c r="Q744">
        <v>0</v>
      </c>
      <c r="R744">
        <v>0</v>
      </c>
      <c r="S744">
        <v>0</v>
      </c>
      <c r="T744">
        <v>0</v>
      </c>
      <c r="U744">
        <v>0</v>
      </c>
      <c r="V744">
        <v>0</v>
      </c>
      <c r="W744">
        <v>0</v>
      </c>
      <c r="X744">
        <v>0</v>
      </c>
      <c r="Y744">
        <v>0</v>
      </c>
      <c r="Z744">
        <v>0</v>
      </c>
      <c r="AA744">
        <v>0</v>
      </c>
      <c r="AC744">
        <v>0</v>
      </c>
      <c r="AD744">
        <v>0</v>
      </c>
      <c r="AE744">
        <v>0</v>
      </c>
      <c r="AF744">
        <v>0</v>
      </c>
      <c r="AG744">
        <v>1</v>
      </c>
      <c r="AH744">
        <v>1</v>
      </c>
      <c r="AI744">
        <v>1</v>
      </c>
      <c r="AJ744">
        <v>1</v>
      </c>
      <c r="AK744">
        <v>1</v>
      </c>
      <c r="AL744" t="s">
        <v>367</v>
      </c>
      <c r="AZ744" t="s">
        <v>73</v>
      </c>
      <c r="BF744" t="s">
        <v>159</v>
      </c>
      <c r="BG744" t="s">
        <v>92</v>
      </c>
      <c r="BH744" t="s">
        <v>158</v>
      </c>
      <c r="BI744" t="s">
        <v>73</v>
      </c>
      <c r="BJ744" t="s">
        <v>78</v>
      </c>
      <c r="BK744">
        <v>0</v>
      </c>
      <c r="BL744">
        <v>0</v>
      </c>
      <c r="BM744">
        <v>0</v>
      </c>
      <c r="BN744">
        <v>0</v>
      </c>
      <c r="BO744">
        <v>0</v>
      </c>
      <c r="BP744">
        <v>1</v>
      </c>
      <c r="BQ744">
        <v>0</v>
      </c>
      <c r="BR744">
        <v>0</v>
      </c>
    </row>
    <row r="745" spans="1:70" x14ac:dyDescent="0.2">
      <c r="A745" s="1">
        <v>44579.970833333333</v>
      </c>
      <c r="B745" s="1">
        <v>44579.974305555559</v>
      </c>
      <c r="C745">
        <v>0</v>
      </c>
      <c r="D745">
        <v>1</v>
      </c>
      <c r="E745">
        <v>0</v>
      </c>
      <c r="F745">
        <v>0</v>
      </c>
      <c r="H745">
        <v>0</v>
      </c>
      <c r="I745">
        <v>1</v>
      </c>
      <c r="J745">
        <v>1</v>
      </c>
      <c r="K745">
        <v>1</v>
      </c>
      <c r="L745">
        <v>0</v>
      </c>
      <c r="N745" t="s">
        <v>135</v>
      </c>
      <c r="O745" t="s">
        <v>80</v>
      </c>
      <c r="P745">
        <v>0</v>
      </c>
      <c r="Q745">
        <v>0</v>
      </c>
      <c r="R745">
        <v>0</v>
      </c>
      <c r="S745">
        <v>0</v>
      </c>
      <c r="T745">
        <v>0</v>
      </c>
      <c r="U745">
        <v>0</v>
      </c>
      <c r="V745">
        <v>0</v>
      </c>
      <c r="W745">
        <v>0</v>
      </c>
      <c r="X745">
        <v>0</v>
      </c>
      <c r="Y745">
        <v>0</v>
      </c>
      <c r="Z745">
        <v>0</v>
      </c>
      <c r="AA745">
        <v>1</v>
      </c>
      <c r="AB745" t="s">
        <v>368</v>
      </c>
      <c r="AM745" t="s">
        <v>90</v>
      </c>
      <c r="AN745" t="s">
        <v>82</v>
      </c>
      <c r="AO745" t="s">
        <v>82</v>
      </c>
      <c r="AP745" t="s">
        <v>81</v>
      </c>
      <c r="AQ745" t="s">
        <v>81</v>
      </c>
      <c r="AR745" t="s">
        <v>90</v>
      </c>
      <c r="AS745" t="s">
        <v>90</v>
      </c>
      <c r="AT745" t="s">
        <v>83</v>
      </c>
      <c r="AU745" t="s">
        <v>84</v>
      </c>
      <c r="AV745" t="s">
        <v>80</v>
      </c>
      <c r="AW745" t="s">
        <v>100</v>
      </c>
      <c r="AZ745" t="s">
        <v>73</v>
      </c>
      <c r="BA745" t="s">
        <v>87</v>
      </c>
      <c r="BB745" t="s">
        <v>87</v>
      </c>
      <c r="BC745" t="s">
        <v>87</v>
      </c>
      <c r="BD745" t="s">
        <v>87</v>
      </c>
      <c r="BE745" t="s">
        <v>86</v>
      </c>
      <c r="BF745" t="s">
        <v>101</v>
      </c>
      <c r="BG745" t="s">
        <v>76</v>
      </c>
      <c r="BH745" t="s">
        <v>77</v>
      </c>
      <c r="BI745" t="s">
        <v>73</v>
      </c>
      <c r="BJ745" t="s">
        <v>109</v>
      </c>
      <c r="BK745">
        <v>1</v>
      </c>
      <c r="BL745">
        <v>0</v>
      </c>
      <c r="BM745">
        <v>0</v>
      </c>
      <c r="BN745">
        <v>0</v>
      </c>
      <c r="BO745">
        <v>0</v>
      </c>
      <c r="BP745">
        <v>0</v>
      </c>
      <c r="BQ745">
        <v>0</v>
      </c>
      <c r="BR745">
        <v>0</v>
      </c>
    </row>
    <row r="746" spans="1:70" x14ac:dyDescent="0.2">
      <c r="A746" s="1">
        <v>44585.511805555558</v>
      </c>
      <c r="B746" s="1">
        <v>44585.515972222223</v>
      </c>
      <c r="C746">
        <v>0</v>
      </c>
      <c r="D746">
        <v>1</v>
      </c>
      <c r="E746">
        <v>0</v>
      </c>
      <c r="F746">
        <v>0</v>
      </c>
      <c r="H746">
        <v>0</v>
      </c>
      <c r="I746">
        <v>1</v>
      </c>
      <c r="J746">
        <v>0</v>
      </c>
      <c r="K746">
        <v>0</v>
      </c>
      <c r="L746">
        <v>0</v>
      </c>
      <c r="N746" t="s">
        <v>88</v>
      </c>
      <c r="O746" t="s">
        <v>89</v>
      </c>
      <c r="P746">
        <v>0</v>
      </c>
      <c r="Q746">
        <v>1</v>
      </c>
      <c r="R746">
        <v>0</v>
      </c>
      <c r="S746">
        <v>0</v>
      </c>
      <c r="T746">
        <v>0</v>
      </c>
      <c r="U746">
        <v>0</v>
      </c>
      <c r="V746">
        <v>0</v>
      </c>
      <c r="W746">
        <v>0</v>
      </c>
      <c r="X746">
        <v>0</v>
      </c>
      <c r="Y746">
        <v>0</v>
      </c>
      <c r="Z746">
        <v>0</v>
      </c>
      <c r="AA746">
        <v>0</v>
      </c>
      <c r="AM746" t="s">
        <v>83</v>
      </c>
      <c r="AN746" t="s">
        <v>82</v>
      </c>
      <c r="AO746" t="s">
        <v>83</v>
      </c>
      <c r="AP746" t="s">
        <v>82</v>
      </c>
      <c r="AQ746" t="s">
        <v>90</v>
      </c>
      <c r="AR746" t="s">
        <v>83</v>
      </c>
      <c r="AS746" t="s">
        <v>83</v>
      </c>
      <c r="AT746" t="s">
        <v>83</v>
      </c>
      <c r="AU746" t="s">
        <v>88</v>
      </c>
      <c r="AV746" t="s">
        <v>89</v>
      </c>
      <c r="AW746" t="s">
        <v>100</v>
      </c>
      <c r="AZ746" t="s">
        <v>107</v>
      </c>
      <c r="BA746" t="s">
        <v>87</v>
      </c>
      <c r="BB746" t="s">
        <v>74</v>
      </c>
      <c r="BC746" t="s">
        <v>86</v>
      </c>
      <c r="BD746" t="s">
        <v>74</v>
      </c>
      <c r="BE746" t="s">
        <v>86</v>
      </c>
      <c r="BF746" t="s">
        <v>97</v>
      </c>
      <c r="BG746" t="s">
        <v>369</v>
      </c>
      <c r="BH746" t="s">
        <v>158</v>
      </c>
      <c r="BI746" t="s">
        <v>107</v>
      </c>
      <c r="BJ746" t="s">
        <v>114</v>
      </c>
      <c r="BK746">
        <v>1</v>
      </c>
      <c r="BL746">
        <v>0</v>
      </c>
      <c r="BM746">
        <v>0</v>
      </c>
      <c r="BN746">
        <v>0</v>
      </c>
      <c r="BO746">
        <v>0</v>
      </c>
      <c r="BP746">
        <v>0</v>
      </c>
      <c r="BQ746">
        <v>0</v>
      </c>
      <c r="BR746">
        <v>0</v>
      </c>
    </row>
    <row r="747" spans="1:70" x14ac:dyDescent="0.2">
      <c r="A747" s="1">
        <v>44585.696527777778</v>
      </c>
      <c r="B747" s="1">
        <v>44585.755555555559</v>
      </c>
      <c r="C747">
        <v>1</v>
      </c>
      <c r="D747">
        <v>0</v>
      </c>
      <c r="E747">
        <v>0</v>
      </c>
      <c r="F747">
        <v>0</v>
      </c>
      <c r="H747">
        <v>0</v>
      </c>
      <c r="I747">
        <v>1</v>
      </c>
      <c r="J747">
        <v>0</v>
      </c>
      <c r="K747">
        <v>0</v>
      </c>
      <c r="L747">
        <v>0</v>
      </c>
      <c r="N747" t="s">
        <v>88</v>
      </c>
      <c r="O747" t="s">
        <v>89</v>
      </c>
      <c r="P747">
        <v>0</v>
      </c>
      <c r="Q747">
        <v>0</v>
      </c>
      <c r="R747">
        <v>0</v>
      </c>
      <c r="S747">
        <v>0</v>
      </c>
      <c r="T747">
        <v>0</v>
      </c>
      <c r="U747">
        <v>0</v>
      </c>
      <c r="V747">
        <v>0</v>
      </c>
      <c r="W747">
        <v>0</v>
      </c>
      <c r="X747">
        <v>0</v>
      </c>
      <c r="Y747">
        <v>0</v>
      </c>
      <c r="Z747">
        <v>0</v>
      </c>
      <c r="AA747">
        <v>1</v>
      </c>
      <c r="AB747" t="s">
        <v>370</v>
      </c>
      <c r="AM747" t="s">
        <v>83</v>
      </c>
      <c r="AN747" t="s">
        <v>82</v>
      </c>
      <c r="AO747" t="s">
        <v>83</v>
      </c>
      <c r="AP747" t="s">
        <v>83</v>
      </c>
      <c r="AQ747" t="s">
        <v>83</v>
      </c>
      <c r="AR747" t="s">
        <v>83</v>
      </c>
      <c r="AS747" t="s">
        <v>83</v>
      </c>
      <c r="AT747" t="s">
        <v>83</v>
      </c>
      <c r="AU747" t="s">
        <v>88</v>
      </c>
      <c r="AV747" t="s">
        <v>89</v>
      </c>
      <c r="AW747" t="s">
        <v>100</v>
      </c>
      <c r="AZ747" t="s">
        <v>73</v>
      </c>
      <c r="BA747" t="s">
        <v>87</v>
      </c>
      <c r="BB747" t="s">
        <v>74</v>
      </c>
      <c r="BC747" t="s">
        <v>87</v>
      </c>
      <c r="BD747" t="s">
        <v>74</v>
      </c>
      <c r="BE747" t="s">
        <v>74</v>
      </c>
      <c r="BF747" t="s">
        <v>97</v>
      </c>
      <c r="BG747" t="s">
        <v>76</v>
      </c>
      <c r="BH747" t="s">
        <v>158</v>
      </c>
      <c r="BI747" t="s">
        <v>73</v>
      </c>
      <c r="BJ747" t="s">
        <v>102</v>
      </c>
      <c r="BK747">
        <v>1</v>
      </c>
      <c r="BL747">
        <v>0</v>
      </c>
      <c r="BM747">
        <v>0</v>
      </c>
      <c r="BN747">
        <v>0</v>
      </c>
      <c r="BO747">
        <v>0</v>
      </c>
      <c r="BP747">
        <v>0</v>
      </c>
      <c r="BQ747">
        <v>0</v>
      </c>
      <c r="BR747">
        <v>0</v>
      </c>
    </row>
    <row r="748" spans="1:70" x14ac:dyDescent="0.2">
      <c r="A748" s="1">
        <v>44581.086111111108</v>
      </c>
      <c r="B748" s="1">
        <v>44581.089583333334</v>
      </c>
      <c r="C748">
        <v>1</v>
      </c>
      <c r="D748">
        <v>0</v>
      </c>
      <c r="E748">
        <v>0</v>
      </c>
      <c r="F748">
        <v>0</v>
      </c>
      <c r="H748">
        <v>0</v>
      </c>
      <c r="I748">
        <v>1</v>
      </c>
      <c r="J748">
        <v>1</v>
      </c>
      <c r="K748">
        <v>1</v>
      </c>
      <c r="L748">
        <v>0</v>
      </c>
      <c r="N748" t="s">
        <v>88</v>
      </c>
      <c r="O748" t="s">
        <v>89</v>
      </c>
      <c r="P748">
        <v>0</v>
      </c>
      <c r="Q748">
        <v>0</v>
      </c>
      <c r="R748">
        <v>0</v>
      </c>
      <c r="S748">
        <v>0</v>
      </c>
      <c r="T748">
        <v>0</v>
      </c>
      <c r="U748">
        <v>0</v>
      </c>
      <c r="V748">
        <v>0</v>
      </c>
      <c r="W748">
        <v>0</v>
      </c>
      <c r="X748">
        <v>0</v>
      </c>
      <c r="Y748">
        <v>0</v>
      </c>
      <c r="Z748">
        <v>0</v>
      </c>
      <c r="AA748">
        <v>1</v>
      </c>
      <c r="AB748" t="s">
        <v>371</v>
      </c>
      <c r="AM748" t="s">
        <v>81</v>
      </c>
      <c r="AN748" t="s">
        <v>82</v>
      </c>
      <c r="AO748" t="s">
        <v>81</v>
      </c>
      <c r="AP748" t="s">
        <v>82</v>
      </c>
      <c r="AQ748" t="s">
        <v>82</v>
      </c>
      <c r="AR748" t="s">
        <v>81</v>
      </c>
      <c r="AS748" t="s">
        <v>82</v>
      </c>
      <c r="AT748" t="s">
        <v>83</v>
      </c>
      <c r="AU748" t="s">
        <v>84</v>
      </c>
      <c r="AV748" t="s">
        <v>80</v>
      </c>
      <c r="AW748" t="s">
        <v>117</v>
      </c>
      <c r="AZ748" t="s">
        <v>96</v>
      </c>
      <c r="BA748" t="s">
        <v>87</v>
      </c>
      <c r="BB748" t="s">
        <v>87</v>
      </c>
      <c r="BC748" t="s">
        <v>87</v>
      </c>
      <c r="BD748" t="s">
        <v>87</v>
      </c>
      <c r="BE748" t="s">
        <v>87</v>
      </c>
      <c r="BF748" t="s">
        <v>101</v>
      </c>
      <c r="BG748" t="s">
        <v>76</v>
      </c>
      <c r="BH748" t="s">
        <v>98</v>
      </c>
      <c r="BI748" t="s">
        <v>96</v>
      </c>
      <c r="BJ748" t="s">
        <v>129</v>
      </c>
      <c r="BK748">
        <v>1</v>
      </c>
      <c r="BL748">
        <v>0</v>
      </c>
      <c r="BM748">
        <v>0</v>
      </c>
      <c r="BN748">
        <v>0</v>
      </c>
      <c r="BO748">
        <v>0</v>
      </c>
      <c r="BP748">
        <v>0</v>
      </c>
      <c r="BQ748">
        <v>0</v>
      </c>
      <c r="BR748">
        <v>0</v>
      </c>
    </row>
    <row r="749" spans="1:70" x14ac:dyDescent="0.2">
      <c r="A749" s="1">
        <v>44579.919444444444</v>
      </c>
      <c r="B749" s="1">
        <v>44579.922222222223</v>
      </c>
      <c r="C749">
        <v>1</v>
      </c>
      <c r="D749">
        <v>0</v>
      </c>
      <c r="E749">
        <v>0</v>
      </c>
      <c r="F749">
        <v>0</v>
      </c>
      <c r="H749">
        <v>0</v>
      </c>
      <c r="I749">
        <v>1</v>
      </c>
      <c r="J749">
        <v>0</v>
      </c>
      <c r="K749">
        <v>1</v>
      </c>
      <c r="L749">
        <v>0</v>
      </c>
      <c r="N749" t="s">
        <v>88</v>
      </c>
      <c r="O749" t="s">
        <v>89</v>
      </c>
      <c r="P749">
        <v>0</v>
      </c>
      <c r="Q749">
        <v>1</v>
      </c>
      <c r="R749">
        <v>0</v>
      </c>
      <c r="S749">
        <v>0</v>
      </c>
      <c r="T749">
        <v>0</v>
      </c>
      <c r="U749">
        <v>0</v>
      </c>
      <c r="V749">
        <v>0</v>
      </c>
      <c r="W749">
        <v>0</v>
      </c>
      <c r="X749">
        <v>0</v>
      </c>
      <c r="Y749">
        <v>0</v>
      </c>
      <c r="Z749">
        <v>0</v>
      </c>
      <c r="AA749">
        <v>0</v>
      </c>
      <c r="AM749" t="s">
        <v>82</v>
      </c>
      <c r="AN749" t="s">
        <v>82</v>
      </c>
      <c r="AO749" t="s">
        <v>82</v>
      </c>
      <c r="AP749" t="s">
        <v>82</v>
      </c>
      <c r="AQ749" t="s">
        <v>83</v>
      </c>
      <c r="AR749" t="s">
        <v>83</v>
      </c>
      <c r="AS749" t="s">
        <v>83</v>
      </c>
      <c r="AT749" t="s">
        <v>83</v>
      </c>
      <c r="AU749" t="s">
        <v>88</v>
      </c>
      <c r="AV749" t="s">
        <v>89</v>
      </c>
      <c r="AW749" t="s">
        <v>100</v>
      </c>
      <c r="AZ749" t="s">
        <v>120</v>
      </c>
      <c r="BA749" t="s">
        <v>87</v>
      </c>
      <c r="BB749" t="s">
        <v>74</v>
      </c>
      <c r="BC749" t="s">
        <v>87</v>
      </c>
      <c r="BD749" t="s">
        <v>87</v>
      </c>
      <c r="BE749" t="s">
        <v>87</v>
      </c>
      <c r="BF749" t="s">
        <v>97</v>
      </c>
      <c r="BG749" t="s">
        <v>76</v>
      </c>
      <c r="BH749" t="s">
        <v>98</v>
      </c>
      <c r="BI749" t="s">
        <v>120</v>
      </c>
      <c r="BJ749" t="s">
        <v>109</v>
      </c>
      <c r="BK749">
        <v>1</v>
      </c>
      <c r="BL749">
        <v>0</v>
      </c>
      <c r="BM749">
        <v>0</v>
      </c>
      <c r="BN749">
        <v>0</v>
      </c>
      <c r="BO749">
        <v>0</v>
      </c>
      <c r="BP749">
        <v>0</v>
      </c>
      <c r="BQ749">
        <v>0</v>
      </c>
      <c r="BR749">
        <v>0</v>
      </c>
    </row>
    <row r="750" spans="1:70" x14ac:dyDescent="0.2">
      <c r="A750" s="1">
        <v>44580.645138888889</v>
      </c>
      <c r="B750" s="1">
        <v>44580.65</v>
      </c>
      <c r="C750">
        <v>0</v>
      </c>
      <c r="D750">
        <v>1</v>
      </c>
      <c r="E750">
        <v>0</v>
      </c>
      <c r="F750">
        <v>0</v>
      </c>
      <c r="H750">
        <v>0</v>
      </c>
      <c r="I750">
        <v>1</v>
      </c>
      <c r="J750">
        <v>0</v>
      </c>
      <c r="K750">
        <v>0</v>
      </c>
      <c r="L750">
        <v>0</v>
      </c>
      <c r="N750" t="s">
        <v>135</v>
      </c>
      <c r="O750" t="s">
        <v>127</v>
      </c>
      <c r="P750">
        <v>0</v>
      </c>
      <c r="Q750">
        <v>0</v>
      </c>
      <c r="R750">
        <v>0</v>
      </c>
      <c r="S750">
        <v>0</v>
      </c>
      <c r="T750">
        <v>1</v>
      </c>
      <c r="U750">
        <v>0</v>
      </c>
      <c r="V750">
        <v>0</v>
      </c>
      <c r="W750">
        <v>0</v>
      </c>
      <c r="X750">
        <v>0</v>
      </c>
      <c r="Y750">
        <v>0</v>
      </c>
      <c r="Z750">
        <v>0</v>
      </c>
      <c r="AA750">
        <v>0</v>
      </c>
      <c r="AM750" t="s">
        <v>83</v>
      </c>
      <c r="AN750" t="s">
        <v>82</v>
      </c>
      <c r="AO750" t="s">
        <v>83</v>
      </c>
      <c r="AP750" t="s">
        <v>81</v>
      </c>
      <c r="AQ750" t="s">
        <v>81</v>
      </c>
      <c r="AR750" t="s">
        <v>83</v>
      </c>
      <c r="AS750" t="s">
        <v>83</v>
      </c>
      <c r="AT750" t="s">
        <v>83</v>
      </c>
      <c r="AU750" t="s">
        <v>88</v>
      </c>
      <c r="AV750" t="s">
        <v>80</v>
      </c>
      <c r="AW750" t="s">
        <v>85</v>
      </c>
      <c r="AX750" t="s">
        <v>126</v>
      </c>
      <c r="AZ750" t="s">
        <v>96</v>
      </c>
      <c r="BA750" t="s">
        <v>86</v>
      </c>
      <c r="BB750" t="s">
        <v>74</v>
      </c>
      <c r="BC750" t="s">
        <v>74</v>
      </c>
      <c r="BD750" t="s">
        <v>87</v>
      </c>
      <c r="BE750" t="s">
        <v>87</v>
      </c>
      <c r="BF750" t="s">
        <v>75</v>
      </c>
      <c r="BG750" t="s">
        <v>76</v>
      </c>
      <c r="BH750" t="s">
        <v>98</v>
      </c>
      <c r="BI750" t="s">
        <v>96</v>
      </c>
      <c r="BJ750" t="s">
        <v>102</v>
      </c>
      <c r="BK750">
        <v>1</v>
      </c>
      <c r="BL750">
        <v>0</v>
      </c>
      <c r="BM750">
        <v>0</v>
      </c>
      <c r="BN750">
        <v>0</v>
      </c>
      <c r="BO750">
        <v>0</v>
      </c>
      <c r="BP750">
        <v>0</v>
      </c>
      <c r="BQ750">
        <v>0</v>
      </c>
      <c r="BR750">
        <v>0</v>
      </c>
    </row>
    <row r="751" spans="1:70" x14ac:dyDescent="0.2">
      <c r="A751" s="1">
        <v>44579.892361111109</v>
      </c>
      <c r="B751" s="1">
        <v>44579.894444444442</v>
      </c>
      <c r="C751">
        <v>1</v>
      </c>
      <c r="D751">
        <v>0</v>
      </c>
      <c r="E751">
        <v>0</v>
      </c>
      <c r="F751">
        <v>0</v>
      </c>
      <c r="H751">
        <v>0</v>
      </c>
      <c r="I751">
        <v>1</v>
      </c>
      <c r="J751">
        <v>0</v>
      </c>
      <c r="K751">
        <v>0</v>
      </c>
      <c r="L751">
        <v>0</v>
      </c>
      <c r="N751" t="s">
        <v>88</v>
      </c>
      <c r="O751" t="s">
        <v>89</v>
      </c>
      <c r="P751">
        <v>1</v>
      </c>
      <c r="Q751">
        <v>0</v>
      </c>
      <c r="R751">
        <v>0</v>
      </c>
      <c r="S751">
        <v>0</v>
      </c>
      <c r="T751">
        <v>0</v>
      </c>
      <c r="U751">
        <v>0</v>
      </c>
      <c r="V751">
        <v>0</v>
      </c>
      <c r="W751">
        <v>0</v>
      </c>
      <c r="X751">
        <v>0</v>
      </c>
      <c r="Y751">
        <v>0</v>
      </c>
      <c r="Z751">
        <v>0</v>
      </c>
      <c r="AA751">
        <v>0</v>
      </c>
      <c r="AC751">
        <v>0</v>
      </c>
      <c r="AD751">
        <v>0</v>
      </c>
      <c r="AE751">
        <v>1</v>
      </c>
      <c r="AF751">
        <v>0</v>
      </c>
      <c r="AG751">
        <v>0</v>
      </c>
      <c r="AH751">
        <v>0</v>
      </c>
      <c r="AI751">
        <v>0</v>
      </c>
      <c r="AJ751">
        <v>0</v>
      </c>
      <c r="AK751">
        <v>0</v>
      </c>
      <c r="AX751" t="s">
        <v>72</v>
      </c>
      <c r="AZ751" t="s">
        <v>107</v>
      </c>
      <c r="BA751" t="s">
        <v>87</v>
      </c>
      <c r="BB751" t="s">
        <v>87</v>
      </c>
      <c r="BC751" t="s">
        <v>87</v>
      </c>
      <c r="BD751" t="s">
        <v>86</v>
      </c>
      <c r="BE751" t="s">
        <v>74</v>
      </c>
      <c r="BF751" t="s">
        <v>75</v>
      </c>
      <c r="BG751" t="s">
        <v>76</v>
      </c>
      <c r="BH751" t="s">
        <v>77</v>
      </c>
      <c r="BI751" t="s">
        <v>107</v>
      </c>
      <c r="BJ751" t="s">
        <v>187</v>
      </c>
      <c r="BK751">
        <v>1</v>
      </c>
      <c r="BL751">
        <v>0</v>
      </c>
      <c r="BM751">
        <v>0</v>
      </c>
      <c r="BN751">
        <v>0</v>
      </c>
      <c r="BO751">
        <v>0</v>
      </c>
      <c r="BP751">
        <v>0</v>
      </c>
      <c r="BQ751">
        <v>0</v>
      </c>
      <c r="BR751">
        <v>0</v>
      </c>
    </row>
    <row r="752" spans="1:70" x14ac:dyDescent="0.2">
      <c r="A752" s="1">
        <v>44579.890972222223</v>
      </c>
      <c r="B752" s="1">
        <v>44579.894444444442</v>
      </c>
      <c r="C752">
        <v>0</v>
      </c>
      <c r="D752">
        <v>1</v>
      </c>
      <c r="E752">
        <v>0</v>
      </c>
      <c r="F752">
        <v>0</v>
      </c>
      <c r="H752">
        <v>0</v>
      </c>
      <c r="I752">
        <v>0</v>
      </c>
      <c r="J752">
        <v>0</v>
      </c>
      <c r="K752">
        <v>0</v>
      </c>
      <c r="L752">
        <v>1</v>
      </c>
      <c r="M752" t="s">
        <v>202</v>
      </c>
      <c r="N752" t="s">
        <v>79</v>
      </c>
      <c r="O752" t="s">
        <v>80</v>
      </c>
      <c r="P752">
        <v>1</v>
      </c>
      <c r="Q752">
        <v>0</v>
      </c>
      <c r="R752">
        <v>0</v>
      </c>
      <c r="S752">
        <v>0</v>
      </c>
      <c r="T752">
        <v>0</v>
      </c>
      <c r="U752">
        <v>0</v>
      </c>
      <c r="V752">
        <v>0</v>
      </c>
      <c r="W752">
        <v>0</v>
      </c>
      <c r="X752">
        <v>0</v>
      </c>
      <c r="Y752">
        <v>0</v>
      </c>
      <c r="Z752">
        <v>0</v>
      </c>
      <c r="AA752">
        <v>0</v>
      </c>
      <c r="AC752">
        <v>0</v>
      </c>
      <c r="AD752">
        <v>0</v>
      </c>
      <c r="AE752">
        <v>1</v>
      </c>
      <c r="AF752">
        <v>0</v>
      </c>
      <c r="AG752">
        <v>0</v>
      </c>
      <c r="AH752">
        <v>0</v>
      </c>
      <c r="AI752">
        <v>0</v>
      </c>
      <c r="AJ752">
        <v>0</v>
      </c>
      <c r="AK752">
        <v>0</v>
      </c>
      <c r="AX752" t="s">
        <v>146</v>
      </c>
      <c r="AZ752" t="s">
        <v>107</v>
      </c>
      <c r="BA752" t="s">
        <v>87</v>
      </c>
      <c r="BB752" t="s">
        <v>86</v>
      </c>
      <c r="BC752" t="s">
        <v>86</v>
      </c>
      <c r="BD752" t="s">
        <v>86</v>
      </c>
      <c r="BE752" t="s">
        <v>86</v>
      </c>
      <c r="BF752" t="s">
        <v>113</v>
      </c>
      <c r="BG752" t="s">
        <v>76</v>
      </c>
      <c r="BH752" t="s">
        <v>77</v>
      </c>
      <c r="BI752" t="s">
        <v>107</v>
      </c>
      <c r="BJ752" t="s">
        <v>99</v>
      </c>
      <c r="BK752">
        <v>1</v>
      </c>
      <c r="BL752">
        <v>0</v>
      </c>
      <c r="BM752">
        <v>0</v>
      </c>
      <c r="BN752">
        <v>0</v>
      </c>
      <c r="BO752">
        <v>0</v>
      </c>
      <c r="BP752">
        <v>0</v>
      </c>
      <c r="BQ752">
        <v>0</v>
      </c>
      <c r="BR752">
        <v>0</v>
      </c>
    </row>
    <row r="753" spans="1:72" x14ac:dyDescent="0.2">
      <c r="A753" s="1">
        <v>44580.023611111108</v>
      </c>
      <c r="B753" s="1">
        <v>44580.025694444441</v>
      </c>
      <c r="C753">
        <v>0</v>
      </c>
      <c r="D753">
        <v>1</v>
      </c>
      <c r="E753">
        <v>0</v>
      </c>
      <c r="F753">
        <v>0</v>
      </c>
      <c r="H753">
        <v>1</v>
      </c>
      <c r="I753">
        <v>0</v>
      </c>
      <c r="J753">
        <v>0</v>
      </c>
      <c r="K753">
        <v>0</v>
      </c>
      <c r="L753">
        <v>0</v>
      </c>
      <c r="P753">
        <v>1</v>
      </c>
      <c r="Q753">
        <v>0</v>
      </c>
      <c r="R753">
        <v>0</v>
      </c>
      <c r="S753">
        <v>0</v>
      </c>
      <c r="T753">
        <v>0</v>
      </c>
      <c r="U753">
        <v>0</v>
      </c>
      <c r="V753">
        <v>0</v>
      </c>
      <c r="W753">
        <v>0</v>
      </c>
      <c r="X753">
        <v>0</v>
      </c>
      <c r="Y753">
        <v>0</v>
      </c>
      <c r="Z753">
        <v>0</v>
      </c>
      <c r="AA753">
        <v>0</v>
      </c>
      <c r="AC753">
        <v>0</v>
      </c>
      <c r="AD753">
        <v>0</v>
      </c>
      <c r="AE753">
        <v>1</v>
      </c>
      <c r="AF753">
        <v>0</v>
      </c>
      <c r="AG753">
        <v>0</v>
      </c>
      <c r="AH753">
        <v>0</v>
      </c>
      <c r="AI753">
        <v>0</v>
      </c>
      <c r="AJ753">
        <v>0</v>
      </c>
      <c r="AK753">
        <v>0</v>
      </c>
      <c r="AZ753" t="s">
        <v>120</v>
      </c>
      <c r="BA753" t="s">
        <v>86</v>
      </c>
      <c r="BB753" t="s">
        <v>86</v>
      </c>
      <c r="BC753" t="s">
        <v>86</v>
      </c>
      <c r="BD753" t="s">
        <v>87</v>
      </c>
      <c r="BE753" t="s">
        <v>86</v>
      </c>
      <c r="BF753" t="s">
        <v>101</v>
      </c>
      <c r="BG753" t="s">
        <v>76</v>
      </c>
      <c r="BH753" t="s">
        <v>98</v>
      </c>
      <c r="BI753" t="s">
        <v>120</v>
      </c>
      <c r="BJ753" t="s">
        <v>109</v>
      </c>
      <c r="BK753">
        <v>1</v>
      </c>
      <c r="BL753">
        <v>1</v>
      </c>
      <c r="BM753">
        <v>0</v>
      </c>
      <c r="BN753">
        <v>0</v>
      </c>
      <c r="BO753">
        <v>0</v>
      </c>
      <c r="BP753">
        <v>1</v>
      </c>
      <c r="BQ753">
        <v>0</v>
      </c>
      <c r="BR753">
        <v>0</v>
      </c>
    </row>
    <row r="754" spans="1:72" x14ac:dyDescent="0.2">
      <c r="A754" s="1">
        <v>44580.922222222223</v>
      </c>
      <c r="B754" s="1">
        <v>44580.927083333336</v>
      </c>
      <c r="C754">
        <v>1</v>
      </c>
      <c r="D754">
        <v>0</v>
      </c>
      <c r="E754">
        <v>0</v>
      </c>
      <c r="F754">
        <v>0</v>
      </c>
      <c r="H754">
        <v>0</v>
      </c>
      <c r="I754">
        <v>1</v>
      </c>
      <c r="J754">
        <v>0</v>
      </c>
      <c r="K754">
        <v>0</v>
      </c>
      <c r="L754">
        <v>0</v>
      </c>
      <c r="N754" t="s">
        <v>88</v>
      </c>
      <c r="O754" t="s">
        <v>142</v>
      </c>
      <c r="P754">
        <v>0</v>
      </c>
      <c r="Q754">
        <v>0</v>
      </c>
      <c r="R754">
        <v>1</v>
      </c>
      <c r="S754">
        <v>0</v>
      </c>
      <c r="T754">
        <v>0</v>
      </c>
      <c r="U754">
        <v>0</v>
      </c>
      <c r="V754">
        <v>0</v>
      </c>
      <c r="W754">
        <v>0</v>
      </c>
      <c r="X754">
        <v>0</v>
      </c>
      <c r="Y754">
        <v>0</v>
      </c>
      <c r="Z754">
        <v>0</v>
      </c>
      <c r="AA754">
        <v>0</v>
      </c>
      <c r="AM754" t="s">
        <v>81</v>
      </c>
      <c r="AN754" t="s">
        <v>82</v>
      </c>
      <c r="AO754" t="s">
        <v>83</v>
      </c>
      <c r="AP754" t="s">
        <v>81</v>
      </c>
      <c r="AQ754" t="s">
        <v>81</v>
      </c>
      <c r="AR754" t="s">
        <v>83</v>
      </c>
      <c r="AS754" t="s">
        <v>83</v>
      </c>
      <c r="AT754" t="s">
        <v>83</v>
      </c>
      <c r="AU754" t="s">
        <v>88</v>
      </c>
      <c r="AV754" t="s">
        <v>80</v>
      </c>
      <c r="AW754" t="s">
        <v>100</v>
      </c>
      <c r="AX754" t="s">
        <v>242</v>
      </c>
      <c r="AZ754" t="s">
        <v>107</v>
      </c>
      <c r="BA754" t="s">
        <v>86</v>
      </c>
      <c r="BB754" t="s">
        <v>87</v>
      </c>
      <c r="BC754" t="s">
        <v>87</v>
      </c>
      <c r="BD754" t="s">
        <v>74</v>
      </c>
      <c r="BE754" t="s">
        <v>74</v>
      </c>
      <c r="BF754" t="s">
        <v>108</v>
      </c>
      <c r="BG754" t="s">
        <v>76</v>
      </c>
      <c r="BH754" t="s">
        <v>98</v>
      </c>
      <c r="BI754" t="s">
        <v>107</v>
      </c>
      <c r="BJ754" t="s">
        <v>78</v>
      </c>
      <c r="BK754">
        <v>1</v>
      </c>
      <c r="BL754">
        <v>0</v>
      </c>
      <c r="BM754">
        <v>0</v>
      </c>
      <c r="BN754">
        <v>0</v>
      </c>
      <c r="BO754">
        <v>0</v>
      </c>
      <c r="BP754">
        <v>0</v>
      </c>
      <c r="BQ754">
        <v>0</v>
      </c>
      <c r="BR754">
        <v>0</v>
      </c>
    </row>
    <row r="755" spans="1:72" x14ac:dyDescent="0.2">
      <c r="A755" s="1">
        <v>44588.88958333333</v>
      </c>
      <c r="B755" s="1">
        <v>44588.890972222223</v>
      </c>
      <c r="C755">
        <v>1</v>
      </c>
      <c r="D755">
        <v>0</v>
      </c>
      <c r="E755">
        <v>0</v>
      </c>
      <c r="F755">
        <v>0</v>
      </c>
      <c r="H755">
        <v>0</v>
      </c>
      <c r="I755">
        <v>1</v>
      </c>
      <c r="J755">
        <v>1</v>
      </c>
      <c r="K755">
        <v>1</v>
      </c>
      <c r="L755">
        <v>0</v>
      </c>
      <c r="N755" t="s">
        <v>88</v>
      </c>
      <c r="O755" t="s">
        <v>80</v>
      </c>
      <c r="P755">
        <v>0</v>
      </c>
      <c r="Q755">
        <v>0</v>
      </c>
      <c r="R755">
        <v>1</v>
      </c>
      <c r="S755">
        <v>0</v>
      </c>
      <c r="T755">
        <v>0</v>
      </c>
      <c r="U755">
        <v>0</v>
      </c>
      <c r="V755">
        <v>0</v>
      </c>
      <c r="W755">
        <v>0</v>
      </c>
      <c r="X755">
        <v>0</v>
      </c>
      <c r="Y755">
        <v>0</v>
      </c>
      <c r="Z755">
        <v>0</v>
      </c>
      <c r="AA755">
        <v>0</v>
      </c>
      <c r="AM755" t="s">
        <v>90</v>
      </c>
      <c r="AN755" t="s">
        <v>82</v>
      </c>
      <c r="AO755" t="s">
        <v>81</v>
      </c>
      <c r="AP755" t="s">
        <v>81</v>
      </c>
      <c r="AQ755" t="s">
        <v>81</v>
      </c>
      <c r="AR755" t="s">
        <v>90</v>
      </c>
      <c r="AS755" t="s">
        <v>81</v>
      </c>
      <c r="AT755" t="s">
        <v>90</v>
      </c>
      <c r="AU755" t="s">
        <v>88</v>
      </c>
      <c r="AV755" t="s">
        <v>89</v>
      </c>
      <c r="AW755" t="s">
        <v>100</v>
      </c>
      <c r="AX755" t="s">
        <v>72</v>
      </c>
      <c r="AZ755" t="s">
        <v>96</v>
      </c>
      <c r="BA755" t="s">
        <v>74</v>
      </c>
      <c r="BF755" t="s">
        <v>75</v>
      </c>
      <c r="BG755" t="s">
        <v>76</v>
      </c>
      <c r="BH755" t="s">
        <v>98</v>
      </c>
      <c r="BI755" t="s">
        <v>96</v>
      </c>
      <c r="BJ755" t="s">
        <v>114</v>
      </c>
      <c r="BK755">
        <v>1</v>
      </c>
      <c r="BL755">
        <v>0</v>
      </c>
      <c r="BM755">
        <v>0</v>
      </c>
      <c r="BN755">
        <v>0</v>
      </c>
      <c r="BO755">
        <v>0</v>
      </c>
      <c r="BP755">
        <v>0</v>
      </c>
      <c r="BQ755">
        <v>0</v>
      </c>
      <c r="BR755">
        <v>0</v>
      </c>
    </row>
    <row r="756" spans="1:72" x14ac:dyDescent="0.2">
      <c r="A756" s="1">
        <v>44579.932638888888</v>
      </c>
      <c r="B756" s="1">
        <v>44579.934027777781</v>
      </c>
      <c r="C756">
        <v>1</v>
      </c>
      <c r="D756">
        <v>0</v>
      </c>
      <c r="E756">
        <v>0</v>
      </c>
      <c r="F756">
        <v>0</v>
      </c>
      <c r="H756">
        <v>0</v>
      </c>
      <c r="I756">
        <v>1</v>
      </c>
      <c r="J756">
        <v>1</v>
      </c>
      <c r="K756">
        <v>1</v>
      </c>
      <c r="L756">
        <v>0</v>
      </c>
      <c r="N756" t="s">
        <v>88</v>
      </c>
      <c r="O756" t="s">
        <v>89</v>
      </c>
      <c r="P756">
        <v>0</v>
      </c>
      <c r="Q756">
        <v>0</v>
      </c>
      <c r="R756">
        <v>1</v>
      </c>
      <c r="S756">
        <v>0</v>
      </c>
      <c r="T756">
        <v>0</v>
      </c>
      <c r="U756">
        <v>0</v>
      </c>
      <c r="V756">
        <v>0</v>
      </c>
      <c r="W756">
        <v>0</v>
      </c>
      <c r="X756">
        <v>0</v>
      </c>
      <c r="Y756">
        <v>0</v>
      </c>
      <c r="Z756">
        <v>0</v>
      </c>
      <c r="AA756">
        <v>0</v>
      </c>
      <c r="AM756" t="s">
        <v>81</v>
      </c>
      <c r="AN756" t="s">
        <v>81</v>
      </c>
      <c r="AO756" t="s">
        <v>81</v>
      </c>
      <c r="AP756" t="s">
        <v>81</v>
      </c>
      <c r="AQ756" t="s">
        <v>81</v>
      </c>
      <c r="AR756" t="s">
        <v>81</v>
      </c>
      <c r="AS756" t="s">
        <v>81</v>
      </c>
      <c r="AT756" t="s">
        <v>83</v>
      </c>
      <c r="AU756" t="s">
        <v>88</v>
      </c>
      <c r="AV756" t="s">
        <v>89</v>
      </c>
      <c r="AW756" t="s">
        <v>100</v>
      </c>
      <c r="AX756" t="s">
        <v>118</v>
      </c>
      <c r="AZ756" t="s">
        <v>107</v>
      </c>
      <c r="BA756" t="s">
        <v>87</v>
      </c>
      <c r="BB756" t="s">
        <v>87</v>
      </c>
      <c r="BC756" t="s">
        <v>87</v>
      </c>
      <c r="BD756" t="s">
        <v>87</v>
      </c>
      <c r="BE756" t="s">
        <v>87</v>
      </c>
      <c r="BF756" t="s">
        <v>75</v>
      </c>
      <c r="BG756" t="s">
        <v>76</v>
      </c>
      <c r="BH756" t="s">
        <v>77</v>
      </c>
      <c r="BI756" t="s">
        <v>107</v>
      </c>
      <c r="BJ756" t="s">
        <v>114</v>
      </c>
      <c r="BK756">
        <v>1</v>
      </c>
      <c r="BL756">
        <v>0</v>
      </c>
      <c r="BM756">
        <v>0</v>
      </c>
      <c r="BN756">
        <v>0</v>
      </c>
      <c r="BO756">
        <v>0</v>
      </c>
      <c r="BP756">
        <v>0</v>
      </c>
      <c r="BQ756">
        <v>0</v>
      </c>
      <c r="BR756">
        <v>0</v>
      </c>
    </row>
    <row r="757" spans="1:72" x14ac:dyDescent="0.2">
      <c r="A757" s="1">
        <v>44579.940972222219</v>
      </c>
      <c r="B757" s="1">
        <v>44579.943055555559</v>
      </c>
      <c r="C757">
        <v>0</v>
      </c>
      <c r="D757">
        <v>1</v>
      </c>
      <c r="E757">
        <v>0</v>
      </c>
      <c r="F757">
        <v>0</v>
      </c>
      <c r="H757">
        <v>0</v>
      </c>
      <c r="I757">
        <v>1</v>
      </c>
      <c r="J757">
        <v>0</v>
      </c>
      <c r="K757">
        <v>0</v>
      </c>
      <c r="L757">
        <v>0</v>
      </c>
      <c r="N757" t="s">
        <v>88</v>
      </c>
      <c r="O757" t="s">
        <v>89</v>
      </c>
      <c r="P757">
        <v>0</v>
      </c>
      <c r="Q757">
        <v>0</v>
      </c>
      <c r="R757">
        <v>0</v>
      </c>
      <c r="S757">
        <v>0</v>
      </c>
      <c r="T757">
        <v>1</v>
      </c>
      <c r="U757">
        <v>0</v>
      </c>
      <c r="V757">
        <v>0</v>
      </c>
      <c r="W757">
        <v>0</v>
      </c>
      <c r="X757">
        <v>0</v>
      </c>
      <c r="Y757">
        <v>0</v>
      </c>
      <c r="Z757">
        <v>0</v>
      </c>
      <c r="AA757">
        <v>0</v>
      </c>
      <c r="AM757" t="s">
        <v>90</v>
      </c>
      <c r="AN757" t="s">
        <v>81</v>
      </c>
      <c r="AO757" t="s">
        <v>83</v>
      </c>
      <c r="AP757" t="s">
        <v>82</v>
      </c>
      <c r="AQ757" t="s">
        <v>81</v>
      </c>
      <c r="AR757" t="s">
        <v>83</v>
      </c>
      <c r="AS757" t="s">
        <v>83</v>
      </c>
      <c r="AT757" t="s">
        <v>81</v>
      </c>
      <c r="AU757" t="s">
        <v>88</v>
      </c>
      <c r="AV757" t="s">
        <v>89</v>
      </c>
      <c r="AW757" t="s">
        <v>117</v>
      </c>
      <c r="AX757" t="s">
        <v>179</v>
      </c>
      <c r="AZ757" t="s">
        <v>96</v>
      </c>
      <c r="BA757" t="s">
        <v>87</v>
      </c>
      <c r="BB757" t="s">
        <v>87</v>
      </c>
      <c r="BC757" t="s">
        <v>87</v>
      </c>
      <c r="BD757" t="s">
        <v>87</v>
      </c>
      <c r="BE757" t="s">
        <v>87</v>
      </c>
      <c r="BF757" t="s">
        <v>108</v>
      </c>
      <c r="BG757" t="s">
        <v>76</v>
      </c>
      <c r="BH757" t="s">
        <v>77</v>
      </c>
      <c r="BI757" t="s">
        <v>96</v>
      </c>
      <c r="BJ757" t="s">
        <v>78</v>
      </c>
      <c r="BK757">
        <v>1</v>
      </c>
      <c r="BL757">
        <v>0</v>
      </c>
      <c r="BM757">
        <v>0</v>
      </c>
      <c r="BN757">
        <v>0</v>
      </c>
      <c r="BO757">
        <v>0</v>
      </c>
      <c r="BP757">
        <v>0</v>
      </c>
      <c r="BQ757">
        <v>0</v>
      </c>
      <c r="BR757">
        <v>0</v>
      </c>
    </row>
    <row r="758" spans="1:72" x14ac:dyDescent="0.2">
      <c r="A758" s="1">
        <v>44588.883333333331</v>
      </c>
      <c r="B758" s="1">
        <v>44588.884722222225</v>
      </c>
      <c r="C758">
        <v>0</v>
      </c>
      <c r="D758">
        <v>1</v>
      </c>
      <c r="E758">
        <v>0</v>
      </c>
      <c r="F758">
        <v>0</v>
      </c>
      <c r="H758">
        <v>0</v>
      </c>
      <c r="I758">
        <v>0</v>
      </c>
      <c r="J758">
        <v>1</v>
      </c>
      <c r="K758">
        <v>0</v>
      </c>
      <c r="L758">
        <v>0</v>
      </c>
      <c r="N758" t="s">
        <v>79</v>
      </c>
      <c r="O758" t="s">
        <v>127</v>
      </c>
      <c r="P758">
        <v>1</v>
      </c>
      <c r="Q758">
        <v>0</v>
      </c>
      <c r="R758">
        <v>0</v>
      </c>
      <c r="S758">
        <v>0</v>
      </c>
      <c r="T758">
        <v>0</v>
      </c>
      <c r="U758">
        <v>0</v>
      </c>
      <c r="V758">
        <v>0</v>
      </c>
      <c r="W758">
        <v>0</v>
      </c>
      <c r="X758">
        <v>0</v>
      </c>
      <c r="Y758">
        <v>0</v>
      </c>
      <c r="Z758">
        <v>0</v>
      </c>
      <c r="AA758">
        <v>0</v>
      </c>
      <c r="AC758">
        <v>1</v>
      </c>
      <c r="AD758">
        <v>0</v>
      </c>
      <c r="AE758">
        <v>0</v>
      </c>
      <c r="AF758">
        <v>0</v>
      </c>
      <c r="AG758">
        <v>0</v>
      </c>
      <c r="AH758">
        <v>0</v>
      </c>
      <c r="AI758">
        <v>0</v>
      </c>
      <c r="AJ758">
        <v>0</v>
      </c>
      <c r="AK758">
        <v>0</v>
      </c>
      <c r="AX758" t="s">
        <v>122</v>
      </c>
      <c r="AZ758" t="s">
        <v>73</v>
      </c>
      <c r="BA758" t="s">
        <v>86</v>
      </c>
      <c r="BB758" t="s">
        <v>87</v>
      </c>
      <c r="BC758" t="s">
        <v>87</v>
      </c>
      <c r="BD758" t="s">
        <v>87</v>
      </c>
      <c r="BE758" t="s">
        <v>87</v>
      </c>
      <c r="BF758" t="s">
        <v>75</v>
      </c>
      <c r="BG758" t="s">
        <v>76</v>
      </c>
      <c r="BH758" t="s">
        <v>98</v>
      </c>
      <c r="BI758" t="s">
        <v>73</v>
      </c>
      <c r="BK758">
        <v>1</v>
      </c>
      <c r="BL758">
        <v>0</v>
      </c>
      <c r="BM758">
        <v>0</v>
      </c>
      <c r="BN758">
        <v>0</v>
      </c>
      <c r="BO758">
        <v>0</v>
      </c>
      <c r="BP758">
        <v>0</v>
      </c>
      <c r="BQ758">
        <v>0</v>
      </c>
      <c r="BR758">
        <v>0</v>
      </c>
      <c r="BT758" t="s">
        <v>109</v>
      </c>
    </row>
    <row r="759" spans="1:72" x14ac:dyDescent="0.2">
      <c r="A759" s="1">
        <v>44585.534722222219</v>
      </c>
      <c r="B759" s="1">
        <v>44585.538888888892</v>
      </c>
      <c r="C759">
        <v>0</v>
      </c>
      <c r="D759">
        <v>1</v>
      </c>
      <c r="E759">
        <v>0</v>
      </c>
      <c r="F759">
        <v>0</v>
      </c>
      <c r="H759">
        <v>0</v>
      </c>
      <c r="I759">
        <v>1</v>
      </c>
      <c r="J759">
        <v>0</v>
      </c>
      <c r="K759">
        <v>1</v>
      </c>
      <c r="L759">
        <v>0</v>
      </c>
      <c r="N759" t="s">
        <v>88</v>
      </c>
      <c r="O759" t="s">
        <v>80</v>
      </c>
      <c r="P759">
        <v>0</v>
      </c>
      <c r="Q759">
        <v>1</v>
      </c>
      <c r="R759">
        <v>0</v>
      </c>
      <c r="S759">
        <v>0</v>
      </c>
      <c r="T759">
        <v>0</v>
      </c>
      <c r="U759">
        <v>0</v>
      </c>
      <c r="V759">
        <v>0</v>
      </c>
      <c r="W759">
        <v>0</v>
      </c>
      <c r="X759">
        <v>0</v>
      </c>
      <c r="Y759">
        <v>0</v>
      </c>
      <c r="Z759">
        <v>0</v>
      </c>
      <c r="AA759">
        <v>0</v>
      </c>
      <c r="AM759" t="s">
        <v>83</v>
      </c>
      <c r="AN759" t="s">
        <v>82</v>
      </c>
      <c r="AO759" t="s">
        <v>81</v>
      </c>
      <c r="AP759" t="s">
        <v>90</v>
      </c>
      <c r="AQ759" t="s">
        <v>81</v>
      </c>
      <c r="AR759" t="s">
        <v>83</v>
      </c>
      <c r="AS759" t="s">
        <v>90</v>
      </c>
      <c r="AT759" t="s">
        <v>83</v>
      </c>
      <c r="AU759" t="s">
        <v>88</v>
      </c>
      <c r="AV759" t="s">
        <v>89</v>
      </c>
      <c r="AW759" t="s">
        <v>100</v>
      </c>
      <c r="AZ759" t="s">
        <v>107</v>
      </c>
      <c r="BA759" t="s">
        <v>86</v>
      </c>
      <c r="BB759" t="s">
        <v>74</v>
      </c>
      <c r="BC759" t="s">
        <v>87</v>
      </c>
      <c r="BD759" t="s">
        <v>87</v>
      </c>
      <c r="BE759" t="s">
        <v>87</v>
      </c>
      <c r="BF759" t="s">
        <v>97</v>
      </c>
      <c r="BG759" t="s">
        <v>76</v>
      </c>
      <c r="BH759" t="s">
        <v>98</v>
      </c>
      <c r="BI759" t="s">
        <v>107</v>
      </c>
      <c r="BJ759" t="s">
        <v>165</v>
      </c>
      <c r="BK759">
        <v>1</v>
      </c>
      <c r="BL759">
        <v>0</v>
      </c>
      <c r="BM759">
        <v>0</v>
      </c>
      <c r="BN759">
        <v>0</v>
      </c>
      <c r="BO759">
        <v>0</v>
      </c>
      <c r="BP759">
        <v>0</v>
      </c>
      <c r="BQ759">
        <v>0</v>
      </c>
      <c r="BR759">
        <v>0</v>
      </c>
    </row>
    <row r="760" spans="1:72" x14ac:dyDescent="0.2">
      <c r="A760" s="1">
        <v>44589.826388888891</v>
      </c>
      <c r="B760" s="1">
        <v>44589.830555555556</v>
      </c>
      <c r="C760">
        <v>0</v>
      </c>
      <c r="D760">
        <v>1</v>
      </c>
      <c r="E760">
        <v>0</v>
      </c>
      <c r="F760">
        <v>0</v>
      </c>
      <c r="H760">
        <v>1</v>
      </c>
      <c r="I760">
        <v>0</v>
      </c>
      <c r="J760">
        <v>0</v>
      </c>
      <c r="K760">
        <v>0</v>
      </c>
      <c r="L760">
        <v>0</v>
      </c>
      <c r="P760">
        <v>0</v>
      </c>
      <c r="Q760">
        <v>1</v>
      </c>
      <c r="R760">
        <v>0</v>
      </c>
      <c r="S760">
        <v>0</v>
      </c>
      <c r="T760">
        <v>0</v>
      </c>
      <c r="U760">
        <v>0</v>
      </c>
      <c r="V760">
        <v>0</v>
      </c>
      <c r="W760">
        <v>0</v>
      </c>
      <c r="X760">
        <v>0</v>
      </c>
      <c r="Y760">
        <v>0</v>
      </c>
      <c r="Z760">
        <v>0</v>
      </c>
      <c r="AA760">
        <v>0</v>
      </c>
      <c r="AM760" t="s">
        <v>83</v>
      </c>
      <c r="AN760" t="s">
        <v>81</v>
      </c>
      <c r="AO760" t="s">
        <v>82</v>
      </c>
      <c r="AP760" t="s">
        <v>81</v>
      </c>
      <c r="AQ760" t="s">
        <v>83</v>
      </c>
      <c r="AR760" t="s">
        <v>90</v>
      </c>
      <c r="AS760" t="s">
        <v>90</v>
      </c>
      <c r="AT760" t="s">
        <v>83</v>
      </c>
      <c r="AU760" t="s">
        <v>88</v>
      </c>
      <c r="AV760" t="s">
        <v>89</v>
      </c>
      <c r="AW760" t="s">
        <v>100</v>
      </c>
      <c r="AX760" t="s">
        <v>110</v>
      </c>
      <c r="AY760" t="s">
        <v>372</v>
      </c>
      <c r="AZ760" t="s">
        <v>73</v>
      </c>
      <c r="BA760" t="s">
        <v>86</v>
      </c>
      <c r="BB760" t="s">
        <v>86</v>
      </c>
      <c r="BC760" t="s">
        <v>86</v>
      </c>
      <c r="BD760" t="s">
        <v>87</v>
      </c>
      <c r="BE760" t="s">
        <v>74</v>
      </c>
      <c r="BF760" t="s">
        <v>108</v>
      </c>
      <c r="BG760" t="s">
        <v>76</v>
      </c>
      <c r="BH760" t="s">
        <v>98</v>
      </c>
      <c r="BI760" t="s">
        <v>73</v>
      </c>
      <c r="BJ760" t="s">
        <v>114</v>
      </c>
      <c r="BK760">
        <v>1</v>
      </c>
      <c r="BL760">
        <v>0</v>
      </c>
      <c r="BM760">
        <v>0</v>
      </c>
      <c r="BN760">
        <v>0</v>
      </c>
      <c r="BO760">
        <v>0</v>
      </c>
      <c r="BP760">
        <v>0</v>
      </c>
      <c r="BQ760">
        <v>0</v>
      </c>
      <c r="BR760">
        <v>0</v>
      </c>
    </row>
    <row r="761" spans="1:72" x14ac:dyDescent="0.2">
      <c r="A761" s="1">
        <v>44586.106944444444</v>
      </c>
      <c r="B761" s="1">
        <v>44586.109722222223</v>
      </c>
      <c r="C761">
        <v>1</v>
      </c>
      <c r="D761">
        <v>0</v>
      </c>
      <c r="E761">
        <v>0</v>
      </c>
      <c r="F761">
        <v>0</v>
      </c>
      <c r="H761">
        <v>0</v>
      </c>
      <c r="I761">
        <v>1</v>
      </c>
      <c r="J761">
        <v>1</v>
      </c>
      <c r="K761">
        <v>0</v>
      </c>
      <c r="L761">
        <v>0</v>
      </c>
      <c r="N761" t="s">
        <v>88</v>
      </c>
      <c r="O761" t="s">
        <v>80</v>
      </c>
      <c r="P761">
        <v>0</v>
      </c>
      <c r="Q761">
        <v>0</v>
      </c>
      <c r="R761">
        <v>1</v>
      </c>
      <c r="S761">
        <v>0</v>
      </c>
      <c r="T761">
        <v>0</v>
      </c>
      <c r="U761">
        <v>0</v>
      </c>
      <c r="V761">
        <v>0</v>
      </c>
      <c r="W761">
        <v>0</v>
      </c>
      <c r="X761">
        <v>0</v>
      </c>
      <c r="Y761">
        <v>0</v>
      </c>
      <c r="Z761">
        <v>0</v>
      </c>
      <c r="AA761">
        <v>0</v>
      </c>
      <c r="AM761" t="s">
        <v>81</v>
      </c>
      <c r="AN761" t="s">
        <v>82</v>
      </c>
      <c r="AO761" t="s">
        <v>83</v>
      </c>
      <c r="AP761" t="s">
        <v>82</v>
      </c>
      <c r="AQ761" t="s">
        <v>81</v>
      </c>
      <c r="AR761" t="s">
        <v>83</v>
      </c>
      <c r="AS761" t="s">
        <v>81</v>
      </c>
      <c r="AT761" t="s">
        <v>82</v>
      </c>
      <c r="AU761" t="s">
        <v>88</v>
      </c>
      <c r="AV761" t="s">
        <v>89</v>
      </c>
      <c r="AW761" t="s">
        <v>85</v>
      </c>
      <c r="AX761" t="s">
        <v>110</v>
      </c>
      <c r="AY761" t="s">
        <v>373</v>
      </c>
      <c r="AZ761" t="s">
        <v>73</v>
      </c>
      <c r="BA761" t="s">
        <v>87</v>
      </c>
      <c r="BB761" t="s">
        <v>86</v>
      </c>
      <c r="BC761" t="s">
        <v>87</v>
      </c>
      <c r="BD761" t="s">
        <v>87</v>
      </c>
      <c r="BE761" t="s">
        <v>87</v>
      </c>
      <c r="BF761" t="s">
        <v>75</v>
      </c>
      <c r="BG761" t="s">
        <v>76</v>
      </c>
      <c r="BH761" t="s">
        <v>98</v>
      </c>
      <c r="BI761" t="s">
        <v>73</v>
      </c>
      <c r="BJ761" t="s">
        <v>114</v>
      </c>
      <c r="BK761">
        <v>1</v>
      </c>
      <c r="BL761">
        <v>0</v>
      </c>
      <c r="BM761">
        <v>0</v>
      </c>
      <c r="BN761">
        <v>0</v>
      </c>
      <c r="BO761">
        <v>0</v>
      </c>
      <c r="BP761">
        <v>0</v>
      </c>
      <c r="BQ761">
        <v>0</v>
      </c>
      <c r="BR761">
        <v>0</v>
      </c>
    </row>
    <row r="762" spans="1:72" x14ac:dyDescent="0.2">
      <c r="A762" s="1">
        <v>44579.87777777778</v>
      </c>
      <c r="B762" s="1">
        <v>44579.879861111112</v>
      </c>
      <c r="C762">
        <v>0</v>
      </c>
      <c r="D762">
        <v>1</v>
      </c>
      <c r="E762">
        <v>0</v>
      </c>
      <c r="F762">
        <v>0</v>
      </c>
      <c r="H762">
        <v>0</v>
      </c>
      <c r="I762">
        <v>0</v>
      </c>
      <c r="J762">
        <v>0</v>
      </c>
      <c r="K762">
        <v>0</v>
      </c>
      <c r="L762">
        <v>1</v>
      </c>
      <c r="M762" t="s">
        <v>374</v>
      </c>
      <c r="N762" t="s">
        <v>88</v>
      </c>
      <c r="O762" t="s">
        <v>89</v>
      </c>
      <c r="P762">
        <v>1</v>
      </c>
      <c r="Q762">
        <v>0</v>
      </c>
      <c r="R762">
        <v>0</v>
      </c>
      <c r="S762">
        <v>0</v>
      </c>
      <c r="T762">
        <v>0</v>
      </c>
      <c r="U762">
        <v>0</v>
      </c>
      <c r="V762">
        <v>0</v>
      </c>
      <c r="W762">
        <v>0</v>
      </c>
      <c r="X762">
        <v>0</v>
      </c>
      <c r="Y762">
        <v>0</v>
      </c>
      <c r="Z762">
        <v>0</v>
      </c>
      <c r="AA762">
        <v>0</v>
      </c>
      <c r="AC762">
        <v>0</v>
      </c>
      <c r="AD762">
        <v>0</v>
      </c>
      <c r="AE762">
        <v>1</v>
      </c>
      <c r="AF762">
        <v>0</v>
      </c>
      <c r="AG762">
        <v>1</v>
      </c>
      <c r="AH762">
        <v>1</v>
      </c>
      <c r="AI762">
        <v>0</v>
      </c>
      <c r="AJ762">
        <v>0</v>
      </c>
      <c r="AK762">
        <v>0</v>
      </c>
      <c r="AZ762" t="s">
        <v>120</v>
      </c>
      <c r="BA762" t="s">
        <v>86</v>
      </c>
      <c r="BB762" t="s">
        <v>86</v>
      </c>
      <c r="BC762" t="s">
        <v>74</v>
      </c>
      <c r="BD762" t="s">
        <v>86</v>
      </c>
      <c r="BE762" t="s">
        <v>86</v>
      </c>
      <c r="BF762" t="s">
        <v>101</v>
      </c>
      <c r="BG762" t="s">
        <v>76</v>
      </c>
      <c r="BH762" t="s">
        <v>98</v>
      </c>
      <c r="BI762" t="s">
        <v>120</v>
      </c>
      <c r="BJ762" t="s">
        <v>167</v>
      </c>
      <c r="BK762">
        <v>0</v>
      </c>
      <c r="BL762">
        <v>0</v>
      </c>
      <c r="BM762">
        <v>0</v>
      </c>
      <c r="BN762">
        <v>1</v>
      </c>
      <c r="BO762">
        <v>0</v>
      </c>
      <c r="BP762">
        <v>1</v>
      </c>
      <c r="BQ762">
        <v>0</v>
      </c>
      <c r="BR762">
        <v>0</v>
      </c>
    </row>
    <row r="763" spans="1:72" x14ac:dyDescent="0.2">
      <c r="A763" s="1">
        <v>44579.946527777778</v>
      </c>
      <c r="B763" s="1">
        <v>44579.949305555558</v>
      </c>
      <c r="C763">
        <v>0</v>
      </c>
      <c r="D763">
        <v>1</v>
      </c>
      <c r="E763">
        <v>0</v>
      </c>
      <c r="F763">
        <v>0</v>
      </c>
      <c r="H763">
        <v>0</v>
      </c>
      <c r="I763">
        <v>1</v>
      </c>
      <c r="J763">
        <v>1</v>
      </c>
      <c r="K763">
        <v>1</v>
      </c>
      <c r="L763">
        <v>0</v>
      </c>
      <c r="N763" t="s">
        <v>79</v>
      </c>
      <c r="O763" t="s">
        <v>80</v>
      </c>
      <c r="P763">
        <v>0</v>
      </c>
      <c r="Q763">
        <v>1</v>
      </c>
      <c r="R763">
        <v>0</v>
      </c>
      <c r="S763">
        <v>0</v>
      </c>
      <c r="T763">
        <v>0</v>
      </c>
      <c r="U763">
        <v>0</v>
      </c>
      <c r="V763">
        <v>0</v>
      </c>
      <c r="W763">
        <v>0</v>
      </c>
      <c r="X763">
        <v>0</v>
      </c>
      <c r="Y763">
        <v>0</v>
      </c>
      <c r="Z763">
        <v>0</v>
      </c>
      <c r="AA763">
        <v>0</v>
      </c>
      <c r="AM763" t="s">
        <v>83</v>
      </c>
      <c r="AN763" t="s">
        <v>82</v>
      </c>
      <c r="AO763" t="s">
        <v>81</v>
      </c>
      <c r="AP763" t="s">
        <v>81</v>
      </c>
      <c r="AQ763" t="s">
        <v>83</v>
      </c>
      <c r="AR763" t="s">
        <v>83</v>
      </c>
      <c r="AS763" t="s">
        <v>83</v>
      </c>
      <c r="AT763" t="s">
        <v>90</v>
      </c>
      <c r="AU763" t="s">
        <v>84</v>
      </c>
      <c r="AV763" t="s">
        <v>80</v>
      </c>
      <c r="AW763" t="s">
        <v>117</v>
      </c>
      <c r="AX763" t="s">
        <v>236</v>
      </c>
      <c r="AZ763" t="s">
        <v>96</v>
      </c>
      <c r="BA763" t="s">
        <v>87</v>
      </c>
      <c r="BB763" t="s">
        <v>87</v>
      </c>
      <c r="BC763" t="s">
        <v>87</v>
      </c>
      <c r="BD763" t="s">
        <v>87</v>
      </c>
      <c r="BE763" t="s">
        <v>87</v>
      </c>
      <c r="BF763" t="s">
        <v>75</v>
      </c>
      <c r="BG763" t="s">
        <v>76</v>
      </c>
      <c r="BH763" t="s">
        <v>77</v>
      </c>
      <c r="BI763" t="s">
        <v>96</v>
      </c>
      <c r="BJ763" t="s">
        <v>109</v>
      </c>
      <c r="BK763">
        <v>1</v>
      </c>
      <c r="BL763">
        <v>0</v>
      </c>
      <c r="BM763">
        <v>0</v>
      </c>
      <c r="BN763">
        <v>0</v>
      </c>
      <c r="BO763">
        <v>0</v>
      </c>
      <c r="BP763">
        <v>0</v>
      </c>
      <c r="BQ763">
        <v>0</v>
      </c>
      <c r="BR763">
        <v>0</v>
      </c>
    </row>
    <row r="764" spans="1:72" x14ac:dyDescent="0.2">
      <c r="A764" s="1">
        <v>44588.962500000001</v>
      </c>
      <c r="B764" s="1">
        <v>44588.964583333334</v>
      </c>
      <c r="C764">
        <v>1</v>
      </c>
      <c r="D764">
        <v>0</v>
      </c>
      <c r="E764">
        <v>0</v>
      </c>
      <c r="F764">
        <v>0</v>
      </c>
      <c r="H764">
        <v>1</v>
      </c>
      <c r="I764">
        <v>0</v>
      </c>
      <c r="J764">
        <v>0</v>
      </c>
      <c r="K764">
        <v>0</v>
      </c>
      <c r="L764">
        <v>0</v>
      </c>
      <c r="P764">
        <v>1</v>
      </c>
      <c r="Q764">
        <v>0</v>
      </c>
      <c r="R764">
        <v>0</v>
      </c>
      <c r="S764">
        <v>0</v>
      </c>
      <c r="T764">
        <v>0</v>
      </c>
      <c r="U764">
        <v>0</v>
      </c>
      <c r="V764">
        <v>0</v>
      </c>
      <c r="W764">
        <v>0</v>
      </c>
      <c r="X764">
        <v>0</v>
      </c>
      <c r="Y764">
        <v>0</v>
      </c>
      <c r="Z764">
        <v>0</v>
      </c>
      <c r="AA764">
        <v>0</v>
      </c>
      <c r="AC764">
        <v>0</v>
      </c>
      <c r="AD764">
        <v>1</v>
      </c>
      <c r="AE764">
        <v>0</v>
      </c>
      <c r="AF764">
        <v>0</v>
      </c>
      <c r="AG764">
        <v>0</v>
      </c>
      <c r="AH764">
        <v>0</v>
      </c>
      <c r="AI764">
        <v>0</v>
      </c>
      <c r="AJ764">
        <v>0</v>
      </c>
      <c r="AK764">
        <v>0</v>
      </c>
      <c r="AZ764" t="s">
        <v>107</v>
      </c>
      <c r="BA764" t="s">
        <v>87</v>
      </c>
      <c r="BB764" t="s">
        <v>74</v>
      </c>
      <c r="BC764" t="s">
        <v>87</v>
      </c>
      <c r="BD764" t="s">
        <v>87</v>
      </c>
      <c r="BE764" t="s">
        <v>87</v>
      </c>
      <c r="BF764" t="s">
        <v>97</v>
      </c>
      <c r="BG764" t="s">
        <v>76</v>
      </c>
      <c r="BH764" t="s">
        <v>98</v>
      </c>
      <c r="BI764" t="s">
        <v>107</v>
      </c>
      <c r="BJ764" t="s">
        <v>151</v>
      </c>
      <c r="BK764">
        <v>1</v>
      </c>
      <c r="BL764">
        <v>0</v>
      </c>
      <c r="BM764">
        <v>0</v>
      </c>
      <c r="BN764">
        <v>0</v>
      </c>
      <c r="BO764">
        <v>0</v>
      </c>
      <c r="BP764">
        <v>0</v>
      </c>
      <c r="BQ764">
        <v>0</v>
      </c>
      <c r="BR764">
        <v>0</v>
      </c>
    </row>
    <row r="765" spans="1:72" x14ac:dyDescent="0.2">
      <c r="A765" s="1">
        <v>44589.463888888888</v>
      </c>
      <c r="B765" s="1">
        <v>44589.46597222222</v>
      </c>
      <c r="C765">
        <v>1</v>
      </c>
      <c r="D765">
        <v>0</v>
      </c>
      <c r="E765">
        <v>0</v>
      </c>
      <c r="F765">
        <v>0</v>
      </c>
      <c r="H765">
        <v>0</v>
      </c>
      <c r="I765">
        <v>1</v>
      </c>
      <c r="J765">
        <v>0</v>
      </c>
      <c r="K765">
        <v>1</v>
      </c>
      <c r="L765">
        <v>0</v>
      </c>
      <c r="N765" t="s">
        <v>88</v>
      </c>
      <c r="O765" t="s">
        <v>89</v>
      </c>
      <c r="P765">
        <v>0</v>
      </c>
      <c r="Q765">
        <v>1</v>
      </c>
      <c r="R765">
        <v>0</v>
      </c>
      <c r="S765">
        <v>0</v>
      </c>
      <c r="T765">
        <v>0</v>
      </c>
      <c r="U765">
        <v>0</v>
      </c>
      <c r="V765">
        <v>0</v>
      </c>
      <c r="W765">
        <v>0</v>
      </c>
      <c r="X765">
        <v>0</v>
      </c>
      <c r="Y765">
        <v>0</v>
      </c>
      <c r="Z765">
        <v>0</v>
      </c>
      <c r="AA765">
        <v>0</v>
      </c>
      <c r="AM765" t="s">
        <v>90</v>
      </c>
      <c r="AN765" t="s">
        <v>82</v>
      </c>
      <c r="AO765" t="s">
        <v>81</v>
      </c>
      <c r="AP765" t="s">
        <v>90</v>
      </c>
      <c r="AQ765" t="s">
        <v>90</v>
      </c>
      <c r="AR765" t="s">
        <v>90</v>
      </c>
      <c r="AS765" t="s">
        <v>90</v>
      </c>
      <c r="AT765" t="s">
        <v>83</v>
      </c>
      <c r="AU765" t="s">
        <v>88</v>
      </c>
      <c r="AV765" t="s">
        <v>89</v>
      </c>
      <c r="AW765" t="s">
        <v>100</v>
      </c>
      <c r="AX765" t="s">
        <v>118</v>
      </c>
      <c r="AZ765" t="s">
        <v>96</v>
      </c>
      <c r="BA765" t="s">
        <v>87</v>
      </c>
      <c r="BB765" t="s">
        <v>87</v>
      </c>
      <c r="BC765" t="s">
        <v>87</v>
      </c>
      <c r="BD765" t="s">
        <v>87</v>
      </c>
      <c r="BE765" t="s">
        <v>87</v>
      </c>
      <c r="BF765" t="s">
        <v>75</v>
      </c>
      <c r="BG765" t="s">
        <v>76</v>
      </c>
      <c r="BH765" t="s">
        <v>77</v>
      </c>
      <c r="BI765" t="s">
        <v>96</v>
      </c>
      <c r="BJ765" t="s">
        <v>114</v>
      </c>
      <c r="BK765">
        <v>1</v>
      </c>
      <c r="BL765">
        <v>0</v>
      </c>
      <c r="BM765">
        <v>0</v>
      </c>
      <c r="BN765">
        <v>0</v>
      </c>
      <c r="BO765">
        <v>0</v>
      </c>
      <c r="BP765">
        <v>0</v>
      </c>
      <c r="BQ765">
        <v>0</v>
      </c>
      <c r="BR765">
        <v>0</v>
      </c>
    </row>
    <row r="766" spans="1:72" x14ac:dyDescent="0.2">
      <c r="A766" s="1">
        <v>44579.90625</v>
      </c>
      <c r="B766" s="1">
        <v>44579.90902777778</v>
      </c>
      <c r="C766">
        <v>1</v>
      </c>
      <c r="D766">
        <v>0</v>
      </c>
      <c r="E766">
        <v>0</v>
      </c>
      <c r="F766">
        <v>0</v>
      </c>
      <c r="H766">
        <v>1</v>
      </c>
      <c r="I766">
        <v>0</v>
      </c>
      <c r="J766">
        <v>0</v>
      </c>
      <c r="K766">
        <v>0</v>
      </c>
      <c r="L766">
        <v>0</v>
      </c>
      <c r="P766">
        <v>1</v>
      </c>
      <c r="Q766">
        <v>0</v>
      </c>
      <c r="R766">
        <v>0</v>
      </c>
      <c r="S766">
        <v>0</v>
      </c>
      <c r="T766">
        <v>0</v>
      </c>
      <c r="U766">
        <v>0</v>
      </c>
      <c r="V766">
        <v>0</v>
      </c>
      <c r="W766">
        <v>0</v>
      </c>
      <c r="X766">
        <v>0</v>
      </c>
      <c r="Y766">
        <v>0</v>
      </c>
      <c r="Z766">
        <v>0</v>
      </c>
      <c r="AA766">
        <v>0</v>
      </c>
      <c r="AC766">
        <v>0</v>
      </c>
      <c r="AD766">
        <v>0</v>
      </c>
      <c r="AE766">
        <v>0</v>
      </c>
      <c r="AF766">
        <v>0</v>
      </c>
      <c r="AG766">
        <v>0</v>
      </c>
      <c r="AH766">
        <v>0</v>
      </c>
      <c r="AI766">
        <v>0</v>
      </c>
      <c r="AJ766">
        <v>0</v>
      </c>
      <c r="AK766">
        <v>1</v>
      </c>
      <c r="AL766" t="s">
        <v>375</v>
      </c>
      <c r="AX766" t="s">
        <v>146</v>
      </c>
      <c r="AZ766" t="s">
        <v>107</v>
      </c>
      <c r="BA766" t="s">
        <v>86</v>
      </c>
      <c r="BB766" t="s">
        <v>86</v>
      </c>
      <c r="BC766" t="s">
        <v>87</v>
      </c>
      <c r="BD766" t="s">
        <v>87</v>
      </c>
      <c r="BE766" t="s">
        <v>86</v>
      </c>
      <c r="BF766" t="s">
        <v>75</v>
      </c>
      <c r="BG766" t="s">
        <v>76</v>
      </c>
      <c r="BH766" t="s">
        <v>98</v>
      </c>
      <c r="BI766" t="s">
        <v>107</v>
      </c>
      <c r="BJ766" t="s">
        <v>114</v>
      </c>
      <c r="BK766">
        <v>1</v>
      </c>
      <c r="BL766">
        <v>0</v>
      </c>
      <c r="BM766">
        <v>0</v>
      </c>
      <c r="BN766">
        <v>0</v>
      </c>
      <c r="BO766">
        <v>0</v>
      </c>
      <c r="BP766">
        <v>0</v>
      </c>
      <c r="BQ766">
        <v>0</v>
      </c>
      <c r="BR766">
        <v>0</v>
      </c>
    </row>
    <row r="767" spans="1:72" x14ac:dyDescent="0.2">
      <c r="A767" s="1">
        <v>44579.783333333333</v>
      </c>
      <c r="B767" s="1">
        <v>44579.784722222219</v>
      </c>
      <c r="C767">
        <v>0</v>
      </c>
      <c r="D767">
        <v>0</v>
      </c>
      <c r="E767">
        <v>1</v>
      </c>
      <c r="F767">
        <v>0</v>
      </c>
      <c r="G767" t="s">
        <v>376</v>
      </c>
      <c r="H767">
        <v>1</v>
      </c>
      <c r="I767">
        <v>0</v>
      </c>
      <c r="J767">
        <v>0</v>
      </c>
      <c r="K767">
        <v>0</v>
      </c>
      <c r="L767">
        <v>0</v>
      </c>
      <c r="P767">
        <v>1</v>
      </c>
      <c r="Q767">
        <v>0</v>
      </c>
      <c r="R767">
        <v>0</v>
      </c>
      <c r="S767">
        <v>0</v>
      </c>
      <c r="T767">
        <v>0</v>
      </c>
      <c r="U767">
        <v>0</v>
      </c>
      <c r="V767">
        <v>0</v>
      </c>
      <c r="W767">
        <v>0</v>
      </c>
      <c r="X767">
        <v>0</v>
      </c>
      <c r="Y767">
        <v>0</v>
      </c>
      <c r="Z767">
        <v>0</v>
      </c>
      <c r="AA767">
        <v>0</v>
      </c>
      <c r="AC767">
        <v>0</v>
      </c>
      <c r="AD767">
        <v>1</v>
      </c>
      <c r="AE767">
        <v>0</v>
      </c>
      <c r="AF767">
        <v>0</v>
      </c>
      <c r="AG767">
        <v>0</v>
      </c>
      <c r="AH767">
        <v>0</v>
      </c>
      <c r="AI767">
        <v>0</v>
      </c>
      <c r="AJ767">
        <v>0</v>
      </c>
      <c r="AK767">
        <v>0</v>
      </c>
      <c r="AZ767" t="s">
        <v>73</v>
      </c>
      <c r="BA767" t="s">
        <v>86</v>
      </c>
      <c r="BB767" t="s">
        <v>87</v>
      </c>
      <c r="BC767" t="s">
        <v>87</v>
      </c>
      <c r="BD767" t="s">
        <v>74</v>
      </c>
      <c r="BE767" t="s">
        <v>87</v>
      </c>
      <c r="BF767" t="s">
        <v>97</v>
      </c>
      <c r="BG767" t="s">
        <v>76</v>
      </c>
      <c r="BH767" t="s">
        <v>98</v>
      </c>
      <c r="BI767" t="s">
        <v>73</v>
      </c>
      <c r="BJ767" t="s">
        <v>176</v>
      </c>
      <c r="BK767">
        <v>1</v>
      </c>
      <c r="BL767">
        <v>0</v>
      </c>
      <c r="BM767">
        <v>0</v>
      </c>
      <c r="BN767">
        <v>0</v>
      </c>
      <c r="BO767">
        <v>0</v>
      </c>
      <c r="BP767">
        <v>0</v>
      </c>
      <c r="BQ767">
        <v>0</v>
      </c>
      <c r="BR767">
        <v>0</v>
      </c>
    </row>
    <row r="768" spans="1:72" x14ac:dyDescent="0.2">
      <c r="A768" s="1">
        <v>44581.644444444442</v>
      </c>
      <c r="B768" s="1">
        <v>44581.647916666669</v>
      </c>
      <c r="C768">
        <v>0</v>
      </c>
      <c r="D768">
        <v>0</v>
      </c>
      <c r="E768">
        <v>1</v>
      </c>
      <c r="F768">
        <v>0</v>
      </c>
      <c r="G768" t="s">
        <v>377</v>
      </c>
      <c r="H768">
        <v>1</v>
      </c>
      <c r="I768">
        <v>0</v>
      </c>
      <c r="J768">
        <v>0</v>
      </c>
      <c r="K768">
        <v>0</v>
      </c>
      <c r="L768">
        <v>0</v>
      </c>
      <c r="P768">
        <v>1</v>
      </c>
      <c r="Q768">
        <v>0</v>
      </c>
      <c r="R768">
        <v>0</v>
      </c>
      <c r="S768">
        <v>0</v>
      </c>
      <c r="T768">
        <v>0</v>
      </c>
      <c r="U768">
        <v>0</v>
      </c>
      <c r="V768">
        <v>0</v>
      </c>
      <c r="W768">
        <v>0</v>
      </c>
      <c r="X768">
        <v>0</v>
      </c>
      <c r="Y768">
        <v>0</v>
      </c>
      <c r="Z768">
        <v>0</v>
      </c>
      <c r="AA768">
        <v>0</v>
      </c>
      <c r="AC768">
        <v>0</v>
      </c>
      <c r="AD768">
        <v>0</v>
      </c>
      <c r="AE768">
        <v>0</v>
      </c>
      <c r="AF768">
        <v>0</v>
      </c>
      <c r="AG768">
        <v>0</v>
      </c>
      <c r="AH768">
        <v>0</v>
      </c>
      <c r="AI768">
        <v>1</v>
      </c>
      <c r="AJ768">
        <v>0</v>
      </c>
      <c r="AK768">
        <v>0</v>
      </c>
      <c r="AZ768" t="s">
        <v>73</v>
      </c>
      <c r="BA768" t="s">
        <v>86</v>
      </c>
      <c r="BB768" t="s">
        <v>86</v>
      </c>
      <c r="BC768" t="s">
        <v>86</v>
      </c>
      <c r="BD768" t="s">
        <v>86</v>
      </c>
      <c r="BE768" t="s">
        <v>86</v>
      </c>
      <c r="BF768" t="s">
        <v>97</v>
      </c>
      <c r="BG768" t="s">
        <v>76</v>
      </c>
      <c r="BH768" t="s">
        <v>158</v>
      </c>
      <c r="BI768" t="s">
        <v>73</v>
      </c>
      <c r="BJ768" t="s">
        <v>78</v>
      </c>
      <c r="BK768">
        <v>0</v>
      </c>
      <c r="BL768">
        <v>0</v>
      </c>
      <c r="BM768">
        <v>0</v>
      </c>
      <c r="BN768">
        <v>1</v>
      </c>
      <c r="BO768">
        <v>0</v>
      </c>
      <c r="BP768">
        <v>0</v>
      </c>
      <c r="BQ768">
        <v>0</v>
      </c>
      <c r="BR768">
        <v>0</v>
      </c>
    </row>
    <row r="769" spans="1:70" x14ac:dyDescent="0.2">
      <c r="A769" s="1">
        <v>44586.035416666666</v>
      </c>
      <c r="B769" s="1">
        <v>44586.039583333331</v>
      </c>
      <c r="C769">
        <v>1</v>
      </c>
      <c r="D769">
        <v>0</v>
      </c>
      <c r="E769">
        <v>0</v>
      </c>
      <c r="F769">
        <v>0</v>
      </c>
      <c r="H769">
        <v>0</v>
      </c>
      <c r="I769">
        <v>1</v>
      </c>
      <c r="J769">
        <v>1</v>
      </c>
      <c r="K769">
        <v>0</v>
      </c>
      <c r="L769">
        <v>0</v>
      </c>
      <c r="N769" t="s">
        <v>88</v>
      </c>
      <c r="O769" t="s">
        <v>89</v>
      </c>
      <c r="P769">
        <v>0</v>
      </c>
      <c r="Q769">
        <v>0</v>
      </c>
      <c r="R769">
        <v>1</v>
      </c>
      <c r="S769">
        <v>0</v>
      </c>
      <c r="T769">
        <v>0</v>
      </c>
      <c r="U769">
        <v>0</v>
      </c>
      <c r="V769">
        <v>0</v>
      </c>
      <c r="W769">
        <v>0</v>
      </c>
      <c r="X769">
        <v>0</v>
      </c>
      <c r="Y769">
        <v>0</v>
      </c>
      <c r="Z769">
        <v>0</v>
      </c>
      <c r="AA769">
        <v>0</v>
      </c>
      <c r="AM769" t="s">
        <v>83</v>
      </c>
      <c r="AN769" t="s">
        <v>82</v>
      </c>
      <c r="AO769" t="s">
        <v>83</v>
      </c>
      <c r="AP769" t="s">
        <v>81</v>
      </c>
      <c r="AQ769" t="s">
        <v>82</v>
      </c>
      <c r="AR769" t="s">
        <v>81</v>
      </c>
      <c r="AS769" t="s">
        <v>81</v>
      </c>
      <c r="AT769" t="s">
        <v>83</v>
      </c>
      <c r="AU769" t="s">
        <v>88</v>
      </c>
      <c r="AV769" t="s">
        <v>89</v>
      </c>
      <c r="AW769" t="s">
        <v>85</v>
      </c>
      <c r="AZ769" t="s">
        <v>107</v>
      </c>
      <c r="BA769" t="s">
        <v>87</v>
      </c>
      <c r="BB769" t="s">
        <v>87</v>
      </c>
      <c r="BC769" t="s">
        <v>87</v>
      </c>
      <c r="BD769" t="s">
        <v>86</v>
      </c>
      <c r="BE769" t="s">
        <v>86</v>
      </c>
      <c r="BF769" t="s">
        <v>97</v>
      </c>
      <c r="BG769" t="s">
        <v>92</v>
      </c>
      <c r="BH769" t="s">
        <v>98</v>
      </c>
      <c r="BI769" t="s">
        <v>107</v>
      </c>
      <c r="BJ769" t="s">
        <v>78</v>
      </c>
      <c r="BK769">
        <v>0</v>
      </c>
      <c r="BL769">
        <v>0</v>
      </c>
      <c r="BM769">
        <v>0</v>
      </c>
      <c r="BN769">
        <v>0</v>
      </c>
      <c r="BO769">
        <v>1</v>
      </c>
      <c r="BP769">
        <v>0</v>
      </c>
      <c r="BQ769">
        <v>0</v>
      </c>
      <c r="BR769">
        <v>0</v>
      </c>
    </row>
    <row r="770" spans="1:70" x14ac:dyDescent="0.2">
      <c r="A770" s="1">
        <v>44590.050694444442</v>
      </c>
      <c r="B770" s="1">
        <v>44590.053472222222</v>
      </c>
      <c r="C770">
        <v>1</v>
      </c>
      <c r="D770">
        <v>0</v>
      </c>
      <c r="E770">
        <v>0</v>
      </c>
      <c r="F770">
        <v>0</v>
      </c>
      <c r="H770">
        <v>0</v>
      </c>
      <c r="I770">
        <v>1</v>
      </c>
      <c r="J770">
        <v>1</v>
      </c>
      <c r="K770">
        <v>0</v>
      </c>
      <c r="L770">
        <v>0</v>
      </c>
      <c r="N770" t="s">
        <v>88</v>
      </c>
      <c r="O770" t="s">
        <v>89</v>
      </c>
      <c r="P770">
        <v>0</v>
      </c>
      <c r="Q770">
        <v>1</v>
      </c>
      <c r="R770">
        <v>0</v>
      </c>
      <c r="S770">
        <v>0</v>
      </c>
      <c r="T770">
        <v>0</v>
      </c>
      <c r="U770">
        <v>0</v>
      </c>
      <c r="V770">
        <v>0</v>
      </c>
      <c r="W770">
        <v>0</v>
      </c>
      <c r="X770">
        <v>0</v>
      </c>
      <c r="Y770">
        <v>0</v>
      </c>
      <c r="Z770">
        <v>0</v>
      </c>
      <c r="AA770">
        <v>0</v>
      </c>
      <c r="AM770" t="s">
        <v>83</v>
      </c>
      <c r="AN770" t="s">
        <v>81</v>
      </c>
      <c r="AO770" t="s">
        <v>83</v>
      </c>
      <c r="AP770" t="s">
        <v>83</v>
      </c>
      <c r="AQ770" t="s">
        <v>83</v>
      </c>
      <c r="AR770" t="s">
        <v>83</v>
      </c>
      <c r="AS770" t="s">
        <v>83</v>
      </c>
      <c r="AT770" t="s">
        <v>83</v>
      </c>
      <c r="AU770" t="s">
        <v>88</v>
      </c>
      <c r="AV770" t="s">
        <v>89</v>
      </c>
      <c r="AW770" t="s">
        <v>100</v>
      </c>
      <c r="AX770" t="s">
        <v>191</v>
      </c>
      <c r="AZ770" t="s">
        <v>96</v>
      </c>
      <c r="BA770" t="s">
        <v>87</v>
      </c>
      <c r="BB770" t="s">
        <v>87</v>
      </c>
      <c r="BC770" t="s">
        <v>87</v>
      </c>
      <c r="BD770" t="s">
        <v>74</v>
      </c>
      <c r="BE770" t="s">
        <v>87</v>
      </c>
      <c r="BF770" t="s">
        <v>75</v>
      </c>
      <c r="BG770" t="s">
        <v>76</v>
      </c>
      <c r="BH770" t="s">
        <v>93</v>
      </c>
      <c r="BI770" t="s">
        <v>96</v>
      </c>
      <c r="BJ770" t="s">
        <v>114</v>
      </c>
      <c r="BK770">
        <v>0</v>
      </c>
      <c r="BL770">
        <v>0</v>
      </c>
      <c r="BM770">
        <v>0</v>
      </c>
      <c r="BN770">
        <v>0</v>
      </c>
      <c r="BO770">
        <v>1</v>
      </c>
      <c r="BP770">
        <v>0</v>
      </c>
      <c r="BQ770">
        <v>0</v>
      </c>
      <c r="BR770">
        <v>0</v>
      </c>
    </row>
    <row r="771" spans="1:70" x14ac:dyDescent="0.2">
      <c r="A771" s="1">
        <v>44585.568749999999</v>
      </c>
      <c r="B771" s="1">
        <v>44585.570833333331</v>
      </c>
      <c r="C771">
        <v>1</v>
      </c>
      <c r="D771">
        <v>0</v>
      </c>
      <c r="E771">
        <v>0</v>
      </c>
      <c r="F771">
        <v>0</v>
      </c>
      <c r="H771">
        <v>0</v>
      </c>
      <c r="I771">
        <v>1</v>
      </c>
      <c r="J771">
        <v>0</v>
      </c>
      <c r="K771">
        <v>1</v>
      </c>
      <c r="L771">
        <v>1</v>
      </c>
      <c r="M771" t="s">
        <v>378</v>
      </c>
      <c r="N771" t="s">
        <v>88</v>
      </c>
      <c r="O771" t="s">
        <v>89</v>
      </c>
      <c r="P771">
        <v>0</v>
      </c>
      <c r="Q771">
        <v>1</v>
      </c>
      <c r="R771">
        <v>1</v>
      </c>
      <c r="S771">
        <v>0</v>
      </c>
      <c r="T771">
        <v>0</v>
      </c>
      <c r="U771">
        <v>0</v>
      </c>
      <c r="V771">
        <v>0</v>
      </c>
      <c r="W771">
        <v>0</v>
      </c>
      <c r="X771">
        <v>0</v>
      </c>
      <c r="Y771">
        <v>0</v>
      </c>
      <c r="Z771">
        <v>0</v>
      </c>
      <c r="AA771">
        <v>0</v>
      </c>
      <c r="AM771" t="s">
        <v>83</v>
      </c>
      <c r="AN771" t="s">
        <v>82</v>
      </c>
      <c r="AO771" t="s">
        <v>82</v>
      </c>
      <c r="AP771" t="s">
        <v>82</v>
      </c>
      <c r="AQ771" t="s">
        <v>81</v>
      </c>
      <c r="AR771" t="s">
        <v>83</v>
      </c>
      <c r="AS771" t="s">
        <v>83</v>
      </c>
      <c r="AT771" t="s">
        <v>83</v>
      </c>
      <c r="AU771" t="s">
        <v>88</v>
      </c>
      <c r="AV771" t="s">
        <v>89</v>
      </c>
      <c r="AW771" t="s">
        <v>100</v>
      </c>
      <c r="AZ771" t="s">
        <v>73</v>
      </c>
      <c r="BA771" t="s">
        <v>87</v>
      </c>
      <c r="BB771" t="s">
        <v>87</v>
      </c>
      <c r="BC771" t="s">
        <v>87</v>
      </c>
      <c r="BD771" t="s">
        <v>87</v>
      </c>
      <c r="BE771" t="s">
        <v>87</v>
      </c>
      <c r="BF771" t="s">
        <v>97</v>
      </c>
      <c r="BG771" t="s">
        <v>76</v>
      </c>
      <c r="BH771" t="s">
        <v>98</v>
      </c>
      <c r="BI771" t="s">
        <v>73</v>
      </c>
      <c r="BJ771" t="s">
        <v>109</v>
      </c>
      <c r="BK771">
        <v>0</v>
      </c>
      <c r="BL771">
        <v>0</v>
      </c>
      <c r="BM771">
        <v>0</v>
      </c>
      <c r="BN771">
        <v>0</v>
      </c>
      <c r="BO771">
        <v>0</v>
      </c>
      <c r="BP771">
        <v>1</v>
      </c>
      <c r="BQ771">
        <v>0</v>
      </c>
      <c r="BR771">
        <v>0</v>
      </c>
    </row>
    <row r="772" spans="1:70" x14ac:dyDescent="0.2">
      <c r="A772" s="1">
        <v>44585.683333333334</v>
      </c>
      <c r="B772" s="1">
        <v>44585.684027777781</v>
      </c>
      <c r="C772">
        <v>1</v>
      </c>
      <c r="D772">
        <v>0</v>
      </c>
      <c r="E772">
        <v>0</v>
      </c>
      <c r="F772">
        <v>0</v>
      </c>
      <c r="H772">
        <v>1</v>
      </c>
      <c r="I772">
        <v>0</v>
      </c>
      <c r="J772">
        <v>0</v>
      </c>
      <c r="K772">
        <v>0</v>
      </c>
      <c r="L772">
        <v>0</v>
      </c>
      <c r="P772">
        <v>1</v>
      </c>
      <c r="Q772">
        <v>0</v>
      </c>
      <c r="R772">
        <v>0</v>
      </c>
      <c r="S772">
        <v>0</v>
      </c>
      <c r="T772">
        <v>0</v>
      </c>
      <c r="U772">
        <v>0</v>
      </c>
      <c r="V772">
        <v>0</v>
      </c>
      <c r="W772">
        <v>0</v>
      </c>
      <c r="X772">
        <v>0</v>
      </c>
      <c r="Y772">
        <v>0</v>
      </c>
      <c r="Z772">
        <v>0</v>
      </c>
      <c r="AA772">
        <v>0</v>
      </c>
      <c r="AC772">
        <v>0</v>
      </c>
      <c r="AD772">
        <v>1</v>
      </c>
      <c r="AE772">
        <v>0</v>
      </c>
      <c r="AF772">
        <v>0</v>
      </c>
      <c r="AG772">
        <v>0</v>
      </c>
      <c r="AH772">
        <v>0</v>
      </c>
      <c r="AI772">
        <v>0</v>
      </c>
      <c r="AJ772">
        <v>0</v>
      </c>
      <c r="AK772">
        <v>0</v>
      </c>
      <c r="AZ772" t="s">
        <v>107</v>
      </c>
      <c r="BA772" t="s">
        <v>74</v>
      </c>
      <c r="BF772" t="s">
        <v>97</v>
      </c>
      <c r="BG772" t="s">
        <v>92</v>
      </c>
      <c r="BH772" t="s">
        <v>98</v>
      </c>
      <c r="BI772" t="s">
        <v>107</v>
      </c>
      <c r="BJ772" t="s">
        <v>94</v>
      </c>
      <c r="BK772">
        <v>0</v>
      </c>
      <c r="BL772">
        <v>0</v>
      </c>
      <c r="BM772">
        <v>0</v>
      </c>
      <c r="BN772">
        <v>0</v>
      </c>
      <c r="BO772">
        <v>1</v>
      </c>
      <c r="BP772">
        <v>1</v>
      </c>
      <c r="BQ772">
        <v>0</v>
      </c>
      <c r="BR772">
        <v>0</v>
      </c>
    </row>
    <row r="773" spans="1:70" x14ac:dyDescent="0.2">
      <c r="A773" s="1">
        <v>44580.208333333336</v>
      </c>
      <c r="B773" s="1">
        <v>44580.209027777775</v>
      </c>
      <c r="C773">
        <v>1</v>
      </c>
      <c r="D773">
        <v>0</v>
      </c>
      <c r="E773">
        <v>0</v>
      </c>
      <c r="F773">
        <v>0</v>
      </c>
      <c r="H773">
        <v>1</v>
      </c>
      <c r="I773">
        <v>0</v>
      </c>
      <c r="J773">
        <v>0</v>
      </c>
      <c r="K773">
        <v>0</v>
      </c>
      <c r="L773">
        <v>0</v>
      </c>
      <c r="P773">
        <v>1</v>
      </c>
      <c r="Q773">
        <v>0</v>
      </c>
      <c r="R773">
        <v>0</v>
      </c>
      <c r="S773">
        <v>0</v>
      </c>
      <c r="T773">
        <v>0</v>
      </c>
      <c r="U773">
        <v>0</v>
      </c>
      <c r="V773">
        <v>0</v>
      </c>
      <c r="W773">
        <v>0</v>
      </c>
      <c r="X773">
        <v>0</v>
      </c>
      <c r="Y773">
        <v>0</v>
      </c>
      <c r="Z773">
        <v>0</v>
      </c>
      <c r="AA773">
        <v>0</v>
      </c>
      <c r="AC773">
        <v>0</v>
      </c>
      <c r="AD773">
        <v>0</v>
      </c>
      <c r="AE773">
        <v>1</v>
      </c>
      <c r="AF773">
        <v>0</v>
      </c>
      <c r="AG773">
        <v>0</v>
      </c>
      <c r="AH773">
        <v>0</v>
      </c>
      <c r="AI773">
        <v>0</v>
      </c>
      <c r="AJ773">
        <v>0</v>
      </c>
      <c r="AK773">
        <v>0</v>
      </c>
      <c r="AZ773" t="s">
        <v>73</v>
      </c>
      <c r="BA773" t="s">
        <v>87</v>
      </c>
      <c r="BB773" t="s">
        <v>87</v>
      </c>
      <c r="BC773" t="s">
        <v>87</v>
      </c>
      <c r="BD773" t="s">
        <v>87</v>
      </c>
      <c r="BE773" t="s">
        <v>87</v>
      </c>
      <c r="BF773" t="s">
        <v>159</v>
      </c>
      <c r="BG773" t="s">
        <v>76</v>
      </c>
      <c r="BH773" t="s">
        <v>93</v>
      </c>
      <c r="BI773" t="s">
        <v>73</v>
      </c>
      <c r="BJ773" t="s">
        <v>114</v>
      </c>
      <c r="BK773">
        <v>0</v>
      </c>
      <c r="BL773">
        <v>0</v>
      </c>
      <c r="BM773">
        <v>0</v>
      </c>
      <c r="BN773">
        <v>0</v>
      </c>
      <c r="BO773">
        <v>1</v>
      </c>
      <c r="BP773">
        <v>0</v>
      </c>
      <c r="BQ773">
        <v>0</v>
      </c>
      <c r="BR773">
        <v>0</v>
      </c>
    </row>
    <row r="774" spans="1:70" x14ac:dyDescent="0.2">
      <c r="A774" s="1">
        <v>44581.53125</v>
      </c>
      <c r="B774" s="1">
        <v>44581.533333333333</v>
      </c>
      <c r="C774">
        <v>1</v>
      </c>
      <c r="D774">
        <v>0</v>
      </c>
      <c r="E774">
        <v>0</v>
      </c>
      <c r="F774">
        <v>0</v>
      </c>
      <c r="H774">
        <v>0</v>
      </c>
      <c r="I774">
        <v>1</v>
      </c>
      <c r="J774">
        <v>1</v>
      </c>
      <c r="K774">
        <v>0</v>
      </c>
      <c r="L774">
        <v>0</v>
      </c>
      <c r="N774" t="s">
        <v>88</v>
      </c>
      <c r="O774" t="s">
        <v>89</v>
      </c>
      <c r="P774">
        <v>0</v>
      </c>
      <c r="Q774">
        <v>0</v>
      </c>
      <c r="R774">
        <v>1</v>
      </c>
      <c r="S774">
        <v>0</v>
      </c>
      <c r="T774">
        <v>0</v>
      </c>
      <c r="U774">
        <v>0</v>
      </c>
      <c r="V774">
        <v>0</v>
      </c>
      <c r="W774">
        <v>0</v>
      </c>
      <c r="X774">
        <v>0</v>
      </c>
      <c r="Y774">
        <v>0</v>
      </c>
      <c r="Z774">
        <v>0</v>
      </c>
      <c r="AA774">
        <v>0</v>
      </c>
      <c r="AM774" t="s">
        <v>81</v>
      </c>
      <c r="AN774" t="s">
        <v>81</v>
      </c>
      <c r="AO774" t="s">
        <v>83</v>
      </c>
      <c r="AP774" t="s">
        <v>81</v>
      </c>
      <c r="AQ774" t="s">
        <v>82</v>
      </c>
      <c r="AR774" t="s">
        <v>81</v>
      </c>
      <c r="AS774" t="s">
        <v>83</v>
      </c>
      <c r="AT774" t="s">
        <v>83</v>
      </c>
      <c r="AU774" t="s">
        <v>88</v>
      </c>
      <c r="AV774" t="s">
        <v>89</v>
      </c>
      <c r="AW774" t="s">
        <v>85</v>
      </c>
      <c r="AX774" t="s">
        <v>72</v>
      </c>
      <c r="AZ774" t="s">
        <v>107</v>
      </c>
      <c r="BA774" t="s">
        <v>87</v>
      </c>
      <c r="BB774" t="s">
        <v>87</v>
      </c>
      <c r="BC774" t="s">
        <v>87</v>
      </c>
      <c r="BD774" t="s">
        <v>87</v>
      </c>
      <c r="BE774" t="s">
        <v>87</v>
      </c>
      <c r="BF774" t="s">
        <v>75</v>
      </c>
      <c r="BG774" t="s">
        <v>76</v>
      </c>
      <c r="BH774" t="s">
        <v>93</v>
      </c>
      <c r="BI774" t="s">
        <v>107</v>
      </c>
      <c r="BJ774" t="s">
        <v>94</v>
      </c>
      <c r="BK774">
        <v>0</v>
      </c>
      <c r="BL774">
        <v>0</v>
      </c>
      <c r="BM774">
        <v>0</v>
      </c>
      <c r="BN774">
        <v>0</v>
      </c>
      <c r="BO774">
        <v>0</v>
      </c>
      <c r="BP774">
        <v>1</v>
      </c>
      <c r="BQ774">
        <v>0</v>
      </c>
      <c r="BR774">
        <v>0</v>
      </c>
    </row>
    <row r="775" spans="1:70" x14ac:dyDescent="0.2">
      <c r="A775" s="1">
        <v>44579.786805555559</v>
      </c>
      <c r="B775" s="1">
        <v>44579.788888888892</v>
      </c>
      <c r="C775">
        <v>1</v>
      </c>
      <c r="D775">
        <v>0</v>
      </c>
      <c r="E775">
        <v>0</v>
      </c>
      <c r="F775">
        <v>0</v>
      </c>
      <c r="H775">
        <v>0</v>
      </c>
      <c r="I775">
        <v>0</v>
      </c>
      <c r="J775">
        <v>0</v>
      </c>
      <c r="K775">
        <v>0</v>
      </c>
      <c r="L775">
        <v>1</v>
      </c>
      <c r="M775" t="s">
        <v>379</v>
      </c>
      <c r="N775" t="s">
        <v>135</v>
      </c>
      <c r="O775" t="s">
        <v>80</v>
      </c>
      <c r="P775">
        <v>1</v>
      </c>
      <c r="Q775">
        <v>0</v>
      </c>
      <c r="R775">
        <v>0</v>
      </c>
      <c r="S775">
        <v>0</v>
      </c>
      <c r="T775">
        <v>0</v>
      </c>
      <c r="U775">
        <v>0</v>
      </c>
      <c r="V775">
        <v>0</v>
      </c>
      <c r="W775">
        <v>0</v>
      </c>
      <c r="X775">
        <v>0</v>
      </c>
      <c r="Y775">
        <v>0</v>
      </c>
      <c r="Z775">
        <v>0</v>
      </c>
      <c r="AA775">
        <v>0</v>
      </c>
      <c r="AC775">
        <v>0</v>
      </c>
      <c r="AD775">
        <v>1</v>
      </c>
      <c r="AE775">
        <v>0</v>
      </c>
      <c r="AF775">
        <v>0</v>
      </c>
      <c r="AG775">
        <v>0</v>
      </c>
      <c r="AH775">
        <v>0</v>
      </c>
      <c r="AI775">
        <v>0</v>
      </c>
      <c r="AJ775">
        <v>0</v>
      </c>
      <c r="AK775">
        <v>0</v>
      </c>
      <c r="AX775" t="s">
        <v>72</v>
      </c>
      <c r="AZ775" t="s">
        <v>73</v>
      </c>
      <c r="BA775" t="s">
        <v>86</v>
      </c>
      <c r="BB775" t="s">
        <v>86</v>
      </c>
      <c r="BC775" t="s">
        <v>86</v>
      </c>
      <c r="BD775" t="s">
        <v>86</v>
      </c>
      <c r="BE775" t="s">
        <v>86</v>
      </c>
      <c r="BF775" t="s">
        <v>75</v>
      </c>
      <c r="BG775" t="s">
        <v>76</v>
      </c>
      <c r="BH775" t="s">
        <v>77</v>
      </c>
      <c r="BI775" t="s">
        <v>73</v>
      </c>
      <c r="BJ775" t="s">
        <v>78</v>
      </c>
      <c r="BK775">
        <v>0</v>
      </c>
      <c r="BL775">
        <v>0</v>
      </c>
      <c r="BM775">
        <v>0</v>
      </c>
      <c r="BN775">
        <v>0</v>
      </c>
      <c r="BO775">
        <v>0</v>
      </c>
      <c r="BP775">
        <v>1</v>
      </c>
      <c r="BQ775">
        <v>0</v>
      </c>
      <c r="BR775">
        <v>0</v>
      </c>
    </row>
    <row r="776" spans="1:70" x14ac:dyDescent="0.2">
      <c r="A776" s="1">
        <v>44581.023611111108</v>
      </c>
      <c r="B776" s="1">
        <v>44581.025694444441</v>
      </c>
      <c r="C776">
        <v>1</v>
      </c>
      <c r="D776">
        <v>0</v>
      </c>
      <c r="E776">
        <v>0</v>
      </c>
      <c r="F776">
        <v>0</v>
      </c>
      <c r="H776">
        <v>0</v>
      </c>
      <c r="I776">
        <v>1</v>
      </c>
      <c r="J776">
        <v>0</v>
      </c>
      <c r="K776">
        <v>0</v>
      </c>
      <c r="L776">
        <v>0</v>
      </c>
      <c r="N776" t="s">
        <v>79</v>
      </c>
      <c r="O776" t="s">
        <v>89</v>
      </c>
      <c r="P776">
        <v>1</v>
      </c>
      <c r="Q776">
        <v>0</v>
      </c>
      <c r="R776">
        <v>0</v>
      </c>
      <c r="S776">
        <v>0</v>
      </c>
      <c r="T776">
        <v>0</v>
      </c>
      <c r="U776">
        <v>0</v>
      </c>
      <c r="V776">
        <v>0</v>
      </c>
      <c r="W776">
        <v>0</v>
      </c>
      <c r="X776">
        <v>0</v>
      </c>
      <c r="Y776">
        <v>0</v>
      </c>
      <c r="Z776">
        <v>0</v>
      </c>
      <c r="AA776">
        <v>0</v>
      </c>
      <c r="AC776">
        <v>0</v>
      </c>
      <c r="AD776">
        <v>0</v>
      </c>
      <c r="AE776">
        <v>1</v>
      </c>
      <c r="AF776">
        <v>0</v>
      </c>
      <c r="AG776">
        <v>0</v>
      </c>
      <c r="AH776">
        <v>0</v>
      </c>
      <c r="AI776">
        <v>0</v>
      </c>
      <c r="AJ776">
        <v>0</v>
      </c>
      <c r="AK776">
        <v>0</v>
      </c>
      <c r="AX776" t="s">
        <v>110</v>
      </c>
      <c r="AY776" t="s">
        <v>380</v>
      </c>
      <c r="AZ776" t="s">
        <v>73</v>
      </c>
      <c r="BA776" t="s">
        <v>87</v>
      </c>
      <c r="BB776" t="s">
        <v>87</v>
      </c>
      <c r="BC776" t="s">
        <v>87</v>
      </c>
      <c r="BD776" t="s">
        <v>87</v>
      </c>
      <c r="BE776" t="s">
        <v>87</v>
      </c>
      <c r="BF776" t="s">
        <v>75</v>
      </c>
      <c r="BG776" t="s">
        <v>76</v>
      </c>
      <c r="BH776" t="s">
        <v>98</v>
      </c>
      <c r="BI776" t="s">
        <v>73</v>
      </c>
      <c r="BJ776" t="s">
        <v>114</v>
      </c>
      <c r="BK776">
        <v>0</v>
      </c>
      <c r="BL776">
        <v>0</v>
      </c>
      <c r="BM776">
        <v>0</v>
      </c>
      <c r="BN776">
        <v>0</v>
      </c>
      <c r="BO776">
        <v>0</v>
      </c>
      <c r="BP776">
        <v>1</v>
      </c>
      <c r="BQ776">
        <v>0</v>
      </c>
      <c r="BR776">
        <v>0</v>
      </c>
    </row>
    <row r="777" spans="1:70" x14ac:dyDescent="0.2">
      <c r="A777" s="1">
        <v>44579.884027777778</v>
      </c>
      <c r="B777" s="1">
        <v>44579.885416666664</v>
      </c>
      <c r="C777">
        <v>1</v>
      </c>
      <c r="D777">
        <v>0</v>
      </c>
      <c r="E777">
        <v>0</v>
      </c>
      <c r="F777">
        <v>0</v>
      </c>
      <c r="H777">
        <v>0</v>
      </c>
      <c r="I777">
        <v>1</v>
      </c>
      <c r="J777">
        <v>1</v>
      </c>
      <c r="K777">
        <v>1</v>
      </c>
      <c r="L777">
        <v>0</v>
      </c>
      <c r="N777" t="s">
        <v>88</v>
      </c>
      <c r="O777" t="s">
        <v>89</v>
      </c>
      <c r="P777">
        <v>0</v>
      </c>
      <c r="Q777">
        <v>0</v>
      </c>
      <c r="R777">
        <v>1</v>
      </c>
      <c r="S777">
        <v>0</v>
      </c>
      <c r="T777">
        <v>0</v>
      </c>
      <c r="U777">
        <v>0</v>
      </c>
      <c r="V777">
        <v>0</v>
      </c>
      <c r="W777">
        <v>0</v>
      </c>
      <c r="X777">
        <v>0</v>
      </c>
      <c r="Y777">
        <v>0</v>
      </c>
      <c r="Z777">
        <v>0</v>
      </c>
      <c r="AA777">
        <v>0</v>
      </c>
      <c r="AM777" t="s">
        <v>83</v>
      </c>
      <c r="AN777" t="s">
        <v>82</v>
      </c>
      <c r="AO777" t="s">
        <v>81</v>
      </c>
      <c r="AP777" t="s">
        <v>81</v>
      </c>
      <c r="AQ777" t="s">
        <v>81</v>
      </c>
      <c r="AR777" t="s">
        <v>83</v>
      </c>
      <c r="AS777" t="s">
        <v>81</v>
      </c>
      <c r="AT777" t="s">
        <v>83</v>
      </c>
      <c r="AU777" t="s">
        <v>88</v>
      </c>
      <c r="AV777" t="s">
        <v>89</v>
      </c>
      <c r="AW777" t="s">
        <v>100</v>
      </c>
      <c r="AX777" t="s">
        <v>146</v>
      </c>
      <c r="AZ777" t="s">
        <v>107</v>
      </c>
      <c r="BA777" t="s">
        <v>87</v>
      </c>
      <c r="BB777" t="s">
        <v>87</v>
      </c>
      <c r="BC777" t="s">
        <v>87</v>
      </c>
      <c r="BD777" t="s">
        <v>87</v>
      </c>
      <c r="BE777" t="s">
        <v>86</v>
      </c>
      <c r="BF777" t="s">
        <v>75</v>
      </c>
      <c r="BG777" t="s">
        <v>76</v>
      </c>
      <c r="BH777" t="s">
        <v>77</v>
      </c>
      <c r="BI777" t="s">
        <v>107</v>
      </c>
      <c r="BJ777" t="s">
        <v>114</v>
      </c>
      <c r="BK777">
        <v>0</v>
      </c>
      <c r="BL777">
        <v>0</v>
      </c>
      <c r="BM777">
        <v>0</v>
      </c>
      <c r="BN777">
        <v>0</v>
      </c>
      <c r="BO777">
        <v>1</v>
      </c>
      <c r="BP777">
        <v>1</v>
      </c>
      <c r="BQ777">
        <v>0</v>
      </c>
      <c r="BR777">
        <v>0</v>
      </c>
    </row>
    <row r="778" spans="1:70" x14ac:dyDescent="0.2">
      <c r="A778" s="1">
        <v>44585.589583333334</v>
      </c>
      <c r="B778" s="1">
        <v>44585.591666666667</v>
      </c>
      <c r="C778">
        <v>1</v>
      </c>
      <c r="D778">
        <v>0</v>
      </c>
      <c r="E778">
        <v>0</v>
      </c>
      <c r="F778">
        <v>0</v>
      </c>
      <c r="H778">
        <v>0</v>
      </c>
      <c r="I778">
        <v>1</v>
      </c>
      <c r="J778">
        <v>0</v>
      </c>
      <c r="K778">
        <v>0</v>
      </c>
      <c r="L778">
        <v>0</v>
      </c>
      <c r="N778" t="s">
        <v>88</v>
      </c>
      <c r="O778" t="s">
        <v>89</v>
      </c>
      <c r="P778">
        <v>1</v>
      </c>
      <c r="Q778">
        <v>0</v>
      </c>
      <c r="R778">
        <v>0</v>
      </c>
      <c r="S778">
        <v>0</v>
      </c>
      <c r="T778">
        <v>0</v>
      </c>
      <c r="U778">
        <v>0</v>
      </c>
      <c r="V778">
        <v>0</v>
      </c>
      <c r="W778">
        <v>0</v>
      </c>
      <c r="X778">
        <v>0</v>
      </c>
      <c r="Y778">
        <v>0</v>
      </c>
      <c r="Z778">
        <v>0</v>
      </c>
      <c r="AA778">
        <v>0</v>
      </c>
      <c r="AC778">
        <v>0</v>
      </c>
      <c r="AD778">
        <v>0</v>
      </c>
      <c r="AE778">
        <v>1</v>
      </c>
      <c r="AF778">
        <v>0</v>
      </c>
      <c r="AG778">
        <v>0</v>
      </c>
      <c r="AH778">
        <v>0</v>
      </c>
      <c r="AI778">
        <v>1</v>
      </c>
      <c r="AJ778">
        <v>0</v>
      </c>
      <c r="AK778">
        <v>0</v>
      </c>
      <c r="AZ778" t="s">
        <v>73</v>
      </c>
      <c r="BA778" t="s">
        <v>86</v>
      </c>
      <c r="BB778" t="s">
        <v>86</v>
      </c>
      <c r="BC778" t="s">
        <v>87</v>
      </c>
      <c r="BD778" t="s">
        <v>74</v>
      </c>
      <c r="BE778" t="s">
        <v>87</v>
      </c>
      <c r="BF778" t="s">
        <v>97</v>
      </c>
      <c r="BG778" t="s">
        <v>76</v>
      </c>
      <c r="BH778" t="s">
        <v>158</v>
      </c>
      <c r="BI778" t="s">
        <v>73</v>
      </c>
      <c r="BJ778" t="s">
        <v>114</v>
      </c>
      <c r="BK778">
        <v>0</v>
      </c>
      <c r="BL778">
        <v>0</v>
      </c>
      <c r="BM778">
        <v>0</v>
      </c>
      <c r="BN778">
        <v>0</v>
      </c>
      <c r="BO778">
        <v>0</v>
      </c>
      <c r="BP778">
        <v>1</v>
      </c>
      <c r="BQ778">
        <v>0</v>
      </c>
      <c r="BR778">
        <v>0</v>
      </c>
    </row>
    <row r="779" spans="1:70" x14ac:dyDescent="0.2">
      <c r="A779" s="1">
        <v>44585.525694444441</v>
      </c>
      <c r="B779" s="1">
        <v>44585.527777777781</v>
      </c>
      <c r="C779">
        <v>0</v>
      </c>
      <c r="D779">
        <v>1</v>
      </c>
      <c r="E779">
        <v>0</v>
      </c>
      <c r="F779">
        <v>0</v>
      </c>
      <c r="H779">
        <v>0</v>
      </c>
      <c r="I779">
        <v>1</v>
      </c>
      <c r="J779">
        <v>0</v>
      </c>
      <c r="K779">
        <v>0</v>
      </c>
      <c r="L779">
        <v>0</v>
      </c>
      <c r="N779" t="s">
        <v>135</v>
      </c>
      <c r="O779" t="s">
        <v>127</v>
      </c>
      <c r="P779">
        <v>0</v>
      </c>
      <c r="Q779">
        <v>1</v>
      </c>
      <c r="R779">
        <v>0</v>
      </c>
      <c r="S779">
        <v>0</v>
      </c>
      <c r="T779">
        <v>0</v>
      </c>
      <c r="U779">
        <v>0</v>
      </c>
      <c r="V779">
        <v>0</v>
      </c>
      <c r="W779">
        <v>0</v>
      </c>
      <c r="X779">
        <v>0</v>
      </c>
      <c r="Y779">
        <v>0</v>
      </c>
      <c r="Z779">
        <v>0</v>
      </c>
      <c r="AA779">
        <v>0</v>
      </c>
      <c r="AM779" t="s">
        <v>81</v>
      </c>
      <c r="AN779" t="s">
        <v>81</v>
      </c>
      <c r="AO779" t="s">
        <v>83</v>
      </c>
      <c r="AP779" t="s">
        <v>82</v>
      </c>
      <c r="AQ779" t="s">
        <v>82</v>
      </c>
      <c r="AR779" t="s">
        <v>81</v>
      </c>
      <c r="AS779" t="s">
        <v>82</v>
      </c>
      <c r="AT779" t="s">
        <v>83</v>
      </c>
      <c r="AU779" t="s">
        <v>135</v>
      </c>
      <c r="AV779" t="s">
        <v>127</v>
      </c>
      <c r="AW779" t="s">
        <v>100</v>
      </c>
      <c r="AX779" t="s">
        <v>122</v>
      </c>
      <c r="AZ779" t="s">
        <v>73</v>
      </c>
      <c r="BA779" t="s">
        <v>86</v>
      </c>
      <c r="BB779" t="s">
        <v>86</v>
      </c>
      <c r="BC779" t="s">
        <v>86</v>
      </c>
      <c r="BD779" t="s">
        <v>74</v>
      </c>
      <c r="BE779" t="s">
        <v>86</v>
      </c>
      <c r="BF779" t="s">
        <v>75</v>
      </c>
      <c r="BG779" t="s">
        <v>76</v>
      </c>
      <c r="BH779" t="s">
        <v>77</v>
      </c>
      <c r="BI779" t="s">
        <v>73</v>
      </c>
      <c r="BJ779" t="s">
        <v>109</v>
      </c>
      <c r="BK779">
        <v>0</v>
      </c>
      <c r="BL779">
        <v>0</v>
      </c>
      <c r="BM779">
        <v>0</v>
      </c>
      <c r="BN779">
        <v>0</v>
      </c>
      <c r="BO779">
        <v>1</v>
      </c>
      <c r="BP779">
        <v>0</v>
      </c>
      <c r="BQ779">
        <v>0</v>
      </c>
      <c r="BR779">
        <v>0</v>
      </c>
    </row>
    <row r="780" spans="1:70" x14ac:dyDescent="0.2">
      <c r="A780" s="1">
        <v>44585.602777777778</v>
      </c>
      <c r="B780" s="1">
        <v>44585.606249999997</v>
      </c>
      <c r="C780">
        <v>0</v>
      </c>
      <c r="D780">
        <v>1</v>
      </c>
      <c r="E780">
        <v>0</v>
      </c>
      <c r="F780">
        <v>0</v>
      </c>
      <c r="H780">
        <v>1</v>
      </c>
      <c r="I780">
        <v>0</v>
      </c>
      <c r="J780">
        <v>0</v>
      </c>
      <c r="K780">
        <v>0</v>
      </c>
      <c r="L780">
        <v>0</v>
      </c>
      <c r="P780">
        <v>1</v>
      </c>
      <c r="Q780">
        <v>0</v>
      </c>
      <c r="R780">
        <v>0</v>
      </c>
      <c r="S780">
        <v>0</v>
      </c>
      <c r="T780">
        <v>0</v>
      </c>
      <c r="U780">
        <v>0</v>
      </c>
      <c r="V780">
        <v>0</v>
      </c>
      <c r="W780">
        <v>0</v>
      </c>
      <c r="X780">
        <v>0</v>
      </c>
      <c r="Y780">
        <v>0</v>
      </c>
      <c r="Z780">
        <v>0</v>
      </c>
      <c r="AA780">
        <v>0</v>
      </c>
      <c r="AC780">
        <v>0</v>
      </c>
      <c r="AD780">
        <v>0</v>
      </c>
      <c r="AE780">
        <v>1</v>
      </c>
      <c r="AF780">
        <v>0</v>
      </c>
      <c r="AG780">
        <v>0</v>
      </c>
      <c r="AH780">
        <v>1</v>
      </c>
      <c r="AI780">
        <v>0</v>
      </c>
      <c r="AJ780">
        <v>0</v>
      </c>
      <c r="AK780">
        <v>0</v>
      </c>
      <c r="AZ780" t="s">
        <v>96</v>
      </c>
      <c r="BA780" t="s">
        <v>87</v>
      </c>
      <c r="BB780" t="s">
        <v>87</v>
      </c>
      <c r="BC780" t="s">
        <v>74</v>
      </c>
      <c r="BD780" t="s">
        <v>87</v>
      </c>
      <c r="BE780" t="s">
        <v>87</v>
      </c>
      <c r="BF780" t="s">
        <v>97</v>
      </c>
      <c r="BG780" t="s">
        <v>76</v>
      </c>
      <c r="BH780" t="s">
        <v>98</v>
      </c>
      <c r="BI780" t="s">
        <v>96</v>
      </c>
      <c r="BK780">
        <v>0</v>
      </c>
      <c r="BL780">
        <v>0</v>
      </c>
      <c r="BM780">
        <v>0</v>
      </c>
      <c r="BN780">
        <v>0</v>
      </c>
      <c r="BO780">
        <v>1</v>
      </c>
      <c r="BP780">
        <v>0</v>
      </c>
      <c r="BQ780">
        <v>0</v>
      </c>
      <c r="BR780">
        <v>0</v>
      </c>
    </row>
    <row r="781" spans="1:70" x14ac:dyDescent="0.2">
      <c r="A781" s="1">
        <v>44581.336111111108</v>
      </c>
      <c r="B781" s="1">
        <v>44581.339583333334</v>
      </c>
      <c r="C781">
        <v>1</v>
      </c>
      <c r="D781">
        <v>0</v>
      </c>
      <c r="E781">
        <v>0</v>
      </c>
      <c r="F781">
        <v>0</v>
      </c>
      <c r="H781">
        <v>0</v>
      </c>
      <c r="I781">
        <v>0</v>
      </c>
      <c r="J781">
        <v>0</v>
      </c>
      <c r="K781">
        <v>0</v>
      </c>
      <c r="L781">
        <v>1</v>
      </c>
      <c r="M781" t="s">
        <v>381</v>
      </c>
      <c r="N781" t="s">
        <v>127</v>
      </c>
      <c r="O781" t="s">
        <v>127</v>
      </c>
      <c r="P781">
        <v>0</v>
      </c>
      <c r="Q781">
        <v>1</v>
      </c>
      <c r="R781">
        <v>0</v>
      </c>
      <c r="S781">
        <v>0</v>
      </c>
      <c r="T781">
        <v>0</v>
      </c>
      <c r="U781">
        <v>0</v>
      </c>
      <c r="V781">
        <v>0</v>
      </c>
      <c r="W781">
        <v>0</v>
      </c>
      <c r="X781">
        <v>0</v>
      </c>
      <c r="Y781">
        <v>0</v>
      </c>
      <c r="Z781">
        <v>0</v>
      </c>
      <c r="AA781">
        <v>1</v>
      </c>
      <c r="AB781" t="s">
        <v>382</v>
      </c>
      <c r="AM781" t="s">
        <v>90</v>
      </c>
      <c r="AN781" t="s">
        <v>90</v>
      </c>
      <c r="AO781" t="s">
        <v>90</v>
      </c>
      <c r="AP781" t="s">
        <v>90</v>
      </c>
      <c r="AQ781" t="s">
        <v>82</v>
      </c>
      <c r="AR781" t="s">
        <v>90</v>
      </c>
      <c r="AS781" t="s">
        <v>90</v>
      </c>
      <c r="AT781" t="s">
        <v>90</v>
      </c>
      <c r="AU781" t="s">
        <v>127</v>
      </c>
      <c r="AV781" t="s">
        <v>127</v>
      </c>
      <c r="AX781" t="s">
        <v>106</v>
      </c>
      <c r="AZ781" t="s">
        <v>107</v>
      </c>
      <c r="BA781" t="s">
        <v>74</v>
      </c>
      <c r="BF781" t="s">
        <v>75</v>
      </c>
      <c r="BG781" t="s">
        <v>76</v>
      </c>
      <c r="BH781" t="s">
        <v>98</v>
      </c>
      <c r="BI781" t="s">
        <v>107</v>
      </c>
      <c r="BJ781" t="s">
        <v>114</v>
      </c>
      <c r="BK781">
        <v>0</v>
      </c>
      <c r="BL781">
        <v>0</v>
      </c>
      <c r="BM781">
        <v>0</v>
      </c>
      <c r="BN781">
        <v>1</v>
      </c>
      <c r="BO781">
        <v>1</v>
      </c>
      <c r="BP781">
        <v>0</v>
      </c>
      <c r="BQ781">
        <v>0</v>
      </c>
      <c r="BR781">
        <v>0</v>
      </c>
    </row>
    <row r="782" spans="1:70" x14ac:dyDescent="0.2">
      <c r="A782" s="1">
        <v>44585.530555555553</v>
      </c>
      <c r="B782" s="1">
        <v>44585.531944444447</v>
      </c>
      <c r="C782">
        <v>1</v>
      </c>
      <c r="D782">
        <v>0</v>
      </c>
      <c r="E782">
        <v>0</v>
      </c>
      <c r="F782">
        <v>0</v>
      </c>
      <c r="H782">
        <v>0</v>
      </c>
      <c r="I782">
        <v>1</v>
      </c>
      <c r="J782">
        <v>0</v>
      </c>
      <c r="K782">
        <v>0</v>
      </c>
      <c r="L782">
        <v>0</v>
      </c>
      <c r="N782" t="s">
        <v>79</v>
      </c>
      <c r="O782" t="s">
        <v>89</v>
      </c>
      <c r="P782">
        <v>0</v>
      </c>
      <c r="Q782">
        <v>0</v>
      </c>
      <c r="R782">
        <v>0</v>
      </c>
      <c r="S782">
        <v>0</v>
      </c>
      <c r="T782">
        <v>1</v>
      </c>
      <c r="U782">
        <v>0</v>
      </c>
      <c r="V782">
        <v>0</v>
      </c>
      <c r="W782">
        <v>0</v>
      </c>
      <c r="X782">
        <v>0</v>
      </c>
      <c r="Y782">
        <v>0</v>
      </c>
      <c r="Z782">
        <v>0</v>
      </c>
      <c r="AA782">
        <v>0</v>
      </c>
      <c r="AM782" t="s">
        <v>82</v>
      </c>
      <c r="AN782" t="s">
        <v>82</v>
      </c>
      <c r="AO782" t="s">
        <v>81</v>
      </c>
      <c r="AP782" t="s">
        <v>82</v>
      </c>
      <c r="AQ782" t="s">
        <v>82</v>
      </c>
      <c r="AR782" t="s">
        <v>81</v>
      </c>
      <c r="AS782" t="s">
        <v>82</v>
      </c>
      <c r="AT782" t="s">
        <v>83</v>
      </c>
      <c r="AU782" t="s">
        <v>88</v>
      </c>
      <c r="AV782" t="s">
        <v>89</v>
      </c>
      <c r="AW782" t="s">
        <v>85</v>
      </c>
      <c r="AZ782" t="s">
        <v>96</v>
      </c>
      <c r="BA782" t="s">
        <v>87</v>
      </c>
      <c r="BB782" t="s">
        <v>87</v>
      </c>
      <c r="BC782" t="s">
        <v>87</v>
      </c>
      <c r="BD782" t="s">
        <v>87</v>
      </c>
      <c r="BE782" t="s">
        <v>87</v>
      </c>
      <c r="BF782" t="s">
        <v>97</v>
      </c>
      <c r="BG782" t="s">
        <v>92</v>
      </c>
      <c r="BH782" t="s">
        <v>98</v>
      </c>
      <c r="BI782" t="s">
        <v>96</v>
      </c>
      <c r="BJ782" t="s">
        <v>109</v>
      </c>
      <c r="BK782">
        <v>0</v>
      </c>
      <c r="BL782">
        <v>0</v>
      </c>
      <c r="BM782">
        <v>0</v>
      </c>
      <c r="BN782">
        <v>0</v>
      </c>
      <c r="BO782">
        <v>1</v>
      </c>
      <c r="BP782">
        <v>1</v>
      </c>
      <c r="BQ782">
        <v>0</v>
      </c>
      <c r="BR782">
        <v>0</v>
      </c>
    </row>
    <row r="783" spans="1:70" x14ac:dyDescent="0.2">
      <c r="A783" s="1">
        <v>44579.822916666664</v>
      </c>
      <c r="B783" s="1">
        <v>44579.829861111109</v>
      </c>
      <c r="C783">
        <v>1</v>
      </c>
      <c r="D783">
        <v>0</v>
      </c>
      <c r="E783">
        <v>0</v>
      </c>
      <c r="F783">
        <v>0</v>
      </c>
      <c r="H783">
        <v>0</v>
      </c>
      <c r="I783">
        <v>1</v>
      </c>
      <c r="J783">
        <v>0</v>
      </c>
      <c r="K783">
        <v>1</v>
      </c>
      <c r="L783">
        <v>1</v>
      </c>
      <c r="M783" t="s">
        <v>383</v>
      </c>
      <c r="N783" t="s">
        <v>88</v>
      </c>
      <c r="O783" t="s">
        <v>89</v>
      </c>
      <c r="P783">
        <v>0</v>
      </c>
      <c r="Q783">
        <v>1</v>
      </c>
      <c r="R783">
        <v>0</v>
      </c>
      <c r="S783">
        <v>0</v>
      </c>
      <c r="T783">
        <v>0</v>
      </c>
      <c r="U783">
        <v>0</v>
      </c>
      <c r="V783">
        <v>0</v>
      </c>
      <c r="W783">
        <v>0</v>
      </c>
      <c r="X783">
        <v>0</v>
      </c>
      <c r="Y783">
        <v>0</v>
      </c>
      <c r="Z783">
        <v>0</v>
      </c>
      <c r="AA783">
        <v>0</v>
      </c>
      <c r="AM783" t="s">
        <v>83</v>
      </c>
      <c r="AN783" t="s">
        <v>82</v>
      </c>
      <c r="AO783" t="s">
        <v>90</v>
      </c>
      <c r="AP783" t="s">
        <v>90</v>
      </c>
      <c r="AQ783" t="s">
        <v>90</v>
      </c>
      <c r="AR783" t="s">
        <v>90</v>
      </c>
      <c r="AS783" t="s">
        <v>83</v>
      </c>
      <c r="AT783" t="s">
        <v>90</v>
      </c>
      <c r="AU783" t="s">
        <v>88</v>
      </c>
      <c r="AV783" t="s">
        <v>89</v>
      </c>
      <c r="AW783" t="s">
        <v>100</v>
      </c>
      <c r="AX783" t="s">
        <v>106</v>
      </c>
      <c r="AZ783" t="s">
        <v>107</v>
      </c>
      <c r="BA783" t="s">
        <v>86</v>
      </c>
      <c r="BB783" t="s">
        <v>86</v>
      </c>
      <c r="BC783" t="s">
        <v>86</v>
      </c>
      <c r="BD783" t="s">
        <v>87</v>
      </c>
      <c r="BE783" t="s">
        <v>86</v>
      </c>
      <c r="BF783" t="s">
        <v>108</v>
      </c>
      <c r="BG783" t="s">
        <v>76</v>
      </c>
      <c r="BH783" t="s">
        <v>93</v>
      </c>
      <c r="BI783" t="s">
        <v>107</v>
      </c>
      <c r="BJ783" t="s">
        <v>114</v>
      </c>
      <c r="BK783">
        <v>0</v>
      </c>
      <c r="BL783">
        <v>0</v>
      </c>
      <c r="BM783">
        <v>0</v>
      </c>
      <c r="BN783">
        <v>0</v>
      </c>
      <c r="BO783">
        <v>1</v>
      </c>
      <c r="BP783">
        <v>0</v>
      </c>
      <c r="BQ783">
        <v>0</v>
      </c>
      <c r="BR783">
        <v>0</v>
      </c>
    </row>
    <row r="784" spans="1:70" x14ac:dyDescent="0.2">
      <c r="A784" s="1">
        <v>44579.84097222222</v>
      </c>
      <c r="B784" s="1">
        <v>44579.842361111114</v>
      </c>
      <c r="C784">
        <v>1</v>
      </c>
      <c r="D784">
        <v>0</v>
      </c>
      <c r="E784">
        <v>0</v>
      </c>
      <c r="F784">
        <v>0</v>
      </c>
      <c r="H784">
        <v>1</v>
      </c>
      <c r="I784">
        <v>0</v>
      </c>
      <c r="J784">
        <v>0</v>
      </c>
      <c r="K784">
        <v>0</v>
      </c>
      <c r="L784">
        <v>0</v>
      </c>
      <c r="P784">
        <v>0</v>
      </c>
      <c r="Q784">
        <v>1</v>
      </c>
      <c r="R784">
        <v>0</v>
      </c>
      <c r="S784">
        <v>0</v>
      </c>
      <c r="T784">
        <v>0</v>
      </c>
      <c r="U784">
        <v>0</v>
      </c>
      <c r="V784">
        <v>0</v>
      </c>
      <c r="W784">
        <v>0</v>
      </c>
      <c r="X784">
        <v>0</v>
      </c>
      <c r="Y784">
        <v>0</v>
      </c>
      <c r="Z784">
        <v>0</v>
      </c>
      <c r="AA784">
        <v>0</v>
      </c>
      <c r="AM784" t="s">
        <v>83</v>
      </c>
      <c r="AN784" t="s">
        <v>81</v>
      </c>
      <c r="AO784" t="s">
        <v>82</v>
      </c>
      <c r="AP784" t="s">
        <v>83</v>
      </c>
      <c r="AQ784" t="s">
        <v>83</v>
      </c>
      <c r="AR784" t="s">
        <v>83</v>
      </c>
      <c r="AS784" t="s">
        <v>83</v>
      </c>
      <c r="AT784" t="s">
        <v>83</v>
      </c>
      <c r="AU784" t="s">
        <v>84</v>
      </c>
      <c r="AV784" t="s">
        <v>89</v>
      </c>
      <c r="AW784" t="s">
        <v>100</v>
      </c>
      <c r="AZ784" t="s">
        <v>107</v>
      </c>
      <c r="BA784" t="s">
        <v>87</v>
      </c>
      <c r="BB784" t="s">
        <v>86</v>
      </c>
      <c r="BC784" t="s">
        <v>86</v>
      </c>
      <c r="BD784" t="s">
        <v>87</v>
      </c>
      <c r="BE784" t="s">
        <v>86</v>
      </c>
      <c r="BF784" t="s">
        <v>101</v>
      </c>
      <c r="BG784" t="s">
        <v>76</v>
      </c>
      <c r="BH784" t="s">
        <v>98</v>
      </c>
      <c r="BI784" t="s">
        <v>107</v>
      </c>
      <c r="BJ784" t="s">
        <v>147</v>
      </c>
      <c r="BK784">
        <v>0</v>
      </c>
      <c r="BL784">
        <v>0</v>
      </c>
      <c r="BM784">
        <v>0</v>
      </c>
      <c r="BN784">
        <v>0</v>
      </c>
      <c r="BO784">
        <v>0</v>
      </c>
      <c r="BP784">
        <v>1</v>
      </c>
      <c r="BQ784">
        <v>0</v>
      </c>
      <c r="BR784">
        <v>0</v>
      </c>
    </row>
    <row r="785" spans="1:70" x14ac:dyDescent="0.2">
      <c r="A785" s="1">
        <v>44579.886111111111</v>
      </c>
      <c r="B785" s="1">
        <v>44579.887499999997</v>
      </c>
      <c r="C785">
        <v>1</v>
      </c>
      <c r="D785">
        <v>0</v>
      </c>
      <c r="E785">
        <v>0</v>
      </c>
      <c r="F785">
        <v>0</v>
      </c>
      <c r="H785">
        <v>1</v>
      </c>
      <c r="I785">
        <v>0</v>
      </c>
      <c r="J785">
        <v>0</v>
      </c>
      <c r="K785">
        <v>0</v>
      </c>
      <c r="L785">
        <v>0</v>
      </c>
      <c r="P785">
        <v>1</v>
      </c>
      <c r="Q785">
        <v>0</v>
      </c>
      <c r="R785">
        <v>0</v>
      </c>
      <c r="S785">
        <v>0</v>
      </c>
      <c r="T785">
        <v>0</v>
      </c>
      <c r="U785">
        <v>0</v>
      </c>
      <c r="V785">
        <v>0</v>
      </c>
      <c r="W785">
        <v>0</v>
      </c>
      <c r="X785">
        <v>0</v>
      </c>
      <c r="Y785">
        <v>0</v>
      </c>
      <c r="Z785">
        <v>0</v>
      </c>
      <c r="AA785">
        <v>0</v>
      </c>
      <c r="AC785">
        <v>0</v>
      </c>
      <c r="AD785">
        <v>0</v>
      </c>
      <c r="AE785">
        <v>1</v>
      </c>
      <c r="AF785">
        <v>0</v>
      </c>
      <c r="AG785">
        <v>0</v>
      </c>
      <c r="AH785">
        <v>0</v>
      </c>
      <c r="AI785">
        <v>0</v>
      </c>
      <c r="AJ785">
        <v>0</v>
      </c>
      <c r="AK785">
        <v>0</v>
      </c>
      <c r="AX785" t="s">
        <v>72</v>
      </c>
      <c r="AZ785" t="s">
        <v>107</v>
      </c>
      <c r="BA785" t="s">
        <v>87</v>
      </c>
      <c r="BB785" t="s">
        <v>87</v>
      </c>
      <c r="BC785" t="s">
        <v>87</v>
      </c>
      <c r="BD785" t="s">
        <v>87</v>
      </c>
      <c r="BE785" t="s">
        <v>87</v>
      </c>
      <c r="BF785" t="s">
        <v>75</v>
      </c>
      <c r="BG785" t="s">
        <v>76</v>
      </c>
      <c r="BH785" t="s">
        <v>77</v>
      </c>
      <c r="BI785" t="s">
        <v>107</v>
      </c>
      <c r="BJ785" t="s">
        <v>78</v>
      </c>
      <c r="BK785">
        <v>0</v>
      </c>
      <c r="BL785">
        <v>0</v>
      </c>
      <c r="BM785">
        <v>0</v>
      </c>
      <c r="BN785">
        <v>0</v>
      </c>
      <c r="BO785">
        <v>1</v>
      </c>
      <c r="BP785">
        <v>0</v>
      </c>
      <c r="BQ785">
        <v>0</v>
      </c>
      <c r="BR785">
        <v>0</v>
      </c>
    </row>
    <row r="786" spans="1:70" x14ac:dyDescent="0.2">
      <c r="A786" s="1">
        <v>44585.538888888892</v>
      </c>
      <c r="B786" s="1">
        <v>44585.541666666664</v>
      </c>
      <c r="C786">
        <v>1</v>
      </c>
      <c r="D786">
        <v>0</v>
      </c>
      <c r="E786">
        <v>0</v>
      </c>
      <c r="F786">
        <v>0</v>
      </c>
      <c r="H786">
        <v>1</v>
      </c>
      <c r="I786">
        <v>0</v>
      </c>
      <c r="J786">
        <v>0</v>
      </c>
      <c r="K786">
        <v>0</v>
      </c>
      <c r="L786">
        <v>0</v>
      </c>
      <c r="P786">
        <v>0</v>
      </c>
      <c r="Q786">
        <v>0</v>
      </c>
      <c r="R786">
        <v>1</v>
      </c>
      <c r="S786">
        <v>0</v>
      </c>
      <c r="T786">
        <v>0</v>
      </c>
      <c r="U786">
        <v>0</v>
      </c>
      <c r="V786">
        <v>0</v>
      </c>
      <c r="W786">
        <v>0</v>
      </c>
      <c r="X786">
        <v>0</v>
      </c>
      <c r="Y786">
        <v>0</v>
      </c>
      <c r="Z786">
        <v>0</v>
      </c>
      <c r="AA786">
        <v>0</v>
      </c>
      <c r="AM786" t="s">
        <v>82</v>
      </c>
      <c r="AN786" t="s">
        <v>83</v>
      </c>
      <c r="AO786" t="s">
        <v>83</v>
      </c>
      <c r="AP786" t="s">
        <v>83</v>
      </c>
      <c r="AQ786" t="s">
        <v>82</v>
      </c>
      <c r="AR786" t="s">
        <v>81</v>
      </c>
      <c r="AS786" t="s">
        <v>81</v>
      </c>
      <c r="AT786" t="s">
        <v>83</v>
      </c>
      <c r="AU786" t="s">
        <v>84</v>
      </c>
      <c r="AV786" t="s">
        <v>80</v>
      </c>
      <c r="AW786" t="s">
        <v>85</v>
      </c>
      <c r="AZ786" t="s">
        <v>107</v>
      </c>
      <c r="BA786" t="s">
        <v>74</v>
      </c>
      <c r="BF786" t="s">
        <v>101</v>
      </c>
      <c r="BG786" t="s">
        <v>92</v>
      </c>
      <c r="BH786" t="s">
        <v>98</v>
      </c>
      <c r="BI786" t="s">
        <v>107</v>
      </c>
      <c r="BJ786" t="s">
        <v>109</v>
      </c>
      <c r="BK786">
        <v>0</v>
      </c>
      <c r="BL786">
        <v>0</v>
      </c>
      <c r="BM786">
        <v>0</v>
      </c>
      <c r="BN786">
        <v>0</v>
      </c>
      <c r="BO786">
        <v>1</v>
      </c>
      <c r="BP786">
        <v>0</v>
      </c>
      <c r="BQ786">
        <v>0</v>
      </c>
      <c r="BR786">
        <v>0</v>
      </c>
    </row>
    <row r="787" spans="1:70" x14ac:dyDescent="0.2">
      <c r="A787" s="1">
        <v>44588.902777777781</v>
      </c>
      <c r="B787" s="1">
        <v>44588.906944444447</v>
      </c>
      <c r="C787">
        <v>0</v>
      </c>
      <c r="D787">
        <v>1</v>
      </c>
      <c r="E787">
        <v>0</v>
      </c>
      <c r="F787">
        <v>0</v>
      </c>
      <c r="H787">
        <v>0</v>
      </c>
      <c r="I787">
        <v>1</v>
      </c>
      <c r="J787">
        <v>1</v>
      </c>
      <c r="K787">
        <v>1</v>
      </c>
      <c r="L787">
        <v>0</v>
      </c>
      <c r="N787" t="s">
        <v>88</v>
      </c>
      <c r="O787" t="s">
        <v>89</v>
      </c>
      <c r="P787">
        <v>0</v>
      </c>
      <c r="Q787">
        <v>0</v>
      </c>
      <c r="R787">
        <v>0</v>
      </c>
      <c r="S787">
        <v>0</v>
      </c>
      <c r="T787">
        <v>1</v>
      </c>
      <c r="U787">
        <v>0</v>
      </c>
      <c r="V787">
        <v>0</v>
      </c>
      <c r="W787">
        <v>0</v>
      </c>
      <c r="X787">
        <v>0</v>
      </c>
      <c r="Y787">
        <v>0</v>
      </c>
      <c r="Z787">
        <v>0</v>
      </c>
      <c r="AA787">
        <v>0</v>
      </c>
      <c r="AM787" t="s">
        <v>83</v>
      </c>
      <c r="AN787" t="s">
        <v>82</v>
      </c>
      <c r="AO787" t="s">
        <v>82</v>
      </c>
      <c r="AP787" t="s">
        <v>82</v>
      </c>
      <c r="AQ787" t="s">
        <v>81</v>
      </c>
      <c r="AR787" t="s">
        <v>83</v>
      </c>
      <c r="AS787" t="s">
        <v>83</v>
      </c>
      <c r="AT787" t="s">
        <v>83</v>
      </c>
      <c r="AU787" t="s">
        <v>88</v>
      </c>
      <c r="AV787" t="s">
        <v>89</v>
      </c>
      <c r="AW787" t="s">
        <v>100</v>
      </c>
      <c r="AX787" t="s">
        <v>191</v>
      </c>
      <c r="AZ787" t="s">
        <v>96</v>
      </c>
      <c r="BA787" t="s">
        <v>87</v>
      </c>
      <c r="BB787" t="s">
        <v>87</v>
      </c>
      <c r="BC787" t="s">
        <v>87</v>
      </c>
      <c r="BD787" t="s">
        <v>87</v>
      </c>
      <c r="BE787" t="s">
        <v>87</v>
      </c>
      <c r="BF787" t="s">
        <v>108</v>
      </c>
      <c r="BG787" t="s">
        <v>92</v>
      </c>
      <c r="BH787" t="s">
        <v>77</v>
      </c>
      <c r="BI787" t="s">
        <v>96</v>
      </c>
      <c r="BJ787" t="s">
        <v>78</v>
      </c>
      <c r="BK787">
        <v>0</v>
      </c>
      <c r="BL787">
        <v>0</v>
      </c>
      <c r="BM787">
        <v>0</v>
      </c>
      <c r="BN787">
        <v>0</v>
      </c>
      <c r="BO787">
        <v>1</v>
      </c>
      <c r="BP787">
        <v>0</v>
      </c>
      <c r="BQ787">
        <v>0</v>
      </c>
      <c r="BR787">
        <v>0</v>
      </c>
    </row>
    <row r="788" spans="1:70" x14ac:dyDescent="0.2">
      <c r="A788" s="1">
        <v>44579.898611111108</v>
      </c>
      <c r="B788" s="1">
        <v>44579.900694444441</v>
      </c>
      <c r="C788">
        <v>1</v>
      </c>
      <c r="D788">
        <v>0</v>
      </c>
      <c r="E788">
        <v>0</v>
      </c>
      <c r="F788">
        <v>0</v>
      </c>
      <c r="H788">
        <v>0</v>
      </c>
      <c r="I788">
        <v>1</v>
      </c>
      <c r="J788">
        <v>0</v>
      </c>
      <c r="K788">
        <v>0</v>
      </c>
      <c r="L788">
        <v>0</v>
      </c>
      <c r="N788" t="s">
        <v>88</v>
      </c>
      <c r="O788" t="s">
        <v>127</v>
      </c>
      <c r="P788">
        <v>0</v>
      </c>
      <c r="Q788">
        <v>0</v>
      </c>
      <c r="R788">
        <v>1</v>
      </c>
      <c r="S788">
        <v>0</v>
      </c>
      <c r="T788">
        <v>0</v>
      </c>
      <c r="U788">
        <v>0</v>
      </c>
      <c r="V788">
        <v>0</v>
      </c>
      <c r="W788">
        <v>0</v>
      </c>
      <c r="X788">
        <v>0</v>
      </c>
      <c r="Y788">
        <v>0</v>
      </c>
      <c r="Z788">
        <v>0</v>
      </c>
      <c r="AA788">
        <v>0</v>
      </c>
      <c r="AM788" t="s">
        <v>83</v>
      </c>
      <c r="AN788" t="s">
        <v>82</v>
      </c>
      <c r="AO788" t="s">
        <v>81</v>
      </c>
      <c r="AP788" t="s">
        <v>81</v>
      </c>
      <c r="AQ788" t="s">
        <v>82</v>
      </c>
      <c r="AR788" t="s">
        <v>83</v>
      </c>
      <c r="AS788" t="s">
        <v>82</v>
      </c>
      <c r="AT788" t="s">
        <v>81</v>
      </c>
      <c r="AU788" t="s">
        <v>127</v>
      </c>
      <c r="AV788" t="s">
        <v>127</v>
      </c>
      <c r="AX788" t="s">
        <v>72</v>
      </c>
      <c r="AZ788" t="s">
        <v>107</v>
      </c>
      <c r="BA788" t="s">
        <v>86</v>
      </c>
      <c r="BB788" t="s">
        <v>86</v>
      </c>
      <c r="BC788" t="s">
        <v>87</v>
      </c>
      <c r="BD788" t="s">
        <v>87</v>
      </c>
      <c r="BE788" t="s">
        <v>87</v>
      </c>
      <c r="BF788" t="s">
        <v>75</v>
      </c>
      <c r="BG788" t="s">
        <v>76</v>
      </c>
      <c r="BH788" t="s">
        <v>93</v>
      </c>
      <c r="BI788" t="s">
        <v>107</v>
      </c>
      <c r="BJ788" t="s">
        <v>78</v>
      </c>
      <c r="BK788">
        <v>0</v>
      </c>
      <c r="BL788">
        <v>0</v>
      </c>
      <c r="BM788">
        <v>0</v>
      </c>
      <c r="BN788">
        <v>0</v>
      </c>
      <c r="BO788">
        <v>1</v>
      </c>
      <c r="BP788">
        <v>0</v>
      </c>
      <c r="BQ788">
        <v>0</v>
      </c>
      <c r="BR788">
        <v>0</v>
      </c>
    </row>
    <row r="789" spans="1:70" x14ac:dyDescent="0.2">
      <c r="A789" s="1">
        <v>44579.770833333336</v>
      </c>
      <c r="B789" s="1">
        <v>44579.772222222222</v>
      </c>
      <c r="C789">
        <v>1</v>
      </c>
      <c r="D789">
        <v>0</v>
      </c>
      <c r="E789">
        <v>0</v>
      </c>
      <c r="F789">
        <v>0</v>
      </c>
      <c r="H789">
        <v>0</v>
      </c>
      <c r="I789">
        <v>1</v>
      </c>
      <c r="J789">
        <v>1</v>
      </c>
      <c r="K789">
        <v>1</v>
      </c>
      <c r="L789">
        <v>0</v>
      </c>
      <c r="N789" t="s">
        <v>135</v>
      </c>
      <c r="O789" t="s">
        <v>89</v>
      </c>
      <c r="P789">
        <v>0</v>
      </c>
      <c r="Q789">
        <v>1</v>
      </c>
      <c r="R789">
        <v>1</v>
      </c>
      <c r="S789">
        <v>0</v>
      </c>
      <c r="T789">
        <v>0</v>
      </c>
      <c r="U789">
        <v>0</v>
      </c>
      <c r="V789">
        <v>0</v>
      </c>
      <c r="W789">
        <v>0</v>
      </c>
      <c r="X789">
        <v>0</v>
      </c>
      <c r="Y789">
        <v>0</v>
      </c>
      <c r="Z789">
        <v>0</v>
      </c>
      <c r="AA789">
        <v>0</v>
      </c>
      <c r="AM789" t="s">
        <v>81</v>
      </c>
      <c r="AN789" t="s">
        <v>81</v>
      </c>
      <c r="AO789" t="s">
        <v>81</v>
      </c>
      <c r="AP789" t="s">
        <v>83</v>
      </c>
      <c r="AQ789" t="s">
        <v>82</v>
      </c>
      <c r="AR789" t="s">
        <v>83</v>
      </c>
      <c r="AS789" t="s">
        <v>81</v>
      </c>
      <c r="AT789" t="s">
        <v>83</v>
      </c>
      <c r="AU789" t="s">
        <v>88</v>
      </c>
      <c r="AV789" t="s">
        <v>89</v>
      </c>
      <c r="AW789" t="s">
        <v>100</v>
      </c>
      <c r="AZ789" t="s">
        <v>73</v>
      </c>
      <c r="BA789" t="s">
        <v>86</v>
      </c>
      <c r="BB789" t="s">
        <v>86</v>
      </c>
      <c r="BC789" t="s">
        <v>86</v>
      </c>
      <c r="BD789" t="s">
        <v>86</v>
      </c>
      <c r="BE789" t="s">
        <v>74</v>
      </c>
      <c r="BF789" t="s">
        <v>97</v>
      </c>
      <c r="BG789" t="s">
        <v>76</v>
      </c>
      <c r="BH789" t="s">
        <v>98</v>
      </c>
      <c r="BI789" t="s">
        <v>73</v>
      </c>
      <c r="BJ789" t="s">
        <v>78</v>
      </c>
      <c r="BK789">
        <v>0</v>
      </c>
      <c r="BL789">
        <v>0</v>
      </c>
      <c r="BM789">
        <v>0</v>
      </c>
      <c r="BN789">
        <v>0</v>
      </c>
      <c r="BO789">
        <v>1</v>
      </c>
      <c r="BP789">
        <v>0</v>
      </c>
      <c r="BQ789">
        <v>0</v>
      </c>
      <c r="BR789">
        <v>0</v>
      </c>
    </row>
    <row r="790" spans="1:70" x14ac:dyDescent="0.2">
      <c r="A790" s="1">
        <v>44580.5625</v>
      </c>
      <c r="B790" s="1">
        <v>44580.563888888886</v>
      </c>
      <c r="C790">
        <v>1</v>
      </c>
      <c r="D790">
        <v>0</v>
      </c>
      <c r="E790">
        <v>0</v>
      </c>
      <c r="F790">
        <v>0</v>
      </c>
      <c r="H790">
        <v>0</v>
      </c>
      <c r="I790">
        <v>1</v>
      </c>
      <c r="J790">
        <v>0</v>
      </c>
      <c r="K790">
        <v>0</v>
      </c>
      <c r="L790">
        <v>0</v>
      </c>
      <c r="N790" t="s">
        <v>135</v>
      </c>
      <c r="O790" t="s">
        <v>89</v>
      </c>
      <c r="P790">
        <v>0</v>
      </c>
      <c r="Q790">
        <v>0</v>
      </c>
      <c r="R790">
        <v>1</v>
      </c>
      <c r="S790">
        <v>0</v>
      </c>
      <c r="T790">
        <v>0</v>
      </c>
      <c r="U790">
        <v>0</v>
      </c>
      <c r="V790">
        <v>0</v>
      </c>
      <c r="W790">
        <v>0</v>
      </c>
      <c r="X790">
        <v>0</v>
      </c>
      <c r="Y790">
        <v>0</v>
      </c>
      <c r="Z790">
        <v>0</v>
      </c>
      <c r="AA790">
        <v>0</v>
      </c>
      <c r="AM790" t="s">
        <v>81</v>
      </c>
      <c r="AN790" t="s">
        <v>82</v>
      </c>
      <c r="AO790" t="s">
        <v>83</v>
      </c>
      <c r="AP790" t="s">
        <v>81</v>
      </c>
      <c r="AQ790" t="s">
        <v>81</v>
      </c>
      <c r="AR790" t="s">
        <v>83</v>
      </c>
      <c r="AS790" t="s">
        <v>81</v>
      </c>
      <c r="AT790" t="s">
        <v>83</v>
      </c>
      <c r="AU790" t="s">
        <v>88</v>
      </c>
      <c r="AV790" t="s">
        <v>89</v>
      </c>
      <c r="AW790" t="s">
        <v>85</v>
      </c>
      <c r="AX790" t="s">
        <v>199</v>
      </c>
      <c r="AZ790" t="s">
        <v>107</v>
      </c>
      <c r="BA790" t="s">
        <v>87</v>
      </c>
      <c r="BB790" t="s">
        <v>87</v>
      </c>
      <c r="BC790" t="s">
        <v>87</v>
      </c>
      <c r="BD790" t="s">
        <v>86</v>
      </c>
      <c r="BE790" t="s">
        <v>87</v>
      </c>
      <c r="BF790" t="s">
        <v>75</v>
      </c>
      <c r="BG790" t="s">
        <v>92</v>
      </c>
      <c r="BH790" t="s">
        <v>77</v>
      </c>
      <c r="BI790" t="s">
        <v>107</v>
      </c>
      <c r="BJ790" t="s">
        <v>114</v>
      </c>
      <c r="BK790">
        <v>0</v>
      </c>
      <c r="BL790">
        <v>0</v>
      </c>
      <c r="BM790">
        <v>0</v>
      </c>
      <c r="BN790">
        <v>0</v>
      </c>
      <c r="BO790">
        <v>1</v>
      </c>
      <c r="BP790">
        <v>1</v>
      </c>
      <c r="BQ790">
        <v>0</v>
      </c>
      <c r="BR790">
        <v>0</v>
      </c>
    </row>
    <row r="791" spans="1:70" x14ac:dyDescent="0.2">
      <c r="A791" s="1">
        <v>44586.182638888888</v>
      </c>
      <c r="B791" s="1">
        <v>44586.19027777778</v>
      </c>
      <c r="C791">
        <v>1</v>
      </c>
      <c r="D791">
        <v>0</v>
      </c>
      <c r="E791">
        <v>0</v>
      </c>
      <c r="F791">
        <v>0</v>
      </c>
      <c r="H791">
        <v>1</v>
      </c>
      <c r="I791">
        <v>0</v>
      </c>
      <c r="J791">
        <v>0</v>
      </c>
      <c r="K791">
        <v>0</v>
      </c>
      <c r="L791">
        <v>0</v>
      </c>
      <c r="P791">
        <v>0</v>
      </c>
      <c r="Q791">
        <v>1</v>
      </c>
      <c r="R791">
        <v>0</v>
      </c>
      <c r="S791">
        <v>0</v>
      </c>
      <c r="T791">
        <v>0</v>
      </c>
      <c r="U791">
        <v>0</v>
      </c>
      <c r="V791">
        <v>0</v>
      </c>
      <c r="W791">
        <v>0</v>
      </c>
      <c r="X791">
        <v>0</v>
      </c>
      <c r="Y791">
        <v>0</v>
      </c>
      <c r="Z791">
        <v>0</v>
      </c>
      <c r="AA791">
        <v>0</v>
      </c>
      <c r="AM791" t="s">
        <v>83</v>
      </c>
      <c r="AN791" t="s">
        <v>83</v>
      </c>
      <c r="AO791" t="s">
        <v>83</v>
      </c>
      <c r="AP791" t="s">
        <v>83</v>
      </c>
      <c r="AQ791" t="s">
        <v>83</v>
      </c>
      <c r="AR791" t="s">
        <v>83</v>
      </c>
      <c r="AS791" t="s">
        <v>83</v>
      </c>
      <c r="AT791" t="s">
        <v>83</v>
      </c>
      <c r="AU791" t="s">
        <v>135</v>
      </c>
      <c r="AV791" t="s">
        <v>80</v>
      </c>
      <c r="AW791" t="s">
        <v>117</v>
      </c>
      <c r="AZ791" t="s">
        <v>96</v>
      </c>
      <c r="BA791" t="s">
        <v>87</v>
      </c>
      <c r="BB791" t="s">
        <v>86</v>
      </c>
      <c r="BC791" t="s">
        <v>86</v>
      </c>
      <c r="BD791" t="s">
        <v>86</v>
      </c>
      <c r="BE791" t="s">
        <v>86</v>
      </c>
      <c r="BF791" t="s">
        <v>97</v>
      </c>
      <c r="BG791" t="s">
        <v>369</v>
      </c>
      <c r="BH791" t="s">
        <v>158</v>
      </c>
      <c r="BI791" t="s">
        <v>96</v>
      </c>
      <c r="BJ791" t="s">
        <v>94</v>
      </c>
      <c r="BK791">
        <v>0</v>
      </c>
      <c r="BL791">
        <v>0</v>
      </c>
      <c r="BM791">
        <v>0</v>
      </c>
      <c r="BN791">
        <v>0</v>
      </c>
      <c r="BO791">
        <v>0</v>
      </c>
      <c r="BP791">
        <v>1</v>
      </c>
      <c r="BQ791">
        <v>0</v>
      </c>
      <c r="BR791">
        <v>0</v>
      </c>
    </row>
    <row r="792" spans="1:70" x14ac:dyDescent="0.2">
      <c r="A792" s="1">
        <v>44580.862500000003</v>
      </c>
      <c r="B792" s="1">
        <v>44580.956944444442</v>
      </c>
      <c r="C792">
        <v>0</v>
      </c>
      <c r="D792">
        <v>1</v>
      </c>
      <c r="E792">
        <v>0</v>
      </c>
      <c r="F792">
        <v>0</v>
      </c>
      <c r="H792">
        <v>0</v>
      </c>
      <c r="I792">
        <v>1</v>
      </c>
      <c r="J792">
        <v>0</v>
      </c>
      <c r="K792">
        <v>0</v>
      </c>
      <c r="L792">
        <v>0</v>
      </c>
      <c r="N792" t="s">
        <v>88</v>
      </c>
      <c r="O792" t="s">
        <v>89</v>
      </c>
      <c r="P792">
        <v>0</v>
      </c>
      <c r="Q792">
        <v>1</v>
      </c>
      <c r="R792">
        <v>0</v>
      </c>
      <c r="S792">
        <v>0</v>
      </c>
      <c r="T792">
        <v>0</v>
      </c>
      <c r="U792">
        <v>0</v>
      </c>
      <c r="V792">
        <v>0</v>
      </c>
      <c r="W792">
        <v>0</v>
      </c>
      <c r="X792">
        <v>0</v>
      </c>
      <c r="Y792">
        <v>0</v>
      </c>
      <c r="Z792">
        <v>0</v>
      </c>
      <c r="AA792">
        <v>0</v>
      </c>
      <c r="AM792" t="s">
        <v>82</v>
      </c>
      <c r="AN792" t="s">
        <v>82</v>
      </c>
      <c r="AO792" t="s">
        <v>81</v>
      </c>
      <c r="AP792" t="s">
        <v>90</v>
      </c>
      <c r="AQ792" t="s">
        <v>82</v>
      </c>
      <c r="AR792" t="s">
        <v>83</v>
      </c>
      <c r="AS792" t="s">
        <v>83</v>
      </c>
      <c r="AT792" t="s">
        <v>83</v>
      </c>
      <c r="AU792" t="s">
        <v>84</v>
      </c>
      <c r="AV792" t="s">
        <v>80</v>
      </c>
      <c r="AW792" t="s">
        <v>117</v>
      </c>
      <c r="AZ792" t="s">
        <v>73</v>
      </c>
      <c r="BA792" t="s">
        <v>86</v>
      </c>
      <c r="BB792" t="s">
        <v>74</v>
      </c>
      <c r="BC792" t="s">
        <v>87</v>
      </c>
      <c r="BD792" t="s">
        <v>74</v>
      </c>
      <c r="BE792" t="s">
        <v>74</v>
      </c>
      <c r="BF792" t="s">
        <v>97</v>
      </c>
      <c r="BG792" t="s">
        <v>92</v>
      </c>
      <c r="BH792" t="s">
        <v>98</v>
      </c>
      <c r="BI792" t="s">
        <v>73</v>
      </c>
      <c r="BJ792" t="s">
        <v>114</v>
      </c>
      <c r="BK792">
        <v>0</v>
      </c>
      <c r="BL792">
        <v>0</v>
      </c>
      <c r="BM792">
        <v>0</v>
      </c>
      <c r="BN792">
        <v>0</v>
      </c>
      <c r="BO792">
        <v>1</v>
      </c>
      <c r="BP792">
        <v>0</v>
      </c>
      <c r="BQ792">
        <v>0</v>
      </c>
      <c r="BR792">
        <v>0</v>
      </c>
    </row>
    <row r="793" spans="1:70" x14ac:dyDescent="0.2">
      <c r="A793" s="1">
        <v>44579.877083333333</v>
      </c>
      <c r="B793" s="1">
        <v>44579.879166666666</v>
      </c>
      <c r="C793">
        <v>1</v>
      </c>
      <c r="D793">
        <v>1</v>
      </c>
      <c r="E793">
        <v>0</v>
      </c>
      <c r="F793">
        <v>0</v>
      </c>
      <c r="H793">
        <v>0</v>
      </c>
      <c r="I793">
        <v>1</v>
      </c>
      <c r="J793">
        <v>1</v>
      </c>
      <c r="K793">
        <v>1</v>
      </c>
      <c r="L793">
        <v>0</v>
      </c>
      <c r="N793" t="s">
        <v>79</v>
      </c>
      <c r="O793" t="s">
        <v>89</v>
      </c>
      <c r="P793">
        <v>0</v>
      </c>
      <c r="Q793">
        <v>1</v>
      </c>
      <c r="R793">
        <v>1</v>
      </c>
      <c r="S793">
        <v>0</v>
      </c>
      <c r="T793">
        <v>0</v>
      </c>
      <c r="U793">
        <v>0</v>
      </c>
      <c r="V793">
        <v>0</v>
      </c>
      <c r="W793">
        <v>0</v>
      </c>
      <c r="X793">
        <v>0</v>
      </c>
      <c r="Y793">
        <v>0</v>
      </c>
      <c r="Z793">
        <v>0</v>
      </c>
      <c r="AA793">
        <v>0</v>
      </c>
      <c r="AM793" t="s">
        <v>83</v>
      </c>
      <c r="AN793" t="s">
        <v>82</v>
      </c>
      <c r="AO793" t="s">
        <v>82</v>
      </c>
      <c r="AP793" t="s">
        <v>82</v>
      </c>
      <c r="AQ793" t="s">
        <v>82</v>
      </c>
      <c r="AR793" t="s">
        <v>83</v>
      </c>
      <c r="AS793" t="s">
        <v>83</v>
      </c>
      <c r="AT793" t="s">
        <v>83</v>
      </c>
      <c r="AU793" t="s">
        <v>88</v>
      </c>
      <c r="AV793" t="s">
        <v>89</v>
      </c>
      <c r="AW793" t="s">
        <v>100</v>
      </c>
      <c r="AZ793" t="s">
        <v>73</v>
      </c>
      <c r="BA793" t="s">
        <v>87</v>
      </c>
      <c r="BB793" t="s">
        <v>87</v>
      </c>
      <c r="BC793" t="s">
        <v>87</v>
      </c>
      <c r="BD793" t="s">
        <v>87</v>
      </c>
      <c r="BE793" t="s">
        <v>86</v>
      </c>
      <c r="BF793" t="s">
        <v>97</v>
      </c>
      <c r="BG793" t="s">
        <v>92</v>
      </c>
      <c r="BH793" t="s">
        <v>98</v>
      </c>
      <c r="BI793" t="s">
        <v>73</v>
      </c>
      <c r="BJ793" t="s">
        <v>165</v>
      </c>
      <c r="BK793">
        <v>0</v>
      </c>
      <c r="BL793">
        <v>0</v>
      </c>
      <c r="BM793">
        <v>0</v>
      </c>
      <c r="BN793">
        <v>0</v>
      </c>
      <c r="BO793">
        <v>1</v>
      </c>
      <c r="BP793">
        <v>0</v>
      </c>
      <c r="BQ793">
        <v>0</v>
      </c>
      <c r="BR793">
        <v>0</v>
      </c>
    </row>
    <row r="794" spans="1:70" x14ac:dyDescent="0.2">
      <c r="A794" s="1">
        <v>44581.854861111111</v>
      </c>
      <c r="B794" s="1">
        <v>44581.857638888891</v>
      </c>
      <c r="C794">
        <v>1</v>
      </c>
      <c r="D794">
        <v>0</v>
      </c>
      <c r="E794">
        <v>0</v>
      </c>
      <c r="F794">
        <v>0</v>
      </c>
      <c r="H794">
        <v>0</v>
      </c>
      <c r="I794">
        <v>1</v>
      </c>
      <c r="J794">
        <v>0</v>
      </c>
      <c r="K794">
        <v>0</v>
      </c>
      <c r="L794">
        <v>0</v>
      </c>
      <c r="N794" t="s">
        <v>79</v>
      </c>
      <c r="O794" t="s">
        <v>80</v>
      </c>
      <c r="P794">
        <v>1</v>
      </c>
      <c r="Q794">
        <v>0</v>
      </c>
      <c r="R794">
        <v>0</v>
      </c>
      <c r="S794">
        <v>0</v>
      </c>
      <c r="T794">
        <v>0</v>
      </c>
      <c r="U794">
        <v>0</v>
      </c>
      <c r="V794">
        <v>0</v>
      </c>
      <c r="W794">
        <v>0</v>
      </c>
      <c r="X794">
        <v>0</v>
      </c>
      <c r="Y794">
        <v>0</v>
      </c>
      <c r="Z794">
        <v>0</v>
      </c>
      <c r="AA794">
        <v>0</v>
      </c>
      <c r="AC794">
        <v>0</v>
      </c>
      <c r="AD794">
        <v>0</v>
      </c>
      <c r="AE794">
        <v>1</v>
      </c>
      <c r="AF794">
        <v>0</v>
      </c>
      <c r="AG794">
        <v>0</v>
      </c>
      <c r="AH794">
        <v>0</v>
      </c>
      <c r="AI794">
        <v>0</v>
      </c>
      <c r="AJ794">
        <v>0</v>
      </c>
      <c r="AK794">
        <v>0</v>
      </c>
      <c r="AZ794" t="s">
        <v>96</v>
      </c>
      <c r="BA794" t="s">
        <v>87</v>
      </c>
      <c r="BB794" t="s">
        <v>86</v>
      </c>
      <c r="BC794" t="s">
        <v>86</v>
      </c>
      <c r="BD794" t="s">
        <v>87</v>
      </c>
      <c r="BE794" t="s">
        <v>86</v>
      </c>
      <c r="BF794" t="s">
        <v>159</v>
      </c>
      <c r="BG794" t="s">
        <v>76</v>
      </c>
      <c r="BH794" t="s">
        <v>98</v>
      </c>
      <c r="BI794" t="s">
        <v>96</v>
      </c>
      <c r="BJ794" t="s">
        <v>78</v>
      </c>
      <c r="BK794">
        <v>0</v>
      </c>
      <c r="BL794">
        <v>0</v>
      </c>
      <c r="BM794">
        <v>0</v>
      </c>
      <c r="BN794">
        <v>0</v>
      </c>
      <c r="BO794">
        <v>1</v>
      </c>
      <c r="BP794">
        <v>0</v>
      </c>
      <c r="BQ794">
        <v>0</v>
      </c>
      <c r="BR794">
        <v>0</v>
      </c>
    </row>
    <row r="795" spans="1:70" x14ac:dyDescent="0.2">
      <c r="A795" s="1">
        <v>44585.761111111111</v>
      </c>
      <c r="B795" s="1">
        <v>44585.76458333333</v>
      </c>
      <c r="C795">
        <v>1</v>
      </c>
      <c r="D795">
        <v>0</v>
      </c>
      <c r="E795">
        <v>0</v>
      </c>
      <c r="F795">
        <v>0</v>
      </c>
      <c r="H795">
        <v>0</v>
      </c>
      <c r="I795">
        <v>0</v>
      </c>
      <c r="J795">
        <v>0</v>
      </c>
      <c r="K795">
        <v>0</v>
      </c>
      <c r="L795">
        <v>1</v>
      </c>
      <c r="M795" t="s">
        <v>384</v>
      </c>
      <c r="N795" t="s">
        <v>88</v>
      </c>
      <c r="O795" t="s">
        <v>89</v>
      </c>
      <c r="P795">
        <v>1</v>
      </c>
      <c r="Q795">
        <v>0</v>
      </c>
      <c r="R795">
        <v>0</v>
      </c>
      <c r="S795">
        <v>0</v>
      </c>
      <c r="T795">
        <v>0</v>
      </c>
      <c r="U795">
        <v>0</v>
      </c>
      <c r="V795">
        <v>0</v>
      </c>
      <c r="W795">
        <v>0</v>
      </c>
      <c r="X795">
        <v>0</v>
      </c>
      <c r="Y795">
        <v>0</v>
      </c>
      <c r="Z795">
        <v>0</v>
      </c>
      <c r="AA795">
        <v>0</v>
      </c>
      <c r="AC795">
        <v>0</v>
      </c>
      <c r="AD795">
        <v>0</v>
      </c>
      <c r="AE795">
        <v>0</v>
      </c>
      <c r="AF795">
        <v>0</v>
      </c>
      <c r="AG795">
        <v>0</v>
      </c>
      <c r="AH795">
        <v>0</v>
      </c>
      <c r="AI795">
        <v>0</v>
      </c>
      <c r="AJ795">
        <v>0</v>
      </c>
      <c r="AK795">
        <v>1</v>
      </c>
      <c r="AL795" t="s">
        <v>385</v>
      </c>
      <c r="AZ795" t="s">
        <v>96</v>
      </c>
      <c r="BA795" t="s">
        <v>86</v>
      </c>
      <c r="BB795" t="s">
        <v>74</v>
      </c>
      <c r="BC795" t="s">
        <v>87</v>
      </c>
      <c r="BD795" t="s">
        <v>74</v>
      </c>
      <c r="BE795" t="s">
        <v>86</v>
      </c>
      <c r="BF795" t="s">
        <v>97</v>
      </c>
      <c r="BG795" t="s">
        <v>92</v>
      </c>
      <c r="BH795" t="s">
        <v>98</v>
      </c>
      <c r="BI795" t="s">
        <v>96</v>
      </c>
      <c r="BJ795" t="s">
        <v>114</v>
      </c>
      <c r="BK795">
        <v>0</v>
      </c>
      <c r="BL795">
        <v>0</v>
      </c>
      <c r="BM795">
        <v>0</v>
      </c>
      <c r="BN795">
        <v>0</v>
      </c>
      <c r="BO795">
        <v>1</v>
      </c>
      <c r="BP795">
        <v>1</v>
      </c>
      <c r="BQ795">
        <v>0</v>
      </c>
      <c r="BR795">
        <v>0</v>
      </c>
    </row>
    <row r="796" spans="1:70" x14ac:dyDescent="0.2">
      <c r="A796" s="1">
        <v>44579.900694444441</v>
      </c>
      <c r="B796" s="1">
        <v>44579.904861111114</v>
      </c>
      <c r="C796">
        <v>0</v>
      </c>
      <c r="D796">
        <v>1</v>
      </c>
      <c r="E796">
        <v>0</v>
      </c>
      <c r="F796">
        <v>0</v>
      </c>
      <c r="H796">
        <v>0</v>
      </c>
      <c r="I796">
        <v>1</v>
      </c>
      <c r="J796">
        <v>0</v>
      </c>
      <c r="K796">
        <v>0</v>
      </c>
      <c r="L796">
        <v>0</v>
      </c>
      <c r="N796" t="s">
        <v>135</v>
      </c>
      <c r="O796" t="s">
        <v>80</v>
      </c>
      <c r="P796">
        <v>0</v>
      </c>
      <c r="Q796">
        <v>0</v>
      </c>
      <c r="R796">
        <v>0</v>
      </c>
      <c r="S796">
        <v>0</v>
      </c>
      <c r="T796">
        <v>0</v>
      </c>
      <c r="U796">
        <v>0</v>
      </c>
      <c r="V796">
        <v>0</v>
      </c>
      <c r="W796">
        <v>0</v>
      </c>
      <c r="X796">
        <v>0</v>
      </c>
      <c r="Y796">
        <v>0</v>
      </c>
      <c r="Z796">
        <v>0</v>
      </c>
      <c r="AA796">
        <v>1</v>
      </c>
      <c r="AB796" t="s">
        <v>386</v>
      </c>
      <c r="AM796" t="s">
        <v>82</v>
      </c>
      <c r="AN796" t="s">
        <v>81</v>
      </c>
      <c r="AO796" t="s">
        <v>81</v>
      </c>
      <c r="AP796" t="s">
        <v>82</v>
      </c>
      <c r="AQ796" t="s">
        <v>82</v>
      </c>
      <c r="AR796" t="s">
        <v>82</v>
      </c>
      <c r="AS796" t="s">
        <v>82</v>
      </c>
      <c r="AT796" t="s">
        <v>83</v>
      </c>
      <c r="AU796" t="s">
        <v>84</v>
      </c>
      <c r="AV796" t="s">
        <v>80</v>
      </c>
      <c r="AW796" t="s">
        <v>85</v>
      </c>
      <c r="AX796" t="s">
        <v>118</v>
      </c>
      <c r="AZ796" t="s">
        <v>107</v>
      </c>
      <c r="BA796" t="s">
        <v>86</v>
      </c>
      <c r="BB796" t="s">
        <v>87</v>
      </c>
      <c r="BC796" t="s">
        <v>87</v>
      </c>
      <c r="BD796" t="s">
        <v>87</v>
      </c>
      <c r="BE796" t="s">
        <v>86</v>
      </c>
      <c r="BF796" t="s">
        <v>75</v>
      </c>
      <c r="BG796" t="s">
        <v>76</v>
      </c>
      <c r="BH796" t="s">
        <v>93</v>
      </c>
      <c r="BI796" t="s">
        <v>107</v>
      </c>
      <c r="BJ796" t="s">
        <v>114</v>
      </c>
      <c r="BK796">
        <v>0</v>
      </c>
      <c r="BL796">
        <v>0</v>
      </c>
      <c r="BM796">
        <v>0</v>
      </c>
      <c r="BN796">
        <v>0</v>
      </c>
      <c r="BO796">
        <v>1</v>
      </c>
      <c r="BP796">
        <v>0</v>
      </c>
      <c r="BQ796">
        <v>0</v>
      </c>
      <c r="BR796">
        <v>0</v>
      </c>
    </row>
    <row r="797" spans="1:70" x14ac:dyDescent="0.2">
      <c r="A797" s="1">
        <v>44588.933333333334</v>
      </c>
      <c r="B797" s="1">
        <v>44588.935416666667</v>
      </c>
      <c r="C797">
        <v>1</v>
      </c>
      <c r="D797">
        <v>0</v>
      </c>
      <c r="E797">
        <v>0</v>
      </c>
      <c r="F797">
        <v>0</v>
      </c>
      <c r="H797">
        <v>1</v>
      </c>
      <c r="I797">
        <v>0</v>
      </c>
      <c r="J797">
        <v>0</v>
      </c>
      <c r="K797">
        <v>0</v>
      </c>
      <c r="L797">
        <v>0</v>
      </c>
      <c r="P797">
        <v>0</v>
      </c>
      <c r="Q797">
        <v>1</v>
      </c>
      <c r="R797">
        <v>0</v>
      </c>
      <c r="S797">
        <v>0</v>
      </c>
      <c r="T797">
        <v>0</v>
      </c>
      <c r="U797">
        <v>0</v>
      </c>
      <c r="V797">
        <v>0</v>
      </c>
      <c r="W797">
        <v>0</v>
      </c>
      <c r="X797">
        <v>0</v>
      </c>
      <c r="Y797">
        <v>0</v>
      </c>
      <c r="Z797">
        <v>0</v>
      </c>
      <c r="AA797">
        <v>0</v>
      </c>
      <c r="AM797" t="s">
        <v>90</v>
      </c>
      <c r="AN797" t="s">
        <v>82</v>
      </c>
      <c r="AO797" t="s">
        <v>83</v>
      </c>
      <c r="AP797" t="s">
        <v>83</v>
      </c>
      <c r="AQ797" t="s">
        <v>83</v>
      </c>
      <c r="AR797" t="s">
        <v>90</v>
      </c>
      <c r="AS797" t="s">
        <v>90</v>
      </c>
      <c r="AT797" t="s">
        <v>90</v>
      </c>
      <c r="AU797" t="s">
        <v>135</v>
      </c>
      <c r="AV797" t="s">
        <v>142</v>
      </c>
      <c r="AW797" t="s">
        <v>85</v>
      </c>
      <c r="AX797" t="s">
        <v>106</v>
      </c>
      <c r="AZ797" t="s">
        <v>107</v>
      </c>
      <c r="BA797" t="s">
        <v>87</v>
      </c>
      <c r="BB797" t="s">
        <v>74</v>
      </c>
      <c r="BC797" t="s">
        <v>87</v>
      </c>
      <c r="BD797" t="s">
        <v>87</v>
      </c>
      <c r="BE797" t="s">
        <v>86</v>
      </c>
      <c r="BF797" t="s">
        <v>75</v>
      </c>
      <c r="BG797" t="s">
        <v>76</v>
      </c>
      <c r="BH797" t="s">
        <v>98</v>
      </c>
      <c r="BI797" t="s">
        <v>107</v>
      </c>
      <c r="BJ797" t="s">
        <v>94</v>
      </c>
      <c r="BK797">
        <v>0</v>
      </c>
      <c r="BL797">
        <v>0</v>
      </c>
      <c r="BM797">
        <v>0</v>
      </c>
      <c r="BN797">
        <v>0</v>
      </c>
      <c r="BO797">
        <v>1</v>
      </c>
      <c r="BP797">
        <v>0</v>
      </c>
      <c r="BQ797">
        <v>0</v>
      </c>
      <c r="BR797">
        <v>0</v>
      </c>
    </row>
    <row r="798" spans="1:70" x14ac:dyDescent="0.2">
      <c r="A798" s="1">
        <v>44580.636805555558</v>
      </c>
      <c r="B798" s="1">
        <v>44580.638888888891</v>
      </c>
      <c r="C798">
        <v>0</v>
      </c>
      <c r="D798">
        <v>1</v>
      </c>
      <c r="E798">
        <v>0</v>
      </c>
      <c r="F798">
        <v>0</v>
      </c>
      <c r="H798">
        <v>0</v>
      </c>
      <c r="I798">
        <v>1</v>
      </c>
      <c r="J798">
        <v>0</v>
      </c>
      <c r="K798">
        <v>0</v>
      </c>
      <c r="L798">
        <v>0</v>
      </c>
      <c r="N798" t="s">
        <v>88</v>
      </c>
      <c r="O798" t="s">
        <v>89</v>
      </c>
      <c r="P798">
        <v>1</v>
      </c>
      <c r="Q798">
        <v>0</v>
      </c>
      <c r="R798">
        <v>0</v>
      </c>
      <c r="S798">
        <v>0</v>
      </c>
      <c r="T798">
        <v>0</v>
      </c>
      <c r="U798">
        <v>0</v>
      </c>
      <c r="V798">
        <v>0</v>
      </c>
      <c r="W798">
        <v>0</v>
      </c>
      <c r="X798">
        <v>0</v>
      </c>
      <c r="Y798">
        <v>0</v>
      </c>
      <c r="Z798">
        <v>0</v>
      </c>
      <c r="AA798">
        <v>0</v>
      </c>
      <c r="AC798">
        <v>0</v>
      </c>
      <c r="AD798">
        <v>0</v>
      </c>
      <c r="AE798">
        <v>1</v>
      </c>
      <c r="AF798">
        <v>0</v>
      </c>
      <c r="AG798">
        <v>0</v>
      </c>
      <c r="AH798">
        <v>0</v>
      </c>
      <c r="AI798">
        <v>0</v>
      </c>
      <c r="AJ798">
        <v>0</v>
      </c>
      <c r="AK798">
        <v>0</v>
      </c>
      <c r="AZ798" t="s">
        <v>73</v>
      </c>
      <c r="BA798" t="s">
        <v>87</v>
      </c>
      <c r="BB798" t="s">
        <v>87</v>
      </c>
      <c r="BC798" t="s">
        <v>87</v>
      </c>
      <c r="BD798" t="s">
        <v>74</v>
      </c>
      <c r="BE798" t="s">
        <v>74</v>
      </c>
      <c r="BF798" t="s">
        <v>97</v>
      </c>
      <c r="BG798" t="s">
        <v>92</v>
      </c>
      <c r="BH798" t="s">
        <v>98</v>
      </c>
      <c r="BI798" t="s">
        <v>73</v>
      </c>
      <c r="BJ798" t="s">
        <v>78</v>
      </c>
      <c r="BK798">
        <v>0</v>
      </c>
      <c r="BL798">
        <v>0</v>
      </c>
      <c r="BM798">
        <v>0</v>
      </c>
      <c r="BN798">
        <v>0</v>
      </c>
      <c r="BO798">
        <v>1</v>
      </c>
      <c r="BP798">
        <v>0</v>
      </c>
      <c r="BQ798">
        <v>0</v>
      </c>
      <c r="BR798">
        <v>0</v>
      </c>
    </row>
    <row r="799" spans="1:70" x14ac:dyDescent="0.2">
      <c r="A799" s="1">
        <v>44579.890972222223</v>
      </c>
      <c r="B799" s="1">
        <v>44579.900694444441</v>
      </c>
      <c r="C799">
        <v>1</v>
      </c>
      <c r="D799">
        <v>0</v>
      </c>
      <c r="E799">
        <v>0</v>
      </c>
      <c r="F799">
        <v>0</v>
      </c>
      <c r="H799">
        <v>0</v>
      </c>
      <c r="I799">
        <v>1</v>
      </c>
      <c r="J799">
        <v>0</v>
      </c>
      <c r="K799">
        <v>0</v>
      </c>
      <c r="L799">
        <v>0</v>
      </c>
      <c r="N799" t="s">
        <v>88</v>
      </c>
      <c r="O799" t="s">
        <v>89</v>
      </c>
      <c r="P799">
        <v>0</v>
      </c>
      <c r="Q799">
        <v>0</v>
      </c>
      <c r="R799">
        <v>1</v>
      </c>
      <c r="S799">
        <v>0</v>
      </c>
      <c r="T799">
        <v>0</v>
      </c>
      <c r="U799">
        <v>0</v>
      </c>
      <c r="V799">
        <v>0</v>
      </c>
      <c r="W799">
        <v>0</v>
      </c>
      <c r="X799">
        <v>0</v>
      </c>
      <c r="Y799">
        <v>0</v>
      </c>
      <c r="Z799">
        <v>0</v>
      </c>
      <c r="AA799">
        <v>0</v>
      </c>
      <c r="AM799" t="s">
        <v>83</v>
      </c>
      <c r="AN799" t="s">
        <v>81</v>
      </c>
      <c r="AO799" t="s">
        <v>81</v>
      </c>
      <c r="AP799" t="s">
        <v>81</v>
      </c>
      <c r="AQ799" t="s">
        <v>82</v>
      </c>
      <c r="AR799" t="s">
        <v>81</v>
      </c>
      <c r="AS799" t="s">
        <v>83</v>
      </c>
      <c r="AT799" t="s">
        <v>83</v>
      </c>
      <c r="AU799" t="s">
        <v>88</v>
      </c>
      <c r="AV799" t="s">
        <v>89</v>
      </c>
      <c r="AW799" t="s">
        <v>85</v>
      </c>
      <c r="AX799" t="s">
        <v>118</v>
      </c>
      <c r="AZ799" t="s">
        <v>73</v>
      </c>
      <c r="BA799" t="s">
        <v>87</v>
      </c>
      <c r="BB799" t="s">
        <v>87</v>
      </c>
      <c r="BC799" t="s">
        <v>87</v>
      </c>
      <c r="BD799" t="s">
        <v>87</v>
      </c>
      <c r="BE799" t="s">
        <v>87</v>
      </c>
      <c r="BF799" t="s">
        <v>75</v>
      </c>
      <c r="BG799" t="s">
        <v>92</v>
      </c>
      <c r="BH799" t="s">
        <v>77</v>
      </c>
      <c r="BI799" t="s">
        <v>73</v>
      </c>
      <c r="BJ799" t="s">
        <v>114</v>
      </c>
      <c r="BK799">
        <v>0</v>
      </c>
      <c r="BL799">
        <v>0</v>
      </c>
      <c r="BM799">
        <v>0</v>
      </c>
      <c r="BN799">
        <v>0</v>
      </c>
      <c r="BO799">
        <v>1</v>
      </c>
      <c r="BP799">
        <v>0</v>
      </c>
      <c r="BQ799">
        <v>0</v>
      </c>
      <c r="BR799">
        <v>0</v>
      </c>
    </row>
    <row r="800" spans="1:70" x14ac:dyDescent="0.2">
      <c r="A800" s="1">
        <v>44585.590277777781</v>
      </c>
      <c r="B800" s="1">
        <v>44585.59375</v>
      </c>
      <c r="C800">
        <v>0</v>
      </c>
      <c r="D800">
        <v>1</v>
      </c>
      <c r="E800">
        <v>0</v>
      </c>
      <c r="F800">
        <v>0</v>
      </c>
      <c r="H800">
        <v>0</v>
      </c>
      <c r="I800">
        <v>1</v>
      </c>
      <c r="J800">
        <v>0</v>
      </c>
      <c r="K800">
        <v>1</v>
      </c>
      <c r="L800">
        <v>0</v>
      </c>
      <c r="N800" t="s">
        <v>135</v>
      </c>
      <c r="O800" t="s">
        <v>80</v>
      </c>
      <c r="P800">
        <v>0</v>
      </c>
      <c r="Q800">
        <v>1</v>
      </c>
      <c r="R800">
        <v>0</v>
      </c>
      <c r="S800">
        <v>0</v>
      </c>
      <c r="T800">
        <v>0</v>
      </c>
      <c r="U800">
        <v>0</v>
      </c>
      <c r="V800">
        <v>0</v>
      </c>
      <c r="W800">
        <v>0</v>
      </c>
      <c r="X800">
        <v>0</v>
      </c>
      <c r="Y800">
        <v>0</v>
      </c>
      <c r="Z800">
        <v>0</v>
      </c>
      <c r="AA800">
        <v>0</v>
      </c>
      <c r="AM800" t="s">
        <v>83</v>
      </c>
      <c r="AN800" t="s">
        <v>82</v>
      </c>
      <c r="AO800" t="s">
        <v>81</v>
      </c>
      <c r="AP800" t="s">
        <v>83</v>
      </c>
      <c r="AQ800" t="s">
        <v>81</v>
      </c>
      <c r="AR800" t="s">
        <v>83</v>
      </c>
      <c r="AS800" t="s">
        <v>90</v>
      </c>
      <c r="AT800" t="s">
        <v>81</v>
      </c>
      <c r="AU800" t="s">
        <v>88</v>
      </c>
      <c r="AV800" t="s">
        <v>89</v>
      </c>
      <c r="AW800" t="s">
        <v>100</v>
      </c>
      <c r="AX800" t="s">
        <v>118</v>
      </c>
      <c r="AZ800" t="s">
        <v>73</v>
      </c>
      <c r="BA800" t="s">
        <v>87</v>
      </c>
      <c r="BB800" t="s">
        <v>87</v>
      </c>
      <c r="BC800" t="s">
        <v>87</v>
      </c>
      <c r="BD800" t="s">
        <v>87</v>
      </c>
      <c r="BE800" t="s">
        <v>87</v>
      </c>
      <c r="BF800" t="s">
        <v>75</v>
      </c>
      <c r="BG800" t="s">
        <v>76</v>
      </c>
      <c r="BH800" t="s">
        <v>77</v>
      </c>
      <c r="BI800" t="s">
        <v>73</v>
      </c>
      <c r="BJ800" t="s">
        <v>114</v>
      </c>
      <c r="BK800">
        <v>1</v>
      </c>
      <c r="BL800">
        <v>0</v>
      </c>
      <c r="BM800">
        <v>0</v>
      </c>
      <c r="BN800">
        <v>0</v>
      </c>
      <c r="BO800">
        <v>0</v>
      </c>
      <c r="BP800">
        <v>0</v>
      </c>
      <c r="BQ800">
        <v>0</v>
      </c>
      <c r="BR800">
        <v>0</v>
      </c>
    </row>
    <row r="801" spans="1:72" x14ac:dyDescent="0.2">
      <c r="A801" s="1">
        <v>44585.744444444441</v>
      </c>
      <c r="B801" s="1">
        <v>44585.745833333334</v>
      </c>
      <c r="C801">
        <v>1</v>
      </c>
      <c r="D801">
        <v>0</v>
      </c>
      <c r="E801">
        <v>0</v>
      </c>
      <c r="F801">
        <v>0</v>
      </c>
      <c r="H801">
        <v>1</v>
      </c>
      <c r="I801">
        <v>0</v>
      </c>
      <c r="J801">
        <v>0</v>
      </c>
      <c r="K801">
        <v>0</v>
      </c>
      <c r="L801">
        <v>0</v>
      </c>
      <c r="P801">
        <v>1</v>
      </c>
      <c r="Q801">
        <v>0</v>
      </c>
      <c r="R801">
        <v>0</v>
      </c>
      <c r="S801">
        <v>0</v>
      </c>
      <c r="T801">
        <v>0</v>
      </c>
      <c r="U801">
        <v>0</v>
      </c>
      <c r="V801">
        <v>0</v>
      </c>
      <c r="W801">
        <v>0</v>
      </c>
      <c r="X801">
        <v>0</v>
      </c>
      <c r="Y801">
        <v>0</v>
      </c>
      <c r="Z801">
        <v>0</v>
      </c>
      <c r="AA801">
        <v>0</v>
      </c>
      <c r="AC801">
        <v>0</v>
      </c>
      <c r="AD801">
        <v>1</v>
      </c>
      <c r="AE801">
        <v>0</v>
      </c>
      <c r="AF801">
        <v>0</v>
      </c>
      <c r="AG801">
        <v>0</v>
      </c>
      <c r="AH801">
        <v>0</v>
      </c>
      <c r="AI801">
        <v>0</v>
      </c>
      <c r="AJ801">
        <v>0</v>
      </c>
      <c r="AK801">
        <v>0</v>
      </c>
      <c r="AX801" t="s">
        <v>106</v>
      </c>
      <c r="AZ801" t="s">
        <v>107</v>
      </c>
      <c r="BA801" t="s">
        <v>74</v>
      </c>
      <c r="BF801" t="s">
        <v>75</v>
      </c>
      <c r="BG801" t="s">
        <v>76</v>
      </c>
      <c r="BH801" t="s">
        <v>77</v>
      </c>
      <c r="BI801" t="s">
        <v>107</v>
      </c>
      <c r="BJ801" t="s">
        <v>137</v>
      </c>
      <c r="BK801">
        <v>0</v>
      </c>
      <c r="BL801">
        <v>0</v>
      </c>
      <c r="BM801">
        <v>0</v>
      </c>
      <c r="BN801">
        <v>0</v>
      </c>
      <c r="BO801">
        <v>1</v>
      </c>
      <c r="BP801">
        <v>0</v>
      </c>
      <c r="BQ801">
        <v>0</v>
      </c>
      <c r="BR801">
        <v>0</v>
      </c>
    </row>
    <row r="802" spans="1:72" x14ac:dyDescent="0.2">
      <c r="A802" s="1">
        <v>44579.884722222225</v>
      </c>
      <c r="B802" s="1">
        <v>44579.886805555558</v>
      </c>
      <c r="C802">
        <v>1</v>
      </c>
      <c r="D802">
        <v>0</v>
      </c>
      <c r="E802">
        <v>0</v>
      </c>
      <c r="F802">
        <v>0</v>
      </c>
      <c r="H802">
        <v>1</v>
      </c>
      <c r="I802">
        <v>0</v>
      </c>
      <c r="J802">
        <v>0</v>
      </c>
      <c r="K802">
        <v>0</v>
      </c>
      <c r="L802">
        <v>0</v>
      </c>
      <c r="P802">
        <v>1</v>
      </c>
      <c r="Q802">
        <v>0</v>
      </c>
      <c r="R802">
        <v>0</v>
      </c>
      <c r="S802">
        <v>0</v>
      </c>
      <c r="T802">
        <v>0</v>
      </c>
      <c r="U802">
        <v>0</v>
      </c>
      <c r="V802">
        <v>0</v>
      </c>
      <c r="W802">
        <v>0</v>
      </c>
      <c r="X802">
        <v>0</v>
      </c>
      <c r="Y802">
        <v>0</v>
      </c>
      <c r="Z802">
        <v>0</v>
      </c>
      <c r="AA802">
        <v>0</v>
      </c>
      <c r="AC802">
        <v>0</v>
      </c>
      <c r="AD802">
        <v>1</v>
      </c>
      <c r="AE802">
        <v>0</v>
      </c>
      <c r="AF802">
        <v>0</v>
      </c>
      <c r="AG802">
        <v>0</v>
      </c>
      <c r="AH802">
        <v>0</v>
      </c>
      <c r="AI802">
        <v>0</v>
      </c>
      <c r="AJ802">
        <v>0</v>
      </c>
      <c r="AK802">
        <v>0</v>
      </c>
      <c r="AX802" t="s">
        <v>175</v>
      </c>
      <c r="AZ802" t="s">
        <v>73</v>
      </c>
      <c r="BA802" t="s">
        <v>87</v>
      </c>
      <c r="BB802" t="s">
        <v>86</v>
      </c>
      <c r="BC802" t="s">
        <v>87</v>
      </c>
      <c r="BD802" t="s">
        <v>86</v>
      </c>
      <c r="BE802" t="s">
        <v>86</v>
      </c>
      <c r="BF802" t="s">
        <v>75</v>
      </c>
      <c r="BG802" t="s">
        <v>92</v>
      </c>
      <c r="BH802" t="s">
        <v>98</v>
      </c>
      <c r="BI802" t="s">
        <v>73</v>
      </c>
      <c r="BJ802" t="s">
        <v>114</v>
      </c>
      <c r="BK802">
        <v>0</v>
      </c>
      <c r="BL802">
        <v>0</v>
      </c>
      <c r="BM802">
        <v>0</v>
      </c>
      <c r="BN802">
        <v>0</v>
      </c>
      <c r="BO802">
        <v>0</v>
      </c>
      <c r="BP802">
        <v>1</v>
      </c>
      <c r="BQ802">
        <v>0</v>
      </c>
      <c r="BR802">
        <v>0</v>
      </c>
    </row>
    <row r="803" spans="1:72" x14ac:dyDescent="0.2">
      <c r="A803" s="1">
        <v>44588.876388888886</v>
      </c>
      <c r="B803" s="1">
        <v>44588.878472222219</v>
      </c>
      <c r="C803">
        <v>1</v>
      </c>
      <c r="D803">
        <v>0</v>
      </c>
      <c r="E803">
        <v>0</v>
      </c>
      <c r="F803">
        <v>0</v>
      </c>
      <c r="H803">
        <v>0</v>
      </c>
      <c r="I803">
        <v>1</v>
      </c>
      <c r="J803">
        <v>1</v>
      </c>
      <c r="K803">
        <v>1</v>
      </c>
      <c r="L803">
        <v>0</v>
      </c>
      <c r="N803" t="s">
        <v>88</v>
      </c>
      <c r="O803" t="s">
        <v>89</v>
      </c>
      <c r="P803">
        <v>0</v>
      </c>
      <c r="Q803">
        <v>0</v>
      </c>
      <c r="R803">
        <v>1</v>
      </c>
      <c r="S803">
        <v>0</v>
      </c>
      <c r="T803">
        <v>0</v>
      </c>
      <c r="U803">
        <v>0</v>
      </c>
      <c r="V803">
        <v>0</v>
      </c>
      <c r="W803">
        <v>0</v>
      </c>
      <c r="X803">
        <v>0</v>
      </c>
      <c r="Y803">
        <v>0</v>
      </c>
      <c r="Z803">
        <v>1</v>
      </c>
      <c r="AA803">
        <v>0</v>
      </c>
      <c r="AM803" t="s">
        <v>81</v>
      </c>
      <c r="AN803" t="s">
        <v>81</v>
      </c>
      <c r="AO803" t="s">
        <v>82</v>
      </c>
      <c r="AP803" t="s">
        <v>82</v>
      </c>
      <c r="AQ803" t="s">
        <v>81</v>
      </c>
      <c r="AR803" t="s">
        <v>83</v>
      </c>
      <c r="AS803" t="s">
        <v>81</v>
      </c>
      <c r="AT803" t="s">
        <v>83</v>
      </c>
      <c r="AU803" t="s">
        <v>88</v>
      </c>
      <c r="AV803" t="s">
        <v>89</v>
      </c>
      <c r="AW803" t="s">
        <v>100</v>
      </c>
      <c r="AZ803" t="s">
        <v>73</v>
      </c>
      <c r="BA803" t="s">
        <v>86</v>
      </c>
      <c r="BB803" t="s">
        <v>86</v>
      </c>
      <c r="BC803" t="s">
        <v>86</v>
      </c>
      <c r="BD803" t="s">
        <v>86</v>
      </c>
      <c r="BE803" t="s">
        <v>86</v>
      </c>
      <c r="BF803" t="s">
        <v>97</v>
      </c>
      <c r="BG803" t="s">
        <v>92</v>
      </c>
      <c r="BH803" t="s">
        <v>98</v>
      </c>
      <c r="BI803" t="s">
        <v>73</v>
      </c>
      <c r="BJ803" t="s">
        <v>78</v>
      </c>
      <c r="BK803">
        <v>0</v>
      </c>
      <c r="BL803">
        <v>0</v>
      </c>
      <c r="BM803">
        <v>0</v>
      </c>
      <c r="BN803">
        <v>0</v>
      </c>
      <c r="BO803">
        <v>0</v>
      </c>
      <c r="BP803">
        <v>1</v>
      </c>
      <c r="BQ803">
        <v>0</v>
      </c>
      <c r="BR803">
        <v>0</v>
      </c>
    </row>
    <row r="804" spans="1:72" x14ac:dyDescent="0.2">
      <c r="A804" s="1">
        <v>44579.893750000003</v>
      </c>
      <c r="B804" s="1">
        <v>44579.895138888889</v>
      </c>
      <c r="C804">
        <v>1</v>
      </c>
      <c r="D804">
        <v>0</v>
      </c>
      <c r="E804">
        <v>0</v>
      </c>
      <c r="F804">
        <v>0</v>
      </c>
      <c r="H804">
        <v>0</v>
      </c>
      <c r="I804">
        <v>0</v>
      </c>
      <c r="J804">
        <v>1</v>
      </c>
      <c r="K804">
        <v>0</v>
      </c>
      <c r="L804">
        <v>1</v>
      </c>
      <c r="M804" t="s">
        <v>387</v>
      </c>
      <c r="N804" t="s">
        <v>88</v>
      </c>
      <c r="O804" t="s">
        <v>89</v>
      </c>
      <c r="P804">
        <v>1</v>
      </c>
      <c r="Q804">
        <v>0</v>
      </c>
      <c r="R804">
        <v>0</v>
      </c>
      <c r="S804">
        <v>0</v>
      </c>
      <c r="T804">
        <v>0</v>
      </c>
      <c r="U804">
        <v>0</v>
      </c>
      <c r="V804">
        <v>0</v>
      </c>
      <c r="W804">
        <v>0</v>
      </c>
      <c r="X804">
        <v>0</v>
      </c>
      <c r="Y804">
        <v>0</v>
      </c>
      <c r="Z804">
        <v>0</v>
      </c>
      <c r="AA804">
        <v>0</v>
      </c>
      <c r="AC804">
        <v>0</v>
      </c>
      <c r="AD804">
        <v>0</v>
      </c>
      <c r="AE804">
        <v>1</v>
      </c>
      <c r="AF804">
        <v>0</v>
      </c>
      <c r="AG804">
        <v>0</v>
      </c>
      <c r="AH804">
        <v>0</v>
      </c>
      <c r="AI804">
        <v>0</v>
      </c>
      <c r="AJ804">
        <v>0</v>
      </c>
      <c r="AK804">
        <v>0</v>
      </c>
      <c r="AZ804" t="s">
        <v>107</v>
      </c>
      <c r="BA804" t="s">
        <v>86</v>
      </c>
      <c r="BB804" t="s">
        <v>86</v>
      </c>
      <c r="BC804" t="s">
        <v>74</v>
      </c>
      <c r="BD804" t="s">
        <v>74</v>
      </c>
      <c r="BE804" t="s">
        <v>86</v>
      </c>
      <c r="BF804" t="s">
        <v>159</v>
      </c>
      <c r="BG804" t="s">
        <v>76</v>
      </c>
      <c r="BH804" t="s">
        <v>93</v>
      </c>
      <c r="BI804" t="s">
        <v>107</v>
      </c>
      <c r="BJ804" t="s">
        <v>78</v>
      </c>
      <c r="BK804">
        <v>0</v>
      </c>
      <c r="BL804">
        <v>0</v>
      </c>
      <c r="BM804">
        <v>0</v>
      </c>
      <c r="BN804">
        <v>0</v>
      </c>
      <c r="BO804">
        <v>1</v>
      </c>
      <c r="BP804">
        <v>1</v>
      </c>
      <c r="BQ804">
        <v>0</v>
      </c>
      <c r="BR804">
        <v>0</v>
      </c>
    </row>
    <row r="805" spans="1:72" x14ac:dyDescent="0.2">
      <c r="A805" s="1">
        <v>44580.018055555556</v>
      </c>
      <c r="B805" s="1">
        <v>44580.021527777775</v>
      </c>
      <c r="C805">
        <v>1</v>
      </c>
      <c r="D805">
        <v>0</v>
      </c>
      <c r="E805">
        <v>0</v>
      </c>
      <c r="F805">
        <v>0</v>
      </c>
      <c r="H805">
        <v>0</v>
      </c>
      <c r="I805">
        <v>0</v>
      </c>
      <c r="J805">
        <v>0</v>
      </c>
      <c r="K805">
        <v>0</v>
      </c>
      <c r="L805">
        <v>1</v>
      </c>
      <c r="M805" t="s">
        <v>95</v>
      </c>
      <c r="N805" t="s">
        <v>88</v>
      </c>
      <c r="O805" t="s">
        <v>89</v>
      </c>
      <c r="P805">
        <v>1</v>
      </c>
      <c r="Q805">
        <v>0</v>
      </c>
      <c r="R805">
        <v>0</v>
      </c>
      <c r="S805">
        <v>0</v>
      </c>
      <c r="T805">
        <v>0</v>
      </c>
      <c r="U805">
        <v>0</v>
      </c>
      <c r="V805">
        <v>0</v>
      </c>
      <c r="W805">
        <v>0</v>
      </c>
      <c r="X805">
        <v>0</v>
      </c>
      <c r="Y805">
        <v>0</v>
      </c>
      <c r="Z805">
        <v>0</v>
      </c>
      <c r="AA805">
        <v>0</v>
      </c>
      <c r="AC805">
        <v>0</v>
      </c>
      <c r="AD805">
        <v>0</v>
      </c>
      <c r="AE805">
        <v>0</v>
      </c>
      <c r="AF805">
        <v>0</v>
      </c>
      <c r="AG805">
        <v>0</v>
      </c>
      <c r="AH805">
        <v>0</v>
      </c>
      <c r="AI805">
        <v>0</v>
      </c>
      <c r="AJ805">
        <v>0</v>
      </c>
      <c r="AK805">
        <v>1</v>
      </c>
      <c r="AL805" t="s">
        <v>388</v>
      </c>
      <c r="AZ805" t="s">
        <v>73</v>
      </c>
      <c r="BA805" t="s">
        <v>86</v>
      </c>
      <c r="BB805" t="s">
        <v>74</v>
      </c>
      <c r="BC805" t="s">
        <v>86</v>
      </c>
      <c r="BD805" t="s">
        <v>86</v>
      </c>
      <c r="BE805" t="s">
        <v>74</v>
      </c>
      <c r="BF805" t="s">
        <v>97</v>
      </c>
      <c r="BG805" t="s">
        <v>76</v>
      </c>
      <c r="BH805" t="s">
        <v>158</v>
      </c>
      <c r="BI805" t="s">
        <v>73</v>
      </c>
      <c r="BJ805" t="s">
        <v>114</v>
      </c>
      <c r="BK805">
        <v>0</v>
      </c>
      <c r="BL805">
        <v>0</v>
      </c>
      <c r="BM805">
        <v>0</v>
      </c>
      <c r="BN805">
        <v>0</v>
      </c>
      <c r="BO805">
        <v>0</v>
      </c>
      <c r="BP805">
        <v>1</v>
      </c>
      <c r="BQ805">
        <v>0</v>
      </c>
      <c r="BR805">
        <v>0</v>
      </c>
    </row>
    <row r="806" spans="1:72" x14ac:dyDescent="0.2">
      <c r="A806" s="1">
        <v>44583.568055555559</v>
      </c>
      <c r="B806" s="1">
        <v>44583.568749999999</v>
      </c>
      <c r="C806">
        <v>1</v>
      </c>
      <c r="D806">
        <v>0</v>
      </c>
      <c r="E806">
        <v>0</v>
      </c>
      <c r="F806">
        <v>0</v>
      </c>
      <c r="H806">
        <v>1</v>
      </c>
      <c r="I806">
        <v>0</v>
      </c>
      <c r="J806">
        <v>0</v>
      </c>
      <c r="K806">
        <v>0</v>
      </c>
      <c r="L806">
        <v>0</v>
      </c>
      <c r="P806">
        <v>1</v>
      </c>
      <c r="Q806">
        <v>0</v>
      </c>
      <c r="R806">
        <v>0</v>
      </c>
      <c r="S806">
        <v>0</v>
      </c>
      <c r="T806">
        <v>0</v>
      </c>
      <c r="U806">
        <v>0</v>
      </c>
      <c r="V806">
        <v>0</v>
      </c>
      <c r="W806">
        <v>0</v>
      </c>
      <c r="X806">
        <v>0</v>
      </c>
      <c r="Y806">
        <v>0</v>
      </c>
      <c r="Z806">
        <v>0</v>
      </c>
      <c r="AA806">
        <v>0</v>
      </c>
      <c r="AC806">
        <v>0</v>
      </c>
      <c r="AD806">
        <v>0</v>
      </c>
      <c r="AE806">
        <v>0</v>
      </c>
      <c r="AF806">
        <v>0</v>
      </c>
      <c r="AG806">
        <v>0</v>
      </c>
      <c r="AH806">
        <v>0</v>
      </c>
      <c r="AI806">
        <v>1</v>
      </c>
      <c r="AJ806">
        <v>0</v>
      </c>
      <c r="AK806">
        <v>0</v>
      </c>
      <c r="AZ806" t="s">
        <v>73</v>
      </c>
      <c r="BA806" t="s">
        <v>74</v>
      </c>
      <c r="BF806" t="s">
        <v>97</v>
      </c>
      <c r="BG806" t="s">
        <v>76</v>
      </c>
      <c r="BH806" t="s">
        <v>98</v>
      </c>
      <c r="BI806" t="s">
        <v>73</v>
      </c>
      <c r="BK806">
        <v>0</v>
      </c>
      <c r="BL806">
        <v>0</v>
      </c>
      <c r="BM806">
        <v>0</v>
      </c>
      <c r="BN806">
        <v>0</v>
      </c>
      <c r="BO806">
        <v>1</v>
      </c>
      <c r="BP806">
        <v>0</v>
      </c>
      <c r="BQ806">
        <v>0</v>
      </c>
      <c r="BR806">
        <v>0</v>
      </c>
      <c r="BT806" t="s">
        <v>109</v>
      </c>
    </row>
    <row r="807" spans="1:72" x14ac:dyDescent="0.2">
      <c r="A807" s="1">
        <v>44579.776388888888</v>
      </c>
      <c r="B807" s="1">
        <v>44579.77847222222</v>
      </c>
      <c r="C807">
        <v>1</v>
      </c>
      <c r="D807">
        <v>0</v>
      </c>
      <c r="E807">
        <v>0</v>
      </c>
      <c r="F807">
        <v>0</v>
      </c>
      <c r="H807">
        <v>1</v>
      </c>
      <c r="I807">
        <v>0</v>
      </c>
      <c r="J807">
        <v>0</v>
      </c>
      <c r="K807">
        <v>0</v>
      </c>
      <c r="L807">
        <v>0</v>
      </c>
      <c r="P807">
        <v>0</v>
      </c>
      <c r="Q807">
        <v>1</v>
      </c>
      <c r="R807">
        <v>0</v>
      </c>
      <c r="S807">
        <v>0</v>
      </c>
      <c r="T807">
        <v>0</v>
      </c>
      <c r="U807">
        <v>0</v>
      </c>
      <c r="V807">
        <v>0</v>
      </c>
      <c r="W807">
        <v>0</v>
      </c>
      <c r="X807">
        <v>0</v>
      </c>
      <c r="Y807">
        <v>0</v>
      </c>
      <c r="Z807">
        <v>0</v>
      </c>
      <c r="AA807">
        <v>0</v>
      </c>
      <c r="AM807" t="s">
        <v>82</v>
      </c>
      <c r="AN807" t="s">
        <v>83</v>
      </c>
      <c r="AO807" t="s">
        <v>83</v>
      </c>
      <c r="AP807" t="s">
        <v>83</v>
      </c>
      <c r="AQ807" t="s">
        <v>82</v>
      </c>
      <c r="AR807" t="s">
        <v>81</v>
      </c>
      <c r="AS807" t="s">
        <v>82</v>
      </c>
      <c r="AT807" t="s">
        <v>83</v>
      </c>
      <c r="AU807" t="s">
        <v>88</v>
      </c>
      <c r="AV807" t="s">
        <v>89</v>
      </c>
      <c r="AW807" t="s">
        <v>85</v>
      </c>
      <c r="AX807" t="s">
        <v>72</v>
      </c>
      <c r="AZ807" t="s">
        <v>73</v>
      </c>
      <c r="BA807" t="s">
        <v>86</v>
      </c>
      <c r="BB807" t="s">
        <v>74</v>
      </c>
      <c r="BC807" t="s">
        <v>74</v>
      </c>
      <c r="BD807" t="s">
        <v>87</v>
      </c>
      <c r="BE807" t="s">
        <v>74</v>
      </c>
      <c r="BF807" t="s">
        <v>75</v>
      </c>
      <c r="BG807" t="s">
        <v>92</v>
      </c>
      <c r="BH807" t="s">
        <v>98</v>
      </c>
      <c r="BI807" t="s">
        <v>73</v>
      </c>
      <c r="BJ807" t="s">
        <v>114</v>
      </c>
      <c r="BK807">
        <v>0</v>
      </c>
      <c r="BL807">
        <v>0</v>
      </c>
      <c r="BM807">
        <v>0</v>
      </c>
      <c r="BN807">
        <v>0</v>
      </c>
      <c r="BO807">
        <v>1</v>
      </c>
      <c r="BP807">
        <v>1</v>
      </c>
      <c r="BQ807">
        <v>0</v>
      </c>
      <c r="BR807">
        <v>0</v>
      </c>
    </row>
    <row r="808" spans="1:72" x14ac:dyDescent="0.2">
      <c r="A808" s="1">
        <v>44582.640277777777</v>
      </c>
      <c r="B808" s="1">
        <v>44582.64166666667</v>
      </c>
      <c r="C808">
        <v>0</v>
      </c>
      <c r="D808">
        <v>1</v>
      </c>
      <c r="E808">
        <v>0</v>
      </c>
      <c r="F808">
        <v>0</v>
      </c>
      <c r="H808">
        <v>1</v>
      </c>
      <c r="I808">
        <v>0</v>
      </c>
      <c r="J808">
        <v>0</v>
      </c>
      <c r="K808">
        <v>0</v>
      </c>
      <c r="L808">
        <v>0</v>
      </c>
      <c r="P808">
        <v>1</v>
      </c>
      <c r="Q808">
        <v>0</v>
      </c>
      <c r="R808">
        <v>0</v>
      </c>
      <c r="S808">
        <v>0</v>
      </c>
      <c r="T808">
        <v>0</v>
      </c>
      <c r="U808">
        <v>0</v>
      </c>
      <c r="V808">
        <v>0</v>
      </c>
      <c r="W808">
        <v>0</v>
      </c>
      <c r="X808">
        <v>0</v>
      </c>
      <c r="Y808">
        <v>0</v>
      </c>
      <c r="Z808">
        <v>0</v>
      </c>
      <c r="AA808">
        <v>0</v>
      </c>
      <c r="AC808">
        <v>0</v>
      </c>
      <c r="AD808">
        <v>1</v>
      </c>
      <c r="AE808">
        <v>0</v>
      </c>
      <c r="AF808">
        <v>0</v>
      </c>
      <c r="AG808">
        <v>0</v>
      </c>
      <c r="AH808">
        <v>0</v>
      </c>
      <c r="AI808">
        <v>0</v>
      </c>
      <c r="AJ808">
        <v>0</v>
      </c>
      <c r="AK808">
        <v>0</v>
      </c>
      <c r="AZ808" t="s">
        <v>96</v>
      </c>
      <c r="BA808" t="s">
        <v>74</v>
      </c>
      <c r="BF808" t="s">
        <v>101</v>
      </c>
      <c r="BG808" t="s">
        <v>76</v>
      </c>
      <c r="BH808" t="s">
        <v>98</v>
      </c>
      <c r="BI808" t="s">
        <v>96</v>
      </c>
      <c r="BK808">
        <v>1</v>
      </c>
      <c r="BL808">
        <v>0</v>
      </c>
      <c r="BM808">
        <v>0</v>
      </c>
      <c r="BN808">
        <v>0</v>
      </c>
      <c r="BO808">
        <v>0</v>
      </c>
      <c r="BP808">
        <v>0</v>
      </c>
      <c r="BQ808">
        <v>0</v>
      </c>
      <c r="BR808">
        <v>0</v>
      </c>
      <c r="BT808" t="s">
        <v>109</v>
      </c>
    </row>
    <row r="809" spans="1:72" x14ac:dyDescent="0.2">
      <c r="A809" s="1">
        <v>44579.9375</v>
      </c>
      <c r="B809" s="1">
        <v>44579.939583333333</v>
      </c>
      <c r="C809">
        <v>1</v>
      </c>
      <c r="D809">
        <v>0</v>
      </c>
      <c r="E809">
        <v>0</v>
      </c>
      <c r="F809">
        <v>0</v>
      </c>
      <c r="H809">
        <v>1</v>
      </c>
      <c r="I809">
        <v>0</v>
      </c>
      <c r="J809">
        <v>0</v>
      </c>
      <c r="K809">
        <v>0</v>
      </c>
      <c r="L809">
        <v>0</v>
      </c>
      <c r="P809">
        <v>1</v>
      </c>
      <c r="Q809">
        <v>0</v>
      </c>
      <c r="R809">
        <v>0</v>
      </c>
      <c r="S809">
        <v>0</v>
      </c>
      <c r="T809">
        <v>0</v>
      </c>
      <c r="U809">
        <v>0</v>
      </c>
      <c r="V809">
        <v>0</v>
      </c>
      <c r="W809">
        <v>0</v>
      </c>
      <c r="X809">
        <v>0</v>
      </c>
      <c r="Y809">
        <v>0</v>
      </c>
      <c r="Z809">
        <v>0</v>
      </c>
      <c r="AA809">
        <v>0</v>
      </c>
      <c r="AC809">
        <v>1</v>
      </c>
      <c r="AD809">
        <v>0</v>
      </c>
      <c r="AE809">
        <v>0</v>
      </c>
      <c r="AF809">
        <v>0</v>
      </c>
      <c r="AG809">
        <v>0</v>
      </c>
      <c r="AH809">
        <v>0</v>
      </c>
      <c r="AI809">
        <v>0</v>
      </c>
      <c r="AJ809">
        <v>0</v>
      </c>
      <c r="AK809">
        <v>0</v>
      </c>
      <c r="AZ809" t="s">
        <v>73</v>
      </c>
      <c r="BA809" t="s">
        <v>87</v>
      </c>
      <c r="BB809" t="s">
        <v>87</v>
      </c>
      <c r="BC809" t="s">
        <v>87</v>
      </c>
      <c r="BD809" t="s">
        <v>87</v>
      </c>
      <c r="BE809" t="s">
        <v>87</v>
      </c>
      <c r="BF809" t="s">
        <v>97</v>
      </c>
      <c r="BG809" t="s">
        <v>76</v>
      </c>
      <c r="BH809" t="s">
        <v>98</v>
      </c>
      <c r="BI809" t="s">
        <v>73</v>
      </c>
      <c r="BJ809" t="s">
        <v>114</v>
      </c>
      <c r="BK809">
        <v>1</v>
      </c>
      <c r="BL809">
        <v>0</v>
      </c>
      <c r="BM809">
        <v>0</v>
      </c>
      <c r="BN809">
        <v>0</v>
      </c>
      <c r="BO809">
        <v>0</v>
      </c>
      <c r="BP809">
        <v>0</v>
      </c>
      <c r="BQ809">
        <v>0</v>
      </c>
      <c r="BR809">
        <v>0</v>
      </c>
    </row>
    <row r="810" spans="1:72" x14ac:dyDescent="0.2">
      <c r="A810" s="1">
        <v>44579.943055555559</v>
      </c>
      <c r="B810" s="1">
        <v>44579.945138888892</v>
      </c>
      <c r="C810">
        <v>1</v>
      </c>
      <c r="D810">
        <v>0</v>
      </c>
      <c r="E810">
        <v>0</v>
      </c>
      <c r="F810">
        <v>0</v>
      </c>
      <c r="H810">
        <v>0</v>
      </c>
      <c r="I810">
        <v>0</v>
      </c>
      <c r="J810">
        <v>0</v>
      </c>
      <c r="K810">
        <v>0</v>
      </c>
      <c r="L810">
        <v>1</v>
      </c>
      <c r="M810" t="s">
        <v>389</v>
      </c>
      <c r="N810" t="s">
        <v>135</v>
      </c>
      <c r="O810" t="s">
        <v>89</v>
      </c>
      <c r="P810">
        <v>0</v>
      </c>
      <c r="Q810">
        <v>0</v>
      </c>
      <c r="R810">
        <v>1</v>
      </c>
      <c r="S810">
        <v>0</v>
      </c>
      <c r="T810">
        <v>0</v>
      </c>
      <c r="U810">
        <v>0</v>
      </c>
      <c r="V810">
        <v>0</v>
      </c>
      <c r="W810">
        <v>0</v>
      </c>
      <c r="X810">
        <v>0</v>
      </c>
      <c r="Y810">
        <v>0</v>
      </c>
      <c r="Z810">
        <v>0</v>
      </c>
      <c r="AA810">
        <v>0</v>
      </c>
      <c r="AM810" t="s">
        <v>83</v>
      </c>
      <c r="AN810" t="s">
        <v>82</v>
      </c>
      <c r="AO810" t="s">
        <v>81</v>
      </c>
      <c r="AP810" t="s">
        <v>81</v>
      </c>
      <c r="AQ810" t="s">
        <v>81</v>
      </c>
      <c r="AR810" t="s">
        <v>83</v>
      </c>
      <c r="AS810" t="s">
        <v>83</v>
      </c>
      <c r="AT810" t="s">
        <v>83</v>
      </c>
      <c r="AU810" t="s">
        <v>88</v>
      </c>
      <c r="AV810" t="s">
        <v>89</v>
      </c>
      <c r="AW810" t="s">
        <v>100</v>
      </c>
      <c r="AX810" t="s">
        <v>146</v>
      </c>
      <c r="AZ810" t="s">
        <v>73</v>
      </c>
      <c r="BA810" t="s">
        <v>87</v>
      </c>
      <c r="BB810" t="s">
        <v>86</v>
      </c>
      <c r="BC810" t="s">
        <v>87</v>
      </c>
      <c r="BD810" t="s">
        <v>87</v>
      </c>
      <c r="BE810" t="s">
        <v>74</v>
      </c>
      <c r="BF810" t="s">
        <v>75</v>
      </c>
      <c r="BG810" t="s">
        <v>92</v>
      </c>
      <c r="BH810" t="s">
        <v>77</v>
      </c>
      <c r="BI810" t="s">
        <v>73</v>
      </c>
      <c r="BJ810" t="s">
        <v>78</v>
      </c>
      <c r="BK810">
        <v>0</v>
      </c>
      <c r="BL810">
        <v>0</v>
      </c>
      <c r="BM810">
        <v>0</v>
      </c>
      <c r="BN810">
        <v>1</v>
      </c>
      <c r="BO810">
        <v>0</v>
      </c>
      <c r="BP810">
        <v>0</v>
      </c>
      <c r="BQ810">
        <v>0</v>
      </c>
      <c r="BR810">
        <v>0</v>
      </c>
    </row>
    <row r="811" spans="1:72" x14ac:dyDescent="0.2">
      <c r="A811" s="1">
        <v>44581.689583333333</v>
      </c>
      <c r="B811" s="1">
        <v>44581.690972222219</v>
      </c>
      <c r="C811">
        <v>1</v>
      </c>
      <c r="D811">
        <v>0</v>
      </c>
      <c r="E811">
        <v>0</v>
      </c>
      <c r="F811">
        <v>0</v>
      </c>
      <c r="H811">
        <v>1</v>
      </c>
      <c r="I811">
        <v>0</v>
      </c>
      <c r="J811">
        <v>0</v>
      </c>
      <c r="K811">
        <v>0</v>
      </c>
      <c r="L811">
        <v>0</v>
      </c>
      <c r="P811">
        <v>1</v>
      </c>
      <c r="Q811">
        <v>0</v>
      </c>
      <c r="R811">
        <v>0</v>
      </c>
      <c r="S811">
        <v>0</v>
      </c>
      <c r="T811">
        <v>0</v>
      </c>
      <c r="U811">
        <v>0</v>
      </c>
      <c r="V811">
        <v>0</v>
      </c>
      <c r="W811">
        <v>0</v>
      </c>
      <c r="X811">
        <v>0</v>
      </c>
      <c r="Y811">
        <v>0</v>
      </c>
      <c r="Z811">
        <v>0</v>
      </c>
      <c r="AA811">
        <v>0</v>
      </c>
      <c r="AC811">
        <v>0</v>
      </c>
      <c r="AD811">
        <v>0</v>
      </c>
      <c r="AE811">
        <v>0</v>
      </c>
      <c r="AF811">
        <v>0</v>
      </c>
      <c r="AG811">
        <v>0</v>
      </c>
      <c r="AH811">
        <v>0</v>
      </c>
      <c r="AI811">
        <v>1</v>
      </c>
      <c r="AJ811">
        <v>0</v>
      </c>
      <c r="AK811">
        <v>0</v>
      </c>
      <c r="AZ811" t="s">
        <v>73</v>
      </c>
      <c r="BA811" t="s">
        <v>74</v>
      </c>
      <c r="BF811" t="s">
        <v>97</v>
      </c>
      <c r="BG811" t="s">
        <v>76</v>
      </c>
      <c r="BH811" t="s">
        <v>158</v>
      </c>
      <c r="BI811" t="s">
        <v>73</v>
      </c>
      <c r="BJ811" t="s">
        <v>78</v>
      </c>
      <c r="BK811">
        <v>0</v>
      </c>
      <c r="BL811">
        <v>0</v>
      </c>
      <c r="BM811">
        <v>1</v>
      </c>
      <c r="BN811">
        <v>0</v>
      </c>
      <c r="BO811">
        <v>0</v>
      </c>
      <c r="BP811">
        <v>0</v>
      </c>
      <c r="BQ811">
        <v>0</v>
      </c>
      <c r="BR811">
        <v>0</v>
      </c>
    </row>
    <row r="812" spans="1:72" x14ac:dyDescent="0.2">
      <c r="A812" s="1">
        <v>44580.029166666667</v>
      </c>
      <c r="B812" s="1">
        <v>44580.030555555553</v>
      </c>
      <c r="C812">
        <v>1</v>
      </c>
      <c r="D812">
        <v>0</v>
      </c>
      <c r="E812">
        <v>0</v>
      </c>
      <c r="F812">
        <v>0</v>
      </c>
      <c r="H812">
        <v>0</v>
      </c>
      <c r="I812">
        <v>1</v>
      </c>
      <c r="J812">
        <v>0</v>
      </c>
      <c r="K812">
        <v>1</v>
      </c>
      <c r="L812">
        <v>0</v>
      </c>
      <c r="N812" t="s">
        <v>135</v>
      </c>
      <c r="O812" t="s">
        <v>89</v>
      </c>
      <c r="P812">
        <v>1</v>
      </c>
      <c r="Q812">
        <v>0</v>
      </c>
      <c r="R812">
        <v>0</v>
      </c>
      <c r="S812">
        <v>0</v>
      </c>
      <c r="T812">
        <v>0</v>
      </c>
      <c r="U812">
        <v>0</v>
      </c>
      <c r="V812">
        <v>0</v>
      </c>
      <c r="W812">
        <v>0</v>
      </c>
      <c r="X812">
        <v>0</v>
      </c>
      <c r="Y812">
        <v>0</v>
      </c>
      <c r="Z812">
        <v>0</v>
      </c>
      <c r="AA812">
        <v>0</v>
      </c>
      <c r="AC812">
        <v>0</v>
      </c>
      <c r="AD812">
        <v>0</v>
      </c>
      <c r="AE812">
        <v>1</v>
      </c>
      <c r="AF812">
        <v>0</v>
      </c>
      <c r="AG812">
        <v>0</v>
      </c>
      <c r="AH812">
        <v>0</v>
      </c>
      <c r="AI812">
        <v>0</v>
      </c>
      <c r="AJ812">
        <v>0</v>
      </c>
      <c r="AK812">
        <v>0</v>
      </c>
      <c r="AZ812" t="s">
        <v>96</v>
      </c>
      <c r="BA812" t="s">
        <v>87</v>
      </c>
      <c r="BB812" t="s">
        <v>87</v>
      </c>
      <c r="BC812" t="s">
        <v>87</v>
      </c>
      <c r="BD812" t="s">
        <v>87</v>
      </c>
      <c r="BE812" t="s">
        <v>87</v>
      </c>
      <c r="BF812" t="s">
        <v>97</v>
      </c>
      <c r="BG812" t="s">
        <v>76</v>
      </c>
      <c r="BH812" t="s">
        <v>77</v>
      </c>
      <c r="BI812" t="s">
        <v>96</v>
      </c>
      <c r="BJ812" t="s">
        <v>102</v>
      </c>
      <c r="BK812">
        <v>1</v>
      </c>
      <c r="BL812">
        <v>1</v>
      </c>
      <c r="BM812">
        <v>1</v>
      </c>
      <c r="BN812">
        <v>1</v>
      </c>
      <c r="BO812">
        <v>1</v>
      </c>
      <c r="BP812">
        <v>1</v>
      </c>
      <c r="BQ812">
        <v>1</v>
      </c>
      <c r="BR812">
        <v>0</v>
      </c>
      <c r="BS812" t="s">
        <v>390</v>
      </c>
    </row>
    <row r="813" spans="1:72" x14ac:dyDescent="0.2">
      <c r="A813" s="1">
        <v>44581.747916666667</v>
      </c>
      <c r="B813" s="1">
        <v>44581.749305555553</v>
      </c>
      <c r="C813">
        <v>1</v>
      </c>
      <c r="D813">
        <v>0</v>
      </c>
      <c r="E813">
        <v>0</v>
      </c>
      <c r="F813">
        <v>0</v>
      </c>
      <c r="H813">
        <v>0</v>
      </c>
      <c r="I813">
        <v>0</v>
      </c>
      <c r="J813">
        <v>0</v>
      </c>
      <c r="K813">
        <v>0</v>
      </c>
      <c r="L813">
        <v>1</v>
      </c>
      <c r="M813" t="s">
        <v>391</v>
      </c>
      <c r="N813" t="s">
        <v>88</v>
      </c>
      <c r="O813" t="s">
        <v>89</v>
      </c>
      <c r="P813">
        <v>1</v>
      </c>
      <c r="Q813">
        <v>0</v>
      </c>
      <c r="R813">
        <v>0</v>
      </c>
      <c r="S813">
        <v>0</v>
      </c>
      <c r="T813">
        <v>0</v>
      </c>
      <c r="U813">
        <v>0</v>
      </c>
      <c r="V813">
        <v>0</v>
      </c>
      <c r="W813">
        <v>0</v>
      </c>
      <c r="X813">
        <v>0</v>
      </c>
      <c r="Y813">
        <v>0</v>
      </c>
      <c r="Z813">
        <v>0</v>
      </c>
      <c r="AA813">
        <v>0</v>
      </c>
      <c r="AC813">
        <v>0</v>
      </c>
      <c r="AD813">
        <v>1</v>
      </c>
      <c r="AE813">
        <v>0</v>
      </c>
      <c r="AF813">
        <v>0</v>
      </c>
      <c r="AG813">
        <v>0</v>
      </c>
      <c r="AH813">
        <v>0</v>
      </c>
      <c r="AI813">
        <v>0</v>
      </c>
      <c r="AJ813">
        <v>0</v>
      </c>
      <c r="AK813">
        <v>0</v>
      </c>
      <c r="AX813" t="s">
        <v>199</v>
      </c>
      <c r="AZ813" t="s">
        <v>73</v>
      </c>
      <c r="BA813" t="s">
        <v>87</v>
      </c>
      <c r="BB813" t="s">
        <v>87</v>
      </c>
      <c r="BC813" t="s">
        <v>87</v>
      </c>
      <c r="BD813" t="s">
        <v>87</v>
      </c>
      <c r="BE813" t="s">
        <v>87</v>
      </c>
      <c r="BF813" t="s">
        <v>75</v>
      </c>
      <c r="BG813" t="s">
        <v>92</v>
      </c>
      <c r="BH813" t="s">
        <v>98</v>
      </c>
      <c r="BI813" t="s">
        <v>73</v>
      </c>
      <c r="BJ813" t="s">
        <v>78</v>
      </c>
      <c r="BK813">
        <v>0</v>
      </c>
      <c r="BL813">
        <v>0</v>
      </c>
      <c r="BM813">
        <v>0</v>
      </c>
      <c r="BN813">
        <v>1</v>
      </c>
      <c r="BO813">
        <v>0</v>
      </c>
      <c r="BP813">
        <v>0</v>
      </c>
      <c r="BQ813">
        <v>0</v>
      </c>
      <c r="BR813">
        <v>0</v>
      </c>
    </row>
    <row r="814" spans="1:72" x14ac:dyDescent="0.2">
      <c r="A814" s="1">
        <v>44579.876388888886</v>
      </c>
      <c r="B814" s="1">
        <v>44579.87777777778</v>
      </c>
      <c r="C814">
        <v>0</v>
      </c>
      <c r="D814">
        <v>1</v>
      </c>
      <c r="E814">
        <v>0</v>
      </c>
      <c r="F814">
        <v>0</v>
      </c>
      <c r="H814">
        <v>1</v>
      </c>
      <c r="I814">
        <v>0</v>
      </c>
      <c r="J814">
        <v>0</v>
      </c>
      <c r="K814">
        <v>0</v>
      </c>
      <c r="L814">
        <v>0</v>
      </c>
      <c r="P814">
        <v>1</v>
      </c>
      <c r="Q814">
        <v>0</v>
      </c>
      <c r="R814">
        <v>0</v>
      </c>
      <c r="S814">
        <v>0</v>
      </c>
      <c r="T814">
        <v>0</v>
      </c>
      <c r="U814">
        <v>0</v>
      </c>
      <c r="V814">
        <v>0</v>
      </c>
      <c r="W814">
        <v>0</v>
      </c>
      <c r="X814">
        <v>0</v>
      </c>
      <c r="Y814">
        <v>0</v>
      </c>
      <c r="Z814">
        <v>0</v>
      </c>
      <c r="AA814">
        <v>0</v>
      </c>
      <c r="AC814">
        <v>1</v>
      </c>
      <c r="AD814">
        <v>0</v>
      </c>
      <c r="AE814">
        <v>0</v>
      </c>
      <c r="AF814">
        <v>0</v>
      </c>
      <c r="AG814">
        <v>0</v>
      </c>
      <c r="AH814">
        <v>0</v>
      </c>
      <c r="AI814">
        <v>0</v>
      </c>
      <c r="AJ814">
        <v>0</v>
      </c>
      <c r="AK814">
        <v>0</v>
      </c>
      <c r="AX814" t="s">
        <v>118</v>
      </c>
      <c r="AZ814" t="s">
        <v>107</v>
      </c>
      <c r="BA814" t="s">
        <v>87</v>
      </c>
      <c r="BB814" t="s">
        <v>87</v>
      </c>
      <c r="BC814" t="s">
        <v>87</v>
      </c>
      <c r="BD814" t="s">
        <v>87</v>
      </c>
      <c r="BE814" t="s">
        <v>87</v>
      </c>
      <c r="BF814" t="s">
        <v>75</v>
      </c>
      <c r="BG814" t="s">
        <v>76</v>
      </c>
      <c r="BH814" t="s">
        <v>98</v>
      </c>
      <c r="BI814" t="s">
        <v>107</v>
      </c>
      <c r="BJ814" t="s">
        <v>114</v>
      </c>
      <c r="BK814">
        <v>0</v>
      </c>
      <c r="BL814">
        <v>0</v>
      </c>
      <c r="BM814">
        <v>1</v>
      </c>
      <c r="BN814">
        <v>0</v>
      </c>
      <c r="BO814">
        <v>0</v>
      </c>
      <c r="BP814">
        <v>0</v>
      </c>
      <c r="BQ814">
        <v>0</v>
      </c>
      <c r="BR814">
        <v>0</v>
      </c>
    </row>
    <row r="815" spans="1:72" x14ac:dyDescent="0.2">
      <c r="A815" s="1">
        <v>44589.004166666666</v>
      </c>
      <c r="B815" s="1">
        <v>44589.027083333334</v>
      </c>
      <c r="C815">
        <v>1</v>
      </c>
      <c r="D815">
        <v>0</v>
      </c>
      <c r="E815">
        <v>0</v>
      </c>
      <c r="F815">
        <v>0</v>
      </c>
      <c r="H815">
        <v>1</v>
      </c>
      <c r="I815">
        <v>0</v>
      </c>
      <c r="J815">
        <v>0</v>
      </c>
      <c r="K815">
        <v>0</v>
      </c>
      <c r="L815">
        <v>0</v>
      </c>
      <c r="P815">
        <v>1</v>
      </c>
      <c r="Q815">
        <v>0</v>
      </c>
      <c r="R815">
        <v>0</v>
      </c>
      <c r="S815">
        <v>0</v>
      </c>
      <c r="T815">
        <v>0</v>
      </c>
      <c r="U815">
        <v>0</v>
      </c>
      <c r="V815">
        <v>0</v>
      </c>
      <c r="W815">
        <v>0</v>
      </c>
      <c r="X815">
        <v>0</v>
      </c>
      <c r="Y815">
        <v>0</v>
      </c>
      <c r="Z815">
        <v>0</v>
      </c>
      <c r="AA815">
        <v>0</v>
      </c>
      <c r="AC815">
        <v>0</v>
      </c>
      <c r="AD815">
        <v>0</v>
      </c>
      <c r="AE815">
        <v>1</v>
      </c>
      <c r="AF815">
        <v>0</v>
      </c>
      <c r="AG815">
        <v>0</v>
      </c>
      <c r="AH815">
        <v>1</v>
      </c>
      <c r="AI815">
        <v>1</v>
      </c>
      <c r="AJ815">
        <v>0</v>
      </c>
      <c r="AK815">
        <v>0</v>
      </c>
      <c r="AX815" t="s">
        <v>170</v>
      </c>
      <c r="AZ815" t="s">
        <v>73</v>
      </c>
      <c r="BA815" t="s">
        <v>86</v>
      </c>
      <c r="BB815" t="s">
        <v>86</v>
      </c>
      <c r="BC815" t="s">
        <v>86</v>
      </c>
      <c r="BD815" t="s">
        <v>86</v>
      </c>
      <c r="BE815" t="s">
        <v>86</v>
      </c>
      <c r="BF815" t="s">
        <v>113</v>
      </c>
      <c r="BG815" t="s">
        <v>76</v>
      </c>
      <c r="BH815" t="s">
        <v>77</v>
      </c>
      <c r="BI815" t="s">
        <v>73</v>
      </c>
      <c r="BJ815" t="s">
        <v>78</v>
      </c>
      <c r="BK815">
        <v>0</v>
      </c>
      <c r="BL815">
        <v>0</v>
      </c>
      <c r="BM815">
        <v>0</v>
      </c>
      <c r="BN815">
        <v>1</v>
      </c>
      <c r="BO815">
        <v>0</v>
      </c>
      <c r="BP815">
        <v>0</v>
      </c>
      <c r="BQ815">
        <v>0</v>
      </c>
      <c r="BR815">
        <v>0</v>
      </c>
    </row>
    <row r="816" spans="1:72" x14ac:dyDescent="0.2">
      <c r="A816" s="1">
        <v>44580.723611111112</v>
      </c>
      <c r="B816" s="1">
        <v>44580.726388888892</v>
      </c>
      <c r="C816">
        <v>1</v>
      </c>
      <c r="D816">
        <v>0</v>
      </c>
      <c r="E816">
        <v>0</v>
      </c>
      <c r="F816">
        <v>0</v>
      </c>
      <c r="H816">
        <v>1</v>
      </c>
      <c r="I816">
        <v>0</v>
      </c>
      <c r="J816">
        <v>0</v>
      </c>
      <c r="K816">
        <v>0</v>
      </c>
      <c r="L816">
        <v>0</v>
      </c>
      <c r="P816">
        <v>1</v>
      </c>
      <c r="Q816">
        <v>0</v>
      </c>
      <c r="R816">
        <v>0</v>
      </c>
      <c r="S816">
        <v>0</v>
      </c>
      <c r="T816">
        <v>0</v>
      </c>
      <c r="U816">
        <v>0</v>
      </c>
      <c r="V816">
        <v>0</v>
      </c>
      <c r="W816">
        <v>0</v>
      </c>
      <c r="X816">
        <v>0</v>
      </c>
      <c r="Y816">
        <v>0</v>
      </c>
      <c r="Z816">
        <v>0</v>
      </c>
      <c r="AA816">
        <v>0</v>
      </c>
      <c r="AC816">
        <v>0</v>
      </c>
      <c r="AD816">
        <v>0</v>
      </c>
      <c r="AE816">
        <v>0</v>
      </c>
      <c r="AF816">
        <v>0</v>
      </c>
      <c r="AG816">
        <v>1</v>
      </c>
      <c r="AH816">
        <v>1</v>
      </c>
      <c r="AI816">
        <v>1</v>
      </c>
      <c r="AJ816">
        <v>0</v>
      </c>
      <c r="AK816">
        <v>1</v>
      </c>
      <c r="AL816" t="s">
        <v>392</v>
      </c>
      <c r="AZ816" t="s">
        <v>73</v>
      </c>
      <c r="BA816" t="s">
        <v>86</v>
      </c>
      <c r="BB816" t="s">
        <v>74</v>
      </c>
      <c r="BC816" t="s">
        <v>74</v>
      </c>
      <c r="BD816" t="s">
        <v>86</v>
      </c>
      <c r="BE816" t="s">
        <v>74</v>
      </c>
      <c r="BF816" t="s">
        <v>97</v>
      </c>
      <c r="BG816" t="s">
        <v>76</v>
      </c>
      <c r="BH816" t="s">
        <v>158</v>
      </c>
      <c r="BI816" t="s">
        <v>73</v>
      </c>
      <c r="BJ816" t="s">
        <v>165</v>
      </c>
      <c r="BK816">
        <v>0</v>
      </c>
      <c r="BL816">
        <v>0</v>
      </c>
      <c r="BM816">
        <v>0</v>
      </c>
      <c r="BN816">
        <v>0</v>
      </c>
      <c r="BO816">
        <v>1</v>
      </c>
      <c r="BP816">
        <v>0</v>
      </c>
      <c r="BQ816">
        <v>0</v>
      </c>
      <c r="BR816">
        <v>0</v>
      </c>
    </row>
    <row r="817" spans="1:72" x14ac:dyDescent="0.2">
      <c r="A817" s="1">
        <v>44585.569444444445</v>
      </c>
      <c r="B817" s="1">
        <v>44585.571527777778</v>
      </c>
      <c r="C817">
        <v>1</v>
      </c>
      <c r="D817">
        <v>0</v>
      </c>
      <c r="E817">
        <v>0</v>
      </c>
      <c r="F817">
        <v>0</v>
      </c>
      <c r="H817">
        <v>0</v>
      </c>
      <c r="I817">
        <v>1</v>
      </c>
      <c r="J817">
        <v>0</v>
      </c>
      <c r="K817">
        <v>0</v>
      </c>
      <c r="L817">
        <v>1</v>
      </c>
      <c r="M817" t="s">
        <v>393</v>
      </c>
      <c r="N817" t="s">
        <v>88</v>
      </c>
      <c r="O817" t="s">
        <v>89</v>
      </c>
      <c r="P817">
        <v>0</v>
      </c>
      <c r="Q817">
        <v>0</v>
      </c>
      <c r="R817">
        <v>1</v>
      </c>
      <c r="S817">
        <v>0</v>
      </c>
      <c r="T817">
        <v>0</v>
      </c>
      <c r="U817">
        <v>0</v>
      </c>
      <c r="V817">
        <v>0</v>
      </c>
      <c r="W817">
        <v>0</v>
      </c>
      <c r="X817">
        <v>0</v>
      </c>
      <c r="Y817">
        <v>0</v>
      </c>
      <c r="Z817">
        <v>0</v>
      </c>
      <c r="AA817">
        <v>0</v>
      </c>
      <c r="AM817" t="s">
        <v>81</v>
      </c>
      <c r="AN817" t="s">
        <v>82</v>
      </c>
      <c r="AO817" t="s">
        <v>83</v>
      </c>
      <c r="AP817" t="s">
        <v>83</v>
      </c>
      <c r="AQ817" t="s">
        <v>81</v>
      </c>
      <c r="AR817" t="s">
        <v>83</v>
      </c>
      <c r="AS817" t="s">
        <v>81</v>
      </c>
      <c r="AT817" t="s">
        <v>83</v>
      </c>
      <c r="AU817" t="s">
        <v>88</v>
      </c>
      <c r="AV817" t="s">
        <v>89</v>
      </c>
      <c r="AW817" t="s">
        <v>85</v>
      </c>
      <c r="AX817" t="s">
        <v>146</v>
      </c>
      <c r="AZ817" t="s">
        <v>73</v>
      </c>
      <c r="BA817" t="s">
        <v>87</v>
      </c>
      <c r="BB817" t="s">
        <v>87</v>
      </c>
      <c r="BC817" t="s">
        <v>87</v>
      </c>
      <c r="BD817" t="s">
        <v>86</v>
      </c>
      <c r="BE817" t="s">
        <v>87</v>
      </c>
      <c r="BF817" t="s">
        <v>108</v>
      </c>
      <c r="BG817" t="s">
        <v>92</v>
      </c>
      <c r="BH817" t="s">
        <v>98</v>
      </c>
      <c r="BI817" t="s">
        <v>73</v>
      </c>
      <c r="BJ817" t="s">
        <v>78</v>
      </c>
      <c r="BK817">
        <v>0</v>
      </c>
      <c r="BL817">
        <v>0</v>
      </c>
      <c r="BM817">
        <v>0</v>
      </c>
      <c r="BN817">
        <v>1</v>
      </c>
      <c r="BO817">
        <v>0</v>
      </c>
      <c r="BP817">
        <v>0</v>
      </c>
      <c r="BQ817">
        <v>0</v>
      </c>
      <c r="BR817">
        <v>0</v>
      </c>
    </row>
    <row r="818" spans="1:72" x14ac:dyDescent="0.2">
      <c r="A818" s="1">
        <v>44579.973611111112</v>
      </c>
      <c r="B818" s="1">
        <v>44579.974305555559</v>
      </c>
      <c r="C818">
        <v>0</v>
      </c>
      <c r="D818">
        <v>1</v>
      </c>
      <c r="E818">
        <v>0</v>
      </c>
      <c r="F818">
        <v>0</v>
      </c>
      <c r="H818">
        <v>1</v>
      </c>
      <c r="I818">
        <v>0</v>
      </c>
      <c r="J818">
        <v>0</v>
      </c>
      <c r="K818">
        <v>0</v>
      </c>
      <c r="L818">
        <v>0</v>
      </c>
      <c r="P818">
        <v>1</v>
      </c>
      <c r="Q818">
        <v>0</v>
      </c>
      <c r="R818">
        <v>0</v>
      </c>
      <c r="S818">
        <v>0</v>
      </c>
      <c r="T818">
        <v>0</v>
      </c>
      <c r="U818">
        <v>0</v>
      </c>
      <c r="V818">
        <v>0</v>
      </c>
      <c r="W818">
        <v>0</v>
      </c>
      <c r="X818">
        <v>0</v>
      </c>
      <c r="Y818">
        <v>0</v>
      </c>
      <c r="Z818">
        <v>0</v>
      </c>
      <c r="AA818">
        <v>0</v>
      </c>
      <c r="AC818">
        <v>0</v>
      </c>
      <c r="AD818">
        <v>0</v>
      </c>
      <c r="AE818">
        <v>0</v>
      </c>
      <c r="AF818">
        <v>0</v>
      </c>
      <c r="AG818">
        <v>0</v>
      </c>
      <c r="AH818">
        <v>0</v>
      </c>
      <c r="AI818">
        <v>0</v>
      </c>
      <c r="AJ818">
        <v>1</v>
      </c>
      <c r="AK818">
        <v>0</v>
      </c>
      <c r="AX818" t="s">
        <v>242</v>
      </c>
      <c r="AZ818" t="s">
        <v>73</v>
      </c>
      <c r="BA818" t="s">
        <v>74</v>
      </c>
      <c r="BF818" t="s">
        <v>75</v>
      </c>
      <c r="BG818" t="s">
        <v>76</v>
      </c>
      <c r="BH818" t="s">
        <v>93</v>
      </c>
      <c r="BI818" t="s">
        <v>73</v>
      </c>
      <c r="BJ818" t="s">
        <v>114</v>
      </c>
      <c r="BK818">
        <v>0</v>
      </c>
      <c r="BL818">
        <v>0</v>
      </c>
      <c r="BM818">
        <v>0</v>
      </c>
      <c r="BN818">
        <v>1</v>
      </c>
      <c r="BO818">
        <v>0</v>
      </c>
      <c r="BP818">
        <v>0</v>
      </c>
      <c r="BQ818">
        <v>0</v>
      </c>
      <c r="BR818">
        <v>0</v>
      </c>
    </row>
    <row r="819" spans="1:72" x14ac:dyDescent="0.2">
      <c r="A819" s="1">
        <v>44579.875</v>
      </c>
      <c r="B819" s="1">
        <v>44579.878472222219</v>
      </c>
      <c r="C819">
        <v>1</v>
      </c>
      <c r="D819">
        <v>0</v>
      </c>
      <c r="E819">
        <v>0</v>
      </c>
      <c r="F819">
        <v>0</v>
      </c>
      <c r="H819">
        <v>0</v>
      </c>
      <c r="I819">
        <v>0</v>
      </c>
      <c r="J819">
        <v>0</v>
      </c>
      <c r="K819">
        <v>0</v>
      </c>
      <c r="L819">
        <v>1</v>
      </c>
      <c r="M819" t="s">
        <v>394</v>
      </c>
      <c r="N819" t="s">
        <v>88</v>
      </c>
      <c r="O819" t="s">
        <v>89</v>
      </c>
      <c r="P819">
        <v>1</v>
      </c>
      <c r="Q819">
        <v>0</v>
      </c>
      <c r="R819">
        <v>0</v>
      </c>
      <c r="S819">
        <v>0</v>
      </c>
      <c r="T819">
        <v>0</v>
      </c>
      <c r="U819">
        <v>0</v>
      </c>
      <c r="V819">
        <v>0</v>
      </c>
      <c r="W819">
        <v>0</v>
      </c>
      <c r="X819">
        <v>0</v>
      </c>
      <c r="Y819">
        <v>0</v>
      </c>
      <c r="Z819">
        <v>0</v>
      </c>
      <c r="AA819">
        <v>0</v>
      </c>
      <c r="AC819">
        <v>0</v>
      </c>
      <c r="AD819">
        <v>0</v>
      </c>
      <c r="AE819">
        <v>1</v>
      </c>
      <c r="AF819">
        <v>0</v>
      </c>
      <c r="AG819">
        <v>0</v>
      </c>
      <c r="AH819">
        <v>0</v>
      </c>
      <c r="AI819">
        <v>1</v>
      </c>
      <c r="AJ819">
        <v>0</v>
      </c>
      <c r="AK819">
        <v>0</v>
      </c>
      <c r="AX819" t="s">
        <v>110</v>
      </c>
      <c r="AY819" t="s">
        <v>395</v>
      </c>
      <c r="AZ819" t="s">
        <v>73</v>
      </c>
      <c r="BA819" t="s">
        <v>87</v>
      </c>
      <c r="BB819" t="s">
        <v>74</v>
      </c>
      <c r="BC819" t="s">
        <v>74</v>
      </c>
      <c r="BD819" t="s">
        <v>74</v>
      </c>
      <c r="BE819" t="s">
        <v>87</v>
      </c>
      <c r="BF819" t="s">
        <v>75</v>
      </c>
      <c r="BG819" t="s">
        <v>76</v>
      </c>
      <c r="BH819" t="s">
        <v>93</v>
      </c>
      <c r="BI819" t="s">
        <v>73</v>
      </c>
      <c r="BJ819" t="s">
        <v>78</v>
      </c>
      <c r="BK819">
        <v>0</v>
      </c>
      <c r="BL819">
        <v>0</v>
      </c>
      <c r="BM819">
        <v>0</v>
      </c>
      <c r="BN819">
        <v>1</v>
      </c>
      <c r="BO819">
        <v>0</v>
      </c>
      <c r="BP819">
        <v>0</v>
      </c>
      <c r="BQ819">
        <v>0</v>
      </c>
      <c r="BR819">
        <v>0</v>
      </c>
    </row>
    <row r="820" spans="1:72" x14ac:dyDescent="0.2">
      <c r="A820" s="1">
        <v>44585.534722222219</v>
      </c>
      <c r="B820" s="1">
        <v>44585.537499999999</v>
      </c>
      <c r="C820">
        <v>0</v>
      </c>
      <c r="D820">
        <v>1</v>
      </c>
      <c r="E820">
        <v>0</v>
      </c>
      <c r="F820">
        <v>0</v>
      </c>
      <c r="H820">
        <v>1</v>
      </c>
      <c r="I820">
        <v>0</v>
      </c>
      <c r="J820">
        <v>0</v>
      </c>
      <c r="K820">
        <v>0</v>
      </c>
      <c r="L820">
        <v>0</v>
      </c>
      <c r="P820">
        <v>1</v>
      </c>
      <c r="Q820">
        <v>0</v>
      </c>
      <c r="R820">
        <v>0</v>
      </c>
      <c r="S820">
        <v>0</v>
      </c>
      <c r="T820">
        <v>0</v>
      </c>
      <c r="U820">
        <v>0</v>
      </c>
      <c r="V820">
        <v>0</v>
      </c>
      <c r="W820">
        <v>0</v>
      </c>
      <c r="X820">
        <v>0</v>
      </c>
      <c r="Y820">
        <v>0</v>
      </c>
      <c r="Z820">
        <v>0</v>
      </c>
      <c r="AA820">
        <v>0</v>
      </c>
      <c r="AC820">
        <v>0</v>
      </c>
      <c r="AD820">
        <v>1</v>
      </c>
      <c r="AE820">
        <v>0</v>
      </c>
      <c r="AF820">
        <v>0</v>
      </c>
      <c r="AG820">
        <v>0</v>
      </c>
      <c r="AH820">
        <v>0</v>
      </c>
      <c r="AI820">
        <v>0</v>
      </c>
      <c r="AJ820">
        <v>0</v>
      </c>
      <c r="AK820">
        <v>0</v>
      </c>
      <c r="AZ820" t="s">
        <v>73</v>
      </c>
      <c r="BA820" t="s">
        <v>87</v>
      </c>
      <c r="BB820" t="s">
        <v>86</v>
      </c>
      <c r="BC820" t="s">
        <v>87</v>
      </c>
      <c r="BD820" t="s">
        <v>87</v>
      </c>
      <c r="BE820" t="s">
        <v>87</v>
      </c>
      <c r="BF820" t="s">
        <v>159</v>
      </c>
      <c r="BG820" t="s">
        <v>76</v>
      </c>
      <c r="BH820" t="s">
        <v>77</v>
      </c>
      <c r="BI820" t="s">
        <v>73</v>
      </c>
      <c r="BJ820" t="s">
        <v>78</v>
      </c>
      <c r="BK820">
        <v>0</v>
      </c>
      <c r="BL820">
        <v>0</v>
      </c>
      <c r="BM820">
        <v>0</v>
      </c>
      <c r="BN820">
        <v>1</v>
      </c>
      <c r="BO820">
        <v>0</v>
      </c>
      <c r="BP820">
        <v>0</v>
      </c>
      <c r="BQ820">
        <v>0</v>
      </c>
      <c r="BR820">
        <v>0</v>
      </c>
    </row>
    <row r="821" spans="1:72" x14ac:dyDescent="0.2">
      <c r="A821" s="1">
        <v>44580.578472222223</v>
      </c>
      <c r="B821" s="1">
        <v>44580.579861111109</v>
      </c>
      <c r="C821">
        <v>1</v>
      </c>
      <c r="D821">
        <v>0</v>
      </c>
      <c r="E821">
        <v>0</v>
      </c>
      <c r="F821">
        <v>0</v>
      </c>
      <c r="H821">
        <v>1</v>
      </c>
      <c r="I821">
        <v>0</v>
      </c>
      <c r="J821">
        <v>0</v>
      </c>
      <c r="K821">
        <v>0</v>
      </c>
      <c r="L821">
        <v>0</v>
      </c>
      <c r="P821">
        <v>1</v>
      </c>
      <c r="Q821">
        <v>0</v>
      </c>
      <c r="R821">
        <v>0</v>
      </c>
      <c r="S821">
        <v>0</v>
      </c>
      <c r="T821">
        <v>0</v>
      </c>
      <c r="U821">
        <v>0</v>
      </c>
      <c r="V821">
        <v>0</v>
      </c>
      <c r="W821">
        <v>0</v>
      </c>
      <c r="X821">
        <v>0</v>
      </c>
      <c r="Y821">
        <v>0</v>
      </c>
      <c r="Z821">
        <v>0</v>
      </c>
      <c r="AA821">
        <v>0</v>
      </c>
      <c r="AC821">
        <v>0</v>
      </c>
      <c r="AD821">
        <v>1</v>
      </c>
      <c r="AE821">
        <v>0</v>
      </c>
      <c r="AF821">
        <v>0</v>
      </c>
      <c r="AG821">
        <v>0</v>
      </c>
      <c r="AH821">
        <v>0</v>
      </c>
      <c r="AI821">
        <v>0</v>
      </c>
      <c r="AJ821">
        <v>0</v>
      </c>
      <c r="AK821">
        <v>0</v>
      </c>
      <c r="AZ821" t="s">
        <v>107</v>
      </c>
      <c r="BA821" t="s">
        <v>87</v>
      </c>
      <c r="BB821" t="s">
        <v>87</v>
      </c>
      <c r="BC821" t="s">
        <v>87</v>
      </c>
      <c r="BD821" t="s">
        <v>87</v>
      </c>
      <c r="BE821" t="s">
        <v>87</v>
      </c>
      <c r="BF821" t="s">
        <v>101</v>
      </c>
      <c r="BG821" t="s">
        <v>92</v>
      </c>
      <c r="BH821" t="s">
        <v>98</v>
      </c>
      <c r="BI821" t="s">
        <v>107</v>
      </c>
      <c r="BJ821" t="s">
        <v>114</v>
      </c>
      <c r="BK821">
        <v>0</v>
      </c>
      <c r="BL821">
        <v>0</v>
      </c>
      <c r="BM821">
        <v>0</v>
      </c>
      <c r="BN821">
        <v>0</v>
      </c>
      <c r="BO821">
        <v>1</v>
      </c>
      <c r="BP821">
        <v>1</v>
      </c>
      <c r="BQ821">
        <v>0</v>
      </c>
      <c r="BR821">
        <v>0</v>
      </c>
    </row>
    <row r="822" spans="1:72" x14ac:dyDescent="0.2">
      <c r="A822" s="1">
        <v>44585.604166666664</v>
      </c>
      <c r="B822" s="1">
        <v>44585.606944444444</v>
      </c>
      <c r="C822">
        <v>1</v>
      </c>
      <c r="D822">
        <v>0</v>
      </c>
      <c r="E822">
        <v>0</v>
      </c>
      <c r="F822">
        <v>0</v>
      </c>
      <c r="H822">
        <v>1</v>
      </c>
      <c r="I822">
        <v>0</v>
      </c>
      <c r="J822">
        <v>0</v>
      </c>
      <c r="K822">
        <v>0</v>
      </c>
      <c r="L822">
        <v>0</v>
      </c>
      <c r="P822">
        <v>0</v>
      </c>
      <c r="Q822">
        <v>0</v>
      </c>
      <c r="R822">
        <v>0</v>
      </c>
      <c r="S822">
        <v>0</v>
      </c>
      <c r="T822">
        <v>0</v>
      </c>
      <c r="U822">
        <v>0</v>
      </c>
      <c r="V822">
        <v>0</v>
      </c>
      <c r="W822">
        <v>0</v>
      </c>
      <c r="X822">
        <v>0</v>
      </c>
      <c r="Y822">
        <v>0</v>
      </c>
      <c r="Z822">
        <v>0</v>
      </c>
      <c r="AA822">
        <v>1</v>
      </c>
      <c r="AB822" t="s">
        <v>396</v>
      </c>
      <c r="AM822" t="s">
        <v>90</v>
      </c>
      <c r="AN822" t="s">
        <v>82</v>
      </c>
      <c r="AO822" t="s">
        <v>90</v>
      </c>
      <c r="AP822" t="s">
        <v>90</v>
      </c>
      <c r="AQ822" t="s">
        <v>90</v>
      </c>
      <c r="AR822" t="s">
        <v>90</v>
      </c>
      <c r="AS822" t="s">
        <v>90</v>
      </c>
      <c r="AT822" t="s">
        <v>81</v>
      </c>
      <c r="AU822" t="s">
        <v>88</v>
      </c>
      <c r="AV822" t="s">
        <v>89</v>
      </c>
      <c r="AW822" t="s">
        <v>85</v>
      </c>
      <c r="AX822" t="s">
        <v>110</v>
      </c>
      <c r="AY822" t="s">
        <v>139</v>
      </c>
      <c r="AZ822" t="s">
        <v>73</v>
      </c>
      <c r="BA822" t="s">
        <v>74</v>
      </c>
      <c r="BF822" t="s">
        <v>108</v>
      </c>
      <c r="BG822" t="s">
        <v>92</v>
      </c>
      <c r="BH822" t="s">
        <v>158</v>
      </c>
      <c r="BI822" t="s">
        <v>73</v>
      </c>
      <c r="BJ822" t="s">
        <v>78</v>
      </c>
      <c r="BK822">
        <v>0</v>
      </c>
      <c r="BL822">
        <v>0</v>
      </c>
      <c r="BM822">
        <v>0</v>
      </c>
      <c r="BN822">
        <v>1</v>
      </c>
      <c r="BO822">
        <v>0</v>
      </c>
      <c r="BP822">
        <v>0</v>
      </c>
      <c r="BQ822">
        <v>0</v>
      </c>
      <c r="BR822">
        <v>0</v>
      </c>
    </row>
    <row r="823" spans="1:72" x14ac:dyDescent="0.2">
      <c r="A823" s="1">
        <v>44580.863888888889</v>
      </c>
      <c r="B823" s="1">
        <v>44580.866666666669</v>
      </c>
      <c r="C823">
        <v>1</v>
      </c>
      <c r="D823">
        <v>0</v>
      </c>
      <c r="E823">
        <v>0</v>
      </c>
      <c r="F823">
        <v>0</v>
      </c>
      <c r="H823">
        <v>1</v>
      </c>
      <c r="I823">
        <v>0</v>
      </c>
      <c r="J823">
        <v>0</v>
      </c>
      <c r="K823">
        <v>0</v>
      </c>
      <c r="L823">
        <v>0</v>
      </c>
      <c r="P823">
        <v>1</v>
      </c>
      <c r="Q823">
        <v>0</v>
      </c>
      <c r="R823">
        <v>0</v>
      </c>
      <c r="S823">
        <v>0</v>
      </c>
      <c r="T823">
        <v>0</v>
      </c>
      <c r="U823">
        <v>0</v>
      </c>
      <c r="V823">
        <v>0</v>
      </c>
      <c r="W823">
        <v>0</v>
      </c>
      <c r="X823">
        <v>0</v>
      </c>
      <c r="Y823">
        <v>0</v>
      </c>
      <c r="Z823">
        <v>0</v>
      </c>
      <c r="AA823">
        <v>0</v>
      </c>
      <c r="AC823">
        <v>0</v>
      </c>
      <c r="AD823">
        <v>0</v>
      </c>
      <c r="AE823">
        <v>1</v>
      </c>
      <c r="AF823">
        <v>0</v>
      </c>
      <c r="AG823">
        <v>0</v>
      </c>
      <c r="AH823">
        <v>0</v>
      </c>
      <c r="AI823">
        <v>0</v>
      </c>
      <c r="AJ823">
        <v>0</v>
      </c>
      <c r="AK823">
        <v>0</v>
      </c>
      <c r="AX823" t="s">
        <v>110</v>
      </c>
      <c r="AY823" t="s">
        <v>397</v>
      </c>
      <c r="AZ823" t="s">
        <v>107</v>
      </c>
      <c r="BA823" t="s">
        <v>87</v>
      </c>
      <c r="BB823" t="s">
        <v>87</v>
      </c>
      <c r="BC823" t="s">
        <v>87</v>
      </c>
      <c r="BD823" t="s">
        <v>87</v>
      </c>
      <c r="BE823" t="s">
        <v>87</v>
      </c>
      <c r="BF823" t="s">
        <v>75</v>
      </c>
      <c r="BG823" t="s">
        <v>76</v>
      </c>
      <c r="BH823" t="s">
        <v>98</v>
      </c>
      <c r="BI823" t="s">
        <v>107</v>
      </c>
      <c r="BK823">
        <v>0</v>
      </c>
      <c r="BL823">
        <v>0</v>
      </c>
      <c r="BM823">
        <v>0</v>
      </c>
      <c r="BN823">
        <v>1</v>
      </c>
      <c r="BO823">
        <v>0</v>
      </c>
      <c r="BP823">
        <v>0</v>
      </c>
      <c r="BQ823">
        <v>0</v>
      </c>
      <c r="BR823">
        <v>0</v>
      </c>
      <c r="BT823" t="s">
        <v>109</v>
      </c>
    </row>
    <row r="824" spans="1:72" x14ac:dyDescent="0.2">
      <c r="A824" s="1">
        <v>44585.518055555556</v>
      </c>
      <c r="B824" s="1">
        <v>44585.520138888889</v>
      </c>
      <c r="C824">
        <v>1</v>
      </c>
      <c r="D824">
        <v>0</v>
      </c>
      <c r="E824">
        <v>0</v>
      </c>
      <c r="F824">
        <v>0</v>
      </c>
      <c r="H824">
        <v>0</v>
      </c>
      <c r="I824">
        <v>1</v>
      </c>
      <c r="J824">
        <v>1</v>
      </c>
      <c r="K824">
        <v>1</v>
      </c>
      <c r="L824">
        <v>0</v>
      </c>
      <c r="N824" t="s">
        <v>88</v>
      </c>
      <c r="O824" t="s">
        <v>89</v>
      </c>
      <c r="P824">
        <v>0</v>
      </c>
      <c r="Q824">
        <v>0</v>
      </c>
      <c r="R824">
        <v>1</v>
      </c>
      <c r="S824">
        <v>0</v>
      </c>
      <c r="T824">
        <v>0</v>
      </c>
      <c r="U824">
        <v>0</v>
      </c>
      <c r="V824">
        <v>0</v>
      </c>
      <c r="W824">
        <v>0</v>
      </c>
      <c r="X824">
        <v>0</v>
      </c>
      <c r="Y824">
        <v>0</v>
      </c>
      <c r="Z824">
        <v>0</v>
      </c>
      <c r="AA824">
        <v>0</v>
      </c>
      <c r="AM824" t="s">
        <v>83</v>
      </c>
      <c r="AN824" t="s">
        <v>82</v>
      </c>
      <c r="AO824" t="s">
        <v>82</v>
      </c>
      <c r="AP824" t="s">
        <v>82</v>
      </c>
      <c r="AQ824" t="s">
        <v>81</v>
      </c>
      <c r="AR824" t="s">
        <v>83</v>
      </c>
      <c r="AS824" t="s">
        <v>81</v>
      </c>
      <c r="AT824" t="s">
        <v>83</v>
      </c>
      <c r="AU824" t="s">
        <v>88</v>
      </c>
      <c r="AV824" t="s">
        <v>89</v>
      </c>
      <c r="AW824" t="s">
        <v>100</v>
      </c>
      <c r="AX824" t="s">
        <v>118</v>
      </c>
      <c r="AZ824" t="s">
        <v>107</v>
      </c>
      <c r="BA824" t="s">
        <v>86</v>
      </c>
      <c r="BB824" t="s">
        <v>86</v>
      </c>
      <c r="BC824" t="s">
        <v>86</v>
      </c>
      <c r="BD824" t="s">
        <v>87</v>
      </c>
      <c r="BE824" t="s">
        <v>74</v>
      </c>
      <c r="BF824" t="s">
        <v>75</v>
      </c>
      <c r="BG824" t="s">
        <v>76</v>
      </c>
      <c r="BH824" t="s">
        <v>77</v>
      </c>
      <c r="BI824" t="s">
        <v>107</v>
      </c>
      <c r="BJ824" t="s">
        <v>129</v>
      </c>
      <c r="BK824">
        <v>0</v>
      </c>
      <c r="BL824">
        <v>0</v>
      </c>
      <c r="BM824">
        <v>0</v>
      </c>
      <c r="BN824">
        <v>0</v>
      </c>
      <c r="BO824">
        <v>1</v>
      </c>
      <c r="BP824">
        <v>1</v>
      </c>
      <c r="BQ824">
        <v>0</v>
      </c>
      <c r="BR824">
        <v>0</v>
      </c>
    </row>
    <row r="825" spans="1:72" x14ac:dyDescent="0.2">
      <c r="A825" s="1">
        <v>44579.902777777781</v>
      </c>
      <c r="B825" s="1">
        <v>44579.906944444447</v>
      </c>
      <c r="C825">
        <v>0</v>
      </c>
      <c r="D825">
        <v>1</v>
      </c>
      <c r="E825">
        <v>0</v>
      </c>
      <c r="F825">
        <v>0</v>
      </c>
      <c r="H825">
        <v>1</v>
      </c>
      <c r="I825">
        <v>0</v>
      </c>
      <c r="J825">
        <v>0</v>
      </c>
      <c r="K825">
        <v>0</v>
      </c>
      <c r="L825">
        <v>0</v>
      </c>
      <c r="P825">
        <v>0</v>
      </c>
      <c r="Q825">
        <v>0</v>
      </c>
      <c r="R825">
        <v>0</v>
      </c>
      <c r="S825">
        <v>0</v>
      </c>
      <c r="T825">
        <v>1</v>
      </c>
      <c r="U825">
        <v>0</v>
      </c>
      <c r="V825">
        <v>0</v>
      </c>
      <c r="W825">
        <v>0</v>
      </c>
      <c r="X825">
        <v>0</v>
      </c>
      <c r="Y825">
        <v>0</v>
      </c>
      <c r="Z825">
        <v>0</v>
      </c>
      <c r="AA825">
        <v>0</v>
      </c>
      <c r="AM825" t="s">
        <v>90</v>
      </c>
      <c r="AN825" t="s">
        <v>90</v>
      </c>
      <c r="AO825" t="s">
        <v>90</v>
      </c>
      <c r="AP825" t="s">
        <v>90</v>
      </c>
      <c r="AQ825" t="s">
        <v>82</v>
      </c>
      <c r="AR825" t="s">
        <v>90</v>
      </c>
      <c r="AS825" t="s">
        <v>90</v>
      </c>
      <c r="AT825" t="s">
        <v>90</v>
      </c>
      <c r="AU825" t="s">
        <v>127</v>
      </c>
      <c r="AV825" t="s">
        <v>127</v>
      </c>
      <c r="AZ825" t="s">
        <v>96</v>
      </c>
      <c r="BA825" t="s">
        <v>87</v>
      </c>
      <c r="BB825" t="s">
        <v>74</v>
      </c>
      <c r="BC825" t="s">
        <v>74</v>
      </c>
      <c r="BD825" t="s">
        <v>74</v>
      </c>
      <c r="BE825" t="s">
        <v>74</v>
      </c>
      <c r="BF825" t="s">
        <v>97</v>
      </c>
      <c r="BG825" t="s">
        <v>76</v>
      </c>
      <c r="BH825" t="s">
        <v>158</v>
      </c>
      <c r="BI825" t="s">
        <v>96</v>
      </c>
      <c r="BJ825" t="s">
        <v>78</v>
      </c>
      <c r="BK825">
        <v>0</v>
      </c>
      <c r="BL825">
        <v>0</v>
      </c>
      <c r="BM825">
        <v>0</v>
      </c>
      <c r="BN825">
        <v>1</v>
      </c>
      <c r="BO825">
        <v>0</v>
      </c>
      <c r="BP825">
        <v>0</v>
      </c>
      <c r="BQ825">
        <v>0</v>
      </c>
      <c r="BR825">
        <v>0</v>
      </c>
    </row>
    <row r="826" spans="1:72" x14ac:dyDescent="0.2">
      <c r="A826" s="1">
        <v>44579.902083333334</v>
      </c>
      <c r="B826" s="1">
        <v>44579.904166666667</v>
      </c>
      <c r="C826">
        <v>0</v>
      </c>
      <c r="D826">
        <v>1</v>
      </c>
      <c r="E826">
        <v>0</v>
      </c>
      <c r="F826">
        <v>0</v>
      </c>
      <c r="H826">
        <v>0</v>
      </c>
      <c r="I826">
        <v>0</v>
      </c>
      <c r="J826">
        <v>1</v>
      </c>
      <c r="K826">
        <v>0</v>
      </c>
      <c r="L826">
        <v>0</v>
      </c>
      <c r="N826" t="s">
        <v>79</v>
      </c>
      <c r="O826" t="s">
        <v>80</v>
      </c>
      <c r="P826">
        <v>0</v>
      </c>
      <c r="Q826">
        <v>0</v>
      </c>
      <c r="R826">
        <v>0</v>
      </c>
      <c r="S826">
        <v>0</v>
      </c>
      <c r="T826">
        <v>1</v>
      </c>
      <c r="U826">
        <v>0</v>
      </c>
      <c r="V826">
        <v>0</v>
      </c>
      <c r="W826">
        <v>0</v>
      </c>
      <c r="X826">
        <v>0</v>
      </c>
      <c r="Y826">
        <v>0</v>
      </c>
      <c r="Z826">
        <v>0</v>
      </c>
      <c r="AA826">
        <v>0</v>
      </c>
      <c r="AM826" t="s">
        <v>83</v>
      </c>
      <c r="AN826" t="s">
        <v>82</v>
      </c>
      <c r="AO826" t="s">
        <v>83</v>
      </c>
      <c r="AP826" t="s">
        <v>82</v>
      </c>
      <c r="AQ826" t="s">
        <v>82</v>
      </c>
      <c r="AR826" t="s">
        <v>83</v>
      </c>
      <c r="AS826" t="s">
        <v>83</v>
      </c>
      <c r="AT826" t="s">
        <v>81</v>
      </c>
      <c r="AU826" t="s">
        <v>135</v>
      </c>
      <c r="AV826" t="s">
        <v>80</v>
      </c>
      <c r="AW826" t="s">
        <v>85</v>
      </c>
      <c r="AX826" t="s">
        <v>128</v>
      </c>
      <c r="AZ826" t="s">
        <v>73</v>
      </c>
      <c r="BA826" t="s">
        <v>74</v>
      </c>
      <c r="BF826" t="s">
        <v>75</v>
      </c>
      <c r="BG826" t="s">
        <v>76</v>
      </c>
      <c r="BH826" t="s">
        <v>93</v>
      </c>
      <c r="BI826" t="s">
        <v>73</v>
      </c>
      <c r="BJ826" t="s">
        <v>114</v>
      </c>
      <c r="BK826">
        <v>0</v>
      </c>
      <c r="BL826">
        <v>0</v>
      </c>
      <c r="BM826">
        <v>0</v>
      </c>
      <c r="BN826">
        <v>0</v>
      </c>
      <c r="BO826">
        <v>1</v>
      </c>
      <c r="BP826">
        <v>0</v>
      </c>
      <c r="BQ826">
        <v>0</v>
      </c>
      <c r="BR826">
        <v>0</v>
      </c>
    </row>
    <row r="827" spans="1:72" x14ac:dyDescent="0.2">
      <c r="A827" s="1">
        <v>44584.183333333334</v>
      </c>
      <c r="B827" s="1">
        <v>44584.186805555553</v>
      </c>
      <c r="C827">
        <v>1</v>
      </c>
      <c r="D827">
        <v>0</v>
      </c>
      <c r="E827">
        <v>0</v>
      </c>
      <c r="F827">
        <v>0</v>
      </c>
      <c r="H827">
        <v>0</v>
      </c>
      <c r="I827">
        <v>1</v>
      </c>
      <c r="J827">
        <v>1</v>
      </c>
      <c r="K827">
        <v>1</v>
      </c>
      <c r="L827">
        <v>0</v>
      </c>
      <c r="N827" t="s">
        <v>88</v>
      </c>
      <c r="O827" t="s">
        <v>89</v>
      </c>
      <c r="P827">
        <v>0</v>
      </c>
      <c r="Q827">
        <v>0</v>
      </c>
      <c r="R827">
        <v>1</v>
      </c>
      <c r="S827">
        <v>0</v>
      </c>
      <c r="T827">
        <v>0</v>
      </c>
      <c r="U827">
        <v>0</v>
      </c>
      <c r="V827">
        <v>0</v>
      </c>
      <c r="W827">
        <v>0</v>
      </c>
      <c r="X827">
        <v>0</v>
      </c>
      <c r="Y827">
        <v>0</v>
      </c>
      <c r="Z827">
        <v>0</v>
      </c>
      <c r="AA827">
        <v>0</v>
      </c>
      <c r="AM827" t="s">
        <v>81</v>
      </c>
      <c r="AN827" t="s">
        <v>82</v>
      </c>
      <c r="AO827" t="s">
        <v>82</v>
      </c>
      <c r="AP827" t="s">
        <v>81</v>
      </c>
      <c r="AQ827" t="s">
        <v>83</v>
      </c>
      <c r="AR827" t="s">
        <v>83</v>
      </c>
      <c r="AS827" t="s">
        <v>83</v>
      </c>
      <c r="AT827" t="s">
        <v>83</v>
      </c>
      <c r="AU827" t="s">
        <v>88</v>
      </c>
      <c r="AV827" t="s">
        <v>89</v>
      </c>
      <c r="AW827" t="s">
        <v>100</v>
      </c>
      <c r="AX827" t="s">
        <v>128</v>
      </c>
      <c r="AZ827" t="s">
        <v>73</v>
      </c>
      <c r="BA827" t="s">
        <v>87</v>
      </c>
      <c r="BB827" t="s">
        <v>87</v>
      </c>
      <c r="BC827" t="s">
        <v>87</v>
      </c>
      <c r="BD827" t="s">
        <v>87</v>
      </c>
      <c r="BE827" t="s">
        <v>87</v>
      </c>
      <c r="BF827" t="s">
        <v>75</v>
      </c>
      <c r="BG827" t="s">
        <v>92</v>
      </c>
      <c r="BH827" t="s">
        <v>93</v>
      </c>
      <c r="BI827" t="s">
        <v>73</v>
      </c>
      <c r="BJ827" t="s">
        <v>114</v>
      </c>
      <c r="BK827">
        <v>0</v>
      </c>
      <c r="BL827">
        <v>0</v>
      </c>
      <c r="BM827">
        <v>0</v>
      </c>
      <c r="BN827">
        <v>1</v>
      </c>
      <c r="BO827">
        <v>0</v>
      </c>
      <c r="BP827">
        <v>0</v>
      </c>
      <c r="BQ827">
        <v>0</v>
      </c>
      <c r="BR827">
        <v>0</v>
      </c>
    </row>
    <row r="828" spans="1:72" x14ac:dyDescent="0.2">
      <c r="A828" s="1">
        <v>44579.879166666666</v>
      </c>
      <c r="B828" s="1">
        <v>44579.881249999999</v>
      </c>
      <c r="C828">
        <v>1</v>
      </c>
      <c r="D828">
        <v>0</v>
      </c>
      <c r="E828">
        <v>0</v>
      </c>
      <c r="F828">
        <v>0</v>
      </c>
      <c r="H828">
        <v>0</v>
      </c>
      <c r="I828">
        <v>1</v>
      </c>
      <c r="J828">
        <v>0</v>
      </c>
      <c r="K828">
        <v>0</v>
      </c>
      <c r="L828">
        <v>0</v>
      </c>
      <c r="N828" t="s">
        <v>88</v>
      </c>
      <c r="O828" t="s">
        <v>89</v>
      </c>
      <c r="P828">
        <v>0</v>
      </c>
      <c r="Q828">
        <v>0</v>
      </c>
      <c r="R828">
        <v>1</v>
      </c>
      <c r="S828">
        <v>0</v>
      </c>
      <c r="T828">
        <v>0</v>
      </c>
      <c r="U828">
        <v>0</v>
      </c>
      <c r="V828">
        <v>0</v>
      </c>
      <c r="W828">
        <v>0</v>
      </c>
      <c r="X828">
        <v>0</v>
      </c>
      <c r="Y828">
        <v>0</v>
      </c>
      <c r="Z828">
        <v>0</v>
      </c>
      <c r="AA828">
        <v>0</v>
      </c>
      <c r="AM828" t="s">
        <v>81</v>
      </c>
      <c r="AN828" t="s">
        <v>82</v>
      </c>
      <c r="AO828" t="s">
        <v>83</v>
      </c>
      <c r="AP828" t="s">
        <v>81</v>
      </c>
      <c r="AQ828" t="s">
        <v>82</v>
      </c>
      <c r="AR828" t="s">
        <v>83</v>
      </c>
      <c r="AS828" t="s">
        <v>83</v>
      </c>
      <c r="AT828" t="s">
        <v>83</v>
      </c>
      <c r="AU828" t="s">
        <v>88</v>
      </c>
      <c r="AV828" t="s">
        <v>89</v>
      </c>
      <c r="AW828" t="s">
        <v>85</v>
      </c>
      <c r="AZ828" t="s">
        <v>73</v>
      </c>
      <c r="BA828" t="s">
        <v>87</v>
      </c>
      <c r="BB828" t="s">
        <v>87</v>
      </c>
      <c r="BC828" t="s">
        <v>87</v>
      </c>
      <c r="BD828" t="s">
        <v>87</v>
      </c>
      <c r="BE828" t="s">
        <v>87</v>
      </c>
      <c r="BF828" t="s">
        <v>159</v>
      </c>
      <c r="BG828" t="s">
        <v>76</v>
      </c>
      <c r="BH828" t="s">
        <v>93</v>
      </c>
      <c r="BI828" t="s">
        <v>73</v>
      </c>
      <c r="BJ828" t="s">
        <v>94</v>
      </c>
      <c r="BK828">
        <v>0</v>
      </c>
      <c r="BL828">
        <v>0</v>
      </c>
      <c r="BM828">
        <v>0</v>
      </c>
      <c r="BN828">
        <v>1</v>
      </c>
      <c r="BO828">
        <v>0</v>
      </c>
      <c r="BP828">
        <v>0</v>
      </c>
      <c r="BQ828">
        <v>0</v>
      </c>
      <c r="BR828">
        <v>0</v>
      </c>
    </row>
    <row r="829" spans="1:72" x14ac:dyDescent="0.2">
      <c r="A829" s="1">
        <v>44580.059027777781</v>
      </c>
      <c r="B829" s="1">
        <v>44580.060416666667</v>
      </c>
      <c r="C829">
        <v>1</v>
      </c>
      <c r="D829">
        <v>0</v>
      </c>
      <c r="E829">
        <v>0</v>
      </c>
      <c r="F829">
        <v>0</v>
      </c>
      <c r="H829">
        <v>1</v>
      </c>
      <c r="I829">
        <v>0</v>
      </c>
      <c r="J829">
        <v>0</v>
      </c>
      <c r="K829">
        <v>0</v>
      </c>
      <c r="L829">
        <v>0</v>
      </c>
      <c r="P829">
        <v>1</v>
      </c>
      <c r="Q829">
        <v>0</v>
      </c>
      <c r="R829">
        <v>0</v>
      </c>
      <c r="S829">
        <v>0</v>
      </c>
      <c r="T829">
        <v>0</v>
      </c>
      <c r="U829">
        <v>0</v>
      </c>
      <c r="V829">
        <v>0</v>
      </c>
      <c r="W829">
        <v>0</v>
      </c>
      <c r="X829">
        <v>0</v>
      </c>
      <c r="Y829">
        <v>0</v>
      </c>
      <c r="Z829">
        <v>0</v>
      </c>
      <c r="AA829">
        <v>0</v>
      </c>
      <c r="AC829">
        <v>0</v>
      </c>
      <c r="AD829">
        <v>1</v>
      </c>
      <c r="AE829">
        <v>0</v>
      </c>
      <c r="AF829">
        <v>0</v>
      </c>
      <c r="AG829">
        <v>0</v>
      </c>
      <c r="AH829">
        <v>0</v>
      </c>
      <c r="AI829">
        <v>0</v>
      </c>
      <c r="AJ829">
        <v>0</v>
      </c>
      <c r="AK829">
        <v>0</v>
      </c>
      <c r="AX829" t="s">
        <v>146</v>
      </c>
      <c r="AZ829" t="s">
        <v>73</v>
      </c>
      <c r="BA829" t="s">
        <v>86</v>
      </c>
      <c r="BB829" t="s">
        <v>74</v>
      </c>
      <c r="BC829" t="s">
        <v>74</v>
      </c>
      <c r="BD829" t="s">
        <v>87</v>
      </c>
      <c r="BE829" t="s">
        <v>74</v>
      </c>
      <c r="BF829" t="s">
        <v>75</v>
      </c>
      <c r="BG829" t="s">
        <v>76</v>
      </c>
      <c r="BH829" t="s">
        <v>98</v>
      </c>
      <c r="BI829" t="s">
        <v>73</v>
      </c>
      <c r="BJ829" t="s">
        <v>114</v>
      </c>
      <c r="BK829">
        <v>1</v>
      </c>
      <c r="BL829">
        <v>0</v>
      </c>
      <c r="BM829">
        <v>0</v>
      </c>
      <c r="BN829">
        <v>0</v>
      </c>
      <c r="BO829">
        <v>0</v>
      </c>
      <c r="BP829">
        <v>0</v>
      </c>
      <c r="BQ829">
        <v>0</v>
      </c>
      <c r="BR829">
        <v>0</v>
      </c>
    </row>
    <row r="830" spans="1:72" x14ac:dyDescent="0.2">
      <c r="A830" s="1">
        <v>44579.886805555558</v>
      </c>
      <c r="B830" s="1">
        <v>44579.888194444444</v>
      </c>
      <c r="C830">
        <v>1</v>
      </c>
      <c r="D830">
        <v>0</v>
      </c>
      <c r="E830">
        <v>0</v>
      </c>
      <c r="F830">
        <v>0</v>
      </c>
      <c r="H830">
        <v>1</v>
      </c>
      <c r="I830">
        <v>0</v>
      </c>
      <c r="J830">
        <v>0</v>
      </c>
      <c r="K830">
        <v>0</v>
      </c>
      <c r="L830">
        <v>0</v>
      </c>
      <c r="P830">
        <v>0</v>
      </c>
      <c r="Q830">
        <v>0</v>
      </c>
      <c r="R830">
        <v>1</v>
      </c>
      <c r="S830">
        <v>0</v>
      </c>
      <c r="T830">
        <v>0</v>
      </c>
      <c r="U830">
        <v>0</v>
      </c>
      <c r="V830">
        <v>0</v>
      </c>
      <c r="W830">
        <v>0</v>
      </c>
      <c r="X830">
        <v>0</v>
      </c>
      <c r="Y830">
        <v>0</v>
      </c>
      <c r="Z830">
        <v>0</v>
      </c>
      <c r="AA830">
        <v>0</v>
      </c>
      <c r="AM830" t="s">
        <v>83</v>
      </c>
      <c r="AN830" t="s">
        <v>81</v>
      </c>
      <c r="AO830" t="s">
        <v>83</v>
      </c>
      <c r="AP830" t="s">
        <v>83</v>
      </c>
      <c r="AQ830" t="s">
        <v>82</v>
      </c>
      <c r="AR830" t="s">
        <v>83</v>
      </c>
      <c r="AS830" t="s">
        <v>83</v>
      </c>
      <c r="AT830" t="s">
        <v>81</v>
      </c>
      <c r="AU830" t="s">
        <v>135</v>
      </c>
      <c r="AV830" t="s">
        <v>80</v>
      </c>
      <c r="AW830" t="s">
        <v>117</v>
      </c>
      <c r="AX830" t="s">
        <v>110</v>
      </c>
      <c r="AY830" t="s">
        <v>398</v>
      </c>
      <c r="AZ830" t="s">
        <v>96</v>
      </c>
      <c r="BA830" t="s">
        <v>87</v>
      </c>
      <c r="BB830" t="s">
        <v>86</v>
      </c>
      <c r="BC830" t="s">
        <v>86</v>
      </c>
      <c r="BD830" t="s">
        <v>86</v>
      </c>
      <c r="BE830" t="s">
        <v>86</v>
      </c>
      <c r="BF830" t="s">
        <v>113</v>
      </c>
      <c r="BG830" t="s">
        <v>76</v>
      </c>
      <c r="BH830" t="s">
        <v>93</v>
      </c>
      <c r="BI830" t="s">
        <v>96</v>
      </c>
      <c r="BJ830" t="s">
        <v>109</v>
      </c>
      <c r="BK830">
        <v>1</v>
      </c>
      <c r="BL830">
        <v>0</v>
      </c>
      <c r="BM830">
        <v>0</v>
      </c>
      <c r="BN830">
        <v>0</v>
      </c>
      <c r="BO830">
        <v>0</v>
      </c>
      <c r="BP830">
        <v>0</v>
      </c>
      <c r="BQ830">
        <v>0</v>
      </c>
      <c r="BR830">
        <v>0</v>
      </c>
    </row>
    <row r="831" spans="1:72" x14ac:dyDescent="0.2">
      <c r="A831" s="1">
        <v>44579.916666666664</v>
      </c>
      <c r="B831" s="1">
        <v>44579.918055555558</v>
      </c>
      <c r="C831">
        <v>0</v>
      </c>
      <c r="D831">
        <v>1</v>
      </c>
      <c r="E831">
        <v>0</v>
      </c>
      <c r="F831">
        <v>0</v>
      </c>
      <c r="H831">
        <v>1</v>
      </c>
      <c r="I831">
        <v>0</v>
      </c>
      <c r="J831">
        <v>0</v>
      </c>
      <c r="K831">
        <v>0</v>
      </c>
      <c r="L831">
        <v>0</v>
      </c>
      <c r="P831">
        <v>1</v>
      </c>
      <c r="Q831">
        <v>0</v>
      </c>
      <c r="R831">
        <v>0</v>
      </c>
      <c r="S831">
        <v>0</v>
      </c>
      <c r="T831">
        <v>0</v>
      </c>
      <c r="U831">
        <v>0</v>
      </c>
      <c r="V831">
        <v>0</v>
      </c>
      <c r="W831">
        <v>0</v>
      </c>
      <c r="X831">
        <v>0</v>
      </c>
      <c r="Y831">
        <v>0</v>
      </c>
      <c r="Z831">
        <v>0</v>
      </c>
      <c r="AA831">
        <v>0</v>
      </c>
      <c r="AC831">
        <v>0</v>
      </c>
      <c r="AD831">
        <v>1</v>
      </c>
      <c r="AE831">
        <v>0</v>
      </c>
      <c r="AF831">
        <v>0</v>
      </c>
      <c r="AG831">
        <v>0</v>
      </c>
      <c r="AH831">
        <v>0</v>
      </c>
      <c r="AI831">
        <v>0</v>
      </c>
      <c r="AJ831">
        <v>0</v>
      </c>
      <c r="AK831">
        <v>0</v>
      </c>
      <c r="AX831" t="s">
        <v>72</v>
      </c>
      <c r="AZ831" t="s">
        <v>96</v>
      </c>
      <c r="BA831" t="s">
        <v>86</v>
      </c>
      <c r="BB831" t="s">
        <v>86</v>
      </c>
      <c r="BC831" t="s">
        <v>86</v>
      </c>
      <c r="BD831" t="s">
        <v>87</v>
      </c>
      <c r="BE831" t="s">
        <v>87</v>
      </c>
      <c r="BF831" t="s">
        <v>75</v>
      </c>
      <c r="BG831" t="s">
        <v>76</v>
      </c>
      <c r="BH831" t="s">
        <v>98</v>
      </c>
      <c r="BI831" t="s">
        <v>96</v>
      </c>
      <c r="BJ831" t="s">
        <v>114</v>
      </c>
      <c r="BK831">
        <v>1</v>
      </c>
      <c r="BL831">
        <v>0</v>
      </c>
      <c r="BM831">
        <v>0</v>
      </c>
      <c r="BN831">
        <v>0</v>
      </c>
      <c r="BO831">
        <v>0</v>
      </c>
      <c r="BP831">
        <v>0</v>
      </c>
      <c r="BQ831">
        <v>0</v>
      </c>
      <c r="BR831">
        <v>0</v>
      </c>
    </row>
    <row r="832" spans="1:72" x14ac:dyDescent="0.2">
      <c r="A832" s="1">
        <v>44580.135416666664</v>
      </c>
      <c r="B832" s="1">
        <v>44580.138888888891</v>
      </c>
      <c r="C832">
        <v>1</v>
      </c>
      <c r="D832">
        <v>0</v>
      </c>
      <c r="E832">
        <v>0</v>
      </c>
      <c r="F832">
        <v>0</v>
      </c>
      <c r="H832">
        <v>0</v>
      </c>
      <c r="I832">
        <v>1</v>
      </c>
      <c r="J832">
        <v>0</v>
      </c>
      <c r="K832">
        <v>0</v>
      </c>
      <c r="L832">
        <v>0</v>
      </c>
      <c r="N832" t="s">
        <v>88</v>
      </c>
      <c r="O832" t="s">
        <v>89</v>
      </c>
      <c r="P832">
        <v>0</v>
      </c>
      <c r="Q832">
        <v>1</v>
      </c>
      <c r="R832">
        <v>0</v>
      </c>
      <c r="S832">
        <v>0</v>
      </c>
      <c r="T832">
        <v>0</v>
      </c>
      <c r="U832">
        <v>0</v>
      </c>
      <c r="V832">
        <v>0</v>
      </c>
      <c r="W832">
        <v>0</v>
      </c>
      <c r="X832">
        <v>0</v>
      </c>
      <c r="Y832">
        <v>0</v>
      </c>
      <c r="Z832">
        <v>0</v>
      </c>
      <c r="AA832">
        <v>0</v>
      </c>
      <c r="AM832" t="s">
        <v>81</v>
      </c>
      <c r="AN832" t="s">
        <v>82</v>
      </c>
      <c r="AO832" t="s">
        <v>83</v>
      </c>
      <c r="AP832" t="s">
        <v>83</v>
      </c>
      <c r="AQ832" t="s">
        <v>82</v>
      </c>
      <c r="AR832" t="s">
        <v>81</v>
      </c>
      <c r="AS832" t="s">
        <v>83</v>
      </c>
      <c r="AT832" t="s">
        <v>83</v>
      </c>
      <c r="AU832" t="s">
        <v>88</v>
      </c>
      <c r="AV832" t="s">
        <v>89</v>
      </c>
      <c r="AW832" t="s">
        <v>85</v>
      </c>
      <c r="AZ832" t="s">
        <v>73</v>
      </c>
      <c r="BA832" t="s">
        <v>87</v>
      </c>
      <c r="BB832" t="s">
        <v>86</v>
      </c>
      <c r="BC832" t="s">
        <v>87</v>
      </c>
      <c r="BD832" t="s">
        <v>86</v>
      </c>
      <c r="BE832" t="s">
        <v>87</v>
      </c>
      <c r="BF832" t="s">
        <v>97</v>
      </c>
      <c r="BG832" t="s">
        <v>76</v>
      </c>
      <c r="BH832" t="s">
        <v>98</v>
      </c>
      <c r="BI832" t="s">
        <v>73</v>
      </c>
      <c r="BK832">
        <v>1</v>
      </c>
      <c r="BL832">
        <v>0</v>
      </c>
      <c r="BM832">
        <v>0</v>
      </c>
      <c r="BN832">
        <v>0</v>
      </c>
      <c r="BO832">
        <v>0</v>
      </c>
      <c r="BP832">
        <v>0</v>
      </c>
      <c r="BQ832">
        <v>0</v>
      </c>
      <c r="BR832">
        <v>0</v>
      </c>
      <c r="BT832" t="s">
        <v>230</v>
      </c>
    </row>
    <row r="833" spans="1:70" x14ac:dyDescent="0.2">
      <c r="A833" s="1">
        <v>44585.576388888891</v>
      </c>
      <c r="B833" s="1">
        <v>44585.579861111109</v>
      </c>
      <c r="C833">
        <v>0</v>
      </c>
      <c r="D833">
        <v>1</v>
      </c>
      <c r="E833">
        <v>0</v>
      </c>
      <c r="F833">
        <v>0</v>
      </c>
      <c r="H833">
        <v>0</v>
      </c>
      <c r="I833">
        <v>1</v>
      </c>
      <c r="J833">
        <v>0</v>
      </c>
      <c r="K833">
        <v>0</v>
      </c>
      <c r="L833">
        <v>0</v>
      </c>
      <c r="N833" t="s">
        <v>88</v>
      </c>
      <c r="O833" t="s">
        <v>89</v>
      </c>
      <c r="P833">
        <v>0</v>
      </c>
      <c r="Q833">
        <v>0</v>
      </c>
      <c r="R833">
        <v>0</v>
      </c>
      <c r="S833">
        <v>0</v>
      </c>
      <c r="T833">
        <v>0</v>
      </c>
      <c r="U833">
        <v>0</v>
      </c>
      <c r="V833">
        <v>0</v>
      </c>
      <c r="W833">
        <v>0</v>
      </c>
      <c r="X833">
        <v>0</v>
      </c>
      <c r="Y833">
        <v>0</v>
      </c>
      <c r="Z833">
        <v>0</v>
      </c>
      <c r="AA833">
        <v>1</v>
      </c>
      <c r="AB833" t="s">
        <v>399</v>
      </c>
      <c r="AM833" t="s">
        <v>83</v>
      </c>
      <c r="AN833" t="s">
        <v>82</v>
      </c>
      <c r="AO833" t="s">
        <v>82</v>
      </c>
      <c r="AP833" t="s">
        <v>82</v>
      </c>
      <c r="AQ833" t="s">
        <v>81</v>
      </c>
      <c r="AR833" t="s">
        <v>83</v>
      </c>
      <c r="AS833" t="s">
        <v>83</v>
      </c>
      <c r="AT833" t="s">
        <v>83</v>
      </c>
      <c r="AU833" t="s">
        <v>88</v>
      </c>
      <c r="AV833" t="s">
        <v>89</v>
      </c>
      <c r="AW833" t="s">
        <v>100</v>
      </c>
      <c r="AX833" t="s">
        <v>119</v>
      </c>
      <c r="AZ833" t="s">
        <v>73</v>
      </c>
      <c r="BA833" t="s">
        <v>86</v>
      </c>
      <c r="BB833" t="s">
        <v>74</v>
      </c>
      <c r="BC833" t="s">
        <v>87</v>
      </c>
      <c r="BD833" t="s">
        <v>87</v>
      </c>
      <c r="BE833" t="s">
        <v>74</v>
      </c>
      <c r="BF833" t="s">
        <v>113</v>
      </c>
      <c r="BG833" t="s">
        <v>76</v>
      </c>
      <c r="BH833" t="s">
        <v>77</v>
      </c>
      <c r="BI833" t="s">
        <v>73</v>
      </c>
      <c r="BJ833" t="s">
        <v>78</v>
      </c>
      <c r="BK833">
        <v>1</v>
      </c>
      <c r="BL833">
        <v>0</v>
      </c>
      <c r="BM833">
        <v>0</v>
      </c>
      <c r="BN833">
        <v>0</v>
      </c>
      <c r="BO833">
        <v>0</v>
      </c>
      <c r="BP833">
        <v>0</v>
      </c>
      <c r="BQ833">
        <v>0</v>
      </c>
      <c r="BR833">
        <v>0</v>
      </c>
    </row>
    <row r="834" spans="1:70" x14ac:dyDescent="0.2">
      <c r="A834" s="1">
        <v>44585.82708333333</v>
      </c>
      <c r="B834" s="1">
        <v>44585.827777777777</v>
      </c>
      <c r="C834">
        <v>0</v>
      </c>
      <c r="D834">
        <v>1</v>
      </c>
      <c r="E834">
        <v>0</v>
      </c>
      <c r="F834">
        <v>0</v>
      </c>
      <c r="H834">
        <v>1</v>
      </c>
      <c r="I834">
        <v>0</v>
      </c>
      <c r="J834">
        <v>0</v>
      </c>
      <c r="K834">
        <v>0</v>
      </c>
      <c r="L834">
        <v>0</v>
      </c>
      <c r="P834">
        <v>1</v>
      </c>
      <c r="Q834">
        <v>0</v>
      </c>
      <c r="R834">
        <v>0</v>
      </c>
      <c r="S834">
        <v>0</v>
      </c>
      <c r="T834">
        <v>0</v>
      </c>
      <c r="U834">
        <v>0</v>
      </c>
      <c r="V834">
        <v>0</v>
      </c>
      <c r="W834">
        <v>0</v>
      </c>
      <c r="X834">
        <v>0</v>
      </c>
      <c r="Y834">
        <v>0</v>
      </c>
      <c r="Z834">
        <v>0</v>
      </c>
      <c r="AA834">
        <v>0</v>
      </c>
      <c r="AC834">
        <v>1</v>
      </c>
      <c r="AD834">
        <v>0</v>
      </c>
      <c r="AE834">
        <v>0</v>
      </c>
      <c r="AF834">
        <v>0</v>
      </c>
      <c r="AG834">
        <v>0</v>
      </c>
      <c r="AH834">
        <v>0</v>
      </c>
      <c r="AI834">
        <v>0</v>
      </c>
      <c r="AJ834">
        <v>0</v>
      </c>
      <c r="AK834">
        <v>0</v>
      </c>
      <c r="AX834" t="s">
        <v>122</v>
      </c>
      <c r="AZ834" t="s">
        <v>107</v>
      </c>
      <c r="BA834" t="s">
        <v>74</v>
      </c>
      <c r="BF834" t="s">
        <v>75</v>
      </c>
      <c r="BG834" t="s">
        <v>76</v>
      </c>
      <c r="BH834" t="s">
        <v>77</v>
      </c>
      <c r="BI834" t="s">
        <v>107</v>
      </c>
      <c r="BJ834" t="s">
        <v>137</v>
      </c>
      <c r="BK834">
        <v>0</v>
      </c>
      <c r="BL834">
        <v>0</v>
      </c>
      <c r="BM834">
        <v>0</v>
      </c>
      <c r="BN834">
        <v>0</v>
      </c>
      <c r="BO834">
        <v>0</v>
      </c>
      <c r="BP834">
        <v>0</v>
      </c>
      <c r="BQ834">
        <v>0</v>
      </c>
      <c r="BR834">
        <v>1</v>
      </c>
    </row>
    <row r="835" spans="1:70" x14ac:dyDescent="0.2">
      <c r="A835" s="1">
        <v>44588.965277777781</v>
      </c>
      <c r="B835" s="1">
        <v>44588.967361111114</v>
      </c>
      <c r="C835">
        <v>1</v>
      </c>
      <c r="D835">
        <v>0</v>
      </c>
      <c r="E835">
        <v>0</v>
      </c>
      <c r="F835">
        <v>0</v>
      </c>
      <c r="H835">
        <v>0</v>
      </c>
      <c r="I835">
        <v>1</v>
      </c>
      <c r="J835">
        <v>1</v>
      </c>
      <c r="K835">
        <v>1</v>
      </c>
      <c r="L835">
        <v>0</v>
      </c>
      <c r="N835" t="s">
        <v>79</v>
      </c>
      <c r="O835" t="s">
        <v>80</v>
      </c>
      <c r="P835">
        <v>0</v>
      </c>
      <c r="Q835">
        <v>1</v>
      </c>
      <c r="R835">
        <v>1</v>
      </c>
      <c r="S835">
        <v>0</v>
      </c>
      <c r="T835">
        <v>0</v>
      </c>
      <c r="U835">
        <v>0</v>
      </c>
      <c r="V835">
        <v>0</v>
      </c>
      <c r="W835">
        <v>0</v>
      </c>
      <c r="X835">
        <v>0</v>
      </c>
      <c r="Y835">
        <v>0</v>
      </c>
      <c r="Z835">
        <v>0</v>
      </c>
      <c r="AA835">
        <v>0</v>
      </c>
      <c r="AM835" t="s">
        <v>83</v>
      </c>
      <c r="AN835" t="s">
        <v>82</v>
      </c>
      <c r="AO835" t="s">
        <v>81</v>
      </c>
      <c r="AP835" t="s">
        <v>81</v>
      </c>
      <c r="AQ835" t="s">
        <v>81</v>
      </c>
      <c r="AR835" t="s">
        <v>83</v>
      </c>
      <c r="AS835" t="s">
        <v>83</v>
      </c>
      <c r="AT835" t="s">
        <v>81</v>
      </c>
      <c r="AU835" t="s">
        <v>84</v>
      </c>
      <c r="AV835" t="s">
        <v>80</v>
      </c>
      <c r="AW835" t="s">
        <v>100</v>
      </c>
      <c r="AX835" t="s">
        <v>259</v>
      </c>
      <c r="AZ835" t="s">
        <v>96</v>
      </c>
      <c r="BA835" t="s">
        <v>87</v>
      </c>
      <c r="BB835" t="s">
        <v>87</v>
      </c>
      <c r="BC835" t="s">
        <v>87</v>
      </c>
      <c r="BD835" t="s">
        <v>87</v>
      </c>
      <c r="BE835" t="s">
        <v>87</v>
      </c>
      <c r="BF835" t="s">
        <v>75</v>
      </c>
      <c r="BG835" t="s">
        <v>76</v>
      </c>
      <c r="BH835" t="s">
        <v>93</v>
      </c>
      <c r="BI835" t="s">
        <v>96</v>
      </c>
      <c r="BJ835" t="s">
        <v>147</v>
      </c>
      <c r="BK835">
        <v>1</v>
      </c>
      <c r="BL835">
        <v>0</v>
      </c>
      <c r="BM835">
        <v>0</v>
      </c>
      <c r="BN835">
        <v>0</v>
      </c>
      <c r="BO835">
        <v>0</v>
      </c>
      <c r="BP835">
        <v>0</v>
      </c>
      <c r="BQ835">
        <v>0</v>
      </c>
      <c r="BR835">
        <v>0</v>
      </c>
    </row>
    <row r="836" spans="1:70" x14ac:dyDescent="0.2">
      <c r="A836" s="1">
        <v>44588.904166666667</v>
      </c>
      <c r="B836" s="1">
        <v>44588.905555555553</v>
      </c>
      <c r="C836">
        <v>1</v>
      </c>
      <c r="D836">
        <v>0</v>
      </c>
      <c r="E836">
        <v>0</v>
      </c>
      <c r="F836">
        <v>0</v>
      </c>
      <c r="H836">
        <v>1</v>
      </c>
      <c r="I836">
        <v>0</v>
      </c>
      <c r="J836">
        <v>0</v>
      </c>
      <c r="K836">
        <v>0</v>
      </c>
      <c r="L836">
        <v>0</v>
      </c>
      <c r="P836">
        <v>0</v>
      </c>
      <c r="Q836">
        <v>0</v>
      </c>
      <c r="R836">
        <v>1</v>
      </c>
      <c r="S836">
        <v>0</v>
      </c>
      <c r="T836">
        <v>0</v>
      </c>
      <c r="U836">
        <v>0</v>
      </c>
      <c r="V836">
        <v>0</v>
      </c>
      <c r="W836">
        <v>0</v>
      </c>
      <c r="X836">
        <v>0</v>
      </c>
      <c r="Y836">
        <v>0</v>
      </c>
      <c r="Z836">
        <v>0</v>
      </c>
      <c r="AA836">
        <v>0</v>
      </c>
      <c r="AM836" t="s">
        <v>81</v>
      </c>
      <c r="AN836" t="s">
        <v>82</v>
      </c>
      <c r="AO836" t="s">
        <v>90</v>
      </c>
      <c r="AP836" t="s">
        <v>82</v>
      </c>
      <c r="AQ836" t="s">
        <v>82</v>
      </c>
      <c r="AR836" t="s">
        <v>83</v>
      </c>
      <c r="AS836" t="s">
        <v>83</v>
      </c>
      <c r="AT836" t="s">
        <v>81</v>
      </c>
      <c r="AU836" t="s">
        <v>88</v>
      </c>
      <c r="AV836" t="s">
        <v>89</v>
      </c>
      <c r="AW836" t="s">
        <v>85</v>
      </c>
      <c r="AX836" t="s">
        <v>110</v>
      </c>
      <c r="AY836" t="s">
        <v>400</v>
      </c>
      <c r="AZ836" t="s">
        <v>96</v>
      </c>
      <c r="BA836" t="s">
        <v>86</v>
      </c>
      <c r="BB836" t="s">
        <v>86</v>
      </c>
      <c r="BC836" t="s">
        <v>86</v>
      </c>
      <c r="BD836" t="s">
        <v>74</v>
      </c>
      <c r="BE836" t="s">
        <v>86</v>
      </c>
      <c r="BF836" t="s">
        <v>113</v>
      </c>
      <c r="BG836" t="s">
        <v>92</v>
      </c>
      <c r="BH836" t="s">
        <v>184</v>
      </c>
      <c r="BI836" t="s">
        <v>96</v>
      </c>
      <c r="BJ836" t="s">
        <v>94</v>
      </c>
      <c r="BK836">
        <v>0</v>
      </c>
      <c r="BL836">
        <v>0</v>
      </c>
      <c r="BM836">
        <v>0</v>
      </c>
      <c r="BN836">
        <v>0</v>
      </c>
      <c r="BO836">
        <v>0</v>
      </c>
      <c r="BP836">
        <v>1</v>
      </c>
      <c r="BQ836">
        <v>0</v>
      </c>
      <c r="BR836">
        <v>0</v>
      </c>
    </row>
    <row r="837" spans="1:70" x14ac:dyDescent="0.2">
      <c r="A837" s="1">
        <v>44581.079861111109</v>
      </c>
      <c r="B837" s="1">
        <v>44581.081944444442</v>
      </c>
      <c r="C837">
        <v>1</v>
      </c>
      <c r="D837">
        <v>0</v>
      </c>
      <c r="E837">
        <v>0</v>
      </c>
      <c r="F837">
        <v>0</v>
      </c>
      <c r="H837">
        <v>0</v>
      </c>
      <c r="I837">
        <v>1</v>
      </c>
      <c r="J837">
        <v>0</v>
      </c>
      <c r="K837">
        <v>1</v>
      </c>
      <c r="L837">
        <v>0</v>
      </c>
      <c r="N837" t="s">
        <v>88</v>
      </c>
      <c r="O837" t="s">
        <v>142</v>
      </c>
      <c r="P837">
        <v>0</v>
      </c>
      <c r="Q837">
        <v>1</v>
      </c>
      <c r="R837">
        <v>0</v>
      </c>
      <c r="S837">
        <v>0</v>
      </c>
      <c r="T837">
        <v>0</v>
      </c>
      <c r="U837">
        <v>0</v>
      </c>
      <c r="V837">
        <v>0</v>
      </c>
      <c r="W837">
        <v>0</v>
      </c>
      <c r="X837">
        <v>0</v>
      </c>
      <c r="Y837">
        <v>0</v>
      </c>
      <c r="Z837">
        <v>0</v>
      </c>
      <c r="AA837">
        <v>0</v>
      </c>
      <c r="AM837" t="s">
        <v>83</v>
      </c>
      <c r="AN837" t="s">
        <v>82</v>
      </c>
      <c r="AO837" t="s">
        <v>81</v>
      </c>
      <c r="AP837" t="s">
        <v>83</v>
      </c>
      <c r="AQ837" t="s">
        <v>82</v>
      </c>
      <c r="AR837" t="s">
        <v>81</v>
      </c>
      <c r="AS837" t="s">
        <v>81</v>
      </c>
      <c r="AT837" t="s">
        <v>81</v>
      </c>
      <c r="AU837" t="s">
        <v>88</v>
      </c>
      <c r="AV837" t="s">
        <v>89</v>
      </c>
      <c r="AW837" t="s">
        <v>100</v>
      </c>
      <c r="AX837" t="s">
        <v>122</v>
      </c>
      <c r="AZ837" t="s">
        <v>73</v>
      </c>
      <c r="BA837" t="s">
        <v>87</v>
      </c>
      <c r="BB837" t="s">
        <v>74</v>
      </c>
      <c r="BC837" t="s">
        <v>87</v>
      </c>
      <c r="BD837" t="s">
        <v>87</v>
      </c>
      <c r="BE837" t="s">
        <v>86</v>
      </c>
      <c r="BF837" t="s">
        <v>75</v>
      </c>
      <c r="BG837" t="s">
        <v>76</v>
      </c>
      <c r="BH837" t="s">
        <v>77</v>
      </c>
      <c r="BI837" t="s">
        <v>73</v>
      </c>
      <c r="BJ837" t="s">
        <v>114</v>
      </c>
      <c r="BK837">
        <v>1</v>
      </c>
      <c r="BL837">
        <v>0</v>
      </c>
      <c r="BM837">
        <v>0</v>
      </c>
      <c r="BN837">
        <v>0</v>
      </c>
      <c r="BO837">
        <v>0</v>
      </c>
      <c r="BP837">
        <v>0</v>
      </c>
      <c r="BQ837">
        <v>0</v>
      </c>
      <c r="BR837">
        <v>0</v>
      </c>
    </row>
    <row r="838" spans="1:70" x14ac:dyDescent="0.2">
      <c r="A838" s="1">
        <v>44589.083333333336</v>
      </c>
      <c r="B838" s="1">
        <v>44589.088888888888</v>
      </c>
      <c r="C838">
        <v>0</v>
      </c>
      <c r="D838">
        <v>1</v>
      </c>
      <c r="E838">
        <v>0</v>
      </c>
      <c r="F838">
        <v>0</v>
      </c>
      <c r="H838">
        <v>0</v>
      </c>
      <c r="I838">
        <v>1</v>
      </c>
      <c r="J838">
        <v>1</v>
      </c>
      <c r="K838">
        <v>0</v>
      </c>
      <c r="L838">
        <v>0</v>
      </c>
      <c r="N838" t="s">
        <v>88</v>
      </c>
      <c r="O838" t="s">
        <v>89</v>
      </c>
      <c r="P838">
        <v>0</v>
      </c>
      <c r="Q838">
        <v>0</v>
      </c>
      <c r="R838">
        <v>0</v>
      </c>
      <c r="S838">
        <v>0</v>
      </c>
      <c r="T838">
        <v>1</v>
      </c>
      <c r="U838">
        <v>0</v>
      </c>
      <c r="V838">
        <v>0</v>
      </c>
      <c r="W838">
        <v>0</v>
      </c>
      <c r="X838">
        <v>0</v>
      </c>
      <c r="Y838">
        <v>0</v>
      </c>
      <c r="Z838">
        <v>0</v>
      </c>
      <c r="AA838">
        <v>1</v>
      </c>
      <c r="AB838" t="s">
        <v>401</v>
      </c>
      <c r="AM838" t="s">
        <v>83</v>
      </c>
      <c r="AN838" t="s">
        <v>82</v>
      </c>
      <c r="AO838" t="s">
        <v>83</v>
      </c>
      <c r="AP838" t="s">
        <v>81</v>
      </c>
      <c r="AQ838" t="s">
        <v>81</v>
      </c>
      <c r="AR838" t="s">
        <v>83</v>
      </c>
      <c r="AS838" t="s">
        <v>83</v>
      </c>
      <c r="AT838" t="s">
        <v>83</v>
      </c>
      <c r="AU838" t="s">
        <v>88</v>
      </c>
      <c r="AV838" t="s">
        <v>89</v>
      </c>
      <c r="AW838" t="s">
        <v>117</v>
      </c>
      <c r="AZ838" t="s">
        <v>107</v>
      </c>
      <c r="BA838" t="s">
        <v>86</v>
      </c>
      <c r="BB838" t="s">
        <v>86</v>
      </c>
      <c r="BC838" t="s">
        <v>86</v>
      </c>
      <c r="BD838" t="s">
        <v>74</v>
      </c>
      <c r="BE838" t="s">
        <v>86</v>
      </c>
      <c r="BF838" t="s">
        <v>159</v>
      </c>
      <c r="BG838" t="s">
        <v>76</v>
      </c>
      <c r="BH838" t="s">
        <v>77</v>
      </c>
      <c r="BI838" t="s">
        <v>107</v>
      </c>
      <c r="BJ838" t="s">
        <v>114</v>
      </c>
      <c r="BK838">
        <v>1</v>
      </c>
      <c r="BL838">
        <v>0</v>
      </c>
      <c r="BM838">
        <v>0</v>
      </c>
      <c r="BN838">
        <v>0</v>
      </c>
      <c r="BO838">
        <v>0</v>
      </c>
      <c r="BP838">
        <v>0</v>
      </c>
      <c r="BQ838">
        <v>0</v>
      </c>
      <c r="BR838">
        <v>0</v>
      </c>
    </row>
    <row r="839" spans="1:70" x14ac:dyDescent="0.2">
      <c r="A839" s="1">
        <v>44585.674305555556</v>
      </c>
      <c r="B839" s="1">
        <v>44585.675694444442</v>
      </c>
      <c r="C839">
        <v>1</v>
      </c>
      <c r="D839">
        <v>0</v>
      </c>
      <c r="E839">
        <v>0</v>
      </c>
      <c r="F839">
        <v>0</v>
      </c>
      <c r="H839">
        <v>0</v>
      </c>
      <c r="I839">
        <v>1</v>
      </c>
      <c r="J839">
        <v>0</v>
      </c>
      <c r="K839">
        <v>0</v>
      </c>
      <c r="L839">
        <v>0</v>
      </c>
      <c r="N839" t="s">
        <v>88</v>
      </c>
      <c r="O839" t="s">
        <v>89</v>
      </c>
      <c r="P839">
        <v>0</v>
      </c>
      <c r="Q839">
        <v>0</v>
      </c>
      <c r="R839">
        <v>1</v>
      </c>
      <c r="S839">
        <v>0</v>
      </c>
      <c r="T839">
        <v>0</v>
      </c>
      <c r="U839">
        <v>0</v>
      </c>
      <c r="V839">
        <v>0</v>
      </c>
      <c r="W839">
        <v>0</v>
      </c>
      <c r="X839">
        <v>0</v>
      </c>
      <c r="Y839">
        <v>0</v>
      </c>
      <c r="Z839">
        <v>0</v>
      </c>
      <c r="AA839">
        <v>0</v>
      </c>
      <c r="AM839" t="s">
        <v>83</v>
      </c>
      <c r="AN839" t="s">
        <v>82</v>
      </c>
      <c r="AO839" t="s">
        <v>81</v>
      </c>
      <c r="AP839" t="s">
        <v>83</v>
      </c>
      <c r="AQ839" t="s">
        <v>81</v>
      </c>
      <c r="AR839" t="s">
        <v>83</v>
      </c>
      <c r="AS839" t="s">
        <v>83</v>
      </c>
      <c r="AT839" t="s">
        <v>83</v>
      </c>
      <c r="AU839" t="s">
        <v>88</v>
      </c>
      <c r="AV839" t="s">
        <v>89</v>
      </c>
      <c r="AW839" t="s">
        <v>85</v>
      </c>
      <c r="AX839" t="s">
        <v>110</v>
      </c>
      <c r="AY839" t="s">
        <v>402</v>
      </c>
      <c r="AZ839" t="s">
        <v>107</v>
      </c>
      <c r="BA839" t="s">
        <v>86</v>
      </c>
      <c r="BB839" t="s">
        <v>87</v>
      </c>
      <c r="BC839" t="s">
        <v>87</v>
      </c>
      <c r="BD839" t="s">
        <v>87</v>
      </c>
      <c r="BE839" t="s">
        <v>87</v>
      </c>
      <c r="BF839" t="s">
        <v>75</v>
      </c>
      <c r="BG839" t="s">
        <v>76</v>
      </c>
      <c r="BH839" t="s">
        <v>93</v>
      </c>
      <c r="BI839" t="s">
        <v>107</v>
      </c>
      <c r="BJ839" t="s">
        <v>78</v>
      </c>
      <c r="BK839">
        <v>0</v>
      </c>
      <c r="BL839">
        <v>0</v>
      </c>
      <c r="BM839">
        <v>0</v>
      </c>
      <c r="BN839">
        <v>0</v>
      </c>
      <c r="BO839">
        <v>0</v>
      </c>
      <c r="BP839">
        <v>1</v>
      </c>
      <c r="BQ839">
        <v>0</v>
      </c>
      <c r="BR839">
        <v>0</v>
      </c>
    </row>
    <row r="840" spans="1:70" x14ac:dyDescent="0.2">
      <c r="A840" s="1">
        <v>44579.881944444445</v>
      </c>
      <c r="B840" s="1">
        <v>44585.751388888886</v>
      </c>
      <c r="C840">
        <v>1</v>
      </c>
      <c r="D840">
        <v>0</v>
      </c>
      <c r="E840">
        <v>0</v>
      </c>
      <c r="F840">
        <v>0</v>
      </c>
      <c r="H840">
        <v>0</v>
      </c>
      <c r="I840">
        <v>1</v>
      </c>
      <c r="J840">
        <v>0</v>
      </c>
      <c r="K840">
        <v>0</v>
      </c>
      <c r="L840">
        <v>0</v>
      </c>
      <c r="N840" t="s">
        <v>88</v>
      </c>
      <c r="O840" t="s">
        <v>89</v>
      </c>
      <c r="P840">
        <v>0</v>
      </c>
      <c r="Q840">
        <v>0</v>
      </c>
      <c r="R840">
        <v>1</v>
      </c>
      <c r="S840">
        <v>1</v>
      </c>
      <c r="T840">
        <v>0</v>
      </c>
      <c r="U840">
        <v>0</v>
      </c>
      <c r="V840">
        <v>0</v>
      </c>
      <c r="W840">
        <v>0</v>
      </c>
      <c r="X840">
        <v>0</v>
      </c>
      <c r="Y840">
        <v>0</v>
      </c>
      <c r="Z840">
        <v>0</v>
      </c>
      <c r="AA840">
        <v>0</v>
      </c>
      <c r="AM840" t="s">
        <v>81</v>
      </c>
      <c r="AN840" t="s">
        <v>82</v>
      </c>
      <c r="AO840" t="s">
        <v>83</v>
      </c>
      <c r="AP840" t="s">
        <v>81</v>
      </c>
      <c r="AQ840" t="s">
        <v>82</v>
      </c>
      <c r="AR840" t="s">
        <v>81</v>
      </c>
      <c r="AS840" t="s">
        <v>81</v>
      </c>
      <c r="AT840" t="s">
        <v>83</v>
      </c>
      <c r="AU840" t="s">
        <v>88</v>
      </c>
      <c r="AV840" t="s">
        <v>89</v>
      </c>
      <c r="AW840" t="s">
        <v>85</v>
      </c>
      <c r="AZ840" t="s">
        <v>73</v>
      </c>
      <c r="BA840" t="s">
        <v>87</v>
      </c>
      <c r="BB840" t="s">
        <v>87</v>
      </c>
      <c r="BC840" t="s">
        <v>87</v>
      </c>
      <c r="BD840" t="s">
        <v>87</v>
      </c>
      <c r="BE840" t="s">
        <v>86</v>
      </c>
      <c r="BF840" t="s">
        <v>97</v>
      </c>
      <c r="BG840" t="s">
        <v>76</v>
      </c>
      <c r="BH840" t="s">
        <v>98</v>
      </c>
      <c r="BI840" t="s">
        <v>73</v>
      </c>
      <c r="BJ840" t="s">
        <v>78</v>
      </c>
      <c r="BK840">
        <v>1</v>
      </c>
      <c r="BL840">
        <v>0</v>
      </c>
      <c r="BM840">
        <v>0</v>
      </c>
      <c r="BN840">
        <v>0</v>
      </c>
      <c r="BO840">
        <v>0</v>
      </c>
      <c r="BP840">
        <v>0</v>
      </c>
      <c r="BQ840">
        <v>0</v>
      </c>
      <c r="BR840">
        <v>0</v>
      </c>
    </row>
    <row r="841" spans="1:70" x14ac:dyDescent="0.2">
      <c r="A841" s="1">
        <v>44589.113888888889</v>
      </c>
      <c r="B841" s="1">
        <v>44589.115277777775</v>
      </c>
      <c r="C841">
        <v>1</v>
      </c>
      <c r="D841">
        <v>0</v>
      </c>
      <c r="E841">
        <v>0</v>
      </c>
      <c r="F841">
        <v>0</v>
      </c>
      <c r="H841">
        <v>1</v>
      </c>
      <c r="I841">
        <v>0</v>
      </c>
      <c r="J841">
        <v>0</v>
      </c>
      <c r="K841">
        <v>0</v>
      </c>
      <c r="L841">
        <v>0</v>
      </c>
      <c r="P841">
        <v>1</v>
      </c>
      <c r="Q841">
        <v>0</v>
      </c>
      <c r="R841">
        <v>0</v>
      </c>
      <c r="S841">
        <v>0</v>
      </c>
      <c r="T841">
        <v>0</v>
      </c>
      <c r="U841">
        <v>0</v>
      </c>
      <c r="V841">
        <v>0</v>
      </c>
      <c r="W841">
        <v>0</v>
      </c>
      <c r="X841">
        <v>0</v>
      </c>
      <c r="Y841">
        <v>0</v>
      </c>
      <c r="Z841">
        <v>0</v>
      </c>
      <c r="AA841">
        <v>0</v>
      </c>
      <c r="AC841">
        <v>0</v>
      </c>
      <c r="AD841">
        <v>0</v>
      </c>
      <c r="AE841">
        <v>1</v>
      </c>
      <c r="AF841">
        <v>0</v>
      </c>
      <c r="AG841">
        <v>0</v>
      </c>
      <c r="AH841">
        <v>0</v>
      </c>
      <c r="AI841">
        <v>0</v>
      </c>
      <c r="AJ841">
        <v>0</v>
      </c>
      <c r="AK841">
        <v>0</v>
      </c>
      <c r="AX841" t="s">
        <v>119</v>
      </c>
      <c r="AZ841" t="s">
        <v>73</v>
      </c>
      <c r="BA841" t="s">
        <v>87</v>
      </c>
      <c r="BB841" t="s">
        <v>87</v>
      </c>
      <c r="BC841" t="s">
        <v>87</v>
      </c>
      <c r="BD841" t="s">
        <v>87</v>
      </c>
      <c r="BE841" t="s">
        <v>87</v>
      </c>
      <c r="BF841" t="s">
        <v>75</v>
      </c>
      <c r="BG841" t="s">
        <v>76</v>
      </c>
      <c r="BH841" t="s">
        <v>77</v>
      </c>
      <c r="BI841" t="s">
        <v>73</v>
      </c>
      <c r="BJ841" t="s">
        <v>147</v>
      </c>
      <c r="BK841">
        <v>1</v>
      </c>
      <c r="BL841">
        <v>0</v>
      </c>
      <c r="BM841">
        <v>0</v>
      </c>
      <c r="BN841">
        <v>0</v>
      </c>
      <c r="BO841">
        <v>0</v>
      </c>
      <c r="BP841">
        <v>0</v>
      </c>
      <c r="BQ841">
        <v>0</v>
      </c>
      <c r="BR841">
        <v>0</v>
      </c>
    </row>
    <row r="842" spans="1:70" x14ac:dyDescent="0.2">
      <c r="A842" s="1">
        <v>44579.919444444444</v>
      </c>
      <c r="B842" s="1">
        <v>44579.920138888891</v>
      </c>
      <c r="C842">
        <v>1</v>
      </c>
      <c r="D842">
        <v>0</v>
      </c>
      <c r="E842">
        <v>0</v>
      </c>
      <c r="F842">
        <v>0</v>
      </c>
      <c r="H842">
        <v>1</v>
      </c>
      <c r="I842">
        <v>0</v>
      </c>
      <c r="J842">
        <v>0</v>
      </c>
      <c r="K842">
        <v>0</v>
      </c>
      <c r="L842">
        <v>0</v>
      </c>
      <c r="P842">
        <v>1</v>
      </c>
      <c r="Q842">
        <v>0</v>
      </c>
      <c r="R842">
        <v>0</v>
      </c>
      <c r="S842">
        <v>0</v>
      </c>
      <c r="T842">
        <v>0</v>
      </c>
      <c r="U842">
        <v>0</v>
      </c>
      <c r="V842">
        <v>0</v>
      </c>
      <c r="W842">
        <v>0</v>
      </c>
      <c r="X842">
        <v>0</v>
      </c>
      <c r="Y842">
        <v>0</v>
      </c>
      <c r="Z842">
        <v>0</v>
      </c>
      <c r="AA842">
        <v>0</v>
      </c>
      <c r="AC842">
        <v>0</v>
      </c>
      <c r="AD842">
        <v>1</v>
      </c>
      <c r="AE842">
        <v>0</v>
      </c>
      <c r="AF842">
        <v>0</v>
      </c>
      <c r="AG842">
        <v>0</v>
      </c>
      <c r="AH842">
        <v>0</v>
      </c>
      <c r="AI842">
        <v>0</v>
      </c>
      <c r="AJ842">
        <v>0</v>
      </c>
      <c r="AK842">
        <v>0</v>
      </c>
      <c r="AX842" t="s">
        <v>191</v>
      </c>
      <c r="AZ842" t="s">
        <v>107</v>
      </c>
      <c r="BA842" t="s">
        <v>87</v>
      </c>
      <c r="BB842" t="s">
        <v>87</v>
      </c>
      <c r="BC842" t="s">
        <v>87</v>
      </c>
      <c r="BD842" t="s">
        <v>87</v>
      </c>
      <c r="BE842" t="s">
        <v>87</v>
      </c>
      <c r="BF842" t="s">
        <v>75</v>
      </c>
      <c r="BG842" t="s">
        <v>76</v>
      </c>
      <c r="BH842" t="s">
        <v>184</v>
      </c>
      <c r="BI842" t="s">
        <v>107</v>
      </c>
      <c r="BJ842" t="s">
        <v>102</v>
      </c>
      <c r="BK842">
        <v>0</v>
      </c>
      <c r="BL842">
        <v>0</v>
      </c>
      <c r="BM842">
        <v>0</v>
      </c>
      <c r="BN842">
        <v>0</v>
      </c>
      <c r="BO842">
        <v>0</v>
      </c>
      <c r="BP842">
        <v>1</v>
      </c>
      <c r="BQ842">
        <v>0</v>
      </c>
      <c r="BR842">
        <v>0</v>
      </c>
    </row>
    <row r="843" spans="1:70" x14ac:dyDescent="0.2">
      <c r="A843" s="1">
        <v>44585.508333333331</v>
      </c>
      <c r="B843" s="1">
        <v>44585.510416666664</v>
      </c>
      <c r="C843">
        <v>1</v>
      </c>
      <c r="D843">
        <v>0</v>
      </c>
      <c r="E843">
        <v>0</v>
      </c>
      <c r="F843">
        <v>0</v>
      </c>
      <c r="H843">
        <v>0</v>
      </c>
      <c r="I843">
        <v>1</v>
      </c>
      <c r="J843">
        <v>1</v>
      </c>
      <c r="K843">
        <v>0</v>
      </c>
      <c r="L843">
        <v>0</v>
      </c>
      <c r="N843" t="s">
        <v>88</v>
      </c>
      <c r="O843" t="s">
        <v>89</v>
      </c>
      <c r="P843">
        <v>0</v>
      </c>
      <c r="Q843">
        <v>1</v>
      </c>
      <c r="R843">
        <v>1</v>
      </c>
      <c r="S843">
        <v>0</v>
      </c>
      <c r="T843">
        <v>0</v>
      </c>
      <c r="U843">
        <v>0</v>
      </c>
      <c r="V843">
        <v>0</v>
      </c>
      <c r="W843">
        <v>0</v>
      </c>
      <c r="X843">
        <v>0</v>
      </c>
      <c r="Y843">
        <v>0</v>
      </c>
      <c r="Z843">
        <v>0</v>
      </c>
      <c r="AA843">
        <v>0</v>
      </c>
      <c r="AM843" t="s">
        <v>82</v>
      </c>
      <c r="AN843" t="s">
        <v>82</v>
      </c>
      <c r="AO843" t="s">
        <v>83</v>
      </c>
      <c r="AP843" t="s">
        <v>82</v>
      </c>
      <c r="AQ843" t="s">
        <v>82</v>
      </c>
      <c r="AR843" t="s">
        <v>82</v>
      </c>
      <c r="AS843" t="s">
        <v>81</v>
      </c>
      <c r="AT843" t="s">
        <v>82</v>
      </c>
      <c r="AU843" t="s">
        <v>88</v>
      </c>
      <c r="AV843" t="s">
        <v>89</v>
      </c>
      <c r="AW843" t="s">
        <v>100</v>
      </c>
      <c r="AX843" t="s">
        <v>118</v>
      </c>
      <c r="AZ843" t="s">
        <v>73</v>
      </c>
      <c r="BA843" t="s">
        <v>87</v>
      </c>
      <c r="BB843" t="s">
        <v>86</v>
      </c>
      <c r="BC843" t="s">
        <v>86</v>
      </c>
      <c r="BD843" t="s">
        <v>74</v>
      </c>
      <c r="BE843" t="s">
        <v>86</v>
      </c>
      <c r="BF843" t="s">
        <v>75</v>
      </c>
      <c r="BG843" t="s">
        <v>76</v>
      </c>
      <c r="BH843" t="s">
        <v>98</v>
      </c>
      <c r="BI843" t="s">
        <v>73</v>
      </c>
      <c r="BJ843" t="s">
        <v>78</v>
      </c>
      <c r="BK843">
        <v>1</v>
      </c>
      <c r="BL843">
        <v>0</v>
      </c>
      <c r="BM843">
        <v>0</v>
      </c>
      <c r="BN843">
        <v>0</v>
      </c>
      <c r="BO843">
        <v>0</v>
      </c>
      <c r="BP843">
        <v>0</v>
      </c>
      <c r="BQ843">
        <v>0</v>
      </c>
      <c r="BR843">
        <v>0</v>
      </c>
    </row>
    <row r="844" spans="1:70" x14ac:dyDescent="0.2">
      <c r="A844" s="1">
        <v>44579.952777777777</v>
      </c>
      <c r="B844" s="1">
        <v>44579.954861111109</v>
      </c>
      <c r="C844">
        <v>1</v>
      </c>
      <c r="D844">
        <v>0</v>
      </c>
      <c r="E844">
        <v>0</v>
      </c>
      <c r="F844">
        <v>0</v>
      </c>
      <c r="H844">
        <v>1</v>
      </c>
      <c r="I844">
        <v>0</v>
      </c>
      <c r="J844">
        <v>0</v>
      </c>
      <c r="K844">
        <v>0</v>
      </c>
      <c r="L844">
        <v>0</v>
      </c>
      <c r="P844">
        <v>0</v>
      </c>
      <c r="Q844">
        <v>1</v>
      </c>
      <c r="R844">
        <v>0</v>
      </c>
      <c r="S844">
        <v>0</v>
      </c>
      <c r="T844">
        <v>0</v>
      </c>
      <c r="U844">
        <v>0</v>
      </c>
      <c r="V844">
        <v>0</v>
      </c>
      <c r="W844">
        <v>0</v>
      </c>
      <c r="X844">
        <v>0</v>
      </c>
      <c r="Y844">
        <v>0</v>
      </c>
      <c r="Z844">
        <v>0</v>
      </c>
      <c r="AA844">
        <v>0</v>
      </c>
      <c r="AM844" t="s">
        <v>83</v>
      </c>
      <c r="AN844" t="s">
        <v>82</v>
      </c>
      <c r="AO844" t="s">
        <v>82</v>
      </c>
      <c r="AP844" t="s">
        <v>82</v>
      </c>
      <c r="AQ844" t="s">
        <v>83</v>
      </c>
      <c r="AR844" t="s">
        <v>83</v>
      </c>
      <c r="AS844" t="s">
        <v>83</v>
      </c>
      <c r="AT844" t="s">
        <v>83</v>
      </c>
      <c r="AU844" t="s">
        <v>127</v>
      </c>
      <c r="AV844" t="s">
        <v>127</v>
      </c>
      <c r="AX844" t="s">
        <v>119</v>
      </c>
      <c r="AZ844" t="s">
        <v>120</v>
      </c>
      <c r="BA844" t="s">
        <v>87</v>
      </c>
      <c r="BB844" t="s">
        <v>87</v>
      </c>
      <c r="BC844" t="s">
        <v>87</v>
      </c>
      <c r="BD844" t="s">
        <v>87</v>
      </c>
      <c r="BE844" t="s">
        <v>74</v>
      </c>
      <c r="BF844" t="s">
        <v>113</v>
      </c>
      <c r="BG844" t="s">
        <v>76</v>
      </c>
      <c r="BH844" t="s">
        <v>98</v>
      </c>
      <c r="BI844" t="s">
        <v>120</v>
      </c>
      <c r="BJ844" t="s">
        <v>114</v>
      </c>
      <c r="BK844">
        <v>1</v>
      </c>
      <c r="BL844">
        <v>0</v>
      </c>
      <c r="BM844">
        <v>0</v>
      </c>
      <c r="BN844">
        <v>0</v>
      </c>
      <c r="BO844">
        <v>0</v>
      </c>
      <c r="BP844">
        <v>0</v>
      </c>
      <c r="BQ844">
        <v>0</v>
      </c>
      <c r="BR844">
        <v>0</v>
      </c>
    </row>
    <row r="845" spans="1:70" x14ac:dyDescent="0.2">
      <c r="A845" s="1">
        <v>44589.102083333331</v>
      </c>
      <c r="B845" s="1">
        <v>44589.104166666664</v>
      </c>
      <c r="C845">
        <v>1</v>
      </c>
      <c r="D845">
        <v>0</v>
      </c>
      <c r="E845">
        <v>0</v>
      </c>
      <c r="F845">
        <v>0</v>
      </c>
      <c r="H845">
        <v>0</v>
      </c>
      <c r="I845">
        <v>1</v>
      </c>
      <c r="J845">
        <v>1</v>
      </c>
      <c r="K845">
        <v>1</v>
      </c>
      <c r="L845">
        <v>0</v>
      </c>
      <c r="N845" t="s">
        <v>79</v>
      </c>
      <c r="O845" t="s">
        <v>89</v>
      </c>
      <c r="P845">
        <v>0</v>
      </c>
      <c r="Q845">
        <v>0</v>
      </c>
      <c r="R845">
        <v>1</v>
      </c>
      <c r="S845">
        <v>0</v>
      </c>
      <c r="T845">
        <v>0</v>
      </c>
      <c r="U845">
        <v>0</v>
      </c>
      <c r="V845">
        <v>0</v>
      </c>
      <c r="W845">
        <v>0</v>
      </c>
      <c r="X845">
        <v>0</v>
      </c>
      <c r="Y845">
        <v>0</v>
      </c>
      <c r="Z845">
        <v>0</v>
      </c>
      <c r="AA845">
        <v>0</v>
      </c>
      <c r="AM845" t="s">
        <v>83</v>
      </c>
      <c r="AN845" t="s">
        <v>82</v>
      </c>
      <c r="AO845" t="s">
        <v>81</v>
      </c>
      <c r="AP845" t="s">
        <v>81</v>
      </c>
      <c r="AQ845" t="s">
        <v>81</v>
      </c>
      <c r="AR845" t="s">
        <v>83</v>
      </c>
      <c r="AS845" t="s">
        <v>83</v>
      </c>
      <c r="AT845" t="s">
        <v>81</v>
      </c>
      <c r="AU845" t="s">
        <v>135</v>
      </c>
      <c r="AV845" t="s">
        <v>142</v>
      </c>
      <c r="AW845" t="s">
        <v>85</v>
      </c>
      <c r="AX845" t="s">
        <v>122</v>
      </c>
      <c r="AZ845" t="s">
        <v>107</v>
      </c>
      <c r="BA845" t="s">
        <v>87</v>
      </c>
      <c r="BB845" t="s">
        <v>87</v>
      </c>
      <c r="BC845" t="s">
        <v>87</v>
      </c>
      <c r="BD845" t="s">
        <v>87</v>
      </c>
      <c r="BE845" t="s">
        <v>87</v>
      </c>
      <c r="BF845" t="s">
        <v>75</v>
      </c>
      <c r="BG845" t="s">
        <v>76</v>
      </c>
      <c r="BH845" t="s">
        <v>184</v>
      </c>
      <c r="BI845" t="s">
        <v>107</v>
      </c>
      <c r="BJ845" t="s">
        <v>94</v>
      </c>
      <c r="BK845">
        <v>0</v>
      </c>
      <c r="BL845">
        <v>0</v>
      </c>
      <c r="BM845">
        <v>0</v>
      </c>
      <c r="BN845">
        <v>0</v>
      </c>
      <c r="BO845">
        <v>0</v>
      </c>
      <c r="BP845">
        <v>1</v>
      </c>
      <c r="BQ845">
        <v>0</v>
      </c>
      <c r="BR845">
        <v>0</v>
      </c>
    </row>
    <row r="846" spans="1:70" x14ac:dyDescent="0.2">
      <c r="A846" s="1">
        <v>44579.876388888886</v>
      </c>
      <c r="B846" s="1">
        <v>44579.9</v>
      </c>
      <c r="C846">
        <v>1</v>
      </c>
      <c r="D846">
        <v>1</v>
      </c>
      <c r="E846">
        <v>0</v>
      </c>
      <c r="F846">
        <v>0</v>
      </c>
      <c r="H846">
        <v>1</v>
      </c>
      <c r="I846">
        <v>0</v>
      </c>
      <c r="J846">
        <v>0</v>
      </c>
      <c r="K846">
        <v>0</v>
      </c>
      <c r="L846">
        <v>0</v>
      </c>
      <c r="P846">
        <v>1</v>
      </c>
      <c r="Q846">
        <v>0</v>
      </c>
      <c r="R846">
        <v>0</v>
      </c>
      <c r="S846">
        <v>0</v>
      </c>
      <c r="T846">
        <v>0</v>
      </c>
      <c r="U846">
        <v>0</v>
      </c>
      <c r="V846">
        <v>0</v>
      </c>
      <c r="W846">
        <v>0</v>
      </c>
      <c r="X846">
        <v>0</v>
      </c>
      <c r="Y846">
        <v>0</v>
      </c>
      <c r="Z846">
        <v>0</v>
      </c>
      <c r="AA846">
        <v>0</v>
      </c>
      <c r="AC846">
        <v>0</v>
      </c>
      <c r="AD846">
        <v>0</v>
      </c>
      <c r="AE846">
        <v>0</v>
      </c>
      <c r="AF846">
        <v>0</v>
      </c>
      <c r="AG846">
        <v>0</v>
      </c>
      <c r="AH846">
        <v>1</v>
      </c>
      <c r="AI846">
        <v>0</v>
      </c>
      <c r="AJ846">
        <v>0</v>
      </c>
      <c r="AK846">
        <v>0</v>
      </c>
      <c r="AX846" t="s">
        <v>106</v>
      </c>
      <c r="AZ846" t="s">
        <v>96</v>
      </c>
      <c r="BA846" t="s">
        <v>86</v>
      </c>
      <c r="BB846" t="s">
        <v>87</v>
      </c>
      <c r="BC846" t="s">
        <v>87</v>
      </c>
      <c r="BD846" t="s">
        <v>86</v>
      </c>
      <c r="BE846" t="s">
        <v>86</v>
      </c>
      <c r="BF846" t="s">
        <v>75</v>
      </c>
      <c r="BG846" t="s">
        <v>76</v>
      </c>
      <c r="BH846" t="s">
        <v>77</v>
      </c>
      <c r="BI846" t="s">
        <v>96</v>
      </c>
      <c r="BJ846" t="s">
        <v>147</v>
      </c>
      <c r="BK846">
        <v>0</v>
      </c>
      <c r="BL846">
        <v>0</v>
      </c>
      <c r="BM846">
        <v>0</v>
      </c>
      <c r="BN846">
        <v>0</v>
      </c>
      <c r="BO846">
        <v>0</v>
      </c>
      <c r="BP846">
        <v>0</v>
      </c>
      <c r="BQ846">
        <v>0</v>
      </c>
      <c r="BR846">
        <v>1</v>
      </c>
    </row>
    <row r="847" spans="1:70" x14ac:dyDescent="0.2">
      <c r="A847" s="1">
        <v>44585.696527777778</v>
      </c>
      <c r="B847" s="1">
        <v>44585.699305555558</v>
      </c>
      <c r="C847">
        <v>1</v>
      </c>
      <c r="D847">
        <v>0</v>
      </c>
      <c r="E847">
        <v>0</v>
      </c>
      <c r="F847">
        <v>0</v>
      </c>
      <c r="H847">
        <v>0</v>
      </c>
      <c r="I847">
        <v>1</v>
      </c>
      <c r="J847">
        <v>0</v>
      </c>
      <c r="K847">
        <v>0</v>
      </c>
      <c r="L847">
        <v>0</v>
      </c>
      <c r="N847" t="s">
        <v>88</v>
      </c>
      <c r="O847" t="s">
        <v>89</v>
      </c>
      <c r="P847">
        <v>1</v>
      </c>
      <c r="Q847">
        <v>0</v>
      </c>
      <c r="R847">
        <v>0</v>
      </c>
      <c r="S847">
        <v>0</v>
      </c>
      <c r="T847">
        <v>0</v>
      </c>
      <c r="U847">
        <v>0</v>
      </c>
      <c r="V847">
        <v>0</v>
      </c>
      <c r="W847">
        <v>0</v>
      </c>
      <c r="X847">
        <v>0</v>
      </c>
      <c r="Y847">
        <v>0</v>
      </c>
      <c r="Z847">
        <v>0</v>
      </c>
      <c r="AA847">
        <v>0</v>
      </c>
      <c r="AC847">
        <v>0</v>
      </c>
      <c r="AD847">
        <v>0</v>
      </c>
      <c r="AE847">
        <v>0</v>
      </c>
      <c r="AF847">
        <v>0</v>
      </c>
      <c r="AG847">
        <v>0</v>
      </c>
      <c r="AH847">
        <v>0</v>
      </c>
      <c r="AI847">
        <v>0</v>
      </c>
      <c r="AJ847">
        <v>0</v>
      </c>
      <c r="AK847">
        <v>1</v>
      </c>
      <c r="AL847" t="s">
        <v>403</v>
      </c>
      <c r="AX847" t="s">
        <v>110</v>
      </c>
      <c r="AY847" t="s">
        <v>404</v>
      </c>
      <c r="AZ847" t="s">
        <v>73</v>
      </c>
      <c r="BA847" t="s">
        <v>87</v>
      </c>
      <c r="BB847" t="s">
        <v>87</v>
      </c>
      <c r="BC847" t="s">
        <v>87</v>
      </c>
      <c r="BD847" t="s">
        <v>86</v>
      </c>
      <c r="BE847" t="s">
        <v>87</v>
      </c>
      <c r="BF847" t="s">
        <v>75</v>
      </c>
      <c r="BG847" t="s">
        <v>76</v>
      </c>
      <c r="BH847" t="s">
        <v>98</v>
      </c>
      <c r="BI847" t="s">
        <v>73</v>
      </c>
      <c r="BJ847" t="s">
        <v>114</v>
      </c>
      <c r="BK847">
        <v>1</v>
      </c>
      <c r="BL847">
        <v>0</v>
      </c>
      <c r="BM847">
        <v>0</v>
      </c>
      <c r="BN847">
        <v>0</v>
      </c>
      <c r="BO847">
        <v>0</v>
      </c>
      <c r="BP847">
        <v>0</v>
      </c>
      <c r="BQ847">
        <v>0</v>
      </c>
      <c r="BR847">
        <v>0</v>
      </c>
    </row>
    <row r="848" spans="1:70" x14ac:dyDescent="0.2">
      <c r="A848" s="1">
        <v>44579.920138888891</v>
      </c>
      <c r="B848" s="1">
        <v>44579.922222222223</v>
      </c>
      <c r="C848">
        <v>0</v>
      </c>
      <c r="D848">
        <v>1</v>
      </c>
      <c r="E848">
        <v>0</v>
      </c>
      <c r="F848">
        <v>0</v>
      </c>
      <c r="H848">
        <v>0</v>
      </c>
      <c r="I848">
        <v>1</v>
      </c>
      <c r="J848">
        <v>0</v>
      </c>
      <c r="K848">
        <v>1</v>
      </c>
      <c r="L848">
        <v>0</v>
      </c>
      <c r="N848" t="s">
        <v>135</v>
      </c>
      <c r="O848" t="s">
        <v>89</v>
      </c>
      <c r="P848">
        <v>0</v>
      </c>
      <c r="Q848">
        <v>0</v>
      </c>
      <c r="R848">
        <v>0</v>
      </c>
      <c r="S848">
        <v>0</v>
      </c>
      <c r="T848">
        <v>1</v>
      </c>
      <c r="U848">
        <v>0</v>
      </c>
      <c r="V848">
        <v>0</v>
      </c>
      <c r="W848">
        <v>0</v>
      </c>
      <c r="X848">
        <v>0</v>
      </c>
      <c r="Y848">
        <v>0</v>
      </c>
      <c r="Z848">
        <v>0</v>
      </c>
      <c r="AA848">
        <v>0</v>
      </c>
      <c r="AM848" t="s">
        <v>83</v>
      </c>
      <c r="AN848" t="s">
        <v>83</v>
      </c>
      <c r="AO848" t="s">
        <v>81</v>
      </c>
      <c r="AP848" t="s">
        <v>82</v>
      </c>
      <c r="AQ848" t="s">
        <v>81</v>
      </c>
      <c r="AR848" t="s">
        <v>83</v>
      </c>
      <c r="AS848" t="s">
        <v>83</v>
      </c>
      <c r="AT848" t="s">
        <v>90</v>
      </c>
      <c r="AU848" t="s">
        <v>135</v>
      </c>
      <c r="AV848" t="s">
        <v>89</v>
      </c>
      <c r="AW848" t="s">
        <v>117</v>
      </c>
      <c r="AZ848" t="s">
        <v>96</v>
      </c>
      <c r="BA848" t="s">
        <v>87</v>
      </c>
      <c r="BB848" t="s">
        <v>87</v>
      </c>
      <c r="BC848" t="s">
        <v>87</v>
      </c>
      <c r="BD848" t="s">
        <v>87</v>
      </c>
      <c r="BE848" t="s">
        <v>87</v>
      </c>
      <c r="BF848" t="s">
        <v>97</v>
      </c>
      <c r="BG848" t="s">
        <v>76</v>
      </c>
      <c r="BH848" t="s">
        <v>98</v>
      </c>
      <c r="BI848" t="s">
        <v>96</v>
      </c>
      <c r="BJ848" t="s">
        <v>99</v>
      </c>
      <c r="BK848">
        <v>1</v>
      </c>
      <c r="BL848">
        <v>0</v>
      </c>
      <c r="BM848">
        <v>0</v>
      </c>
      <c r="BN848">
        <v>0</v>
      </c>
      <c r="BO848">
        <v>0</v>
      </c>
      <c r="BP848">
        <v>0</v>
      </c>
      <c r="BQ848">
        <v>0</v>
      </c>
      <c r="BR848">
        <v>0</v>
      </c>
    </row>
    <row r="849" spans="1:71" x14ac:dyDescent="0.2">
      <c r="A849" s="1">
        <v>44588.875694444447</v>
      </c>
      <c r="B849" s="1">
        <v>44588.934027777781</v>
      </c>
      <c r="C849">
        <v>1</v>
      </c>
      <c r="D849">
        <v>0</v>
      </c>
      <c r="E849">
        <v>0</v>
      </c>
      <c r="F849">
        <v>0</v>
      </c>
      <c r="H849">
        <v>0</v>
      </c>
      <c r="I849">
        <v>1</v>
      </c>
      <c r="J849">
        <v>0</v>
      </c>
      <c r="K849">
        <v>0</v>
      </c>
      <c r="L849">
        <v>0</v>
      </c>
      <c r="N849" t="s">
        <v>88</v>
      </c>
      <c r="O849" t="s">
        <v>89</v>
      </c>
      <c r="P849">
        <v>0</v>
      </c>
      <c r="Q849">
        <v>0</v>
      </c>
      <c r="R849">
        <v>1</v>
      </c>
      <c r="S849">
        <v>0</v>
      </c>
      <c r="T849">
        <v>0</v>
      </c>
      <c r="U849">
        <v>0</v>
      </c>
      <c r="V849">
        <v>0</v>
      </c>
      <c r="W849">
        <v>0</v>
      </c>
      <c r="X849">
        <v>0</v>
      </c>
      <c r="Y849">
        <v>0</v>
      </c>
      <c r="Z849">
        <v>0</v>
      </c>
      <c r="AA849">
        <v>0</v>
      </c>
      <c r="AM849" t="s">
        <v>81</v>
      </c>
      <c r="AN849" t="s">
        <v>81</v>
      </c>
      <c r="AO849" t="s">
        <v>83</v>
      </c>
      <c r="AP849" t="s">
        <v>82</v>
      </c>
      <c r="AQ849" t="s">
        <v>82</v>
      </c>
      <c r="AR849" t="s">
        <v>83</v>
      </c>
      <c r="AS849" t="s">
        <v>81</v>
      </c>
      <c r="AT849" t="s">
        <v>83</v>
      </c>
      <c r="AU849" t="s">
        <v>88</v>
      </c>
      <c r="AV849" t="s">
        <v>89</v>
      </c>
      <c r="AW849" t="s">
        <v>85</v>
      </c>
      <c r="AZ849" t="s">
        <v>107</v>
      </c>
      <c r="BA849" t="s">
        <v>86</v>
      </c>
      <c r="BB849" t="s">
        <v>87</v>
      </c>
      <c r="BC849" t="s">
        <v>87</v>
      </c>
      <c r="BD849" t="s">
        <v>86</v>
      </c>
      <c r="BE849" t="s">
        <v>86</v>
      </c>
      <c r="BF849" t="s">
        <v>97</v>
      </c>
      <c r="BG849" t="s">
        <v>76</v>
      </c>
      <c r="BH849" t="s">
        <v>98</v>
      </c>
      <c r="BI849" t="s">
        <v>107</v>
      </c>
      <c r="BJ849" t="s">
        <v>78</v>
      </c>
      <c r="BK849">
        <v>1</v>
      </c>
      <c r="BL849">
        <v>0</v>
      </c>
      <c r="BM849">
        <v>0</v>
      </c>
      <c r="BN849">
        <v>0</v>
      </c>
      <c r="BO849">
        <v>0</v>
      </c>
      <c r="BP849">
        <v>0</v>
      </c>
      <c r="BQ849">
        <v>0</v>
      </c>
      <c r="BR849">
        <v>0</v>
      </c>
    </row>
    <row r="850" spans="1:71" x14ac:dyDescent="0.2">
      <c r="A850" s="1">
        <v>44582.143750000003</v>
      </c>
      <c r="B850" s="1">
        <v>44582.144444444442</v>
      </c>
      <c r="C850">
        <v>1</v>
      </c>
      <c r="D850">
        <v>0</v>
      </c>
      <c r="E850">
        <v>0</v>
      </c>
      <c r="F850">
        <v>0</v>
      </c>
      <c r="H850">
        <v>1</v>
      </c>
      <c r="I850">
        <v>0</v>
      </c>
      <c r="J850">
        <v>0</v>
      </c>
      <c r="K850">
        <v>0</v>
      </c>
      <c r="L850">
        <v>0</v>
      </c>
      <c r="P850">
        <v>1</v>
      </c>
      <c r="Q850">
        <v>0</v>
      </c>
      <c r="R850">
        <v>0</v>
      </c>
      <c r="S850">
        <v>0</v>
      </c>
      <c r="T850">
        <v>0</v>
      </c>
      <c r="U850">
        <v>0</v>
      </c>
      <c r="V850">
        <v>0</v>
      </c>
      <c r="W850">
        <v>0</v>
      </c>
      <c r="X850">
        <v>0</v>
      </c>
      <c r="Y850">
        <v>0</v>
      </c>
      <c r="Z850">
        <v>0</v>
      </c>
      <c r="AA850">
        <v>0</v>
      </c>
      <c r="AC850">
        <v>0</v>
      </c>
      <c r="AD850">
        <v>0</v>
      </c>
      <c r="AE850">
        <v>0</v>
      </c>
      <c r="AF850">
        <v>0</v>
      </c>
      <c r="AG850">
        <v>0</v>
      </c>
      <c r="AH850">
        <v>0</v>
      </c>
      <c r="AI850">
        <v>1</v>
      </c>
      <c r="AJ850">
        <v>0</v>
      </c>
      <c r="AK850">
        <v>0</v>
      </c>
      <c r="AX850" t="s">
        <v>91</v>
      </c>
      <c r="AZ850" t="s">
        <v>107</v>
      </c>
      <c r="BA850" t="s">
        <v>74</v>
      </c>
      <c r="BF850" t="s">
        <v>75</v>
      </c>
      <c r="BG850" t="s">
        <v>76</v>
      </c>
      <c r="BH850" t="s">
        <v>98</v>
      </c>
      <c r="BI850" t="s">
        <v>107</v>
      </c>
      <c r="BJ850" t="s">
        <v>78</v>
      </c>
      <c r="BK850">
        <v>0</v>
      </c>
      <c r="BL850">
        <v>0</v>
      </c>
      <c r="BM850">
        <v>0</v>
      </c>
      <c r="BN850">
        <v>1</v>
      </c>
      <c r="BO850">
        <v>0</v>
      </c>
      <c r="BP850">
        <v>0</v>
      </c>
      <c r="BQ850">
        <v>0</v>
      </c>
      <c r="BR850">
        <v>0</v>
      </c>
    </row>
    <row r="851" spans="1:71" x14ac:dyDescent="0.2">
      <c r="A851" s="1">
        <v>44589.104861111111</v>
      </c>
      <c r="B851" s="1">
        <v>44589.106944444444</v>
      </c>
      <c r="C851">
        <v>1</v>
      </c>
      <c r="D851">
        <v>0</v>
      </c>
      <c r="E851">
        <v>0</v>
      </c>
      <c r="F851">
        <v>0</v>
      </c>
      <c r="H851">
        <v>0</v>
      </c>
      <c r="I851">
        <v>1</v>
      </c>
      <c r="J851">
        <v>0</v>
      </c>
      <c r="K851">
        <v>0</v>
      </c>
      <c r="L851">
        <v>0</v>
      </c>
      <c r="N851" t="s">
        <v>135</v>
      </c>
      <c r="O851" t="s">
        <v>89</v>
      </c>
      <c r="P851">
        <v>0</v>
      </c>
      <c r="Q851">
        <v>1</v>
      </c>
      <c r="R851">
        <v>1</v>
      </c>
      <c r="S851">
        <v>0</v>
      </c>
      <c r="T851">
        <v>0</v>
      </c>
      <c r="U851">
        <v>0</v>
      </c>
      <c r="V851">
        <v>0</v>
      </c>
      <c r="W851">
        <v>0</v>
      </c>
      <c r="X851">
        <v>0</v>
      </c>
      <c r="Y851">
        <v>0</v>
      </c>
      <c r="Z851">
        <v>0</v>
      </c>
      <c r="AA851">
        <v>0</v>
      </c>
      <c r="AM851" t="s">
        <v>83</v>
      </c>
      <c r="AN851" t="s">
        <v>81</v>
      </c>
      <c r="AO851" t="s">
        <v>83</v>
      </c>
      <c r="AP851" t="s">
        <v>83</v>
      </c>
      <c r="AQ851" t="s">
        <v>82</v>
      </c>
      <c r="AR851" t="s">
        <v>83</v>
      </c>
      <c r="AS851" t="s">
        <v>83</v>
      </c>
      <c r="AT851" t="s">
        <v>83</v>
      </c>
      <c r="AU851" t="s">
        <v>88</v>
      </c>
      <c r="AV851" t="s">
        <v>89</v>
      </c>
      <c r="AW851" t="s">
        <v>85</v>
      </c>
      <c r="AX851" t="s">
        <v>118</v>
      </c>
      <c r="AZ851" t="s">
        <v>73</v>
      </c>
      <c r="BA851" t="s">
        <v>87</v>
      </c>
      <c r="BB851" t="s">
        <v>87</v>
      </c>
      <c r="BC851" t="s">
        <v>87</v>
      </c>
      <c r="BD851" t="s">
        <v>74</v>
      </c>
      <c r="BE851" t="s">
        <v>87</v>
      </c>
      <c r="BF851" t="s">
        <v>75</v>
      </c>
      <c r="BG851" t="s">
        <v>76</v>
      </c>
      <c r="BH851" t="s">
        <v>77</v>
      </c>
      <c r="BI851" t="s">
        <v>73</v>
      </c>
      <c r="BJ851" t="s">
        <v>114</v>
      </c>
      <c r="BK851">
        <v>1</v>
      </c>
      <c r="BL851">
        <v>0</v>
      </c>
      <c r="BM851">
        <v>0</v>
      </c>
      <c r="BN851">
        <v>0</v>
      </c>
      <c r="BO851">
        <v>0</v>
      </c>
      <c r="BP851">
        <v>0</v>
      </c>
      <c r="BQ851">
        <v>0</v>
      </c>
      <c r="BR851">
        <v>0</v>
      </c>
    </row>
    <row r="852" spans="1:71" x14ac:dyDescent="0.2">
      <c r="A852" s="1">
        <v>44588.884722222225</v>
      </c>
      <c r="B852" s="1">
        <v>44588.887499999997</v>
      </c>
      <c r="C852">
        <v>1</v>
      </c>
      <c r="D852">
        <v>0</v>
      </c>
      <c r="E852">
        <v>0</v>
      </c>
      <c r="F852">
        <v>0</v>
      </c>
      <c r="H852">
        <v>0</v>
      </c>
      <c r="I852">
        <v>1</v>
      </c>
      <c r="J852">
        <v>0</v>
      </c>
      <c r="K852">
        <v>0</v>
      </c>
      <c r="L852">
        <v>0</v>
      </c>
      <c r="N852" t="s">
        <v>79</v>
      </c>
      <c r="O852" t="s">
        <v>127</v>
      </c>
      <c r="P852">
        <v>1</v>
      </c>
      <c r="Q852">
        <v>0</v>
      </c>
      <c r="R852">
        <v>0</v>
      </c>
      <c r="S852">
        <v>0</v>
      </c>
      <c r="T852">
        <v>0</v>
      </c>
      <c r="U852">
        <v>0</v>
      </c>
      <c r="V852">
        <v>0</v>
      </c>
      <c r="W852">
        <v>0</v>
      </c>
      <c r="X852">
        <v>0</v>
      </c>
      <c r="Y852">
        <v>0</v>
      </c>
      <c r="Z852">
        <v>0</v>
      </c>
      <c r="AA852">
        <v>0</v>
      </c>
      <c r="AC852">
        <v>1</v>
      </c>
      <c r="AD852">
        <v>0</v>
      </c>
      <c r="AE852">
        <v>0</v>
      </c>
      <c r="AF852">
        <v>0</v>
      </c>
      <c r="AG852">
        <v>0</v>
      </c>
      <c r="AH852">
        <v>0</v>
      </c>
      <c r="AI852">
        <v>0</v>
      </c>
      <c r="AJ852">
        <v>0</v>
      </c>
      <c r="AK852">
        <v>0</v>
      </c>
      <c r="AZ852" t="s">
        <v>107</v>
      </c>
      <c r="BA852" t="s">
        <v>87</v>
      </c>
      <c r="BB852" t="s">
        <v>87</v>
      </c>
      <c r="BC852" t="s">
        <v>87</v>
      </c>
      <c r="BD852" t="s">
        <v>87</v>
      </c>
      <c r="BE852" t="s">
        <v>87</v>
      </c>
      <c r="BF852" t="s">
        <v>159</v>
      </c>
      <c r="BG852" t="s">
        <v>76</v>
      </c>
      <c r="BH852" t="s">
        <v>98</v>
      </c>
      <c r="BI852" t="s">
        <v>107</v>
      </c>
      <c r="BJ852" t="s">
        <v>99</v>
      </c>
      <c r="BK852">
        <v>1</v>
      </c>
      <c r="BL852">
        <v>0</v>
      </c>
      <c r="BM852">
        <v>0</v>
      </c>
      <c r="BN852">
        <v>0</v>
      </c>
      <c r="BO852">
        <v>0</v>
      </c>
      <c r="BP852">
        <v>0</v>
      </c>
      <c r="BQ852">
        <v>0</v>
      </c>
      <c r="BR852">
        <v>0</v>
      </c>
    </row>
    <row r="853" spans="1:71" x14ac:dyDescent="0.2">
      <c r="A853" s="1">
        <v>44589.709027777775</v>
      </c>
      <c r="B853" s="1">
        <v>44589.711805555555</v>
      </c>
      <c r="C853">
        <v>0</v>
      </c>
      <c r="D853">
        <v>1</v>
      </c>
      <c r="E853">
        <v>0</v>
      </c>
      <c r="F853">
        <v>0</v>
      </c>
      <c r="H853">
        <v>0</v>
      </c>
      <c r="I853">
        <v>1</v>
      </c>
      <c r="J853">
        <v>1</v>
      </c>
      <c r="K853">
        <v>0</v>
      </c>
      <c r="L853">
        <v>0</v>
      </c>
      <c r="N853" t="s">
        <v>88</v>
      </c>
      <c r="O853" t="s">
        <v>89</v>
      </c>
      <c r="P853">
        <v>0</v>
      </c>
      <c r="Q853">
        <v>1</v>
      </c>
      <c r="R853">
        <v>0</v>
      </c>
      <c r="S853">
        <v>0</v>
      </c>
      <c r="T853">
        <v>0</v>
      </c>
      <c r="U853">
        <v>0</v>
      </c>
      <c r="V853">
        <v>0</v>
      </c>
      <c r="W853">
        <v>0</v>
      </c>
      <c r="X853">
        <v>0</v>
      </c>
      <c r="Y853">
        <v>0</v>
      </c>
      <c r="Z853">
        <v>0</v>
      </c>
      <c r="AA853">
        <v>0</v>
      </c>
      <c r="AM853" t="s">
        <v>83</v>
      </c>
      <c r="AN853" t="s">
        <v>81</v>
      </c>
      <c r="AO853" t="s">
        <v>81</v>
      </c>
      <c r="AP853" t="s">
        <v>81</v>
      </c>
      <c r="AQ853" t="s">
        <v>82</v>
      </c>
      <c r="AR853" t="s">
        <v>83</v>
      </c>
      <c r="AS853" t="s">
        <v>83</v>
      </c>
      <c r="AT853" t="s">
        <v>83</v>
      </c>
      <c r="AU853" t="s">
        <v>88</v>
      </c>
      <c r="AV853" t="s">
        <v>89</v>
      </c>
      <c r="AW853" t="s">
        <v>100</v>
      </c>
      <c r="AZ853" t="s">
        <v>107</v>
      </c>
      <c r="BA853" t="s">
        <v>86</v>
      </c>
      <c r="BB853" t="s">
        <v>86</v>
      </c>
      <c r="BC853" t="s">
        <v>86</v>
      </c>
      <c r="BD853" t="s">
        <v>86</v>
      </c>
      <c r="BE853" t="s">
        <v>74</v>
      </c>
      <c r="BF853" t="s">
        <v>159</v>
      </c>
      <c r="BG853" t="s">
        <v>76</v>
      </c>
      <c r="BH853" t="s">
        <v>77</v>
      </c>
      <c r="BI853" t="s">
        <v>107</v>
      </c>
      <c r="BJ853" t="s">
        <v>99</v>
      </c>
      <c r="BK853">
        <v>0</v>
      </c>
      <c r="BL853">
        <v>1</v>
      </c>
      <c r="BM853">
        <v>0</v>
      </c>
      <c r="BN853">
        <v>0</v>
      </c>
      <c r="BO853">
        <v>0</v>
      </c>
      <c r="BP853">
        <v>1</v>
      </c>
      <c r="BQ853">
        <v>1</v>
      </c>
      <c r="BR853">
        <v>0</v>
      </c>
      <c r="BS853" t="s">
        <v>405</v>
      </c>
    </row>
    <row r="854" spans="1:71" x14ac:dyDescent="0.2">
      <c r="A854" s="1">
        <v>44586.556250000001</v>
      </c>
      <c r="B854" s="1">
        <v>44586.557638888888</v>
      </c>
      <c r="C854">
        <v>1</v>
      </c>
      <c r="D854">
        <v>1</v>
      </c>
      <c r="E854">
        <v>0</v>
      </c>
      <c r="F854">
        <v>0</v>
      </c>
      <c r="H854">
        <v>1</v>
      </c>
      <c r="I854">
        <v>0</v>
      </c>
      <c r="J854">
        <v>0</v>
      </c>
      <c r="K854">
        <v>0</v>
      </c>
      <c r="L854">
        <v>0</v>
      </c>
      <c r="P854">
        <v>1</v>
      </c>
      <c r="Q854">
        <v>0</v>
      </c>
      <c r="R854">
        <v>0</v>
      </c>
      <c r="S854">
        <v>0</v>
      </c>
      <c r="T854">
        <v>0</v>
      </c>
      <c r="U854">
        <v>0</v>
      </c>
      <c r="V854">
        <v>0</v>
      </c>
      <c r="W854">
        <v>0</v>
      </c>
      <c r="X854">
        <v>0</v>
      </c>
      <c r="Y854">
        <v>0</v>
      </c>
      <c r="Z854">
        <v>0</v>
      </c>
      <c r="AA854">
        <v>0</v>
      </c>
      <c r="AC854">
        <v>0</v>
      </c>
      <c r="AD854">
        <v>0</v>
      </c>
      <c r="AE854">
        <v>0</v>
      </c>
      <c r="AF854">
        <v>0</v>
      </c>
      <c r="AG854">
        <v>0</v>
      </c>
      <c r="AH854">
        <v>0</v>
      </c>
      <c r="AI854">
        <v>1</v>
      </c>
      <c r="AJ854">
        <v>0</v>
      </c>
      <c r="AK854">
        <v>0</v>
      </c>
      <c r="AZ854" t="s">
        <v>120</v>
      </c>
      <c r="BA854" t="s">
        <v>74</v>
      </c>
      <c r="BF854" t="s">
        <v>159</v>
      </c>
      <c r="BG854" t="s">
        <v>76</v>
      </c>
      <c r="BH854" t="s">
        <v>98</v>
      </c>
      <c r="BI854" t="s">
        <v>120</v>
      </c>
      <c r="BJ854" t="s">
        <v>78</v>
      </c>
      <c r="BK854">
        <v>1</v>
      </c>
      <c r="BL854">
        <v>0</v>
      </c>
      <c r="BM854">
        <v>0</v>
      </c>
      <c r="BN854">
        <v>0</v>
      </c>
      <c r="BO854">
        <v>0</v>
      </c>
      <c r="BP854">
        <v>0</v>
      </c>
      <c r="BQ854">
        <v>0</v>
      </c>
      <c r="BR854">
        <v>0</v>
      </c>
    </row>
    <row r="855" spans="1:71" x14ac:dyDescent="0.2">
      <c r="A855" s="1">
        <v>44585.740972222222</v>
      </c>
      <c r="B855" s="1">
        <v>44585.742361111108</v>
      </c>
      <c r="C855">
        <v>1</v>
      </c>
      <c r="D855">
        <v>0</v>
      </c>
      <c r="E855">
        <v>0</v>
      </c>
      <c r="F855">
        <v>0</v>
      </c>
      <c r="H855">
        <v>1</v>
      </c>
      <c r="I855">
        <v>0</v>
      </c>
      <c r="J855">
        <v>0</v>
      </c>
      <c r="K855">
        <v>0</v>
      </c>
      <c r="L855">
        <v>0</v>
      </c>
      <c r="P855">
        <v>1</v>
      </c>
      <c r="Q855">
        <v>0</v>
      </c>
      <c r="R855">
        <v>0</v>
      </c>
      <c r="S855">
        <v>0</v>
      </c>
      <c r="T855">
        <v>0</v>
      </c>
      <c r="U855">
        <v>0</v>
      </c>
      <c r="V855">
        <v>0</v>
      </c>
      <c r="W855">
        <v>0</v>
      </c>
      <c r="X855">
        <v>0</v>
      </c>
      <c r="Y855">
        <v>0</v>
      </c>
      <c r="Z855">
        <v>0</v>
      </c>
      <c r="AA855">
        <v>0</v>
      </c>
      <c r="AC855">
        <v>0</v>
      </c>
      <c r="AD855">
        <v>0</v>
      </c>
      <c r="AE855">
        <v>1</v>
      </c>
      <c r="AF855">
        <v>0</v>
      </c>
      <c r="AG855">
        <v>0</v>
      </c>
      <c r="AH855">
        <v>0</v>
      </c>
      <c r="AI855">
        <v>0</v>
      </c>
      <c r="AJ855">
        <v>0</v>
      </c>
      <c r="AK855">
        <v>0</v>
      </c>
      <c r="AZ855" t="s">
        <v>107</v>
      </c>
      <c r="BA855" t="s">
        <v>86</v>
      </c>
      <c r="BB855" t="s">
        <v>74</v>
      </c>
      <c r="BC855" t="s">
        <v>86</v>
      </c>
      <c r="BD855" t="s">
        <v>87</v>
      </c>
      <c r="BE855" t="s">
        <v>87</v>
      </c>
      <c r="BF855" t="s">
        <v>97</v>
      </c>
      <c r="BG855" t="s">
        <v>76</v>
      </c>
      <c r="BH855" t="s">
        <v>98</v>
      </c>
      <c r="BI855" t="s">
        <v>107</v>
      </c>
      <c r="BJ855" t="s">
        <v>114</v>
      </c>
      <c r="BK855">
        <v>1</v>
      </c>
      <c r="BL855">
        <v>0</v>
      </c>
      <c r="BM855">
        <v>0</v>
      </c>
      <c r="BN855">
        <v>0</v>
      </c>
      <c r="BO855">
        <v>0</v>
      </c>
      <c r="BP855">
        <v>0</v>
      </c>
      <c r="BQ855">
        <v>0</v>
      </c>
      <c r="BR855">
        <v>0</v>
      </c>
    </row>
    <row r="856" spans="1:71" x14ac:dyDescent="0.2">
      <c r="A856" s="1">
        <v>44580.612500000003</v>
      </c>
      <c r="B856" s="1">
        <v>44580.613888888889</v>
      </c>
      <c r="C856">
        <v>1</v>
      </c>
      <c r="D856">
        <v>0</v>
      </c>
      <c r="E856">
        <v>0</v>
      </c>
      <c r="F856">
        <v>0</v>
      </c>
      <c r="H856">
        <v>0</v>
      </c>
      <c r="I856">
        <v>1</v>
      </c>
      <c r="J856">
        <v>0</v>
      </c>
      <c r="K856">
        <v>0</v>
      </c>
      <c r="L856">
        <v>0</v>
      </c>
      <c r="N856" t="s">
        <v>88</v>
      </c>
      <c r="O856" t="s">
        <v>89</v>
      </c>
      <c r="P856">
        <v>1</v>
      </c>
      <c r="Q856">
        <v>0</v>
      </c>
      <c r="R856">
        <v>0</v>
      </c>
      <c r="S856">
        <v>0</v>
      </c>
      <c r="T856">
        <v>0</v>
      </c>
      <c r="U856">
        <v>0</v>
      </c>
      <c r="V856">
        <v>0</v>
      </c>
      <c r="W856">
        <v>0</v>
      </c>
      <c r="X856">
        <v>0</v>
      </c>
      <c r="Y856">
        <v>0</v>
      </c>
      <c r="Z856">
        <v>0</v>
      </c>
      <c r="AA856">
        <v>0</v>
      </c>
      <c r="AC856">
        <v>0</v>
      </c>
      <c r="AD856">
        <v>0</v>
      </c>
      <c r="AE856">
        <v>0</v>
      </c>
      <c r="AF856">
        <v>0</v>
      </c>
      <c r="AG856">
        <v>0</v>
      </c>
      <c r="AH856">
        <v>0</v>
      </c>
      <c r="AI856">
        <v>1</v>
      </c>
      <c r="AJ856">
        <v>0</v>
      </c>
      <c r="AK856">
        <v>0</v>
      </c>
      <c r="AX856" t="s">
        <v>122</v>
      </c>
      <c r="AZ856" t="s">
        <v>73</v>
      </c>
      <c r="BA856" t="s">
        <v>86</v>
      </c>
      <c r="BB856" t="s">
        <v>86</v>
      </c>
      <c r="BC856" t="s">
        <v>87</v>
      </c>
      <c r="BD856" t="s">
        <v>74</v>
      </c>
      <c r="BE856" t="s">
        <v>87</v>
      </c>
      <c r="BF856" t="s">
        <v>113</v>
      </c>
      <c r="BG856" t="s">
        <v>92</v>
      </c>
      <c r="BH856" t="s">
        <v>93</v>
      </c>
      <c r="BI856" t="s">
        <v>73</v>
      </c>
      <c r="BJ856" t="s">
        <v>114</v>
      </c>
      <c r="BK856">
        <v>0</v>
      </c>
      <c r="BL856">
        <v>0</v>
      </c>
      <c r="BM856">
        <v>0</v>
      </c>
      <c r="BN856">
        <v>1</v>
      </c>
      <c r="BO856">
        <v>0</v>
      </c>
      <c r="BP856">
        <v>0</v>
      </c>
      <c r="BQ856">
        <v>0</v>
      </c>
      <c r="BR856">
        <v>0</v>
      </c>
    </row>
    <row r="857" spans="1:71" x14ac:dyDescent="0.2">
      <c r="A857" s="1">
        <v>44585.563888888886</v>
      </c>
      <c r="B857" s="1">
        <v>44585.56527777778</v>
      </c>
      <c r="C857">
        <v>1</v>
      </c>
      <c r="D857">
        <v>0</v>
      </c>
      <c r="E857">
        <v>0</v>
      </c>
      <c r="F857">
        <v>0</v>
      </c>
      <c r="H857">
        <v>1</v>
      </c>
      <c r="I857">
        <v>0</v>
      </c>
      <c r="J857">
        <v>0</v>
      </c>
      <c r="K857">
        <v>0</v>
      </c>
      <c r="L857">
        <v>0</v>
      </c>
      <c r="P857">
        <v>0</v>
      </c>
      <c r="Q857">
        <v>0</v>
      </c>
      <c r="R857">
        <v>1</v>
      </c>
      <c r="S857">
        <v>0</v>
      </c>
      <c r="T857">
        <v>0</v>
      </c>
      <c r="U857">
        <v>0</v>
      </c>
      <c r="V857">
        <v>0</v>
      </c>
      <c r="W857">
        <v>0</v>
      </c>
      <c r="X857">
        <v>0</v>
      </c>
      <c r="Y857">
        <v>0</v>
      </c>
      <c r="Z857">
        <v>0</v>
      </c>
      <c r="AA857">
        <v>0</v>
      </c>
      <c r="AM857" t="s">
        <v>83</v>
      </c>
      <c r="AN857" t="s">
        <v>83</v>
      </c>
      <c r="AO857" t="s">
        <v>83</v>
      </c>
      <c r="AP857" t="s">
        <v>83</v>
      </c>
      <c r="AQ857" t="s">
        <v>82</v>
      </c>
      <c r="AR857" t="s">
        <v>83</v>
      </c>
      <c r="AS857" t="s">
        <v>83</v>
      </c>
      <c r="AT857" t="s">
        <v>81</v>
      </c>
      <c r="AU857" t="s">
        <v>135</v>
      </c>
      <c r="AV857" t="s">
        <v>80</v>
      </c>
      <c r="AW857" t="s">
        <v>85</v>
      </c>
      <c r="AZ857" t="s">
        <v>107</v>
      </c>
      <c r="BA857" t="s">
        <v>86</v>
      </c>
      <c r="BB857" t="s">
        <v>86</v>
      </c>
      <c r="BC857" t="s">
        <v>86</v>
      </c>
      <c r="BD857" t="s">
        <v>86</v>
      </c>
      <c r="BE857" t="s">
        <v>86</v>
      </c>
      <c r="BF857" t="s">
        <v>101</v>
      </c>
      <c r="BG857" t="s">
        <v>76</v>
      </c>
      <c r="BH857" t="s">
        <v>77</v>
      </c>
      <c r="BI857" t="s">
        <v>107</v>
      </c>
      <c r="BJ857" t="s">
        <v>109</v>
      </c>
      <c r="BK857">
        <v>1</v>
      </c>
      <c r="BL857">
        <v>0</v>
      </c>
      <c r="BM857">
        <v>0</v>
      </c>
      <c r="BN857">
        <v>0</v>
      </c>
      <c r="BO857">
        <v>0</v>
      </c>
      <c r="BP857">
        <v>0</v>
      </c>
      <c r="BQ857">
        <v>0</v>
      </c>
      <c r="BR857">
        <v>0</v>
      </c>
    </row>
    <row r="858" spans="1:71" x14ac:dyDescent="0.2">
      <c r="A858" s="1">
        <v>44589.628472222219</v>
      </c>
      <c r="B858" s="1">
        <v>44589.630555555559</v>
      </c>
      <c r="C858">
        <v>1</v>
      </c>
      <c r="D858">
        <v>0</v>
      </c>
      <c r="E858">
        <v>0</v>
      </c>
      <c r="F858">
        <v>0</v>
      </c>
      <c r="H858">
        <v>1</v>
      </c>
      <c r="I858">
        <v>0</v>
      </c>
      <c r="J858">
        <v>0</v>
      </c>
      <c r="K858">
        <v>0</v>
      </c>
      <c r="L858">
        <v>0</v>
      </c>
      <c r="P858">
        <v>1</v>
      </c>
      <c r="Q858">
        <v>0</v>
      </c>
      <c r="R858">
        <v>0</v>
      </c>
      <c r="S858">
        <v>0</v>
      </c>
      <c r="T858">
        <v>0</v>
      </c>
      <c r="U858">
        <v>0</v>
      </c>
      <c r="V858">
        <v>0</v>
      </c>
      <c r="W858">
        <v>0</v>
      </c>
      <c r="X858">
        <v>0</v>
      </c>
      <c r="Y858">
        <v>0</v>
      </c>
      <c r="Z858">
        <v>0</v>
      </c>
      <c r="AA858">
        <v>0</v>
      </c>
      <c r="AC858">
        <v>0</v>
      </c>
      <c r="AD858">
        <v>0</v>
      </c>
      <c r="AE858">
        <v>1</v>
      </c>
      <c r="AF858">
        <v>0</v>
      </c>
      <c r="AG858">
        <v>1</v>
      </c>
      <c r="AH858">
        <v>0</v>
      </c>
      <c r="AI858">
        <v>1</v>
      </c>
      <c r="AJ858">
        <v>1</v>
      </c>
      <c r="AK858">
        <v>1</v>
      </c>
      <c r="AL858" t="s">
        <v>406</v>
      </c>
      <c r="AZ858" t="s">
        <v>73</v>
      </c>
      <c r="BA858" t="s">
        <v>74</v>
      </c>
      <c r="BF858" t="s">
        <v>101</v>
      </c>
      <c r="BG858" t="s">
        <v>76</v>
      </c>
      <c r="BH858" t="s">
        <v>98</v>
      </c>
      <c r="BI858" t="s">
        <v>73</v>
      </c>
      <c r="BJ858" t="s">
        <v>109</v>
      </c>
      <c r="BK858">
        <v>0</v>
      </c>
      <c r="BL858">
        <v>1</v>
      </c>
      <c r="BM858">
        <v>0</v>
      </c>
      <c r="BN858">
        <v>0</v>
      </c>
      <c r="BO858">
        <v>0</v>
      </c>
      <c r="BP858">
        <v>1</v>
      </c>
      <c r="BQ858">
        <v>0</v>
      </c>
      <c r="BR858">
        <v>0</v>
      </c>
    </row>
    <row r="859" spans="1:71" x14ac:dyDescent="0.2">
      <c r="A859" s="1">
        <v>44580.555555555555</v>
      </c>
      <c r="B859" s="1">
        <v>44580.55972222222</v>
      </c>
      <c r="C859">
        <v>0</v>
      </c>
      <c r="D859">
        <v>1</v>
      </c>
      <c r="E859">
        <v>0</v>
      </c>
      <c r="F859">
        <v>0</v>
      </c>
      <c r="H859">
        <v>0</v>
      </c>
      <c r="I859">
        <v>1</v>
      </c>
      <c r="J859">
        <v>0</v>
      </c>
      <c r="K859">
        <v>1</v>
      </c>
      <c r="L859">
        <v>1</v>
      </c>
      <c r="M859" t="s">
        <v>407</v>
      </c>
      <c r="N859" t="s">
        <v>88</v>
      </c>
      <c r="O859" t="s">
        <v>80</v>
      </c>
      <c r="P859">
        <v>0</v>
      </c>
      <c r="Q859">
        <v>0</v>
      </c>
      <c r="R859">
        <v>0</v>
      </c>
      <c r="S859">
        <v>1</v>
      </c>
      <c r="T859">
        <v>0</v>
      </c>
      <c r="U859">
        <v>0</v>
      </c>
      <c r="V859">
        <v>0</v>
      </c>
      <c r="W859">
        <v>0</v>
      </c>
      <c r="X859">
        <v>0</v>
      </c>
      <c r="Y859">
        <v>0</v>
      </c>
      <c r="Z859">
        <v>0</v>
      </c>
      <c r="AA859">
        <v>0</v>
      </c>
      <c r="AM859" t="s">
        <v>83</v>
      </c>
      <c r="AN859" t="s">
        <v>82</v>
      </c>
      <c r="AO859" t="s">
        <v>81</v>
      </c>
      <c r="AP859" t="s">
        <v>81</v>
      </c>
      <c r="AQ859" t="s">
        <v>83</v>
      </c>
      <c r="AR859" t="s">
        <v>83</v>
      </c>
      <c r="AS859" t="s">
        <v>81</v>
      </c>
      <c r="AT859" t="s">
        <v>83</v>
      </c>
      <c r="AU859" t="s">
        <v>88</v>
      </c>
      <c r="AV859" t="s">
        <v>89</v>
      </c>
      <c r="AW859" t="s">
        <v>100</v>
      </c>
      <c r="AZ859" t="s">
        <v>73</v>
      </c>
      <c r="BA859" t="s">
        <v>87</v>
      </c>
      <c r="BB859" t="s">
        <v>86</v>
      </c>
      <c r="BC859" t="s">
        <v>86</v>
      </c>
      <c r="BD859" t="s">
        <v>86</v>
      </c>
      <c r="BE859" t="s">
        <v>86</v>
      </c>
      <c r="BF859" t="s">
        <v>97</v>
      </c>
      <c r="BG859" t="s">
        <v>92</v>
      </c>
      <c r="BH859" t="s">
        <v>98</v>
      </c>
      <c r="BI859" t="s">
        <v>73</v>
      </c>
      <c r="BJ859" t="s">
        <v>78</v>
      </c>
      <c r="BK859">
        <v>0</v>
      </c>
      <c r="BL859">
        <v>1</v>
      </c>
      <c r="BM859">
        <v>0</v>
      </c>
      <c r="BN859">
        <v>0</v>
      </c>
      <c r="BO859">
        <v>1</v>
      </c>
      <c r="BP859">
        <v>0</v>
      </c>
      <c r="BQ859">
        <v>0</v>
      </c>
      <c r="BR859">
        <v>0</v>
      </c>
    </row>
    <row r="860" spans="1:71" x14ac:dyDescent="0.2">
      <c r="A860" s="1">
        <v>44579.94027777778</v>
      </c>
      <c r="B860" s="1">
        <v>44579.942361111112</v>
      </c>
      <c r="C860">
        <v>1</v>
      </c>
      <c r="D860">
        <v>0</v>
      </c>
      <c r="E860">
        <v>0</v>
      </c>
      <c r="F860">
        <v>0</v>
      </c>
      <c r="H860">
        <v>0</v>
      </c>
      <c r="I860">
        <v>1</v>
      </c>
      <c r="J860">
        <v>1</v>
      </c>
      <c r="K860">
        <v>1</v>
      </c>
      <c r="L860">
        <v>0</v>
      </c>
      <c r="N860" t="s">
        <v>88</v>
      </c>
      <c r="O860" t="s">
        <v>89</v>
      </c>
      <c r="P860">
        <v>0</v>
      </c>
      <c r="Q860">
        <v>0</v>
      </c>
      <c r="R860">
        <v>1</v>
      </c>
      <c r="S860">
        <v>0</v>
      </c>
      <c r="T860">
        <v>0</v>
      </c>
      <c r="U860">
        <v>0</v>
      </c>
      <c r="V860">
        <v>0</v>
      </c>
      <c r="W860">
        <v>0</v>
      </c>
      <c r="X860">
        <v>0</v>
      </c>
      <c r="Y860">
        <v>0</v>
      </c>
      <c r="Z860">
        <v>0</v>
      </c>
      <c r="AA860">
        <v>0</v>
      </c>
      <c r="AM860" t="s">
        <v>83</v>
      </c>
      <c r="AN860" t="s">
        <v>82</v>
      </c>
      <c r="AO860" t="s">
        <v>81</v>
      </c>
      <c r="AP860" t="s">
        <v>81</v>
      </c>
      <c r="AQ860" t="s">
        <v>81</v>
      </c>
      <c r="AR860" t="s">
        <v>83</v>
      </c>
      <c r="AS860" t="s">
        <v>83</v>
      </c>
      <c r="AT860" t="s">
        <v>83</v>
      </c>
      <c r="AU860" t="s">
        <v>88</v>
      </c>
      <c r="AV860" t="s">
        <v>89</v>
      </c>
      <c r="AW860" t="s">
        <v>100</v>
      </c>
      <c r="AX860" t="s">
        <v>118</v>
      </c>
      <c r="AZ860" t="s">
        <v>107</v>
      </c>
      <c r="BA860" t="s">
        <v>87</v>
      </c>
      <c r="BB860" t="s">
        <v>87</v>
      </c>
      <c r="BC860" t="s">
        <v>87</v>
      </c>
      <c r="BD860" t="s">
        <v>87</v>
      </c>
      <c r="BE860" t="s">
        <v>87</v>
      </c>
      <c r="BF860" t="s">
        <v>75</v>
      </c>
      <c r="BG860" t="s">
        <v>76</v>
      </c>
      <c r="BH860" t="s">
        <v>184</v>
      </c>
      <c r="BI860" t="s">
        <v>107</v>
      </c>
      <c r="BJ860" t="s">
        <v>102</v>
      </c>
      <c r="BK860">
        <v>0</v>
      </c>
      <c r="BL860">
        <v>0</v>
      </c>
      <c r="BM860">
        <v>0</v>
      </c>
      <c r="BN860">
        <v>0</v>
      </c>
      <c r="BO860">
        <v>0</v>
      </c>
      <c r="BP860">
        <v>1</v>
      </c>
      <c r="BQ860">
        <v>0</v>
      </c>
      <c r="BR860">
        <v>0</v>
      </c>
    </row>
    <row r="861" spans="1:71" x14ac:dyDescent="0.2">
      <c r="A861" s="1">
        <v>44580.632638888892</v>
      </c>
      <c r="B861" s="1">
        <v>44580.636805555558</v>
      </c>
      <c r="C861">
        <v>1</v>
      </c>
      <c r="D861">
        <v>0</v>
      </c>
      <c r="E861">
        <v>0</v>
      </c>
      <c r="F861">
        <v>0</v>
      </c>
      <c r="H861">
        <v>1</v>
      </c>
      <c r="I861">
        <v>0</v>
      </c>
      <c r="J861">
        <v>0</v>
      </c>
      <c r="K861">
        <v>0</v>
      </c>
      <c r="L861">
        <v>0</v>
      </c>
      <c r="P861">
        <v>1</v>
      </c>
      <c r="Q861">
        <v>0</v>
      </c>
      <c r="R861">
        <v>0</v>
      </c>
      <c r="S861">
        <v>0</v>
      </c>
      <c r="T861">
        <v>0</v>
      </c>
      <c r="U861">
        <v>0</v>
      </c>
      <c r="V861">
        <v>0</v>
      </c>
      <c r="W861">
        <v>0</v>
      </c>
      <c r="X861">
        <v>0</v>
      </c>
      <c r="Y861">
        <v>0</v>
      </c>
      <c r="Z861">
        <v>0</v>
      </c>
      <c r="AA861">
        <v>0</v>
      </c>
      <c r="AC861">
        <v>0</v>
      </c>
      <c r="AD861">
        <v>0</v>
      </c>
      <c r="AE861">
        <v>0</v>
      </c>
      <c r="AF861">
        <v>0</v>
      </c>
      <c r="AG861">
        <v>0</v>
      </c>
      <c r="AH861">
        <v>0</v>
      </c>
      <c r="AI861">
        <v>0</v>
      </c>
      <c r="AJ861">
        <v>0</v>
      </c>
      <c r="AK861">
        <v>1</v>
      </c>
      <c r="AL861" t="s">
        <v>408</v>
      </c>
      <c r="AZ861" t="s">
        <v>107</v>
      </c>
      <c r="BA861" t="s">
        <v>74</v>
      </c>
      <c r="BF861" t="s">
        <v>97</v>
      </c>
      <c r="BG861" t="s">
        <v>92</v>
      </c>
      <c r="BH861" t="s">
        <v>158</v>
      </c>
      <c r="BI861" t="s">
        <v>107</v>
      </c>
      <c r="BJ861" t="s">
        <v>114</v>
      </c>
      <c r="BK861">
        <v>0</v>
      </c>
      <c r="BL861">
        <v>0</v>
      </c>
      <c r="BM861">
        <v>0</v>
      </c>
      <c r="BN861">
        <v>0</v>
      </c>
      <c r="BO861">
        <v>0</v>
      </c>
      <c r="BP861">
        <v>1</v>
      </c>
      <c r="BQ861">
        <v>0</v>
      </c>
      <c r="BR861">
        <v>0</v>
      </c>
    </row>
    <row r="862" spans="1:71" x14ac:dyDescent="0.2">
      <c r="A862" s="1">
        <v>44579.899305555555</v>
      </c>
      <c r="B862" s="1">
        <v>44579.901388888888</v>
      </c>
      <c r="C862">
        <v>0</v>
      </c>
      <c r="D862">
        <v>1</v>
      </c>
      <c r="E862">
        <v>0</v>
      </c>
      <c r="F862">
        <v>0</v>
      </c>
      <c r="H862">
        <v>1</v>
      </c>
      <c r="I862">
        <v>0</v>
      </c>
      <c r="J862">
        <v>0</v>
      </c>
      <c r="K862">
        <v>0</v>
      </c>
      <c r="L862">
        <v>0</v>
      </c>
      <c r="P862">
        <v>0</v>
      </c>
      <c r="Q862">
        <v>1</v>
      </c>
      <c r="R862">
        <v>0</v>
      </c>
      <c r="S862">
        <v>0</v>
      </c>
      <c r="T862">
        <v>0</v>
      </c>
      <c r="U862">
        <v>0</v>
      </c>
      <c r="V862">
        <v>0</v>
      </c>
      <c r="W862">
        <v>0</v>
      </c>
      <c r="X862">
        <v>0</v>
      </c>
      <c r="Y862">
        <v>0</v>
      </c>
      <c r="Z862">
        <v>0</v>
      </c>
      <c r="AA862">
        <v>0</v>
      </c>
      <c r="AM862" t="s">
        <v>82</v>
      </c>
      <c r="AN862" t="s">
        <v>82</v>
      </c>
      <c r="AO862" t="s">
        <v>82</v>
      </c>
      <c r="AP862" t="s">
        <v>82</v>
      </c>
      <c r="AQ862" t="s">
        <v>82</v>
      </c>
      <c r="AR862" t="s">
        <v>83</v>
      </c>
      <c r="AS862" t="s">
        <v>83</v>
      </c>
      <c r="AT862" t="s">
        <v>81</v>
      </c>
      <c r="AU862" t="s">
        <v>88</v>
      </c>
      <c r="AV862" t="s">
        <v>89</v>
      </c>
      <c r="AW862" t="s">
        <v>100</v>
      </c>
      <c r="AZ862" t="s">
        <v>96</v>
      </c>
      <c r="BA862" t="s">
        <v>87</v>
      </c>
      <c r="BB862" t="s">
        <v>87</v>
      </c>
      <c r="BC862" t="s">
        <v>87</v>
      </c>
      <c r="BD862" t="s">
        <v>87</v>
      </c>
      <c r="BE862" t="s">
        <v>87</v>
      </c>
      <c r="BF862" t="s">
        <v>97</v>
      </c>
      <c r="BG862" t="s">
        <v>76</v>
      </c>
      <c r="BH862" t="s">
        <v>98</v>
      </c>
      <c r="BI862" t="s">
        <v>96</v>
      </c>
      <c r="BJ862" t="s">
        <v>154</v>
      </c>
      <c r="BK862">
        <v>1</v>
      </c>
      <c r="BL862">
        <v>0</v>
      </c>
      <c r="BM862">
        <v>0</v>
      </c>
      <c r="BN862">
        <v>0</v>
      </c>
      <c r="BO862">
        <v>0</v>
      </c>
      <c r="BP862">
        <v>0</v>
      </c>
      <c r="BQ862">
        <v>0</v>
      </c>
      <c r="BR862">
        <v>0</v>
      </c>
    </row>
    <row r="863" spans="1:71" x14ac:dyDescent="0.2">
      <c r="A863" s="1">
        <v>44581.574305555558</v>
      </c>
      <c r="B863" s="1">
        <v>44581.576388888891</v>
      </c>
      <c r="C863">
        <v>0</v>
      </c>
      <c r="D863">
        <v>1</v>
      </c>
      <c r="E863">
        <v>0</v>
      </c>
      <c r="F863">
        <v>0</v>
      </c>
      <c r="H863">
        <v>1</v>
      </c>
      <c r="I863">
        <v>0</v>
      </c>
      <c r="J863">
        <v>0</v>
      </c>
      <c r="K863">
        <v>0</v>
      </c>
      <c r="L863">
        <v>0</v>
      </c>
      <c r="P863">
        <v>0</v>
      </c>
      <c r="Q863">
        <v>1</v>
      </c>
      <c r="R863">
        <v>0</v>
      </c>
      <c r="S863">
        <v>0</v>
      </c>
      <c r="T863">
        <v>0</v>
      </c>
      <c r="U863">
        <v>0</v>
      </c>
      <c r="V863">
        <v>0</v>
      </c>
      <c r="W863">
        <v>0</v>
      </c>
      <c r="X863">
        <v>0</v>
      </c>
      <c r="Y863">
        <v>0</v>
      </c>
      <c r="Z863">
        <v>0</v>
      </c>
      <c r="AA863">
        <v>0</v>
      </c>
      <c r="AM863" t="s">
        <v>83</v>
      </c>
      <c r="AN863" t="s">
        <v>82</v>
      </c>
      <c r="AO863" t="s">
        <v>81</v>
      </c>
      <c r="AP863" t="s">
        <v>81</v>
      </c>
      <c r="AQ863" t="s">
        <v>90</v>
      </c>
      <c r="AR863" t="s">
        <v>83</v>
      </c>
      <c r="AS863" t="s">
        <v>90</v>
      </c>
      <c r="AT863" t="s">
        <v>83</v>
      </c>
      <c r="AU863" t="s">
        <v>84</v>
      </c>
      <c r="AV863" t="s">
        <v>142</v>
      </c>
      <c r="AW863" t="s">
        <v>85</v>
      </c>
      <c r="AX863" t="s">
        <v>118</v>
      </c>
      <c r="AZ863" t="s">
        <v>107</v>
      </c>
      <c r="BA863" t="s">
        <v>86</v>
      </c>
      <c r="BB863" t="s">
        <v>86</v>
      </c>
      <c r="BC863" t="s">
        <v>87</v>
      </c>
      <c r="BD863" t="s">
        <v>86</v>
      </c>
      <c r="BE863" t="s">
        <v>87</v>
      </c>
      <c r="BF863" t="s">
        <v>75</v>
      </c>
      <c r="BG863" t="s">
        <v>76</v>
      </c>
      <c r="BH863" t="s">
        <v>77</v>
      </c>
      <c r="BI863" t="s">
        <v>107</v>
      </c>
      <c r="BJ863" t="s">
        <v>114</v>
      </c>
      <c r="BK863">
        <v>1</v>
      </c>
      <c r="BL863">
        <v>0</v>
      </c>
      <c r="BM863">
        <v>0</v>
      </c>
      <c r="BN863">
        <v>0</v>
      </c>
      <c r="BO863">
        <v>0</v>
      </c>
      <c r="BP863">
        <v>0</v>
      </c>
      <c r="BQ863">
        <v>0</v>
      </c>
      <c r="BR863">
        <v>0</v>
      </c>
    </row>
    <row r="864" spans="1:71" x14ac:dyDescent="0.2">
      <c r="A864" s="1">
        <v>44580.633333333331</v>
      </c>
      <c r="B864" s="1">
        <v>44580.635416666664</v>
      </c>
      <c r="C864">
        <v>0</v>
      </c>
      <c r="D864">
        <v>1</v>
      </c>
      <c r="E864">
        <v>0</v>
      </c>
      <c r="F864">
        <v>0</v>
      </c>
      <c r="H864">
        <v>1</v>
      </c>
      <c r="I864">
        <v>0</v>
      </c>
      <c r="J864">
        <v>0</v>
      </c>
      <c r="K864">
        <v>0</v>
      </c>
      <c r="L864">
        <v>0</v>
      </c>
      <c r="P864">
        <v>1</v>
      </c>
      <c r="Q864">
        <v>0</v>
      </c>
      <c r="R864">
        <v>0</v>
      </c>
      <c r="S864">
        <v>0</v>
      </c>
      <c r="T864">
        <v>0</v>
      </c>
      <c r="U864">
        <v>0</v>
      </c>
      <c r="V864">
        <v>0</v>
      </c>
      <c r="W864">
        <v>0</v>
      </c>
      <c r="X864">
        <v>0</v>
      </c>
      <c r="Y864">
        <v>0</v>
      </c>
      <c r="Z864">
        <v>0</v>
      </c>
      <c r="AA864">
        <v>0</v>
      </c>
      <c r="AC864">
        <v>0</v>
      </c>
      <c r="AD864">
        <v>0</v>
      </c>
      <c r="AE864">
        <v>0</v>
      </c>
      <c r="AF864">
        <v>0</v>
      </c>
      <c r="AG864">
        <v>0</v>
      </c>
      <c r="AH864">
        <v>0</v>
      </c>
      <c r="AI864">
        <v>0</v>
      </c>
      <c r="AJ864">
        <v>0</v>
      </c>
      <c r="AK864">
        <v>1</v>
      </c>
      <c r="AL864" t="s">
        <v>409</v>
      </c>
      <c r="AX864" t="s">
        <v>122</v>
      </c>
      <c r="AZ864" t="s">
        <v>107</v>
      </c>
      <c r="BA864" t="s">
        <v>87</v>
      </c>
      <c r="BB864" t="s">
        <v>87</v>
      </c>
      <c r="BC864" t="s">
        <v>87</v>
      </c>
      <c r="BD864" t="s">
        <v>87</v>
      </c>
      <c r="BE864" t="s">
        <v>87</v>
      </c>
      <c r="BF864" t="s">
        <v>75</v>
      </c>
      <c r="BG864" t="s">
        <v>92</v>
      </c>
      <c r="BH864" t="s">
        <v>98</v>
      </c>
      <c r="BI864" t="s">
        <v>107</v>
      </c>
      <c r="BK864">
        <v>0</v>
      </c>
      <c r="BL864">
        <v>0</v>
      </c>
      <c r="BM864">
        <v>0</v>
      </c>
      <c r="BN864">
        <v>0</v>
      </c>
      <c r="BO864">
        <v>1</v>
      </c>
      <c r="BP864">
        <v>0</v>
      </c>
      <c r="BQ864">
        <v>0</v>
      </c>
      <c r="BR864">
        <v>0</v>
      </c>
    </row>
    <row r="865" spans="1:70" x14ac:dyDescent="0.2">
      <c r="A865" s="1">
        <v>44579.899305555555</v>
      </c>
      <c r="B865" s="1">
        <v>44579.900694444441</v>
      </c>
      <c r="C865">
        <v>1</v>
      </c>
      <c r="D865">
        <v>0</v>
      </c>
      <c r="E865">
        <v>0</v>
      </c>
      <c r="F865">
        <v>0</v>
      </c>
      <c r="H865">
        <v>0</v>
      </c>
      <c r="I865">
        <v>1</v>
      </c>
      <c r="J865">
        <v>0</v>
      </c>
      <c r="K865">
        <v>0</v>
      </c>
      <c r="L865">
        <v>0</v>
      </c>
      <c r="N865" t="s">
        <v>88</v>
      </c>
      <c r="O865" t="s">
        <v>89</v>
      </c>
      <c r="P865">
        <v>1</v>
      </c>
      <c r="Q865">
        <v>0</v>
      </c>
      <c r="R865">
        <v>0</v>
      </c>
      <c r="S865">
        <v>0</v>
      </c>
      <c r="T865">
        <v>0</v>
      </c>
      <c r="U865">
        <v>0</v>
      </c>
      <c r="V865">
        <v>0</v>
      </c>
      <c r="W865">
        <v>0</v>
      </c>
      <c r="X865">
        <v>0</v>
      </c>
      <c r="Y865">
        <v>0</v>
      </c>
      <c r="Z865">
        <v>0</v>
      </c>
      <c r="AA865">
        <v>0</v>
      </c>
      <c r="AC865">
        <v>0</v>
      </c>
      <c r="AD865">
        <v>1</v>
      </c>
      <c r="AE865">
        <v>0</v>
      </c>
      <c r="AF865">
        <v>0</v>
      </c>
      <c r="AG865">
        <v>0</v>
      </c>
      <c r="AH865">
        <v>0</v>
      </c>
      <c r="AI865">
        <v>0</v>
      </c>
      <c r="AJ865">
        <v>0</v>
      </c>
      <c r="AK865">
        <v>0</v>
      </c>
      <c r="AZ865" t="s">
        <v>73</v>
      </c>
      <c r="BA865" t="s">
        <v>86</v>
      </c>
      <c r="BB865" t="s">
        <v>74</v>
      </c>
      <c r="BC865" t="s">
        <v>86</v>
      </c>
      <c r="BD865" t="s">
        <v>74</v>
      </c>
      <c r="BE865" t="s">
        <v>74</v>
      </c>
      <c r="BF865" t="s">
        <v>97</v>
      </c>
      <c r="BG865" t="s">
        <v>76</v>
      </c>
      <c r="BH865" t="s">
        <v>98</v>
      </c>
      <c r="BI865" t="s">
        <v>73</v>
      </c>
      <c r="BJ865" t="s">
        <v>78</v>
      </c>
      <c r="BK865">
        <v>1</v>
      </c>
      <c r="BL865">
        <v>0</v>
      </c>
      <c r="BM865">
        <v>0</v>
      </c>
      <c r="BN865">
        <v>0</v>
      </c>
      <c r="BO865">
        <v>0</v>
      </c>
      <c r="BP865">
        <v>0</v>
      </c>
      <c r="BQ865">
        <v>0</v>
      </c>
      <c r="BR865">
        <v>0</v>
      </c>
    </row>
    <row r="866" spans="1:70" x14ac:dyDescent="0.2">
      <c r="A866" s="1">
        <v>44588.877083333333</v>
      </c>
      <c r="B866" s="1">
        <v>44588.879166666666</v>
      </c>
      <c r="C866">
        <v>1</v>
      </c>
      <c r="D866">
        <v>0</v>
      </c>
      <c r="E866">
        <v>0</v>
      </c>
      <c r="F866">
        <v>0</v>
      </c>
      <c r="H866">
        <v>0</v>
      </c>
      <c r="I866">
        <v>1</v>
      </c>
      <c r="J866">
        <v>0</v>
      </c>
      <c r="K866">
        <v>0</v>
      </c>
      <c r="L866">
        <v>0</v>
      </c>
      <c r="N866" t="s">
        <v>135</v>
      </c>
      <c r="O866" t="s">
        <v>80</v>
      </c>
      <c r="P866">
        <v>0</v>
      </c>
      <c r="Q866">
        <v>0</v>
      </c>
      <c r="R866">
        <v>1</v>
      </c>
      <c r="S866">
        <v>0</v>
      </c>
      <c r="T866">
        <v>0</v>
      </c>
      <c r="U866">
        <v>0</v>
      </c>
      <c r="V866">
        <v>0</v>
      </c>
      <c r="W866">
        <v>0</v>
      </c>
      <c r="X866">
        <v>0</v>
      </c>
      <c r="Y866">
        <v>0</v>
      </c>
      <c r="Z866">
        <v>0</v>
      </c>
      <c r="AA866">
        <v>0</v>
      </c>
      <c r="AM866" t="s">
        <v>81</v>
      </c>
      <c r="AN866" t="s">
        <v>82</v>
      </c>
      <c r="AO866" t="s">
        <v>83</v>
      </c>
      <c r="AP866" t="s">
        <v>82</v>
      </c>
      <c r="AQ866" t="s">
        <v>81</v>
      </c>
      <c r="AR866" t="s">
        <v>81</v>
      </c>
      <c r="AS866" t="s">
        <v>83</v>
      </c>
      <c r="AT866" t="s">
        <v>83</v>
      </c>
      <c r="AU866" t="s">
        <v>135</v>
      </c>
      <c r="AV866" t="s">
        <v>80</v>
      </c>
      <c r="AW866" t="s">
        <v>117</v>
      </c>
      <c r="AX866" t="s">
        <v>146</v>
      </c>
      <c r="AZ866" t="s">
        <v>73</v>
      </c>
      <c r="BA866" t="s">
        <v>74</v>
      </c>
      <c r="BF866" t="s">
        <v>75</v>
      </c>
      <c r="BG866" t="s">
        <v>76</v>
      </c>
      <c r="BH866" t="s">
        <v>98</v>
      </c>
      <c r="BI866" t="s">
        <v>73</v>
      </c>
      <c r="BJ866" t="s">
        <v>94</v>
      </c>
      <c r="BK866">
        <v>1</v>
      </c>
      <c r="BL866">
        <v>0</v>
      </c>
      <c r="BM866">
        <v>0</v>
      </c>
      <c r="BN866">
        <v>0</v>
      </c>
      <c r="BO866">
        <v>0</v>
      </c>
      <c r="BP866">
        <v>0</v>
      </c>
      <c r="BQ866">
        <v>0</v>
      </c>
      <c r="BR866">
        <v>0</v>
      </c>
    </row>
    <row r="867" spans="1:70" x14ac:dyDescent="0.2">
      <c r="A867" s="1">
        <v>44585.542361111111</v>
      </c>
      <c r="B867" s="1">
        <v>44585.545138888891</v>
      </c>
      <c r="C867">
        <v>1</v>
      </c>
      <c r="D867">
        <v>0</v>
      </c>
      <c r="E867">
        <v>0</v>
      </c>
      <c r="F867">
        <v>0</v>
      </c>
      <c r="H867">
        <v>0</v>
      </c>
      <c r="I867">
        <v>1</v>
      </c>
      <c r="J867">
        <v>0</v>
      </c>
      <c r="K867">
        <v>0</v>
      </c>
      <c r="L867">
        <v>0</v>
      </c>
      <c r="N867" t="s">
        <v>79</v>
      </c>
      <c r="O867" t="s">
        <v>80</v>
      </c>
      <c r="P867">
        <v>0</v>
      </c>
      <c r="Q867">
        <v>1</v>
      </c>
      <c r="R867">
        <v>0</v>
      </c>
      <c r="S867">
        <v>0</v>
      </c>
      <c r="T867">
        <v>0</v>
      </c>
      <c r="U867">
        <v>0</v>
      </c>
      <c r="V867">
        <v>0</v>
      </c>
      <c r="W867">
        <v>0</v>
      </c>
      <c r="X867">
        <v>0</v>
      </c>
      <c r="Y867">
        <v>0</v>
      </c>
      <c r="Z867">
        <v>0</v>
      </c>
      <c r="AA867">
        <v>0</v>
      </c>
      <c r="AM867" t="s">
        <v>90</v>
      </c>
      <c r="AN867" t="s">
        <v>82</v>
      </c>
      <c r="AO867" t="s">
        <v>81</v>
      </c>
      <c r="AP867" t="s">
        <v>82</v>
      </c>
      <c r="AQ867" t="s">
        <v>90</v>
      </c>
      <c r="AR867" t="s">
        <v>90</v>
      </c>
      <c r="AS867" t="s">
        <v>90</v>
      </c>
      <c r="AT867" t="s">
        <v>83</v>
      </c>
      <c r="AU867" t="s">
        <v>84</v>
      </c>
      <c r="AV867" t="s">
        <v>80</v>
      </c>
      <c r="AW867" t="s">
        <v>100</v>
      </c>
      <c r="AX867" t="s">
        <v>199</v>
      </c>
      <c r="AZ867" t="s">
        <v>107</v>
      </c>
      <c r="BA867" t="s">
        <v>87</v>
      </c>
      <c r="BB867" t="s">
        <v>87</v>
      </c>
      <c r="BC867" t="s">
        <v>87</v>
      </c>
      <c r="BD867" t="s">
        <v>74</v>
      </c>
      <c r="BE867" t="s">
        <v>74</v>
      </c>
      <c r="BF867" t="s">
        <v>75</v>
      </c>
      <c r="BG867" t="s">
        <v>76</v>
      </c>
      <c r="BH867" t="s">
        <v>98</v>
      </c>
      <c r="BI867" t="s">
        <v>107</v>
      </c>
      <c r="BJ867" t="s">
        <v>114</v>
      </c>
      <c r="BK867">
        <v>1</v>
      </c>
      <c r="BL867">
        <v>0</v>
      </c>
      <c r="BM867">
        <v>0</v>
      </c>
      <c r="BN867">
        <v>0</v>
      </c>
      <c r="BO867">
        <v>0</v>
      </c>
      <c r="BP867">
        <v>0</v>
      </c>
      <c r="BQ867">
        <v>0</v>
      </c>
      <c r="BR867">
        <v>0</v>
      </c>
    </row>
    <row r="868" spans="1:70" x14ac:dyDescent="0.2">
      <c r="A868" s="1">
        <v>44580.17291666667</v>
      </c>
      <c r="B868" s="1">
        <v>44580.180555555555</v>
      </c>
      <c r="C868">
        <v>1</v>
      </c>
      <c r="D868">
        <v>0</v>
      </c>
      <c r="E868">
        <v>0</v>
      </c>
      <c r="F868">
        <v>0</v>
      </c>
      <c r="H868">
        <v>0</v>
      </c>
      <c r="I868">
        <v>0</v>
      </c>
      <c r="J868">
        <v>0</v>
      </c>
      <c r="K868">
        <v>0</v>
      </c>
      <c r="L868">
        <v>1</v>
      </c>
      <c r="M868" t="s">
        <v>410</v>
      </c>
      <c r="N868" t="s">
        <v>127</v>
      </c>
      <c r="O868" t="s">
        <v>127</v>
      </c>
      <c r="P868">
        <v>0</v>
      </c>
      <c r="Q868">
        <v>1</v>
      </c>
      <c r="R868">
        <v>0</v>
      </c>
      <c r="S868">
        <v>0</v>
      </c>
      <c r="T868">
        <v>0</v>
      </c>
      <c r="U868">
        <v>0</v>
      </c>
      <c r="V868">
        <v>0</v>
      </c>
      <c r="W868">
        <v>0</v>
      </c>
      <c r="X868">
        <v>0</v>
      </c>
      <c r="Y868">
        <v>0</v>
      </c>
      <c r="Z868">
        <v>0</v>
      </c>
      <c r="AA868">
        <v>0</v>
      </c>
      <c r="AM868" t="s">
        <v>83</v>
      </c>
      <c r="AN868" t="s">
        <v>83</v>
      </c>
      <c r="AO868" t="s">
        <v>81</v>
      </c>
      <c r="AP868" t="s">
        <v>82</v>
      </c>
      <c r="AQ868" t="s">
        <v>83</v>
      </c>
      <c r="AR868" t="s">
        <v>81</v>
      </c>
      <c r="AS868" t="s">
        <v>83</v>
      </c>
      <c r="AT868" t="s">
        <v>81</v>
      </c>
      <c r="AU868" t="s">
        <v>88</v>
      </c>
      <c r="AV868" t="s">
        <v>89</v>
      </c>
      <c r="AW868" t="s">
        <v>100</v>
      </c>
      <c r="AZ868" t="s">
        <v>120</v>
      </c>
      <c r="BA868" t="s">
        <v>86</v>
      </c>
      <c r="BB868" t="s">
        <v>86</v>
      </c>
      <c r="BC868" t="s">
        <v>87</v>
      </c>
      <c r="BD868" t="s">
        <v>86</v>
      </c>
      <c r="BE868" t="s">
        <v>86</v>
      </c>
      <c r="BF868" t="s">
        <v>97</v>
      </c>
      <c r="BG868" t="s">
        <v>76</v>
      </c>
      <c r="BH868" t="s">
        <v>98</v>
      </c>
      <c r="BI868" t="s">
        <v>120</v>
      </c>
      <c r="BJ868" t="s">
        <v>167</v>
      </c>
      <c r="BK868">
        <v>1</v>
      </c>
      <c r="BL868">
        <v>0</v>
      </c>
      <c r="BM868">
        <v>0</v>
      </c>
      <c r="BN868">
        <v>0</v>
      </c>
      <c r="BO868">
        <v>0</v>
      </c>
      <c r="BP868">
        <v>0</v>
      </c>
      <c r="BQ868">
        <v>0</v>
      </c>
      <c r="BR868">
        <v>0</v>
      </c>
    </row>
    <row r="869" spans="1:70" x14ac:dyDescent="0.2">
      <c r="A869" s="1">
        <v>44579.925000000003</v>
      </c>
      <c r="B869" s="1">
        <v>44579.927083333336</v>
      </c>
      <c r="C869">
        <v>1</v>
      </c>
      <c r="D869">
        <v>0</v>
      </c>
      <c r="E869">
        <v>0</v>
      </c>
      <c r="F869">
        <v>0</v>
      </c>
      <c r="H869">
        <v>0</v>
      </c>
      <c r="I869">
        <v>1</v>
      </c>
      <c r="J869">
        <v>1</v>
      </c>
      <c r="K869">
        <v>1</v>
      </c>
      <c r="L869">
        <v>0</v>
      </c>
      <c r="N869" t="s">
        <v>88</v>
      </c>
      <c r="O869" t="s">
        <v>89</v>
      </c>
      <c r="P869">
        <v>0</v>
      </c>
      <c r="Q869">
        <v>0</v>
      </c>
      <c r="R869">
        <v>1</v>
      </c>
      <c r="S869">
        <v>0</v>
      </c>
      <c r="T869">
        <v>0</v>
      </c>
      <c r="U869">
        <v>0</v>
      </c>
      <c r="V869">
        <v>0</v>
      </c>
      <c r="W869">
        <v>0</v>
      </c>
      <c r="X869">
        <v>0</v>
      </c>
      <c r="Y869">
        <v>0</v>
      </c>
      <c r="Z869">
        <v>0</v>
      </c>
      <c r="AA869">
        <v>0</v>
      </c>
      <c r="AM869" t="s">
        <v>83</v>
      </c>
      <c r="AN869" t="s">
        <v>82</v>
      </c>
      <c r="AO869" t="s">
        <v>81</v>
      </c>
      <c r="AP869" t="s">
        <v>81</v>
      </c>
      <c r="AQ869" t="s">
        <v>83</v>
      </c>
      <c r="AR869" t="s">
        <v>81</v>
      </c>
      <c r="AS869" t="s">
        <v>83</v>
      </c>
      <c r="AT869" t="s">
        <v>83</v>
      </c>
      <c r="AU869" t="s">
        <v>88</v>
      </c>
      <c r="AV869" t="s">
        <v>89</v>
      </c>
      <c r="AW869" t="s">
        <v>85</v>
      </c>
      <c r="AX869" t="s">
        <v>146</v>
      </c>
      <c r="AZ869" t="s">
        <v>73</v>
      </c>
      <c r="BA869" t="s">
        <v>87</v>
      </c>
      <c r="BB869" t="s">
        <v>86</v>
      </c>
      <c r="BC869" t="s">
        <v>87</v>
      </c>
      <c r="BD869" t="s">
        <v>87</v>
      </c>
      <c r="BE869" t="s">
        <v>87</v>
      </c>
      <c r="BF869" t="s">
        <v>75</v>
      </c>
      <c r="BG869" t="s">
        <v>76</v>
      </c>
      <c r="BH869" t="s">
        <v>77</v>
      </c>
      <c r="BI869" t="s">
        <v>73</v>
      </c>
      <c r="BJ869" t="s">
        <v>165</v>
      </c>
      <c r="BK869">
        <v>1</v>
      </c>
      <c r="BL869">
        <v>0</v>
      </c>
      <c r="BM869">
        <v>0</v>
      </c>
      <c r="BN869">
        <v>0</v>
      </c>
      <c r="BO869">
        <v>0</v>
      </c>
      <c r="BP869">
        <v>0</v>
      </c>
      <c r="BQ869">
        <v>0</v>
      </c>
      <c r="BR869">
        <v>0</v>
      </c>
    </row>
    <row r="870" spans="1:70" x14ac:dyDescent="0.2">
      <c r="A870" s="1">
        <v>44588.92083333333</v>
      </c>
      <c r="B870" s="1">
        <v>44588.922222222223</v>
      </c>
      <c r="C870">
        <v>0</v>
      </c>
      <c r="D870">
        <v>0</v>
      </c>
      <c r="E870">
        <v>0</v>
      </c>
      <c r="F870">
        <v>1</v>
      </c>
      <c r="P870">
        <v>1</v>
      </c>
      <c r="Q870">
        <v>0</v>
      </c>
      <c r="R870">
        <v>0</v>
      </c>
      <c r="S870">
        <v>0</v>
      </c>
      <c r="T870">
        <v>0</v>
      </c>
      <c r="U870">
        <v>0</v>
      </c>
      <c r="V870">
        <v>0</v>
      </c>
      <c r="W870">
        <v>0</v>
      </c>
      <c r="X870">
        <v>0</v>
      </c>
      <c r="Y870">
        <v>0</v>
      </c>
      <c r="Z870">
        <v>0</v>
      </c>
      <c r="AA870">
        <v>0</v>
      </c>
      <c r="AC870">
        <v>0</v>
      </c>
      <c r="AD870">
        <v>0</v>
      </c>
      <c r="AE870">
        <v>1</v>
      </c>
      <c r="AF870">
        <v>0</v>
      </c>
      <c r="AG870">
        <v>0</v>
      </c>
      <c r="AH870">
        <v>0</v>
      </c>
      <c r="AI870">
        <v>0</v>
      </c>
      <c r="AJ870">
        <v>0</v>
      </c>
      <c r="AK870">
        <v>0</v>
      </c>
      <c r="AZ870" t="s">
        <v>107</v>
      </c>
      <c r="BF870" t="s">
        <v>97</v>
      </c>
      <c r="BG870" t="s">
        <v>76</v>
      </c>
      <c r="BH870" t="s">
        <v>98</v>
      </c>
      <c r="BI870" t="s">
        <v>107</v>
      </c>
      <c r="BJ870" t="s">
        <v>102</v>
      </c>
      <c r="BK870">
        <v>1</v>
      </c>
      <c r="BL870">
        <v>0</v>
      </c>
      <c r="BM870">
        <v>0</v>
      </c>
      <c r="BN870">
        <v>0</v>
      </c>
      <c r="BO870">
        <v>0</v>
      </c>
      <c r="BP870">
        <v>0</v>
      </c>
      <c r="BQ870">
        <v>0</v>
      </c>
      <c r="BR870">
        <v>0</v>
      </c>
    </row>
    <row r="871" spans="1:70" x14ac:dyDescent="0.2">
      <c r="A871" s="1">
        <v>44589.072222222225</v>
      </c>
      <c r="B871" s="1">
        <v>44589.074305555558</v>
      </c>
      <c r="C871">
        <v>1</v>
      </c>
      <c r="D871">
        <v>0</v>
      </c>
      <c r="E871">
        <v>0</v>
      </c>
      <c r="F871">
        <v>0</v>
      </c>
      <c r="H871">
        <v>0</v>
      </c>
      <c r="I871">
        <v>1</v>
      </c>
      <c r="J871">
        <v>1</v>
      </c>
      <c r="K871">
        <v>1</v>
      </c>
      <c r="L871">
        <v>0</v>
      </c>
      <c r="N871" t="s">
        <v>88</v>
      </c>
      <c r="O871" t="s">
        <v>89</v>
      </c>
      <c r="P871">
        <v>0</v>
      </c>
      <c r="Q871">
        <v>1</v>
      </c>
      <c r="R871">
        <v>0</v>
      </c>
      <c r="S871">
        <v>0</v>
      </c>
      <c r="T871">
        <v>0</v>
      </c>
      <c r="U871">
        <v>0</v>
      </c>
      <c r="V871">
        <v>0</v>
      </c>
      <c r="W871">
        <v>0</v>
      </c>
      <c r="X871">
        <v>0</v>
      </c>
      <c r="Y871">
        <v>0</v>
      </c>
      <c r="Z871">
        <v>0</v>
      </c>
      <c r="AA871">
        <v>0</v>
      </c>
      <c r="AM871" t="s">
        <v>83</v>
      </c>
      <c r="AN871" t="s">
        <v>81</v>
      </c>
      <c r="AO871" t="s">
        <v>82</v>
      </c>
      <c r="AP871" t="s">
        <v>81</v>
      </c>
      <c r="AQ871" t="s">
        <v>83</v>
      </c>
      <c r="AR871" t="s">
        <v>83</v>
      </c>
      <c r="AS871" t="s">
        <v>90</v>
      </c>
      <c r="AT871" t="s">
        <v>83</v>
      </c>
      <c r="AU871" t="s">
        <v>88</v>
      </c>
      <c r="AV871" t="s">
        <v>89</v>
      </c>
      <c r="AW871" t="s">
        <v>100</v>
      </c>
      <c r="AX871" t="s">
        <v>128</v>
      </c>
      <c r="AZ871" t="s">
        <v>73</v>
      </c>
      <c r="BA871" t="s">
        <v>74</v>
      </c>
      <c r="BF871" t="s">
        <v>75</v>
      </c>
      <c r="BG871" t="s">
        <v>76</v>
      </c>
      <c r="BH871" t="s">
        <v>93</v>
      </c>
      <c r="BI871" t="s">
        <v>73</v>
      </c>
      <c r="BJ871" t="s">
        <v>94</v>
      </c>
      <c r="BK871">
        <v>0</v>
      </c>
      <c r="BL871">
        <v>0</v>
      </c>
      <c r="BM871">
        <v>0</v>
      </c>
      <c r="BN871">
        <v>0</v>
      </c>
      <c r="BO871">
        <v>0</v>
      </c>
      <c r="BP871">
        <v>1</v>
      </c>
      <c r="BQ871">
        <v>0</v>
      </c>
      <c r="BR871">
        <v>0</v>
      </c>
    </row>
    <row r="872" spans="1:70" x14ac:dyDescent="0.2">
      <c r="A872" s="1">
        <v>44580.021527777775</v>
      </c>
      <c r="B872" s="1">
        <v>44580.023611111108</v>
      </c>
      <c r="C872">
        <v>1</v>
      </c>
      <c r="D872">
        <v>0</v>
      </c>
      <c r="E872">
        <v>0</v>
      </c>
      <c r="F872">
        <v>0</v>
      </c>
      <c r="H872">
        <v>0</v>
      </c>
      <c r="I872">
        <v>1</v>
      </c>
      <c r="J872">
        <v>0</v>
      </c>
      <c r="K872">
        <v>0</v>
      </c>
      <c r="L872">
        <v>0</v>
      </c>
      <c r="N872" t="s">
        <v>88</v>
      </c>
      <c r="O872" t="s">
        <v>89</v>
      </c>
      <c r="P872">
        <v>1</v>
      </c>
      <c r="Q872">
        <v>0</v>
      </c>
      <c r="R872">
        <v>0</v>
      </c>
      <c r="S872">
        <v>0</v>
      </c>
      <c r="T872">
        <v>0</v>
      </c>
      <c r="U872">
        <v>0</v>
      </c>
      <c r="V872">
        <v>0</v>
      </c>
      <c r="W872">
        <v>0</v>
      </c>
      <c r="X872">
        <v>0</v>
      </c>
      <c r="Y872">
        <v>0</v>
      </c>
      <c r="Z872">
        <v>0</v>
      </c>
      <c r="AA872">
        <v>0</v>
      </c>
      <c r="AC872">
        <v>0</v>
      </c>
      <c r="AD872">
        <v>1</v>
      </c>
      <c r="AE872">
        <v>0</v>
      </c>
      <c r="AF872">
        <v>0</v>
      </c>
      <c r="AG872">
        <v>0</v>
      </c>
      <c r="AH872">
        <v>0</v>
      </c>
      <c r="AI872">
        <v>0</v>
      </c>
      <c r="AJ872">
        <v>0</v>
      </c>
      <c r="AK872">
        <v>0</v>
      </c>
      <c r="AX872" t="s">
        <v>236</v>
      </c>
      <c r="AZ872" t="s">
        <v>107</v>
      </c>
      <c r="BA872" t="s">
        <v>86</v>
      </c>
      <c r="BB872" t="s">
        <v>86</v>
      </c>
      <c r="BC872" t="s">
        <v>87</v>
      </c>
      <c r="BD872" t="s">
        <v>74</v>
      </c>
      <c r="BE872" t="s">
        <v>86</v>
      </c>
      <c r="BF872" t="s">
        <v>108</v>
      </c>
      <c r="BG872" t="s">
        <v>76</v>
      </c>
      <c r="BH872" t="s">
        <v>98</v>
      </c>
      <c r="BI872" t="s">
        <v>107</v>
      </c>
      <c r="BJ872" t="s">
        <v>102</v>
      </c>
      <c r="BK872">
        <v>1</v>
      </c>
      <c r="BL872">
        <v>0</v>
      </c>
      <c r="BM872">
        <v>0</v>
      </c>
      <c r="BN872">
        <v>0</v>
      </c>
      <c r="BO872">
        <v>0</v>
      </c>
      <c r="BP872">
        <v>0</v>
      </c>
      <c r="BQ872">
        <v>0</v>
      </c>
      <c r="BR872">
        <v>0</v>
      </c>
    </row>
    <row r="873" spans="1:70" x14ac:dyDescent="0.2">
      <c r="A873" s="1">
        <v>44581.199305555558</v>
      </c>
      <c r="B873" s="1">
        <v>44581.20208333333</v>
      </c>
      <c r="C873">
        <v>0</v>
      </c>
      <c r="D873">
        <v>1</v>
      </c>
      <c r="E873">
        <v>0</v>
      </c>
      <c r="F873">
        <v>0</v>
      </c>
      <c r="H873">
        <v>0</v>
      </c>
      <c r="I873">
        <v>1</v>
      </c>
      <c r="J873">
        <v>1</v>
      </c>
      <c r="K873">
        <v>0</v>
      </c>
      <c r="L873">
        <v>0</v>
      </c>
      <c r="N873" t="s">
        <v>135</v>
      </c>
      <c r="O873" t="s">
        <v>89</v>
      </c>
      <c r="P873">
        <v>0</v>
      </c>
      <c r="Q873">
        <v>1</v>
      </c>
      <c r="R873">
        <v>0</v>
      </c>
      <c r="S873">
        <v>0</v>
      </c>
      <c r="T873">
        <v>0</v>
      </c>
      <c r="U873">
        <v>0</v>
      </c>
      <c r="V873">
        <v>0</v>
      </c>
      <c r="W873">
        <v>0</v>
      </c>
      <c r="X873">
        <v>0</v>
      </c>
      <c r="Y873">
        <v>0</v>
      </c>
      <c r="Z873">
        <v>0</v>
      </c>
      <c r="AA873">
        <v>0</v>
      </c>
      <c r="AM873" t="s">
        <v>90</v>
      </c>
      <c r="AN873" t="s">
        <v>82</v>
      </c>
      <c r="AO873" t="s">
        <v>90</v>
      </c>
      <c r="AP873" t="s">
        <v>82</v>
      </c>
      <c r="AQ873" t="s">
        <v>90</v>
      </c>
      <c r="AR873" t="s">
        <v>90</v>
      </c>
      <c r="AS873" t="s">
        <v>90</v>
      </c>
      <c r="AT873" t="s">
        <v>90</v>
      </c>
      <c r="AU873" t="s">
        <v>135</v>
      </c>
      <c r="AV873" t="s">
        <v>89</v>
      </c>
      <c r="AW873" t="s">
        <v>85</v>
      </c>
      <c r="AX873" t="s">
        <v>91</v>
      </c>
      <c r="AZ873" t="s">
        <v>107</v>
      </c>
      <c r="BA873" t="s">
        <v>86</v>
      </c>
      <c r="BB873" t="s">
        <v>74</v>
      </c>
      <c r="BC873" t="s">
        <v>87</v>
      </c>
      <c r="BD873" t="s">
        <v>74</v>
      </c>
      <c r="BE873" t="s">
        <v>86</v>
      </c>
      <c r="BF873" t="s">
        <v>75</v>
      </c>
      <c r="BG873" t="s">
        <v>76</v>
      </c>
      <c r="BH873" t="s">
        <v>77</v>
      </c>
      <c r="BI873" t="s">
        <v>107</v>
      </c>
      <c r="BJ873" t="s">
        <v>78</v>
      </c>
      <c r="BK873">
        <v>0</v>
      </c>
      <c r="BL873">
        <v>0</v>
      </c>
      <c r="BM873">
        <v>0</v>
      </c>
      <c r="BN873">
        <v>1</v>
      </c>
      <c r="BO873">
        <v>0</v>
      </c>
      <c r="BP873">
        <v>0</v>
      </c>
      <c r="BQ873">
        <v>0</v>
      </c>
      <c r="BR873">
        <v>0</v>
      </c>
    </row>
    <row r="874" spans="1:70" x14ac:dyDescent="0.2">
      <c r="A874" s="1">
        <v>44585.729166666664</v>
      </c>
      <c r="B874" s="1">
        <v>44585.730555555558</v>
      </c>
      <c r="C874">
        <v>1</v>
      </c>
      <c r="D874">
        <v>0</v>
      </c>
      <c r="E874">
        <v>0</v>
      </c>
      <c r="F874">
        <v>0</v>
      </c>
      <c r="H874">
        <v>0</v>
      </c>
      <c r="I874">
        <v>1</v>
      </c>
      <c r="J874">
        <v>1</v>
      </c>
      <c r="K874">
        <v>0</v>
      </c>
      <c r="L874">
        <v>0</v>
      </c>
      <c r="N874" t="s">
        <v>135</v>
      </c>
      <c r="O874" t="s">
        <v>127</v>
      </c>
      <c r="P874">
        <v>0</v>
      </c>
      <c r="Q874">
        <v>0</v>
      </c>
      <c r="R874">
        <v>1</v>
      </c>
      <c r="S874">
        <v>0</v>
      </c>
      <c r="T874">
        <v>0</v>
      </c>
      <c r="U874">
        <v>0</v>
      </c>
      <c r="V874">
        <v>0</v>
      </c>
      <c r="W874">
        <v>0</v>
      </c>
      <c r="X874">
        <v>0</v>
      </c>
      <c r="Y874">
        <v>0</v>
      </c>
      <c r="Z874">
        <v>0</v>
      </c>
      <c r="AA874">
        <v>0</v>
      </c>
      <c r="AM874" t="s">
        <v>83</v>
      </c>
      <c r="AN874" t="s">
        <v>82</v>
      </c>
      <c r="AO874" t="s">
        <v>83</v>
      </c>
      <c r="AP874" t="s">
        <v>83</v>
      </c>
      <c r="AQ874" t="s">
        <v>82</v>
      </c>
      <c r="AR874" t="s">
        <v>83</v>
      </c>
      <c r="AS874" t="s">
        <v>82</v>
      </c>
      <c r="AT874" t="s">
        <v>83</v>
      </c>
      <c r="AU874" t="s">
        <v>135</v>
      </c>
      <c r="AV874" t="s">
        <v>127</v>
      </c>
      <c r="AW874" t="s">
        <v>153</v>
      </c>
      <c r="AX874" t="s">
        <v>146</v>
      </c>
      <c r="AZ874" t="s">
        <v>73</v>
      </c>
      <c r="BA874" t="s">
        <v>74</v>
      </c>
      <c r="BF874" t="s">
        <v>75</v>
      </c>
      <c r="BG874" t="s">
        <v>76</v>
      </c>
      <c r="BH874" t="s">
        <v>77</v>
      </c>
      <c r="BI874" t="s">
        <v>73</v>
      </c>
      <c r="BJ874" t="s">
        <v>109</v>
      </c>
      <c r="BK874">
        <v>0</v>
      </c>
      <c r="BL874">
        <v>0</v>
      </c>
      <c r="BM874">
        <v>0</v>
      </c>
      <c r="BN874">
        <v>1</v>
      </c>
      <c r="BO874">
        <v>0</v>
      </c>
      <c r="BP874">
        <v>0</v>
      </c>
      <c r="BQ874">
        <v>0</v>
      </c>
      <c r="BR874">
        <v>0</v>
      </c>
    </row>
    <row r="875" spans="1:70" x14ac:dyDescent="0.2">
      <c r="A875" s="1">
        <v>44581.173611111109</v>
      </c>
      <c r="B875" s="1">
        <v>44581.177777777775</v>
      </c>
      <c r="C875">
        <v>0</v>
      </c>
      <c r="D875">
        <v>1</v>
      </c>
      <c r="E875">
        <v>0</v>
      </c>
      <c r="F875">
        <v>0</v>
      </c>
      <c r="H875">
        <v>1</v>
      </c>
      <c r="I875">
        <v>0</v>
      </c>
      <c r="J875">
        <v>0</v>
      </c>
      <c r="K875">
        <v>0</v>
      </c>
      <c r="L875">
        <v>0</v>
      </c>
      <c r="P875">
        <v>1</v>
      </c>
      <c r="Q875">
        <v>0</v>
      </c>
      <c r="R875">
        <v>0</v>
      </c>
      <c r="S875">
        <v>0</v>
      </c>
      <c r="T875">
        <v>0</v>
      </c>
      <c r="U875">
        <v>0</v>
      </c>
      <c r="V875">
        <v>0</v>
      </c>
      <c r="W875">
        <v>0</v>
      </c>
      <c r="X875">
        <v>0</v>
      </c>
      <c r="Y875">
        <v>0</v>
      </c>
      <c r="Z875">
        <v>0</v>
      </c>
      <c r="AA875">
        <v>0</v>
      </c>
      <c r="AC875">
        <v>0</v>
      </c>
      <c r="AD875">
        <v>0</v>
      </c>
      <c r="AE875">
        <v>1</v>
      </c>
      <c r="AF875">
        <v>0</v>
      </c>
      <c r="AG875">
        <v>0</v>
      </c>
      <c r="AH875">
        <v>0</v>
      </c>
      <c r="AI875">
        <v>0</v>
      </c>
      <c r="AJ875">
        <v>0</v>
      </c>
      <c r="AK875">
        <v>0</v>
      </c>
      <c r="AX875" t="s">
        <v>269</v>
      </c>
      <c r="AZ875" t="s">
        <v>107</v>
      </c>
      <c r="BA875" t="s">
        <v>87</v>
      </c>
      <c r="BB875" t="s">
        <v>87</v>
      </c>
      <c r="BC875" t="s">
        <v>86</v>
      </c>
      <c r="BD875" t="s">
        <v>87</v>
      </c>
      <c r="BE875" t="s">
        <v>87</v>
      </c>
      <c r="BF875" t="s">
        <v>75</v>
      </c>
      <c r="BG875" t="s">
        <v>76</v>
      </c>
      <c r="BH875" t="s">
        <v>98</v>
      </c>
      <c r="BI875" t="s">
        <v>107</v>
      </c>
      <c r="BJ875" t="s">
        <v>154</v>
      </c>
      <c r="BK875">
        <v>1</v>
      </c>
      <c r="BL875">
        <v>0</v>
      </c>
      <c r="BM875">
        <v>0</v>
      </c>
      <c r="BN875">
        <v>0</v>
      </c>
      <c r="BO875">
        <v>0</v>
      </c>
      <c r="BP875">
        <v>0</v>
      </c>
      <c r="BQ875">
        <v>0</v>
      </c>
      <c r="BR875">
        <v>0</v>
      </c>
    </row>
    <row r="876" spans="1:70" x14ac:dyDescent="0.2">
      <c r="A876" s="1">
        <v>44580.038888888892</v>
      </c>
      <c r="B876" s="1">
        <v>44580.045138888891</v>
      </c>
      <c r="C876">
        <v>0</v>
      </c>
      <c r="D876">
        <v>1</v>
      </c>
      <c r="E876">
        <v>0</v>
      </c>
      <c r="F876">
        <v>0</v>
      </c>
      <c r="H876">
        <v>1</v>
      </c>
      <c r="I876">
        <v>0</v>
      </c>
      <c r="J876">
        <v>0</v>
      </c>
      <c r="K876">
        <v>0</v>
      </c>
      <c r="L876">
        <v>0</v>
      </c>
      <c r="P876">
        <v>1</v>
      </c>
      <c r="Q876">
        <v>0</v>
      </c>
      <c r="R876">
        <v>0</v>
      </c>
      <c r="S876">
        <v>0</v>
      </c>
      <c r="T876">
        <v>0</v>
      </c>
      <c r="U876">
        <v>0</v>
      </c>
      <c r="V876">
        <v>0</v>
      </c>
      <c r="W876">
        <v>0</v>
      </c>
      <c r="X876">
        <v>0</v>
      </c>
      <c r="Y876">
        <v>0</v>
      </c>
      <c r="Z876">
        <v>0</v>
      </c>
      <c r="AA876">
        <v>0</v>
      </c>
      <c r="AC876">
        <v>0</v>
      </c>
      <c r="AD876">
        <v>0</v>
      </c>
      <c r="AE876">
        <v>0</v>
      </c>
      <c r="AF876">
        <v>0</v>
      </c>
      <c r="AG876">
        <v>1</v>
      </c>
      <c r="AH876">
        <v>0</v>
      </c>
      <c r="AI876">
        <v>0</v>
      </c>
      <c r="AJ876">
        <v>0</v>
      </c>
      <c r="AK876">
        <v>1</v>
      </c>
      <c r="AL876" t="s">
        <v>411</v>
      </c>
      <c r="AZ876" t="s">
        <v>96</v>
      </c>
      <c r="BA876" t="s">
        <v>74</v>
      </c>
      <c r="BF876" t="s">
        <v>97</v>
      </c>
      <c r="BG876" t="s">
        <v>76</v>
      </c>
      <c r="BH876" t="s">
        <v>98</v>
      </c>
      <c r="BI876" t="s">
        <v>96</v>
      </c>
      <c r="BJ876" t="s">
        <v>109</v>
      </c>
      <c r="BK876">
        <v>1</v>
      </c>
      <c r="BL876">
        <v>0</v>
      </c>
      <c r="BM876">
        <v>0</v>
      </c>
      <c r="BN876">
        <v>0</v>
      </c>
      <c r="BO876">
        <v>0</v>
      </c>
      <c r="BP876">
        <v>0</v>
      </c>
      <c r="BQ876">
        <v>0</v>
      </c>
      <c r="BR876">
        <v>0</v>
      </c>
    </row>
    <row r="877" spans="1:70" x14ac:dyDescent="0.2">
      <c r="A877" s="1">
        <v>44589.222916666666</v>
      </c>
      <c r="B877" s="1">
        <v>44589.232638888891</v>
      </c>
      <c r="C877">
        <v>0</v>
      </c>
      <c r="D877">
        <v>1</v>
      </c>
      <c r="E877">
        <v>0</v>
      </c>
      <c r="F877">
        <v>0</v>
      </c>
      <c r="H877">
        <v>1</v>
      </c>
      <c r="I877">
        <v>0</v>
      </c>
      <c r="J877">
        <v>0</v>
      </c>
      <c r="K877">
        <v>0</v>
      </c>
      <c r="L877">
        <v>0</v>
      </c>
      <c r="P877">
        <v>1</v>
      </c>
      <c r="Q877">
        <v>0</v>
      </c>
      <c r="R877">
        <v>0</v>
      </c>
      <c r="S877">
        <v>0</v>
      </c>
      <c r="T877">
        <v>0</v>
      </c>
      <c r="U877">
        <v>0</v>
      </c>
      <c r="V877">
        <v>0</v>
      </c>
      <c r="W877">
        <v>0</v>
      </c>
      <c r="X877">
        <v>0</v>
      </c>
      <c r="Y877">
        <v>0</v>
      </c>
      <c r="Z877">
        <v>0</v>
      </c>
      <c r="AA877">
        <v>0</v>
      </c>
      <c r="AC877">
        <v>0</v>
      </c>
      <c r="AD877">
        <v>0</v>
      </c>
      <c r="AE877">
        <v>1</v>
      </c>
      <c r="AF877">
        <v>0</v>
      </c>
      <c r="AG877">
        <v>0</v>
      </c>
      <c r="AH877">
        <v>1</v>
      </c>
      <c r="AI877">
        <v>0</v>
      </c>
      <c r="AJ877">
        <v>0</v>
      </c>
      <c r="AK877">
        <v>0</v>
      </c>
      <c r="AX877" t="s">
        <v>269</v>
      </c>
      <c r="AZ877" t="s">
        <v>96</v>
      </c>
      <c r="BA877" t="s">
        <v>86</v>
      </c>
      <c r="BB877" t="s">
        <v>87</v>
      </c>
      <c r="BC877" t="s">
        <v>74</v>
      </c>
      <c r="BD877" t="s">
        <v>74</v>
      </c>
      <c r="BE877" t="s">
        <v>87</v>
      </c>
      <c r="BF877" t="s">
        <v>108</v>
      </c>
      <c r="BG877" t="s">
        <v>76</v>
      </c>
      <c r="BH877" t="s">
        <v>77</v>
      </c>
      <c r="BI877" t="s">
        <v>96</v>
      </c>
      <c r="BJ877" t="s">
        <v>78</v>
      </c>
      <c r="BK877">
        <v>1</v>
      </c>
      <c r="BL877">
        <v>0</v>
      </c>
      <c r="BM877">
        <v>0</v>
      </c>
      <c r="BN877">
        <v>0</v>
      </c>
      <c r="BO877">
        <v>0</v>
      </c>
      <c r="BP877">
        <v>0</v>
      </c>
      <c r="BQ877">
        <v>0</v>
      </c>
      <c r="BR877">
        <v>0</v>
      </c>
    </row>
    <row r="878" spans="1:70" ht="48" x14ac:dyDescent="0.2">
      <c r="A878" s="1">
        <v>44585.633333333331</v>
      </c>
      <c r="B878" s="1">
        <v>44585.635416666664</v>
      </c>
      <c r="C878">
        <v>1</v>
      </c>
      <c r="D878">
        <v>0</v>
      </c>
      <c r="E878">
        <v>0</v>
      </c>
      <c r="F878">
        <v>0</v>
      </c>
      <c r="H878">
        <v>1</v>
      </c>
      <c r="I878">
        <v>0</v>
      </c>
      <c r="J878">
        <v>0</v>
      </c>
      <c r="K878">
        <v>0</v>
      </c>
      <c r="L878">
        <v>0</v>
      </c>
      <c r="P878">
        <v>1</v>
      </c>
      <c r="Q878">
        <v>0</v>
      </c>
      <c r="R878">
        <v>0</v>
      </c>
      <c r="S878">
        <v>0</v>
      </c>
      <c r="T878">
        <v>0</v>
      </c>
      <c r="U878">
        <v>0</v>
      </c>
      <c r="V878">
        <v>0</v>
      </c>
      <c r="W878">
        <v>0</v>
      </c>
      <c r="X878">
        <v>0</v>
      </c>
      <c r="Y878">
        <v>0</v>
      </c>
      <c r="Z878">
        <v>0</v>
      </c>
      <c r="AA878">
        <v>0</v>
      </c>
      <c r="AC878">
        <v>0</v>
      </c>
      <c r="AD878">
        <v>0</v>
      </c>
      <c r="AE878">
        <v>0</v>
      </c>
      <c r="AF878">
        <v>0</v>
      </c>
      <c r="AG878">
        <v>0</v>
      </c>
      <c r="AH878">
        <v>0</v>
      </c>
      <c r="AI878">
        <v>0</v>
      </c>
      <c r="AJ878">
        <v>0</v>
      </c>
      <c r="AK878">
        <v>1</v>
      </c>
      <c r="AL878" s="2" t="s">
        <v>412</v>
      </c>
      <c r="AX878" t="s">
        <v>91</v>
      </c>
      <c r="AZ878" t="s">
        <v>73</v>
      </c>
      <c r="BA878" t="s">
        <v>86</v>
      </c>
      <c r="BB878" t="s">
        <v>86</v>
      </c>
      <c r="BC878" t="s">
        <v>74</v>
      </c>
      <c r="BD878" t="s">
        <v>87</v>
      </c>
      <c r="BE878" t="s">
        <v>74</v>
      </c>
      <c r="BF878" t="s">
        <v>75</v>
      </c>
      <c r="BG878" t="s">
        <v>92</v>
      </c>
      <c r="BH878" t="s">
        <v>77</v>
      </c>
      <c r="BI878" t="s">
        <v>73</v>
      </c>
      <c r="BJ878" t="s">
        <v>176</v>
      </c>
      <c r="BK878">
        <v>0</v>
      </c>
      <c r="BL878">
        <v>0</v>
      </c>
      <c r="BM878">
        <v>0</v>
      </c>
      <c r="BN878">
        <v>1</v>
      </c>
      <c r="BO878">
        <v>0</v>
      </c>
      <c r="BP878">
        <v>0</v>
      </c>
      <c r="BQ878">
        <v>0</v>
      </c>
      <c r="BR878">
        <v>0</v>
      </c>
    </row>
    <row r="879" spans="1:70" x14ac:dyDescent="0.2">
      <c r="A879" s="1">
        <v>44590.78402777778</v>
      </c>
      <c r="B879" s="1">
        <v>44590.786111111112</v>
      </c>
      <c r="C879">
        <v>0</v>
      </c>
      <c r="D879">
        <v>1</v>
      </c>
      <c r="E879">
        <v>0</v>
      </c>
      <c r="F879">
        <v>0</v>
      </c>
      <c r="H879">
        <v>1</v>
      </c>
      <c r="I879">
        <v>0</v>
      </c>
      <c r="J879">
        <v>0</v>
      </c>
      <c r="K879">
        <v>0</v>
      </c>
      <c r="L879">
        <v>0</v>
      </c>
      <c r="P879">
        <v>1</v>
      </c>
      <c r="Q879">
        <v>0</v>
      </c>
      <c r="R879">
        <v>0</v>
      </c>
      <c r="S879">
        <v>0</v>
      </c>
      <c r="T879">
        <v>0</v>
      </c>
      <c r="U879">
        <v>0</v>
      </c>
      <c r="V879">
        <v>0</v>
      </c>
      <c r="W879">
        <v>0</v>
      </c>
      <c r="X879">
        <v>0</v>
      </c>
      <c r="Y879">
        <v>0</v>
      </c>
      <c r="Z879">
        <v>0</v>
      </c>
      <c r="AA879">
        <v>0</v>
      </c>
      <c r="AC879">
        <v>0</v>
      </c>
      <c r="AD879">
        <v>0</v>
      </c>
      <c r="AE879">
        <v>1</v>
      </c>
      <c r="AF879">
        <v>0</v>
      </c>
      <c r="AG879">
        <v>0</v>
      </c>
      <c r="AH879">
        <v>0</v>
      </c>
      <c r="AI879">
        <v>0</v>
      </c>
      <c r="AJ879">
        <v>0</v>
      </c>
      <c r="AK879">
        <v>0</v>
      </c>
      <c r="AZ879" t="s">
        <v>96</v>
      </c>
      <c r="BA879" t="s">
        <v>74</v>
      </c>
      <c r="BF879" t="s">
        <v>97</v>
      </c>
      <c r="BG879" t="s">
        <v>76</v>
      </c>
      <c r="BH879" t="s">
        <v>98</v>
      </c>
      <c r="BI879" t="s">
        <v>96</v>
      </c>
      <c r="BJ879" t="s">
        <v>114</v>
      </c>
      <c r="BK879">
        <v>1</v>
      </c>
      <c r="BL879">
        <v>0</v>
      </c>
      <c r="BM879">
        <v>0</v>
      </c>
      <c r="BN879">
        <v>0</v>
      </c>
      <c r="BO879">
        <v>0</v>
      </c>
      <c r="BP879">
        <v>0</v>
      </c>
      <c r="BQ879">
        <v>0</v>
      </c>
      <c r="BR879">
        <v>0</v>
      </c>
    </row>
    <row r="880" spans="1:70" x14ac:dyDescent="0.2">
      <c r="A880" s="1">
        <v>44586.428472222222</v>
      </c>
      <c r="B880" s="1">
        <v>44586.431250000001</v>
      </c>
      <c r="C880">
        <v>1</v>
      </c>
      <c r="D880">
        <v>0</v>
      </c>
      <c r="E880">
        <v>0</v>
      </c>
      <c r="F880">
        <v>0</v>
      </c>
      <c r="H880">
        <v>0</v>
      </c>
      <c r="I880">
        <v>1</v>
      </c>
      <c r="J880">
        <v>0</v>
      </c>
      <c r="K880">
        <v>0</v>
      </c>
      <c r="L880">
        <v>0</v>
      </c>
      <c r="N880" t="s">
        <v>88</v>
      </c>
      <c r="O880" t="s">
        <v>89</v>
      </c>
      <c r="P880">
        <v>0</v>
      </c>
      <c r="Q880">
        <v>0</v>
      </c>
      <c r="R880">
        <v>1</v>
      </c>
      <c r="S880">
        <v>0</v>
      </c>
      <c r="T880">
        <v>0</v>
      </c>
      <c r="U880">
        <v>0</v>
      </c>
      <c r="V880">
        <v>0</v>
      </c>
      <c r="W880">
        <v>0</v>
      </c>
      <c r="X880">
        <v>0</v>
      </c>
      <c r="Y880">
        <v>0</v>
      </c>
      <c r="Z880">
        <v>0</v>
      </c>
      <c r="AA880">
        <v>0</v>
      </c>
      <c r="AM880" t="s">
        <v>81</v>
      </c>
      <c r="AN880" t="s">
        <v>81</v>
      </c>
      <c r="AO880" t="s">
        <v>83</v>
      </c>
      <c r="AP880" t="s">
        <v>83</v>
      </c>
      <c r="AQ880" t="s">
        <v>82</v>
      </c>
      <c r="AR880" t="s">
        <v>83</v>
      </c>
      <c r="AS880" t="s">
        <v>82</v>
      </c>
      <c r="AT880" t="s">
        <v>83</v>
      </c>
      <c r="AU880" t="s">
        <v>88</v>
      </c>
      <c r="AV880" t="s">
        <v>89</v>
      </c>
      <c r="AW880" t="s">
        <v>85</v>
      </c>
      <c r="AX880" t="s">
        <v>122</v>
      </c>
      <c r="AZ880" t="s">
        <v>107</v>
      </c>
      <c r="BA880" t="s">
        <v>86</v>
      </c>
      <c r="BB880" t="s">
        <v>74</v>
      </c>
      <c r="BC880" t="s">
        <v>87</v>
      </c>
      <c r="BD880" t="s">
        <v>74</v>
      </c>
      <c r="BE880" t="s">
        <v>74</v>
      </c>
      <c r="BF880" t="s">
        <v>108</v>
      </c>
      <c r="BG880" t="s">
        <v>76</v>
      </c>
      <c r="BH880" t="s">
        <v>98</v>
      </c>
      <c r="BI880" t="s">
        <v>107</v>
      </c>
      <c r="BJ880" t="s">
        <v>114</v>
      </c>
      <c r="BK880">
        <v>0</v>
      </c>
      <c r="BL880">
        <v>0</v>
      </c>
      <c r="BM880">
        <v>0</v>
      </c>
      <c r="BN880">
        <v>0</v>
      </c>
      <c r="BO880">
        <v>0</v>
      </c>
      <c r="BP880">
        <v>1</v>
      </c>
      <c r="BQ880">
        <v>0</v>
      </c>
      <c r="BR880">
        <v>0</v>
      </c>
    </row>
    <row r="881" spans="1:70" x14ac:dyDescent="0.2">
      <c r="A881" s="1">
        <v>44580.693749999999</v>
      </c>
      <c r="B881" s="1">
        <v>44580.696527777778</v>
      </c>
      <c r="C881">
        <v>1</v>
      </c>
      <c r="D881">
        <v>0</v>
      </c>
      <c r="E881">
        <v>0</v>
      </c>
      <c r="F881">
        <v>0</v>
      </c>
      <c r="H881">
        <v>1</v>
      </c>
      <c r="I881">
        <v>0</v>
      </c>
      <c r="J881">
        <v>0</v>
      </c>
      <c r="K881">
        <v>0</v>
      </c>
      <c r="L881">
        <v>0</v>
      </c>
      <c r="P881">
        <v>1</v>
      </c>
      <c r="Q881">
        <v>0</v>
      </c>
      <c r="R881">
        <v>0</v>
      </c>
      <c r="S881">
        <v>0</v>
      </c>
      <c r="T881">
        <v>0</v>
      </c>
      <c r="U881">
        <v>0</v>
      </c>
      <c r="V881">
        <v>0</v>
      </c>
      <c r="W881">
        <v>0</v>
      </c>
      <c r="X881">
        <v>0</v>
      </c>
      <c r="Y881">
        <v>0</v>
      </c>
      <c r="Z881">
        <v>0</v>
      </c>
      <c r="AA881">
        <v>0</v>
      </c>
      <c r="AC881">
        <v>1</v>
      </c>
      <c r="AD881">
        <v>0</v>
      </c>
      <c r="AE881">
        <v>0</v>
      </c>
      <c r="AF881">
        <v>0</v>
      </c>
      <c r="AG881">
        <v>0</v>
      </c>
      <c r="AH881">
        <v>0</v>
      </c>
      <c r="AI881">
        <v>0</v>
      </c>
      <c r="AJ881">
        <v>0</v>
      </c>
      <c r="AK881">
        <v>0</v>
      </c>
      <c r="AX881" t="s">
        <v>110</v>
      </c>
      <c r="AY881" t="s">
        <v>413</v>
      </c>
      <c r="AZ881" t="s">
        <v>107</v>
      </c>
      <c r="BA881" t="s">
        <v>74</v>
      </c>
      <c r="BF881" t="s">
        <v>75</v>
      </c>
      <c r="BG881" t="s">
        <v>76</v>
      </c>
      <c r="BH881" t="s">
        <v>98</v>
      </c>
      <c r="BI881" t="s">
        <v>107</v>
      </c>
      <c r="BJ881" t="s">
        <v>94</v>
      </c>
      <c r="BK881">
        <v>0</v>
      </c>
      <c r="BL881">
        <v>0</v>
      </c>
      <c r="BM881">
        <v>0</v>
      </c>
      <c r="BN881">
        <v>0</v>
      </c>
      <c r="BO881">
        <v>0</v>
      </c>
      <c r="BP881">
        <v>0</v>
      </c>
      <c r="BQ881">
        <v>0</v>
      </c>
      <c r="BR881">
        <v>1</v>
      </c>
    </row>
    <row r="882" spans="1:70" x14ac:dyDescent="0.2">
      <c r="A882" s="1">
        <v>44580.628472222219</v>
      </c>
      <c r="B882" s="1">
        <v>44580.631944444445</v>
      </c>
      <c r="C882">
        <v>1</v>
      </c>
      <c r="D882">
        <v>0</v>
      </c>
      <c r="E882">
        <v>0</v>
      </c>
      <c r="F882">
        <v>0</v>
      </c>
      <c r="H882">
        <v>0</v>
      </c>
      <c r="I882">
        <v>1</v>
      </c>
      <c r="J882">
        <v>0</v>
      </c>
      <c r="K882">
        <v>0</v>
      </c>
      <c r="L882">
        <v>0</v>
      </c>
      <c r="N882" t="s">
        <v>88</v>
      </c>
      <c r="O882" t="s">
        <v>89</v>
      </c>
      <c r="P882">
        <v>0</v>
      </c>
      <c r="Q882">
        <v>0</v>
      </c>
      <c r="R882">
        <v>1</v>
      </c>
      <c r="S882">
        <v>0</v>
      </c>
      <c r="T882">
        <v>0</v>
      </c>
      <c r="U882">
        <v>0</v>
      </c>
      <c r="V882">
        <v>0</v>
      </c>
      <c r="W882">
        <v>0</v>
      </c>
      <c r="X882">
        <v>0</v>
      </c>
      <c r="Y882">
        <v>0</v>
      </c>
      <c r="Z882">
        <v>0</v>
      </c>
      <c r="AA882">
        <v>0</v>
      </c>
      <c r="AM882" t="s">
        <v>81</v>
      </c>
      <c r="AN882" t="s">
        <v>81</v>
      </c>
      <c r="AO882" t="s">
        <v>90</v>
      </c>
      <c r="AP882" t="s">
        <v>90</v>
      </c>
      <c r="AQ882" t="s">
        <v>82</v>
      </c>
      <c r="AR882" t="s">
        <v>81</v>
      </c>
      <c r="AS882" t="s">
        <v>82</v>
      </c>
      <c r="AT882" t="s">
        <v>83</v>
      </c>
      <c r="AU882" t="s">
        <v>88</v>
      </c>
      <c r="AV882" t="s">
        <v>80</v>
      </c>
      <c r="AW882" t="s">
        <v>85</v>
      </c>
      <c r="AX882" t="s">
        <v>118</v>
      </c>
      <c r="AZ882" t="s">
        <v>73</v>
      </c>
      <c r="BA882" t="s">
        <v>87</v>
      </c>
      <c r="BB882" t="s">
        <v>87</v>
      </c>
      <c r="BC882" t="s">
        <v>87</v>
      </c>
      <c r="BD882" t="s">
        <v>87</v>
      </c>
      <c r="BE882" t="s">
        <v>87</v>
      </c>
      <c r="BF882" t="s">
        <v>75</v>
      </c>
      <c r="BG882" t="s">
        <v>76</v>
      </c>
      <c r="BH882" t="s">
        <v>98</v>
      </c>
      <c r="BI882" t="s">
        <v>73</v>
      </c>
      <c r="BJ882" t="s">
        <v>94</v>
      </c>
      <c r="BK882">
        <v>1</v>
      </c>
      <c r="BL882">
        <v>0</v>
      </c>
      <c r="BM882">
        <v>0</v>
      </c>
      <c r="BN882">
        <v>0</v>
      </c>
      <c r="BO882">
        <v>0</v>
      </c>
      <c r="BP882">
        <v>0</v>
      </c>
      <c r="BQ882">
        <v>0</v>
      </c>
      <c r="BR882">
        <v>0</v>
      </c>
    </row>
    <row r="883" spans="1:70" x14ac:dyDescent="0.2">
      <c r="A883" s="1">
        <v>44589.982638888891</v>
      </c>
      <c r="B883" s="1">
        <v>44589.98541666667</v>
      </c>
      <c r="C883">
        <v>1</v>
      </c>
      <c r="D883">
        <v>0</v>
      </c>
      <c r="E883">
        <v>0</v>
      </c>
      <c r="F883">
        <v>0</v>
      </c>
      <c r="H883">
        <v>1</v>
      </c>
      <c r="I883">
        <v>0</v>
      </c>
      <c r="J883">
        <v>0</v>
      </c>
      <c r="K883">
        <v>0</v>
      </c>
      <c r="L883">
        <v>0</v>
      </c>
      <c r="P883">
        <v>0</v>
      </c>
      <c r="Q883">
        <v>0</v>
      </c>
      <c r="R883">
        <v>1</v>
      </c>
      <c r="S883">
        <v>0</v>
      </c>
      <c r="T883">
        <v>0</v>
      </c>
      <c r="U883">
        <v>0</v>
      </c>
      <c r="V883">
        <v>0</v>
      </c>
      <c r="W883">
        <v>0</v>
      </c>
      <c r="X883">
        <v>0</v>
      </c>
      <c r="Y883">
        <v>0</v>
      </c>
      <c r="Z883">
        <v>0</v>
      </c>
      <c r="AA883">
        <v>0</v>
      </c>
      <c r="AM883" t="s">
        <v>83</v>
      </c>
      <c r="AN883" t="s">
        <v>82</v>
      </c>
      <c r="AO883" t="s">
        <v>83</v>
      </c>
      <c r="AP883" t="s">
        <v>82</v>
      </c>
      <c r="AQ883" t="s">
        <v>81</v>
      </c>
      <c r="AR883" t="s">
        <v>83</v>
      </c>
      <c r="AS883" t="s">
        <v>83</v>
      </c>
      <c r="AT883" t="s">
        <v>83</v>
      </c>
      <c r="AU883" t="s">
        <v>135</v>
      </c>
      <c r="AV883" t="s">
        <v>80</v>
      </c>
      <c r="AW883" t="s">
        <v>117</v>
      </c>
      <c r="AX883" t="s">
        <v>106</v>
      </c>
      <c r="AZ883" t="s">
        <v>107</v>
      </c>
      <c r="BA883" t="s">
        <v>74</v>
      </c>
      <c r="BF883" t="s">
        <v>75</v>
      </c>
      <c r="BG883" t="s">
        <v>76</v>
      </c>
      <c r="BH883" t="s">
        <v>98</v>
      </c>
      <c r="BI883" t="s">
        <v>107</v>
      </c>
      <c r="BJ883" t="s">
        <v>94</v>
      </c>
      <c r="BK883">
        <v>1</v>
      </c>
      <c r="BL883">
        <v>0</v>
      </c>
      <c r="BM883">
        <v>0</v>
      </c>
      <c r="BN883">
        <v>0</v>
      </c>
      <c r="BO883">
        <v>0</v>
      </c>
      <c r="BP883">
        <v>0</v>
      </c>
      <c r="BQ883">
        <v>0</v>
      </c>
      <c r="BR883">
        <v>0</v>
      </c>
    </row>
    <row r="884" spans="1:70" x14ac:dyDescent="0.2">
      <c r="A884" s="1">
        <v>44580.789583333331</v>
      </c>
      <c r="B884" s="1">
        <v>44580.790277777778</v>
      </c>
      <c r="C884">
        <v>0</v>
      </c>
      <c r="D884">
        <v>0</v>
      </c>
      <c r="E884">
        <v>0</v>
      </c>
      <c r="F884">
        <v>1</v>
      </c>
      <c r="P884">
        <v>1</v>
      </c>
      <c r="Q884">
        <v>0</v>
      </c>
      <c r="R884">
        <v>0</v>
      </c>
      <c r="S884">
        <v>0</v>
      </c>
      <c r="T884">
        <v>0</v>
      </c>
      <c r="U884">
        <v>0</v>
      </c>
      <c r="V884">
        <v>0</v>
      </c>
      <c r="W884">
        <v>0</v>
      </c>
      <c r="X884">
        <v>0</v>
      </c>
      <c r="Y884">
        <v>0</v>
      </c>
      <c r="Z884">
        <v>0</v>
      </c>
      <c r="AA884">
        <v>0</v>
      </c>
      <c r="AC884">
        <v>0</v>
      </c>
      <c r="AD884">
        <v>0</v>
      </c>
      <c r="AE884">
        <v>0</v>
      </c>
      <c r="AF884">
        <v>0</v>
      </c>
      <c r="AG884">
        <v>0</v>
      </c>
      <c r="AH884">
        <v>0</v>
      </c>
      <c r="AI884">
        <v>1</v>
      </c>
      <c r="AJ884">
        <v>0</v>
      </c>
      <c r="AK884">
        <v>0</v>
      </c>
      <c r="AZ884" t="s">
        <v>107</v>
      </c>
      <c r="BF884" t="s">
        <v>97</v>
      </c>
      <c r="BG884" t="s">
        <v>76</v>
      </c>
      <c r="BH884" t="s">
        <v>158</v>
      </c>
      <c r="BI884" t="s">
        <v>107</v>
      </c>
      <c r="BJ884" t="s">
        <v>78</v>
      </c>
      <c r="BK884">
        <v>0</v>
      </c>
      <c r="BL884">
        <v>0</v>
      </c>
      <c r="BM884">
        <v>0</v>
      </c>
      <c r="BN884">
        <v>0</v>
      </c>
      <c r="BO884">
        <v>0</v>
      </c>
      <c r="BP884">
        <v>1</v>
      </c>
      <c r="BQ884">
        <v>0</v>
      </c>
      <c r="BR884">
        <v>0</v>
      </c>
    </row>
    <row r="885" spans="1:70" x14ac:dyDescent="0.2">
      <c r="A885" s="1">
        <v>44585.502083333333</v>
      </c>
      <c r="B885" s="1">
        <v>44585.50277777778</v>
      </c>
      <c r="C885">
        <v>0</v>
      </c>
      <c r="D885">
        <v>1</v>
      </c>
      <c r="E885">
        <v>0</v>
      </c>
      <c r="F885">
        <v>0</v>
      </c>
      <c r="H885">
        <v>1</v>
      </c>
      <c r="I885">
        <v>0</v>
      </c>
      <c r="J885">
        <v>0</v>
      </c>
      <c r="K885">
        <v>0</v>
      </c>
      <c r="L885">
        <v>0</v>
      </c>
      <c r="P885">
        <v>1</v>
      </c>
      <c r="Q885">
        <v>0</v>
      </c>
      <c r="R885">
        <v>0</v>
      </c>
      <c r="S885">
        <v>0</v>
      </c>
      <c r="T885">
        <v>0</v>
      </c>
      <c r="U885">
        <v>0</v>
      </c>
      <c r="V885">
        <v>0</v>
      </c>
      <c r="W885">
        <v>0</v>
      </c>
      <c r="X885">
        <v>0</v>
      </c>
      <c r="Y885">
        <v>0</v>
      </c>
      <c r="Z885">
        <v>0</v>
      </c>
      <c r="AA885">
        <v>0</v>
      </c>
      <c r="AC885">
        <v>0</v>
      </c>
      <c r="AD885">
        <v>0</v>
      </c>
      <c r="AE885">
        <v>0</v>
      </c>
      <c r="AF885">
        <v>0</v>
      </c>
      <c r="AG885">
        <v>0</v>
      </c>
      <c r="AH885">
        <v>0</v>
      </c>
      <c r="AI885">
        <v>0</v>
      </c>
      <c r="AJ885">
        <v>1</v>
      </c>
      <c r="AK885">
        <v>0</v>
      </c>
      <c r="AX885" t="s">
        <v>91</v>
      </c>
      <c r="AZ885" t="s">
        <v>73</v>
      </c>
      <c r="BA885" t="s">
        <v>87</v>
      </c>
      <c r="BB885" t="s">
        <v>87</v>
      </c>
      <c r="BC885" t="s">
        <v>87</v>
      </c>
      <c r="BD885" t="s">
        <v>87</v>
      </c>
      <c r="BE885" t="s">
        <v>87</v>
      </c>
      <c r="BF885" t="s">
        <v>75</v>
      </c>
      <c r="BG885" t="s">
        <v>225</v>
      </c>
      <c r="BH885" t="s">
        <v>93</v>
      </c>
      <c r="BI885" t="s">
        <v>73</v>
      </c>
      <c r="BJ885" t="s">
        <v>114</v>
      </c>
      <c r="BK885">
        <v>0</v>
      </c>
      <c r="BL885">
        <v>0</v>
      </c>
      <c r="BM885">
        <v>0</v>
      </c>
      <c r="BN885">
        <v>0</v>
      </c>
      <c r="BO885">
        <v>0</v>
      </c>
      <c r="BP885">
        <v>0</v>
      </c>
      <c r="BQ885">
        <v>0</v>
      </c>
      <c r="BR885">
        <v>1</v>
      </c>
    </row>
    <row r="886" spans="1:70" x14ac:dyDescent="0.2">
      <c r="A886" s="1">
        <v>44589.007638888892</v>
      </c>
      <c r="B886" s="1">
        <v>44589.009722222225</v>
      </c>
      <c r="C886">
        <v>1</v>
      </c>
      <c r="D886">
        <v>0</v>
      </c>
      <c r="E886">
        <v>0</v>
      </c>
      <c r="F886">
        <v>0</v>
      </c>
      <c r="H886">
        <v>1</v>
      </c>
      <c r="I886">
        <v>0</v>
      </c>
      <c r="J886">
        <v>0</v>
      </c>
      <c r="K886">
        <v>0</v>
      </c>
      <c r="L886">
        <v>0</v>
      </c>
      <c r="P886">
        <v>0</v>
      </c>
      <c r="Q886">
        <v>0</v>
      </c>
      <c r="R886">
        <v>1</v>
      </c>
      <c r="S886">
        <v>0</v>
      </c>
      <c r="T886">
        <v>0</v>
      </c>
      <c r="U886">
        <v>0</v>
      </c>
      <c r="V886">
        <v>0</v>
      </c>
      <c r="W886">
        <v>0</v>
      </c>
      <c r="X886">
        <v>0</v>
      </c>
      <c r="Y886">
        <v>0</v>
      </c>
      <c r="Z886">
        <v>0</v>
      </c>
      <c r="AA886">
        <v>0</v>
      </c>
      <c r="AM886" t="s">
        <v>83</v>
      </c>
      <c r="AN886" t="s">
        <v>82</v>
      </c>
      <c r="AO886" t="s">
        <v>81</v>
      </c>
      <c r="AP886" t="s">
        <v>83</v>
      </c>
      <c r="AQ886" t="s">
        <v>83</v>
      </c>
      <c r="AR886" t="s">
        <v>83</v>
      </c>
      <c r="AS886" t="s">
        <v>90</v>
      </c>
      <c r="AT886" t="s">
        <v>83</v>
      </c>
      <c r="AU886" t="s">
        <v>88</v>
      </c>
      <c r="AV886" t="s">
        <v>89</v>
      </c>
      <c r="AW886" t="s">
        <v>100</v>
      </c>
      <c r="AX886" t="s">
        <v>118</v>
      </c>
      <c r="AZ886" t="s">
        <v>73</v>
      </c>
      <c r="BA886" t="s">
        <v>87</v>
      </c>
      <c r="BB886" t="s">
        <v>86</v>
      </c>
      <c r="BC886" t="s">
        <v>87</v>
      </c>
      <c r="BD886" t="s">
        <v>87</v>
      </c>
      <c r="BE886" t="s">
        <v>87</v>
      </c>
      <c r="BF886" t="s">
        <v>75</v>
      </c>
      <c r="BG886" t="s">
        <v>76</v>
      </c>
      <c r="BH886" t="s">
        <v>77</v>
      </c>
      <c r="BI886" t="s">
        <v>73</v>
      </c>
      <c r="BJ886" t="s">
        <v>114</v>
      </c>
      <c r="BK886">
        <v>0</v>
      </c>
      <c r="BL886">
        <v>0</v>
      </c>
      <c r="BM886">
        <v>0</v>
      </c>
      <c r="BN886">
        <v>0</v>
      </c>
      <c r="BO886">
        <v>0</v>
      </c>
      <c r="BP886">
        <v>1</v>
      </c>
      <c r="BQ886">
        <v>0</v>
      </c>
      <c r="BR886">
        <v>0</v>
      </c>
    </row>
    <row r="887" spans="1:70" x14ac:dyDescent="0.2">
      <c r="A887" s="1">
        <v>44582.6875</v>
      </c>
      <c r="B887" s="1">
        <v>44582.689583333333</v>
      </c>
      <c r="C887">
        <v>0</v>
      </c>
      <c r="D887">
        <v>1</v>
      </c>
      <c r="E887">
        <v>0</v>
      </c>
      <c r="F887">
        <v>0</v>
      </c>
      <c r="H887">
        <v>1</v>
      </c>
      <c r="I887">
        <v>0</v>
      </c>
      <c r="J887">
        <v>0</v>
      </c>
      <c r="K887">
        <v>0</v>
      </c>
      <c r="L887">
        <v>0</v>
      </c>
      <c r="P887">
        <v>0</v>
      </c>
      <c r="Q887">
        <v>0</v>
      </c>
      <c r="R887">
        <v>0</v>
      </c>
      <c r="S887">
        <v>0</v>
      </c>
      <c r="T887">
        <v>0</v>
      </c>
      <c r="U887">
        <v>0</v>
      </c>
      <c r="V887">
        <v>0</v>
      </c>
      <c r="W887">
        <v>0</v>
      </c>
      <c r="X887">
        <v>0</v>
      </c>
      <c r="Y887">
        <v>0</v>
      </c>
      <c r="Z887">
        <v>0</v>
      </c>
      <c r="AA887">
        <v>1</v>
      </c>
      <c r="AB887" t="s">
        <v>414</v>
      </c>
      <c r="AM887" t="s">
        <v>90</v>
      </c>
      <c r="AN887" t="s">
        <v>82</v>
      </c>
      <c r="AO887" t="s">
        <v>82</v>
      </c>
      <c r="AP887" t="s">
        <v>81</v>
      </c>
      <c r="AQ887" t="s">
        <v>83</v>
      </c>
      <c r="AR887" t="s">
        <v>90</v>
      </c>
      <c r="AS887" t="s">
        <v>90</v>
      </c>
      <c r="AT887" t="s">
        <v>83</v>
      </c>
      <c r="AU887" t="s">
        <v>127</v>
      </c>
      <c r="AV887" t="s">
        <v>127</v>
      </c>
      <c r="AZ887" t="s">
        <v>96</v>
      </c>
      <c r="BA887" t="s">
        <v>87</v>
      </c>
      <c r="BB887" t="s">
        <v>87</v>
      </c>
      <c r="BC887" t="s">
        <v>87</v>
      </c>
      <c r="BD887" t="s">
        <v>87</v>
      </c>
      <c r="BE887" t="s">
        <v>86</v>
      </c>
      <c r="BF887" t="s">
        <v>101</v>
      </c>
      <c r="BG887" t="s">
        <v>76</v>
      </c>
      <c r="BH887" t="s">
        <v>98</v>
      </c>
      <c r="BI887" t="s">
        <v>96</v>
      </c>
      <c r="BJ887" t="s">
        <v>189</v>
      </c>
      <c r="BK887">
        <v>0</v>
      </c>
      <c r="BL887">
        <v>0</v>
      </c>
      <c r="BM887">
        <v>0</v>
      </c>
      <c r="BN887">
        <v>0</v>
      </c>
      <c r="BO887">
        <v>0</v>
      </c>
      <c r="BP887">
        <v>0</v>
      </c>
      <c r="BQ887">
        <v>0</v>
      </c>
      <c r="BR887">
        <v>1</v>
      </c>
    </row>
    <row r="888" spans="1:70" x14ac:dyDescent="0.2">
      <c r="A888" s="1">
        <v>44585.834027777775</v>
      </c>
      <c r="B888" s="1">
        <v>44585.837500000001</v>
      </c>
      <c r="C888">
        <v>1</v>
      </c>
      <c r="D888">
        <v>0</v>
      </c>
      <c r="E888">
        <v>0</v>
      </c>
      <c r="F888">
        <v>0</v>
      </c>
      <c r="H888">
        <v>0</v>
      </c>
      <c r="I888">
        <v>1</v>
      </c>
      <c r="J888">
        <v>0</v>
      </c>
      <c r="K888">
        <v>0</v>
      </c>
      <c r="L888">
        <v>1</v>
      </c>
      <c r="M888" t="s">
        <v>415</v>
      </c>
      <c r="N888" t="s">
        <v>88</v>
      </c>
      <c r="O888" t="s">
        <v>89</v>
      </c>
      <c r="P888">
        <v>0</v>
      </c>
      <c r="Q888">
        <v>0</v>
      </c>
      <c r="R888">
        <v>1</v>
      </c>
      <c r="S888">
        <v>0</v>
      </c>
      <c r="T888">
        <v>0</v>
      </c>
      <c r="U888">
        <v>0</v>
      </c>
      <c r="V888">
        <v>0</v>
      </c>
      <c r="W888">
        <v>0</v>
      </c>
      <c r="X888">
        <v>0</v>
      </c>
      <c r="Y888">
        <v>0</v>
      </c>
      <c r="Z888">
        <v>0</v>
      </c>
      <c r="AA888">
        <v>0</v>
      </c>
      <c r="AM888" t="s">
        <v>83</v>
      </c>
      <c r="AN888" t="s">
        <v>81</v>
      </c>
      <c r="AO888" t="s">
        <v>90</v>
      </c>
      <c r="AP888" t="s">
        <v>82</v>
      </c>
      <c r="AQ888" t="s">
        <v>81</v>
      </c>
      <c r="AR888" t="s">
        <v>83</v>
      </c>
      <c r="AS888" t="s">
        <v>90</v>
      </c>
      <c r="AT888" t="s">
        <v>83</v>
      </c>
      <c r="AU888" t="s">
        <v>127</v>
      </c>
      <c r="AV888" t="s">
        <v>127</v>
      </c>
      <c r="AZ888" t="s">
        <v>73</v>
      </c>
      <c r="BA888" t="s">
        <v>86</v>
      </c>
      <c r="BB888" t="s">
        <v>87</v>
      </c>
      <c r="BC888" t="s">
        <v>87</v>
      </c>
      <c r="BD888" t="s">
        <v>87</v>
      </c>
      <c r="BE888" t="s">
        <v>74</v>
      </c>
      <c r="BF888" t="s">
        <v>97</v>
      </c>
      <c r="BG888" t="s">
        <v>92</v>
      </c>
      <c r="BH888" t="s">
        <v>98</v>
      </c>
      <c r="BI888" t="s">
        <v>73</v>
      </c>
      <c r="BJ888" t="s">
        <v>165</v>
      </c>
      <c r="BK888">
        <v>0</v>
      </c>
      <c r="BL888">
        <v>0</v>
      </c>
      <c r="BM888">
        <v>0</v>
      </c>
      <c r="BN888">
        <v>0</v>
      </c>
      <c r="BO888">
        <v>1</v>
      </c>
      <c r="BP888">
        <v>1</v>
      </c>
      <c r="BQ888">
        <v>0</v>
      </c>
      <c r="BR888">
        <v>0</v>
      </c>
    </row>
    <row r="889" spans="1:70" x14ac:dyDescent="0.2">
      <c r="A889" s="1">
        <v>44582.879861111112</v>
      </c>
      <c r="B889" s="1">
        <v>44582.881944444445</v>
      </c>
      <c r="C889">
        <v>1</v>
      </c>
      <c r="D889">
        <v>0</v>
      </c>
      <c r="E889">
        <v>0</v>
      </c>
      <c r="F889">
        <v>0</v>
      </c>
      <c r="H889">
        <v>1</v>
      </c>
      <c r="I889">
        <v>0</v>
      </c>
      <c r="J889">
        <v>0</v>
      </c>
      <c r="K889">
        <v>0</v>
      </c>
      <c r="L889">
        <v>0</v>
      </c>
      <c r="P889">
        <v>0</v>
      </c>
      <c r="Q889">
        <v>0</v>
      </c>
      <c r="R889">
        <v>1</v>
      </c>
      <c r="S889">
        <v>0</v>
      </c>
      <c r="T889">
        <v>0</v>
      </c>
      <c r="U889">
        <v>0</v>
      </c>
      <c r="V889">
        <v>0</v>
      </c>
      <c r="W889">
        <v>0</v>
      </c>
      <c r="X889">
        <v>0</v>
      </c>
      <c r="Y889">
        <v>0</v>
      </c>
      <c r="Z889">
        <v>0</v>
      </c>
      <c r="AA889">
        <v>0</v>
      </c>
      <c r="AM889" t="s">
        <v>82</v>
      </c>
      <c r="AN889" t="s">
        <v>83</v>
      </c>
      <c r="AO889" t="s">
        <v>90</v>
      </c>
      <c r="AP889" t="s">
        <v>83</v>
      </c>
      <c r="AQ889" t="s">
        <v>81</v>
      </c>
      <c r="AR889" t="s">
        <v>81</v>
      </c>
      <c r="AS889" t="s">
        <v>83</v>
      </c>
      <c r="AT889" t="s">
        <v>83</v>
      </c>
      <c r="AU889" t="s">
        <v>88</v>
      </c>
      <c r="AV889" t="s">
        <v>89</v>
      </c>
      <c r="AW889" t="s">
        <v>100</v>
      </c>
      <c r="AX889" t="s">
        <v>106</v>
      </c>
      <c r="AZ889" t="s">
        <v>96</v>
      </c>
      <c r="BA889" t="s">
        <v>74</v>
      </c>
      <c r="BF889" t="s">
        <v>75</v>
      </c>
      <c r="BG889" t="s">
        <v>92</v>
      </c>
      <c r="BH889" t="s">
        <v>77</v>
      </c>
      <c r="BI889" t="s">
        <v>96</v>
      </c>
      <c r="BJ889" t="s">
        <v>109</v>
      </c>
      <c r="BK889">
        <v>0</v>
      </c>
      <c r="BL889">
        <v>0</v>
      </c>
      <c r="BM889">
        <v>0</v>
      </c>
      <c r="BN889">
        <v>0</v>
      </c>
      <c r="BO889">
        <v>1</v>
      </c>
      <c r="BP889">
        <v>0</v>
      </c>
      <c r="BQ889">
        <v>0</v>
      </c>
      <c r="BR889">
        <v>0</v>
      </c>
    </row>
    <row r="890" spans="1:70" x14ac:dyDescent="0.2">
      <c r="A890" s="1">
        <v>44581.550694444442</v>
      </c>
      <c r="B890" s="1">
        <v>44581.554166666669</v>
      </c>
      <c r="C890">
        <v>0</v>
      </c>
      <c r="D890">
        <v>1</v>
      </c>
      <c r="E890">
        <v>0</v>
      </c>
      <c r="F890">
        <v>0</v>
      </c>
      <c r="H890">
        <v>1</v>
      </c>
      <c r="I890">
        <v>0</v>
      </c>
      <c r="J890">
        <v>0</v>
      </c>
      <c r="K890">
        <v>0</v>
      </c>
      <c r="L890">
        <v>0</v>
      </c>
      <c r="P890">
        <v>0</v>
      </c>
      <c r="Q890">
        <v>1</v>
      </c>
      <c r="R890">
        <v>0</v>
      </c>
      <c r="S890">
        <v>1</v>
      </c>
      <c r="T890">
        <v>0</v>
      </c>
      <c r="U890">
        <v>0</v>
      </c>
      <c r="V890">
        <v>0</v>
      </c>
      <c r="W890">
        <v>0</v>
      </c>
      <c r="X890">
        <v>0</v>
      </c>
      <c r="Y890">
        <v>0</v>
      </c>
      <c r="Z890">
        <v>0</v>
      </c>
      <c r="AA890">
        <v>0</v>
      </c>
      <c r="AM890" t="s">
        <v>83</v>
      </c>
      <c r="AN890" t="s">
        <v>82</v>
      </c>
      <c r="AO890" t="s">
        <v>81</v>
      </c>
      <c r="AP890" t="s">
        <v>83</v>
      </c>
      <c r="AQ890" t="s">
        <v>83</v>
      </c>
      <c r="AR890" t="s">
        <v>83</v>
      </c>
      <c r="AS890" t="s">
        <v>81</v>
      </c>
      <c r="AT890" t="s">
        <v>83</v>
      </c>
      <c r="AU890" t="s">
        <v>88</v>
      </c>
      <c r="AV890" t="s">
        <v>89</v>
      </c>
      <c r="AW890" t="s">
        <v>100</v>
      </c>
      <c r="AZ890" t="s">
        <v>96</v>
      </c>
      <c r="BA890" t="s">
        <v>87</v>
      </c>
      <c r="BB890" t="s">
        <v>86</v>
      </c>
      <c r="BC890" t="s">
        <v>87</v>
      </c>
      <c r="BD890" t="s">
        <v>87</v>
      </c>
      <c r="BE890" t="s">
        <v>86</v>
      </c>
      <c r="BF890" t="s">
        <v>97</v>
      </c>
      <c r="BG890" t="s">
        <v>76</v>
      </c>
      <c r="BH890" t="s">
        <v>98</v>
      </c>
      <c r="BI890" t="s">
        <v>96</v>
      </c>
      <c r="BJ890" t="s">
        <v>114</v>
      </c>
      <c r="BK890">
        <v>1</v>
      </c>
      <c r="BL890">
        <v>0</v>
      </c>
      <c r="BM890">
        <v>0</v>
      </c>
      <c r="BN890">
        <v>0</v>
      </c>
      <c r="BO890">
        <v>0</v>
      </c>
      <c r="BP890">
        <v>0</v>
      </c>
      <c r="BQ890">
        <v>0</v>
      </c>
      <c r="BR890">
        <v>0</v>
      </c>
    </row>
    <row r="891" spans="1:70" x14ac:dyDescent="0.2">
      <c r="A891" s="1">
        <v>44579.887499999997</v>
      </c>
      <c r="B891" s="1">
        <v>44579.890972222223</v>
      </c>
      <c r="C891">
        <v>1</v>
      </c>
      <c r="D891">
        <v>0</v>
      </c>
      <c r="E891">
        <v>0</v>
      </c>
      <c r="F891">
        <v>0</v>
      </c>
      <c r="H891">
        <v>0</v>
      </c>
      <c r="I891">
        <v>1</v>
      </c>
      <c r="J891">
        <v>1</v>
      </c>
      <c r="K891">
        <v>0</v>
      </c>
      <c r="L891">
        <v>0</v>
      </c>
      <c r="N891" t="s">
        <v>88</v>
      </c>
      <c r="O891" t="s">
        <v>89</v>
      </c>
      <c r="P891">
        <v>0</v>
      </c>
      <c r="Q891">
        <v>0</v>
      </c>
      <c r="R891">
        <v>1</v>
      </c>
      <c r="S891">
        <v>0</v>
      </c>
      <c r="T891">
        <v>0</v>
      </c>
      <c r="U891">
        <v>0</v>
      </c>
      <c r="V891">
        <v>0</v>
      </c>
      <c r="W891">
        <v>0</v>
      </c>
      <c r="X891">
        <v>0</v>
      </c>
      <c r="Y891">
        <v>0</v>
      </c>
      <c r="Z891">
        <v>0</v>
      </c>
      <c r="AA891">
        <v>0</v>
      </c>
      <c r="AM891" t="s">
        <v>81</v>
      </c>
      <c r="AN891" t="s">
        <v>82</v>
      </c>
      <c r="AO891" t="s">
        <v>83</v>
      </c>
      <c r="AP891" t="s">
        <v>82</v>
      </c>
      <c r="AQ891" t="s">
        <v>81</v>
      </c>
      <c r="AR891" t="s">
        <v>83</v>
      </c>
      <c r="AS891" t="s">
        <v>83</v>
      </c>
      <c r="AT891" t="s">
        <v>81</v>
      </c>
      <c r="AU891" t="s">
        <v>88</v>
      </c>
      <c r="AV891" t="s">
        <v>89</v>
      </c>
      <c r="AW891" t="s">
        <v>85</v>
      </c>
      <c r="AX891" t="s">
        <v>199</v>
      </c>
      <c r="AZ891" t="s">
        <v>107</v>
      </c>
      <c r="BA891" t="s">
        <v>87</v>
      </c>
      <c r="BB891" t="s">
        <v>87</v>
      </c>
      <c r="BC891" t="s">
        <v>87</v>
      </c>
      <c r="BD891" t="s">
        <v>87</v>
      </c>
      <c r="BE891" t="s">
        <v>87</v>
      </c>
      <c r="BF891" t="s">
        <v>108</v>
      </c>
      <c r="BG891" t="s">
        <v>92</v>
      </c>
      <c r="BH891" t="s">
        <v>77</v>
      </c>
      <c r="BI891" t="s">
        <v>107</v>
      </c>
      <c r="BJ891" t="s">
        <v>78</v>
      </c>
      <c r="BK891">
        <v>0</v>
      </c>
      <c r="BL891">
        <v>0</v>
      </c>
      <c r="BM891">
        <v>0</v>
      </c>
      <c r="BN891">
        <v>1</v>
      </c>
      <c r="BO891">
        <v>0</v>
      </c>
      <c r="BP891">
        <v>0</v>
      </c>
      <c r="BQ891">
        <v>0</v>
      </c>
      <c r="BR891">
        <v>0</v>
      </c>
    </row>
    <row r="892" spans="1:70" x14ac:dyDescent="0.2">
      <c r="A892" s="1">
        <v>44586.177083333336</v>
      </c>
      <c r="B892" s="1">
        <v>44586.178472222222</v>
      </c>
      <c r="C892">
        <v>1</v>
      </c>
      <c r="D892">
        <v>0</v>
      </c>
      <c r="E892">
        <v>0</v>
      </c>
      <c r="F892">
        <v>0</v>
      </c>
      <c r="H892">
        <v>1</v>
      </c>
      <c r="I892">
        <v>0</v>
      </c>
      <c r="J892">
        <v>0</v>
      </c>
      <c r="K892">
        <v>0</v>
      </c>
      <c r="L892">
        <v>0</v>
      </c>
      <c r="P892">
        <v>1</v>
      </c>
      <c r="Q892">
        <v>0</v>
      </c>
      <c r="R892">
        <v>0</v>
      </c>
      <c r="S892">
        <v>0</v>
      </c>
      <c r="T892">
        <v>0</v>
      </c>
      <c r="U892">
        <v>0</v>
      </c>
      <c r="V892">
        <v>0</v>
      </c>
      <c r="W892">
        <v>0</v>
      </c>
      <c r="X892">
        <v>0</v>
      </c>
      <c r="Y892">
        <v>0</v>
      </c>
      <c r="Z892">
        <v>0</v>
      </c>
      <c r="AA892">
        <v>0</v>
      </c>
      <c r="AC892">
        <v>1</v>
      </c>
      <c r="AD892">
        <v>0</v>
      </c>
      <c r="AE892">
        <v>0</v>
      </c>
      <c r="AF892">
        <v>0</v>
      </c>
      <c r="AG892">
        <v>0</v>
      </c>
      <c r="AH892">
        <v>0</v>
      </c>
      <c r="AI892">
        <v>0</v>
      </c>
      <c r="AJ892">
        <v>0</v>
      </c>
      <c r="AK892">
        <v>0</v>
      </c>
      <c r="AZ892" t="s">
        <v>96</v>
      </c>
      <c r="BA892" t="s">
        <v>87</v>
      </c>
      <c r="BB892" t="s">
        <v>87</v>
      </c>
      <c r="BC892" t="s">
        <v>86</v>
      </c>
      <c r="BD892" t="s">
        <v>87</v>
      </c>
      <c r="BE892" t="s">
        <v>86</v>
      </c>
      <c r="BF892" t="s">
        <v>97</v>
      </c>
      <c r="BG892" t="s">
        <v>92</v>
      </c>
      <c r="BH892" t="s">
        <v>98</v>
      </c>
      <c r="BI892" t="s">
        <v>96</v>
      </c>
      <c r="BJ892" t="s">
        <v>78</v>
      </c>
      <c r="BK892">
        <v>0</v>
      </c>
      <c r="BL892">
        <v>0</v>
      </c>
      <c r="BM892">
        <v>0</v>
      </c>
      <c r="BN892">
        <v>0</v>
      </c>
      <c r="BO892">
        <v>0</v>
      </c>
      <c r="BP892">
        <v>0</v>
      </c>
      <c r="BQ892">
        <v>0</v>
      </c>
      <c r="BR892">
        <v>1</v>
      </c>
    </row>
    <row r="893" spans="1:70" x14ac:dyDescent="0.2">
      <c r="A893" s="1">
        <v>44579.875694444447</v>
      </c>
      <c r="B893" s="1">
        <v>44579.876388888886</v>
      </c>
      <c r="C893">
        <v>1</v>
      </c>
      <c r="D893">
        <v>0</v>
      </c>
      <c r="E893">
        <v>0</v>
      </c>
      <c r="F893">
        <v>0</v>
      </c>
      <c r="H893">
        <v>0</v>
      </c>
      <c r="I893">
        <v>1</v>
      </c>
      <c r="J893">
        <v>1</v>
      </c>
      <c r="K893">
        <v>0</v>
      </c>
      <c r="L893">
        <v>0</v>
      </c>
      <c r="N893" t="s">
        <v>88</v>
      </c>
      <c r="O893" t="s">
        <v>80</v>
      </c>
      <c r="P893">
        <v>0</v>
      </c>
      <c r="Q893">
        <v>0</v>
      </c>
      <c r="R893">
        <v>1</v>
      </c>
      <c r="S893">
        <v>0</v>
      </c>
      <c r="T893">
        <v>0</v>
      </c>
      <c r="U893">
        <v>0</v>
      </c>
      <c r="V893">
        <v>0</v>
      </c>
      <c r="W893">
        <v>0</v>
      </c>
      <c r="X893">
        <v>0</v>
      </c>
      <c r="Y893">
        <v>0</v>
      </c>
      <c r="Z893">
        <v>0</v>
      </c>
      <c r="AA893">
        <v>0</v>
      </c>
      <c r="AM893" t="s">
        <v>83</v>
      </c>
      <c r="AN893" t="s">
        <v>81</v>
      </c>
      <c r="AO893" t="s">
        <v>81</v>
      </c>
      <c r="AP893" t="s">
        <v>81</v>
      </c>
      <c r="AQ893" t="s">
        <v>81</v>
      </c>
      <c r="AR893" t="s">
        <v>90</v>
      </c>
      <c r="AS893" t="s">
        <v>83</v>
      </c>
      <c r="AT893" t="s">
        <v>81</v>
      </c>
      <c r="AU893" t="s">
        <v>88</v>
      </c>
      <c r="AV893" t="s">
        <v>80</v>
      </c>
      <c r="AW893" t="s">
        <v>117</v>
      </c>
      <c r="AX893" t="s">
        <v>118</v>
      </c>
      <c r="AZ893" t="s">
        <v>73</v>
      </c>
      <c r="BA893" t="s">
        <v>74</v>
      </c>
      <c r="BF893" t="s">
        <v>75</v>
      </c>
      <c r="BG893" t="s">
        <v>92</v>
      </c>
      <c r="BH893" t="s">
        <v>93</v>
      </c>
      <c r="BI893" t="s">
        <v>73</v>
      </c>
      <c r="BJ893" t="s">
        <v>78</v>
      </c>
      <c r="BK893">
        <v>0</v>
      </c>
      <c r="BL893">
        <v>0</v>
      </c>
      <c r="BM893">
        <v>0</v>
      </c>
      <c r="BN893">
        <v>0</v>
      </c>
      <c r="BO893">
        <v>0</v>
      </c>
      <c r="BP893">
        <v>1</v>
      </c>
      <c r="BQ893">
        <v>0</v>
      </c>
      <c r="BR893">
        <v>0</v>
      </c>
    </row>
    <row r="894" spans="1:70" x14ac:dyDescent="0.2">
      <c r="A894" s="1">
        <v>44585.502083333333</v>
      </c>
      <c r="B894" s="1">
        <v>44585.503472222219</v>
      </c>
      <c r="C894">
        <v>1</v>
      </c>
      <c r="D894">
        <v>1</v>
      </c>
      <c r="E894">
        <v>0</v>
      </c>
      <c r="F894">
        <v>0</v>
      </c>
      <c r="H894">
        <v>0</v>
      </c>
      <c r="I894">
        <v>1</v>
      </c>
      <c r="J894">
        <v>1</v>
      </c>
      <c r="K894">
        <v>1</v>
      </c>
      <c r="L894">
        <v>0</v>
      </c>
      <c r="N894" t="s">
        <v>88</v>
      </c>
      <c r="O894" t="s">
        <v>89</v>
      </c>
      <c r="P894">
        <v>0</v>
      </c>
      <c r="Q894">
        <v>1</v>
      </c>
      <c r="R894">
        <v>1</v>
      </c>
      <c r="S894">
        <v>0</v>
      </c>
      <c r="T894">
        <v>0</v>
      </c>
      <c r="U894">
        <v>0</v>
      </c>
      <c r="V894">
        <v>0</v>
      </c>
      <c r="W894">
        <v>0</v>
      </c>
      <c r="X894">
        <v>0</v>
      </c>
      <c r="Y894">
        <v>0</v>
      </c>
      <c r="Z894">
        <v>0</v>
      </c>
      <c r="AA894">
        <v>0</v>
      </c>
      <c r="AM894" t="s">
        <v>81</v>
      </c>
      <c r="AN894" t="s">
        <v>82</v>
      </c>
      <c r="AO894" t="s">
        <v>82</v>
      </c>
      <c r="AP894" t="s">
        <v>82</v>
      </c>
      <c r="AQ894" t="s">
        <v>81</v>
      </c>
      <c r="AR894" t="s">
        <v>81</v>
      </c>
      <c r="AS894" t="s">
        <v>81</v>
      </c>
      <c r="AT894" t="s">
        <v>83</v>
      </c>
      <c r="AU894" t="s">
        <v>88</v>
      </c>
      <c r="AV894" t="s">
        <v>89</v>
      </c>
      <c r="AW894" t="s">
        <v>100</v>
      </c>
      <c r="AX894" t="s">
        <v>118</v>
      </c>
      <c r="AZ894" t="s">
        <v>73</v>
      </c>
      <c r="BA894" t="s">
        <v>87</v>
      </c>
      <c r="BB894" t="s">
        <v>87</v>
      </c>
      <c r="BC894" t="s">
        <v>87</v>
      </c>
      <c r="BD894" t="s">
        <v>87</v>
      </c>
      <c r="BE894" t="s">
        <v>87</v>
      </c>
      <c r="BF894" t="s">
        <v>75</v>
      </c>
      <c r="BG894" t="s">
        <v>92</v>
      </c>
      <c r="BH894" t="s">
        <v>93</v>
      </c>
      <c r="BI894" t="s">
        <v>73</v>
      </c>
      <c r="BJ894" t="s">
        <v>78</v>
      </c>
      <c r="BK894">
        <v>0</v>
      </c>
      <c r="BL894">
        <v>0</v>
      </c>
      <c r="BM894">
        <v>0</v>
      </c>
      <c r="BN894">
        <v>0</v>
      </c>
      <c r="BO894">
        <v>0</v>
      </c>
      <c r="BP894">
        <v>1</v>
      </c>
      <c r="BQ894">
        <v>0</v>
      </c>
      <c r="BR894">
        <v>0</v>
      </c>
    </row>
    <row r="895" spans="1:70" x14ac:dyDescent="0.2">
      <c r="A895" s="1">
        <v>44579.82708333333</v>
      </c>
      <c r="B895" s="1">
        <v>44579.836111111108</v>
      </c>
      <c r="C895">
        <v>1</v>
      </c>
      <c r="D895">
        <v>0</v>
      </c>
      <c r="E895">
        <v>0</v>
      </c>
      <c r="F895">
        <v>0</v>
      </c>
      <c r="H895">
        <v>0</v>
      </c>
      <c r="I895">
        <v>1</v>
      </c>
      <c r="J895">
        <v>1</v>
      </c>
      <c r="K895">
        <v>0</v>
      </c>
      <c r="L895">
        <v>0</v>
      </c>
      <c r="N895" t="s">
        <v>79</v>
      </c>
      <c r="O895" t="s">
        <v>80</v>
      </c>
      <c r="P895">
        <v>0</v>
      </c>
      <c r="Q895">
        <v>0</v>
      </c>
      <c r="R895">
        <v>1</v>
      </c>
      <c r="S895">
        <v>0</v>
      </c>
      <c r="T895">
        <v>0</v>
      </c>
      <c r="U895">
        <v>0</v>
      </c>
      <c r="V895">
        <v>0</v>
      </c>
      <c r="W895">
        <v>0</v>
      </c>
      <c r="X895">
        <v>0</v>
      </c>
      <c r="Y895">
        <v>0</v>
      </c>
      <c r="Z895">
        <v>0</v>
      </c>
      <c r="AA895">
        <v>0</v>
      </c>
      <c r="AM895" t="s">
        <v>83</v>
      </c>
      <c r="AN895" t="s">
        <v>82</v>
      </c>
      <c r="AO895" t="s">
        <v>83</v>
      </c>
      <c r="AP895" t="s">
        <v>82</v>
      </c>
      <c r="AQ895" t="s">
        <v>82</v>
      </c>
      <c r="AR895" t="s">
        <v>81</v>
      </c>
      <c r="AS895" t="s">
        <v>81</v>
      </c>
      <c r="AT895" t="s">
        <v>83</v>
      </c>
      <c r="AU895" t="s">
        <v>88</v>
      </c>
      <c r="AV895" t="s">
        <v>89</v>
      </c>
      <c r="AW895" t="s">
        <v>85</v>
      </c>
      <c r="AZ895" t="s">
        <v>107</v>
      </c>
      <c r="BA895" t="s">
        <v>87</v>
      </c>
      <c r="BB895" t="s">
        <v>87</v>
      </c>
      <c r="BC895" t="s">
        <v>86</v>
      </c>
      <c r="BD895" t="s">
        <v>86</v>
      </c>
      <c r="BE895" t="s">
        <v>86</v>
      </c>
      <c r="BF895" t="s">
        <v>97</v>
      </c>
      <c r="BG895" t="s">
        <v>92</v>
      </c>
      <c r="BH895" t="s">
        <v>98</v>
      </c>
      <c r="BI895" t="s">
        <v>107</v>
      </c>
      <c r="BJ895" t="s">
        <v>129</v>
      </c>
      <c r="BK895">
        <v>0</v>
      </c>
      <c r="BL895">
        <v>0</v>
      </c>
      <c r="BM895">
        <v>0</v>
      </c>
      <c r="BN895">
        <v>0</v>
      </c>
      <c r="BO895">
        <v>0</v>
      </c>
      <c r="BP895">
        <v>1</v>
      </c>
      <c r="BQ895">
        <v>0</v>
      </c>
      <c r="BR895">
        <v>0</v>
      </c>
    </row>
    <row r="896" spans="1:70" x14ac:dyDescent="0.2">
      <c r="A896" s="1">
        <v>44579.884027777778</v>
      </c>
      <c r="B896" s="1">
        <v>44579.887499999997</v>
      </c>
      <c r="C896">
        <v>1</v>
      </c>
      <c r="D896">
        <v>0</v>
      </c>
      <c r="E896">
        <v>0</v>
      </c>
      <c r="F896">
        <v>0</v>
      </c>
      <c r="H896">
        <v>0</v>
      </c>
      <c r="I896">
        <v>1</v>
      </c>
      <c r="J896">
        <v>1</v>
      </c>
      <c r="K896">
        <v>1</v>
      </c>
      <c r="L896">
        <v>0</v>
      </c>
      <c r="N896" t="s">
        <v>88</v>
      </c>
      <c r="O896" t="s">
        <v>80</v>
      </c>
      <c r="P896">
        <v>0</v>
      </c>
      <c r="Q896">
        <v>0</v>
      </c>
      <c r="R896">
        <v>1</v>
      </c>
      <c r="S896">
        <v>0</v>
      </c>
      <c r="T896">
        <v>0</v>
      </c>
      <c r="U896">
        <v>0</v>
      </c>
      <c r="V896">
        <v>0</v>
      </c>
      <c r="W896">
        <v>0</v>
      </c>
      <c r="X896">
        <v>0</v>
      </c>
      <c r="Y896">
        <v>0</v>
      </c>
      <c r="Z896">
        <v>0</v>
      </c>
      <c r="AA896">
        <v>0</v>
      </c>
      <c r="AM896" t="s">
        <v>83</v>
      </c>
      <c r="AN896" t="s">
        <v>82</v>
      </c>
      <c r="AO896" t="s">
        <v>83</v>
      </c>
      <c r="AP896" t="s">
        <v>81</v>
      </c>
      <c r="AQ896" t="s">
        <v>83</v>
      </c>
      <c r="AR896" t="s">
        <v>83</v>
      </c>
      <c r="AS896" t="s">
        <v>83</v>
      </c>
      <c r="AT896" t="s">
        <v>81</v>
      </c>
      <c r="AU896" t="s">
        <v>88</v>
      </c>
      <c r="AV896" t="s">
        <v>80</v>
      </c>
      <c r="AW896" t="s">
        <v>85</v>
      </c>
      <c r="AX896" t="s">
        <v>128</v>
      </c>
      <c r="AZ896" t="s">
        <v>96</v>
      </c>
      <c r="BA896" t="s">
        <v>86</v>
      </c>
      <c r="BB896" t="s">
        <v>87</v>
      </c>
      <c r="BC896" t="s">
        <v>87</v>
      </c>
      <c r="BD896" t="s">
        <v>87</v>
      </c>
      <c r="BE896" t="s">
        <v>87</v>
      </c>
      <c r="BF896" t="s">
        <v>108</v>
      </c>
      <c r="BG896" t="s">
        <v>76</v>
      </c>
      <c r="BH896" t="s">
        <v>184</v>
      </c>
      <c r="BI896" t="s">
        <v>96</v>
      </c>
      <c r="BJ896" t="s">
        <v>78</v>
      </c>
      <c r="BK896">
        <v>0</v>
      </c>
      <c r="BL896">
        <v>0</v>
      </c>
      <c r="BM896">
        <v>0</v>
      </c>
      <c r="BN896">
        <v>1</v>
      </c>
      <c r="BO896">
        <v>0</v>
      </c>
      <c r="BP896">
        <v>0</v>
      </c>
      <c r="BQ896">
        <v>0</v>
      </c>
      <c r="BR896">
        <v>0</v>
      </c>
    </row>
    <row r="897" spans="1:72" x14ac:dyDescent="0.2">
      <c r="A897" s="1">
        <v>44579.95</v>
      </c>
      <c r="B897" s="1">
        <v>44579.950694444444</v>
      </c>
      <c r="C897">
        <v>0</v>
      </c>
      <c r="D897">
        <v>1</v>
      </c>
      <c r="E897">
        <v>0</v>
      </c>
      <c r="F897">
        <v>0</v>
      </c>
      <c r="H897">
        <v>1</v>
      </c>
      <c r="I897">
        <v>0</v>
      </c>
      <c r="J897">
        <v>0</v>
      </c>
      <c r="K897">
        <v>0</v>
      </c>
      <c r="L897">
        <v>0</v>
      </c>
      <c r="P897">
        <v>1</v>
      </c>
      <c r="Q897">
        <v>0</v>
      </c>
      <c r="R897">
        <v>0</v>
      </c>
      <c r="S897">
        <v>0</v>
      </c>
      <c r="T897">
        <v>0</v>
      </c>
      <c r="U897">
        <v>0</v>
      </c>
      <c r="V897">
        <v>0</v>
      </c>
      <c r="W897">
        <v>0</v>
      </c>
      <c r="X897">
        <v>0</v>
      </c>
      <c r="Y897">
        <v>0</v>
      </c>
      <c r="Z897">
        <v>0</v>
      </c>
      <c r="AA897">
        <v>0</v>
      </c>
      <c r="AC897">
        <v>0</v>
      </c>
      <c r="AD897">
        <v>0</v>
      </c>
      <c r="AE897">
        <v>0</v>
      </c>
      <c r="AF897">
        <v>0</v>
      </c>
      <c r="AG897">
        <v>0</v>
      </c>
      <c r="AH897">
        <v>1</v>
      </c>
      <c r="AI897">
        <v>0</v>
      </c>
      <c r="AJ897">
        <v>0</v>
      </c>
      <c r="AK897">
        <v>0</v>
      </c>
      <c r="AX897" t="s">
        <v>118</v>
      </c>
      <c r="AZ897" t="s">
        <v>107</v>
      </c>
      <c r="BA897" t="s">
        <v>87</v>
      </c>
      <c r="BB897" t="s">
        <v>87</v>
      </c>
      <c r="BC897" t="s">
        <v>87</v>
      </c>
      <c r="BD897" t="s">
        <v>87</v>
      </c>
      <c r="BE897" t="s">
        <v>87</v>
      </c>
      <c r="BF897" t="s">
        <v>75</v>
      </c>
      <c r="BG897" t="s">
        <v>76</v>
      </c>
      <c r="BH897" t="s">
        <v>98</v>
      </c>
      <c r="BI897" t="s">
        <v>107</v>
      </c>
      <c r="BJ897" t="s">
        <v>114</v>
      </c>
      <c r="BK897">
        <v>0</v>
      </c>
      <c r="BL897">
        <v>0</v>
      </c>
      <c r="BM897">
        <v>0</v>
      </c>
      <c r="BN897">
        <v>0</v>
      </c>
      <c r="BO897">
        <v>0</v>
      </c>
      <c r="BP897">
        <v>1</v>
      </c>
      <c r="BQ897">
        <v>0</v>
      </c>
      <c r="BR897">
        <v>0</v>
      </c>
    </row>
    <row r="898" spans="1:72" x14ac:dyDescent="0.2">
      <c r="A898" s="1">
        <v>44579.984027777777</v>
      </c>
      <c r="B898" s="1">
        <v>44579.98541666667</v>
      </c>
      <c r="C898">
        <v>1</v>
      </c>
      <c r="D898">
        <v>0</v>
      </c>
      <c r="E898">
        <v>0</v>
      </c>
      <c r="F898">
        <v>0</v>
      </c>
      <c r="H898">
        <v>0</v>
      </c>
      <c r="I898">
        <v>1</v>
      </c>
      <c r="J898">
        <v>1</v>
      </c>
      <c r="K898">
        <v>1</v>
      </c>
      <c r="L898">
        <v>0</v>
      </c>
      <c r="N898" t="s">
        <v>79</v>
      </c>
      <c r="O898" t="s">
        <v>80</v>
      </c>
      <c r="P898">
        <v>0</v>
      </c>
      <c r="Q898">
        <v>0</v>
      </c>
      <c r="R898">
        <v>1</v>
      </c>
      <c r="S898">
        <v>0</v>
      </c>
      <c r="T898">
        <v>0</v>
      </c>
      <c r="U898">
        <v>0</v>
      </c>
      <c r="V898">
        <v>0</v>
      </c>
      <c r="W898">
        <v>0</v>
      </c>
      <c r="X898">
        <v>0</v>
      </c>
      <c r="Y898">
        <v>0</v>
      </c>
      <c r="Z898">
        <v>0</v>
      </c>
      <c r="AA898">
        <v>0</v>
      </c>
      <c r="AM898" t="s">
        <v>81</v>
      </c>
      <c r="AN898" t="s">
        <v>81</v>
      </c>
      <c r="AO898" t="s">
        <v>81</v>
      </c>
      <c r="AP898" t="s">
        <v>82</v>
      </c>
      <c r="AQ898" t="s">
        <v>82</v>
      </c>
      <c r="AR898" t="s">
        <v>81</v>
      </c>
      <c r="AS898" t="s">
        <v>83</v>
      </c>
      <c r="AT898" t="s">
        <v>83</v>
      </c>
      <c r="AU898" t="s">
        <v>88</v>
      </c>
      <c r="AV898" t="s">
        <v>89</v>
      </c>
      <c r="AW898" t="s">
        <v>100</v>
      </c>
      <c r="AZ898" t="s">
        <v>107</v>
      </c>
      <c r="BA898" t="s">
        <v>87</v>
      </c>
      <c r="BB898" t="s">
        <v>87</v>
      </c>
      <c r="BC898" t="s">
        <v>87</v>
      </c>
      <c r="BD898" t="s">
        <v>87</v>
      </c>
      <c r="BE898" t="s">
        <v>86</v>
      </c>
      <c r="BF898" t="s">
        <v>159</v>
      </c>
      <c r="BG898" t="s">
        <v>76</v>
      </c>
      <c r="BH898" t="s">
        <v>77</v>
      </c>
      <c r="BI898" t="s">
        <v>107</v>
      </c>
      <c r="BJ898" t="s">
        <v>109</v>
      </c>
      <c r="BK898">
        <v>0</v>
      </c>
      <c r="BL898">
        <v>0</v>
      </c>
      <c r="BM898">
        <v>0</v>
      </c>
      <c r="BN898">
        <v>0</v>
      </c>
      <c r="BO898">
        <v>0</v>
      </c>
      <c r="BP898">
        <v>1</v>
      </c>
      <c r="BQ898">
        <v>0</v>
      </c>
      <c r="BR898">
        <v>0</v>
      </c>
    </row>
    <row r="899" spans="1:72" x14ac:dyDescent="0.2">
      <c r="A899" s="1">
        <v>44579.918055555558</v>
      </c>
      <c r="B899" s="1">
        <v>44579.926388888889</v>
      </c>
      <c r="C899">
        <v>1</v>
      </c>
      <c r="D899">
        <v>0</v>
      </c>
      <c r="E899">
        <v>0</v>
      </c>
      <c r="F899">
        <v>0</v>
      </c>
      <c r="H899">
        <v>1</v>
      </c>
      <c r="I899">
        <v>0</v>
      </c>
      <c r="J899">
        <v>0</v>
      </c>
      <c r="K899">
        <v>0</v>
      </c>
      <c r="L899">
        <v>0</v>
      </c>
      <c r="P899">
        <v>0</v>
      </c>
      <c r="Q899">
        <v>0</v>
      </c>
      <c r="R899">
        <v>0</v>
      </c>
      <c r="S899">
        <v>1</v>
      </c>
      <c r="T899">
        <v>0</v>
      </c>
      <c r="U899">
        <v>0</v>
      </c>
      <c r="V899">
        <v>0</v>
      </c>
      <c r="W899">
        <v>0</v>
      </c>
      <c r="X899">
        <v>0</v>
      </c>
      <c r="Y899">
        <v>0</v>
      </c>
      <c r="Z899">
        <v>0</v>
      </c>
      <c r="AA899">
        <v>0</v>
      </c>
      <c r="AM899" t="s">
        <v>90</v>
      </c>
      <c r="AN899" t="s">
        <v>82</v>
      </c>
      <c r="AO899" t="s">
        <v>83</v>
      </c>
      <c r="AP899" t="s">
        <v>82</v>
      </c>
      <c r="AQ899" t="s">
        <v>81</v>
      </c>
      <c r="AR899" t="s">
        <v>90</v>
      </c>
      <c r="AS899" t="s">
        <v>90</v>
      </c>
      <c r="AT899" t="s">
        <v>81</v>
      </c>
      <c r="AU899" t="s">
        <v>88</v>
      </c>
      <c r="AV899" t="s">
        <v>89</v>
      </c>
      <c r="AW899" t="s">
        <v>100</v>
      </c>
      <c r="AX899" t="s">
        <v>91</v>
      </c>
      <c r="AZ899" t="s">
        <v>107</v>
      </c>
      <c r="BA899" t="s">
        <v>87</v>
      </c>
      <c r="BB899" t="s">
        <v>87</v>
      </c>
      <c r="BC899" t="s">
        <v>87</v>
      </c>
      <c r="BD899" t="s">
        <v>86</v>
      </c>
      <c r="BE899" t="s">
        <v>87</v>
      </c>
      <c r="BF899" t="s">
        <v>75</v>
      </c>
      <c r="BG899" t="s">
        <v>76</v>
      </c>
      <c r="BH899" t="s">
        <v>184</v>
      </c>
      <c r="BI899" t="s">
        <v>107</v>
      </c>
      <c r="BJ899" t="s">
        <v>94</v>
      </c>
      <c r="BK899">
        <v>0</v>
      </c>
      <c r="BL899">
        <v>0</v>
      </c>
      <c r="BM899">
        <v>0</v>
      </c>
      <c r="BN899">
        <v>0</v>
      </c>
      <c r="BO899">
        <v>0</v>
      </c>
      <c r="BP899">
        <v>1</v>
      </c>
      <c r="BQ899">
        <v>0</v>
      </c>
      <c r="BR899">
        <v>0</v>
      </c>
    </row>
    <row r="900" spans="1:72" x14ac:dyDescent="0.2">
      <c r="A900" s="1">
        <v>44585.57916666667</v>
      </c>
      <c r="B900" s="1">
        <v>44585.581250000003</v>
      </c>
      <c r="C900">
        <v>0</v>
      </c>
      <c r="D900">
        <v>1</v>
      </c>
      <c r="E900">
        <v>0</v>
      </c>
      <c r="F900">
        <v>0</v>
      </c>
      <c r="H900">
        <v>0</v>
      </c>
      <c r="I900">
        <v>1</v>
      </c>
      <c r="J900">
        <v>0</v>
      </c>
      <c r="K900">
        <v>0</v>
      </c>
      <c r="L900">
        <v>0</v>
      </c>
      <c r="N900" t="s">
        <v>135</v>
      </c>
      <c r="O900" t="s">
        <v>80</v>
      </c>
      <c r="P900">
        <v>0</v>
      </c>
      <c r="Q900">
        <v>1</v>
      </c>
      <c r="R900">
        <v>0</v>
      </c>
      <c r="S900">
        <v>0</v>
      </c>
      <c r="T900">
        <v>0</v>
      </c>
      <c r="U900">
        <v>0</v>
      </c>
      <c r="V900">
        <v>0</v>
      </c>
      <c r="W900">
        <v>0</v>
      </c>
      <c r="X900">
        <v>0</v>
      </c>
      <c r="Y900">
        <v>0</v>
      </c>
      <c r="Z900">
        <v>0</v>
      </c>
      <c r="AA900">
        <v>0</v>
      </c>
      <c r="AM900" t="s">
        <v>83</v>
      </c>
      <c r="AN900" t="s">
        <v>81</v>
      </c>
      <c r="AO900" t="s">
        <v>82</v>
      </c>
      <c r="AP900" t="s">
        <v>83</v>
      </c>
      <c r="AQ900" t="s">
        <v>83</v>
      </c>
      <c r="AR900" t="s">
        <v>83</v>
      </c>
      <c r="AS900" t="s">
        <v>83</v>
      </c>
      <c r="AT900" t="s">
        <v>83</v>
      </c>
      <c r="AU900" t="s">
        <v>88</v>
      </c>
      <c r="AV900" t="s">
        <v>89</v>
      </c>
      <c r="AW900" t="s">
        <v>100</v>
      </c>
      <c r="AX900" t="s">
        <v>91</v>
      </c>
      <c r="AZ900" t="s">
        <v>107</v>
      </c>
      <c r="BA900" t="s">
        <v>86</v>
      </c>
      <c r="BB900" t="s">
        <v>87</v>
      </c>
      <c r="BC900" t="s">
        <v>87</v>
      </c>
      <c r="BD900" t="s">
        <v>87</v>
      </c>
      <c r="BE900" t="s">
        <v>87</v>
      </c>
      <c r="BF900" t="s">
        <v>75</v>
      </c>
      <c r="BG900" t="s">
        <v>76</v>
      </c>
      <c r="BH900" t="s">
        <v>93</v>
      </c>
      <c r="BI900" t="s">
        <v>107</v>
      </c>
      <c r="BJ900" t="s">
        <v>78</v>
      </c>
      <c r="BK900">
        <v>0</v>
      </c>
      <c r="BL900">
        <v>0</v>
      </c>
      <c r="BM900">
        <v>0</v>
      </c>
      <c r="BN900">
        <v>0</v>
      </c>
      <c r="BO900">
        <v>0</v>
      </c>
      <c r="BP900">
        <v>1</v>
      </c>
      <c r="BQ900">
        <v>0</v>
      </c>
      <c r="BR900">
        <v>0</v>
      </c>
    </row>
    <row r="901" spans="1:72" x14ac:dyDescent="0.2">
      <c r="A901" s="1">
        <v>44588.957638888889</v>
      </c>
      <c r="B901" s="1">
        <v>44588.959027777775</v>
      </c>
      <c r="C901">
        <v>1</v>
      </c>
      <c r="D901">
        <v>1</v>
      </c>
      <c r="E901">
        <v>0</v>
      </c>
      <c r="F901">
        <v>0</v>
      </c>
      <c r="H901">
        <v>0</v>
      </c>
      <c r="I901">
        <v>1</v>
      </c>
      <c r="J901">
        <v>1</v>
      </c>
      <c r="K901">
        <v>1</v>
      </c>
      <c r="L901">
        <v>0</v>
      </c>
      <c r="N901" t="s">
        <v>88</v>
      </c>
      <c r="O901" t="s">
        <v>89</v>
      </c>
      <c r="P901">
        <v>0</v>
      </c>
      <c r="Q901">
        <v>1</v>
      </c>
      <c r="R901">
        <v>0</v>
      </c>
      <c r="S901">
        <v>0</v>
      </c>
      <c r="T901">
        <v>0</v>
      </c>
      <c r="U901">
        <v>0</v>
      </c>
      <c r="V901">
        <v>0</v>
      </c>
      <c r="W901">
        <v>0</v>
      </c>
      <c r="X901">
        <v>0</v>
      </c>
      <c r="Y901">
        <v>0</v>
      </c>
      <c r="Z901">
        <v>0</v>
      </c>
      <c r="AA901">
        <v>1</v>
      </c>
      <c r="AB901" t="s">
        <v>416</v>
      </c>
      <c r="AM901" t="s">
        <v>81</v>
      </c>
      <c r="AN901" t="s">
        <v>81</v>
      </c>
      <c r="AO901" t="s">
        <v>81</v>
      </c>
      <c r="AP901" t="s">
        <v>82</v>
      </c>
      <c r="AQ901" t="s">
        <v>83</v>
      </c>
      <c r="AR901" t="s">
        <v>90</v>
      </c>
      <c r="AS901" t="s">
        <v>90</v>
      </c>
      <c r="AT901" t="s">
        <v>83</v>
      </c>
      <c r="AU901" t="s">
        <v>135</v>
      </c>
      <c r="AV901" t="s">
        <v>80</v>
      </c>
      <c r="AW901" t="s">
        <v>100</v>
      </c>
      <c r="AZ901" t="s">
        <v>96</v>
      </c>
      <c r="BA901" t="s">
        <v>87</v>
      </c>
      <c r="BB901" t="s">
        <v>87</v>
      </c>
      <c r="BC901" t="s">
        <v>87</v>
      </c>
      <c r="BD901" t="s">
        <v>87</v>
      </c>
      <c r="BE901" t="s">
        <v>87</v>
      </c>
      <c r="BF901" t="s">
        <v>101</v>
      </c>
      <c r="BG901" t="s">
        <v>278</v>
      </c>
      <c r="BH901" t="s">
        <v>184</v>
      </c>
      <c r="BI901" t="s">
        <v>96</v>
      </c>
      <c r="BJ901" t="s">
        <v>114</v>
      </c>
      <c r="BK901">
        <v>0</v>
      </c>
      <c r="BL901">
        <v>0</v>
      </c>
      <c r="BM901">
        <v>0</v>
      </c>
      <c r="BN901">
        <v>0</v>
      </c>
      <c r="BO901">
        <v>0</v>
      </c>
      <c r="BP901">
        <v>1</v>
      </c>
      <c r="BQ901">
        <v>0</v>
      </c>
      <c r="BR901">
        <v>0</v>
      </c>
    </row>
    <row r="902" spans="1:72" x14ac:dyDescent="0.2">
      <c r="A902" s="1">
        <v>44579.813888888886</v>
      </c>
      <c r="B902" s="1">
        <v>44579.815972222219</v>
      </c>
      <c r="C902">
        <v>0</v>
      </c>
      <c r="D902">
        <v>1</v>
      </c>
      <c r="E902">
        <v>0</v>
      </c>
      <c r="F902">
        <v>0</v>
      </c>
      <c r="H902">
        <v>1</v>
      </c>
      <c r="I902">
        <v>0</v>
      </c>
      <c r="J902">
        <v>0</v>
      </c>
      <c r="K902">
        <v>0</v>
      </c>
      <c r="L902">
        <v>0</v>
      </c>
      <c r="P902">
        <v>1</v>
      </c>
      <c r="Q902">
        <v>0</v>
      </c>
      <c r="R902">
        <v>0</v>
      </c>
      <c r="S902">
        <v>0</v>
      </c>
      <c r="T902">
        <v>0</v>
      </c>
      <c r="U902">
        <v>0</v>
      </c>
      <c r="V902">
        <v>0</v>
      </c>
      <c r="W902">
        <v>0</v>
      </c>
      <c r="X902">
        <v>0</v>
      </c>
      <c r="Y902">
        <v>0</v>
      </c>
      <c r="Z902">
        <v>0</v>
      </c>
      <c r="AA902">
        <v>0</v>
      </c>
      <c r="AC902">
        <v>0</v>
      </c>
      <c r="AD902">
        <v>0</v>
      </c>
      <c r="AE902">
        <v>0</v>
      </c>
      <c r="AF902">
        <v>0</v>
      </c>
      <c r="AG902">
        <v>0</v>
      </c>
      <c r="AH902">
        <v>0</v>
      </c>
      <c r="AI902">
        <v>0</v>
      </c>
      <c r="AJ902">
        <v>0</v>
      </c>
      <c r="AK902">
        <v>1</v>
      </c>
      <c r="AL902" t="s">
        <v>417</v>
      </c>
      <c r="AX902" t="s">
        <v>128</v>
      </c>
      <c r="AZ902" t="s">
        <v>107</v>
      </c>
      <c r="BA902" t="s">
        <v>86</v>
      </c>
      <c r="BB902" t="s">
        <v>86</v>
      </c>
      <c r="BC902" t="s">
        <v>86</v>
      </c>
      <c r="BD902" t="s">
        <v>86</v>
      </c>
      <c r="BE902" t="s">
        <v>86</v>
      </c>
      <c r="BF902" t="s">
        <v>75</v>
      </c>
      <c r="BG902" t="s">
        <v>225</v>
      </c>
      <c r="BH902" t="s">
        <v>93</v>
      </c>
      <c r="BI902" t="s">
        <v>107</v>
      </c>
      <c r="BJ902" t="s">
        <v>114</v>
      </c>
      <c r="BK902">
        <v>0</v>
      </c>
      <c r="BL902">
        <v>0</v>
      </c>
      <c r="BM902">
        <v>0</v>
      </c>
      <c r="BN902">
        <v>0</v>
      </c>
      <c r="BO902">
        <v>0</v>
      </c>
      <c r="BP902">
        <v>1</v>
      </c>
      <c r="BQ902">
        <v>0</v>
      </c>
      <c r="BR902">
        <v>0</v>
      </c>
    </row>
    <row r="903" spans="1:72" x14ac:dyDescent="0.2">
      <c r="A903" s="1">
        <v>44585.742361111108</v>
      </c>
      <c r="B903" s="1">
        <v>44585.744444444441</v>
      </c>
      <c r="C903">
        <v>1</v>
      </c>
      <c r="D903">
        <v>0</v>
      </c>
      <c r="E903">
        <v>0</v>
      </c>
      <c r="F903">
        <v>0</v>
      </c>
      <c r="H903">
        <v>0</v>
      </c>
      <c r="I903">
        <v>1</v>
      </c>
      <c r="J903">
        <v>1</v>
      </c>
      <c r="K903">
        <v>0</v>
      </c>
      <c r="L903">
        <v>0</v>
      </c>
      <c r="N903" t="s">
        <v>135</v>
      </c>
      <c r="O903" t="s">
        <v>89</v>
      </c>
      <c r="P903">
        <v>0</v>
      </c>
      <c r="Q903">
        <v>0</v>
      </c>
      <c r="R903">
        <v>1</v>
      </c>
      <c r="S903">
        <v>0</v>
      </c>
      <c r="T903">
        <v>0</v>
      </c>
      <c r="U903">
        <v>0</v>
      </c>
      <c r="V903">
        <v>0</v>
      </c>
      <c r="W903">
        <v>0</v>
      </c>
      <c r="X903">
        <v>0</v>
      </c>
      <c r="Y903">
        <v>0</v>
      </c>
      <c r="Z903">
        <v>0</v>
      </c>
      <c r="AA903">
        <v>0</v>
      </c>
      <c r="AM903" t="s">
        <v>83</v>
      </c>
      <c r="AN903" t="s">
        <v>82</v>
      </c>
      <c r="AO903" t="s">
        <v>82</v>
      </c>
      <c r="AP903" t="s">
        <v>82</v>
      </c>
      <c r="AQ903" t="s">
        <v>81</v>
      </c>
      <c r="AR903" t="s">
        <v>81</v>
      </c>
      <c r="AS903" t="s">
        <v>83</v>
      </c>
      <c r="AT903" t="s">
        <v>81</v>
      </c>
      <c r="AU903" t="s">
        <v>88</v>
      </c>
      <c r="AV903" t="s">
        <v>89</v>
      </c>
      <c r="AW903" t="s">
        <v>100</v>
      </c>
      <c r="AX903" t="s">
        <v>106</v>
      </c>
      <c r="AZ903" t="s">
        <v>96</v>
      </c>
      <c r="BA903" t="s">
        <v>87</v>
      </c>
      <c r="BB903" t="s">
        <v>87</v>
      </c>
      <c r="BC903" t="s">
        <v>87</v>
      </c>
      <c r="BD903" t="s">
        <v>74</v>
      </c>
      <c r="BE903" t="s">
        <v>86</v>
      </c>
      <c r="BF903" t="s">
        <v>75</v>
      </c>
      <c r="BG903" t="s">
        <v>92</v>
      </c>
      <c r="BH903" t="s">
        <v>184</v>
      </c>
      <c r="BI903" t="s">
        <v>96</v>
      </c>
      <c r="BJ903" t="s">
        <v>78</v>
      </c>
      <c r="BK903">
        <v>0</v>
      </c>
      <c r="BL903">
        <v>0</v>
      </c>
      <c r="BM903">
        <v>0</v>
      </c>
      <c r="BN903">
        <v>0</v>
      </c>
      <c r="BO903">
        <v>0</v>
      </c>
      <c r="BP903">
        <v>1</v>
      </c>
      <c r="BQ903">
        <v>0</v>
      </c>
      <c r="BR903">
        <v>0</v>
      </c>
    </row>
    <row r="904" spans="1:72" x14ac:dyDescent="0.2">
      <c r="A904" s="1">
        <v>44591.032638888886</v>
      </c>
      <c r="B904" s="1">
        <v>44591.03402777778</v>
      </c>
      <c r="C904">
        <v>0</v>
      </c>
      <c r="D904">
        <v>0</v>
      </c>
      <c r="E904">
        <v>1</v>
      </c>
      <c r="F904">
        <v>0</v>
      </c>
      <c r="G904" t="s">
        <v>418</v>
      </c>
      <c r="H904">
        <v>0</v>
      </c>
      <c r="I904">
        <v>0</v>
      </c>
      <c r="J904">
        <v>1</v>
      </c>
      <c r="K904">
        <v>0</v>
      </c>
      <c r="L904">
        <v>0</v>
      </c>
      <c r="N904" t="s">
        <v>135</v>
      </c>
      <c r="O904" t="s">
        <v>80</v>
      </c>
      <c r="P904">
        <v>1</v>
      </c>
      <c r="Q904">
        <v>0</v>
      </c>
      <c r="R904">
        <v>0</v>
      </c>
      <c r="S904">
        <v>0</v>
      </c>
      <c r="T904">
        <v>0</v>
      </c>
      <c r="U904">
        <v>0</v>
      </c>
      <c r="V904">
        <v>0</v>
      </c>
      <c r="W904">
        <v>0</v>
      </c>
      <c r="X904">
        <v>0</v>
      </c>
      <c r="Y904">
        <v>0</v>
      </c>
      <c r="Z904">
        <v>0</v>
      </c>
      <c r="AA904">
        <v>0</v>
      </c>
      <c r="AC904">
        <v>0</v>
      </c>
      <c r="AD904">
        <v>1</v>
      </c>
      <c r="AE904">
        <v>0</v>
      </c>
      <c r="AF904">
        <v>0</v>
      </c>
      <c r="AG904">
        <v>0</v>
      </c>
      <c r="AH904">
        <v>0</v>
      </c>
      <c r="AI904">
        <v>0</v>
      </c>
      <c r="AJ904">
        <v>0</v>
      </c>
      <c r="AK904">
        <v>0</v>
      </c>
      <c r="AZ904" t="s">
        <v>96</v>
      </c>
      <c r="BA904" t="s">
        <v>86</v>
      </c>
      <c r="BB904" t="s">
        <v>86</v>
      </c>
      <c r="BC904" t="s">
        <v>74</v>
      </c>
      <c r="BD904" t="s">
        <v>74</v>
      </c>
      <c r="BE904" t="s">
        <v>86</v>
      </c>
      <c r="BF904" t="s">
        <v>159</v>
      </c>
      <c r="BG904" t="s">
        <v>419</v>
      </c>
      <c r="BH904" t="s">
        <v>184</v>
      </c>
      <c r="BI904" t="s">
        <v>96</v>
      </c>
      <c r="BJ904" t="s">
        <v>176</v>
      </c>
      <c r="BK904">
        <v>0</v>
      </c>
      <c r="BL904">
        <v>0</v>
      </c>
      <c r="BM904">
        <v>0</v>
      </c>
      <c r="BN904">
        <v>0</v>
      </c>
      <c r="BO904">
        <v>0</v>
      </c>
      <c r="BP904">
        <v>1</v>
      </c>
      <c r="BQ904">
        <v>0</v>
      </c>
      <c r="BR904">
        <v>0</v>
      </c>
    </row>
    <row r="905" spans="1:72" x14ac:dyDescent="0.2">
      <c r="A905" s="1">
        <v>44585.705555555556</v>
      </c>
      <c r="B905" s="1">
        <v>44585.707638888889</v>
      </c>
      <c r="C905">
        <v>0</v>
      </c>
      <c r="D905">
        <v>1</v>
      </c>
      <c r="E905">
        <v>0</v>
      </c>
      <c r="F905">
        <v>0</v>
      </c>
      <c r="H905">
        <v>0</v>
      </c>
      <c r="I905">
        <v>0</v>
      </c>
      <c r="J905">
        <v>1</v>
      </c>
      <c r="K905">
        <v>1</v>
      </c>
      <c r="L905">
        <v>0</v>
      </c>
      <c r="N905" t="s">
        <v>88</v>
      </c>
      <c r="O905" t="s">
        <v>89</v>
      </c>
      <c r="P905">
        <v>0</v>
      </c>
      <c r="Q905">
        <v>0</v>
      </c>
      <c r="R905">
        <v>0</v>
      </c>
      <c r="S905">
        <v>0</v>
      </c>
      <c r="T905">
        <v>0</v>
      </c>
      <c r="U905">
        <v>0</v>
      </c>
      <c r="V905">
        <v>0</v>
      </c>
      <c r="W905">
        <v>0</v>
      </c>
      <c r="X905">
        <v>0</v>
      </c>
      <c r="Y905">
        <v>0</v>
      </c>
      <c r="Z905">
        <v>0</v>
      </c>
      <c r="AA905">
        <v>1</v>
      </c>
      <c r="AB905" t="s">
        <v>420</v>
      </c>
      <c r="AM905" t="s">
        <v>90</v>
      </c>
      <c r="AN905" t="s">
        <v>81</v>
      </c>
      <c r="AO905" t="s">
        <v>82</v>
      </c>
      <c r="AP905" t="s">
        <v>82</v>
      </c>
      <c r="AQ905" t="s">
        <v>90</v>
      </c>
      <c r="AR905" t="s">
        <v>90</v>
      </c>
      <c r="AS905" t="s">
        <v>90</v>
      </c>
      <c r="AT905" t="s">
        <v>83</v>
      </c>
      <c r="AU905" t="s">
        <v>88</v>
      </c>
      <c r="AV905" t="s">
        <v>89</v>
      </c>
      <c r="AW905" t="s">
        <v>169</v>
      </c>
      <c r="AZ905" t="s">
        <v>96</v>
      </c>
      <c r="BA905" t="s">
        <v>87</v>
      </c>
      <c r="BB905" t="s">
        <v>87</v>
      </c>
      <c r="BC905" t="s">
        <v>87</v>
      </c>
      <c r="BD905" t="s">
        <v>87</v>
      </c>
      <c r="BE905" t="s">
        <v>87</v>
      </c>
      <c r="BF905" t="s">
        <v>159</v>
      </c>
      <c r="BG905" t="s">
        <v>76</v>
      </c>
      <c r="BH905" t="s">
        <v>184</v>
      </c>
      <c r="BI905" t="s">
        <v>96</v>
      </c>
      <c r="BK905">
        <v>0</v>
      </c>
      <c r="BL905">
        <v>0</v>
      </c>
      <c r="BM905">
        <v>0</v>
      </c>
      <c r="BN905">
        <v>0</v>
      </c>
      <c r="BO905">
        <v>1</v>
      </c>
      <c r="BP905">
        <v>1</v>
      </c>
      <c r="BQ905">
        <v>0</v>
      </c>
      <c r="BR905">
        <v>0</v>
      </c>
      <c r="BT905" t="s">
        <v>109</v>
      </c>
    </row>
    <row r="906" spans="1:72" x14ac:dyDescent="0.2">
      <c r="A906" s="1">
        <v>44579.878472222219</v>
      </c>
      <c r="B906" s="1">
        <v>44579.879861111112</v>
      </c>
      <c r="C906">
        <v>1</v>
      </c>
      <c r="D906">
        <v>0</v>
      </c>
      <c r="E906">
        <v>0</v>
      </c>
      <c r="F906">
        <v>0</v>
      </c>
      <c r="H906">
        <v>1</v>
      </c>
      <c r="I906">
        <v>0</v>
      </c>
      <c r="J906">
        <v>0</v>
      </c>
      <c r="K906">
        <v>0</v>
      </c>
      <c r="L906">
        <v>0</v>
      </c>
      <c r="P906">
        <v>0</v>
      </c>
      <c r="Q906">
        <v>1</v>
      </c>
      <c r="R906">
        <v>1</v>
      </c>
      <c r="S906">
        <v>0</v>
      </c>
      <c r="T906">
        <v>0</v>
      </c>
      <c r="U906">
        <v>0</v>
      </c>
      <c r="V906">
        <v>0</v>
      </c>
      <c r="W906">
        <v>0</v>
      </c>
      <c r="X906">
        <v>0</v>
      </c>
      <c r="Y906">
        <v>0</v>
      </c>
      <c r="Z906">
        <v>0</v>
      </c>
      <c r="AA906">
        <v>0</v>
      </c>
      <c r="AM906" t="s">
        <v>83</v>
      </c>
      <c r="AN906" t="s">
        <v>82</v>
      </c>
      <c r="AO906" t="s">
        <v>82</v>
      </c>
      <c r="AP906" t="s">
        <v>83</v>
      </c>
      <c r="AQ906" t="s">
        <v>83</v>
      </c>
      <c r="AR906" t="s">
        <v>83</v>
      </c>
      <c r="AS906" t="s">
        <v>81</v>
      </c>
      <c r="AT906" t="s">
        <v>83</v>
      </c>
      <c r="AU906" t="s">
        <v>88</v>
      </c>
      <c r="AV906" t="s">
        <v>89</v>
      </c>
      <c r="AW906" t="s">
        <v>100</v>
      </c>
      <c r="AX906" t="s">
        <v>106</v>
      </c>
      <c r="AZ906" t="s">
        <v>73</v>
      </c>
      <c r="BA906" t="s">
        <v>87</v>
      </c>
      <c r="BB906" t="s">
        <v>87</v>
      </c>
      <c r="BC906" t="s">
        <v>87</v>
      </c>
      <c r="BD906" t="s">
        <v>87</v>
      </c>
      <c r="BE906" t="s">
        <v>87</v>
      </c>
      <c r="BF906" t="s">
        <v>75</v>
      </c>
      <c r="BG906" t="s">
        <v>76</v>
      </c>
      <c r="BH906" t="s">
        <v>77</v>
      </c>
      <c r="BI906" t="s">
        <v>73</v>
      </c>
      <c r="BJ906" t="s">
        <v>114</v>
      </c>
      <c r="BK906">
        <v>0</v>
      </c>
      <c r="BL906">
        <v>0</v>
      </c>
      <c r="BM906">
        <v>0</v>
      </c>
      <c r="BN906">
        <v>1</v>
      </c>
      <c r="BO906">
        <v>0</v>
      </c>
      <c r="BP906">
        <v>0</v>
      </c>
      <c r="BQ906">
        <v>0</v>
      </c>
      <c r="BR906">
        <v>0</v>
      </c>
    </row>
    <row r="907" spans="1:72" x14ac:dyDescent="0.2">
      <c r="A907" s="1">
        <v>44579.898611111108</v>
      </c>
      <c r="B907" s="1">
        <v>44579.90347222222</v>
      </c>
      <c r="C907">
        <v>1</v>
      </c>
      <c r="D907">
        <v>0</v>
      </c>
      <c r="E907">
        <v>0</v>
      </c>
      <c r="F907">
        <v>0</v>
      </c>
      <c r="H907">
        <v>0</v>
      </c>
      <c r="I907">
        <v>0</v>
      </c>
      <c r="J907">
        <v>1</v>
      </c>
      <c r="K907">
        <v>0</v>
      </c>
      <c r="L907">
        <v>0</v>
      </c>
      <c r="N907" t="s">
        <v>135</v>
      </c>
      <c r="O907" t="s">
        <v>80</v>
      </c>
      <c r="P907">
        <v>1</v>
      </c>
      <c r="Q907">
        <v>0</v>
      </c>
      <c r="R907">
        <v>0</v>
      </c>
      <c r="S907">
        <v>0</v>
      </c>
      <c r="T907">
        <v>0</v>
      </c>
      <c r="U907">
        <v>0</v>
      </c>
      <c r="V907">
        <v>0</v>
      </c>
      <c r="W907">
        <v>0</v>
      </c>
      <c r="X907">
        <v>0</v>
      </c>
      <c r="Y907">
        <v>0</v>
      </c>
      <c r="Z907">
        <v>0</v>
      </c>
      <c r="AA907">
        <v>0</v>
      </c>
      <c r="AC907">
        <v>0</v>
      </c>
      <c r="AD907">
        <v>1</v>
      </c>
      <c r="AE907">
        <v>0</v>
      </c>
      <c r="AF907">
        <v>0</v>
      </c>
      <c r="AG907">
        <v>0</v>
      </c>
      <c r="AH907">
        <v>0</v>
      </c>
      <c r="AI907">
        <v>0</v>
      </c>
      <c r="AJ907">
        <v>0</v>
      </c>
      <c r="AK907">
        <v>0</v>
      </c>
      <c r="AZ907" t="s">
        <v>107</v>
      </c>
      <c r="BA907" t="s">
        <v>74</v>
      </c>
      <c r="BF907" t="s">
        <v>159</v>
      </c>
      <c r="BG907" t="s">
        <v>76</v>
      </c>
      <c r="BH907" t="s">
        <v>93</v>
      </c>
      <c r="BI907" t="s">
        <v>107</v>
      </c>
      <c r="BJ907" t="s">
        <v>78</v>
      </c>
      <c r="BK907">
        <v>0</v>
      </c>
      <c r="BL907">
        <v>0</v>
      </c>
      <c r="BM907">
        <v>0</v>
      </c>
      <c r="BN907">
        <v>0</v>
      </c>
      <c r="BO907">
        <v>0</v>
      </c>
      <c r="BP907">
        <v>1</v>
      </c>
      <c r="BQ907">
        <v>0</v>
      </c>
      <c r="BR907">
        <v>0</v>
      </c>
    </row>
    <row r="908" spans="1:72" x14ac:dyDescent="0.2">
      <c r="A908" s="1">
        <v>44585.517361111109</v>
      </c>
      <c r="B908" s="1">
        <v>44585.521527777775</v>
      </c>
      <c r="C908">
        <v>1</v>
      </c>
      <c r="D908">
        <v>0</v>
      </c>
      <c r="E908">
        <v>0</v>
      </c>
      <c r="F908">
        <v>0</v>
      </c>
      <c r="H908">
        <v>1</v>
      </c>
      <c r="I908">
        <v>0</v>
      </c>
      <c r="J908">
        <v>0</v>
      </c>
      <c r="K908">
        <v>0</v>
      </c>
      <c r="L908">
        <v>0</v>
      </c>
      <c r="P908">
        <v>1</v>
      </c>
      <c r="Q908">
        <v>0</v>
      </c>
      <c r="R908">
        <v>0</v>
      </c>
      <c r="S908">
        <v>0</v>
      </c>
      <c r="T908">
        <v>0</v>
      </c>
      <c r="U908">
        <v>0</v>
      </c>
      <c r="V908">
        <v>0</v>
      </c>
      <c r="W908">
        <v>0</v>
      </c>
      <c r="X908">
        <v>0</v>
      </c>
      <c r="Y908">
        <v>0</v>
      </c>
      <c r="Z908">
        <v>0</v>
      </c>
      <c r="AA908">
        <v>0</v>
      </c>
      <c r="AC908">
        <v>0</v>
      </c>
      <c r="AD908">
        <v>0</v>
      </c>
      <c r="AE908">
        <v>0</v>
      </c>
      <c r="AF908">
        <v>0</v>
      </c>
      <c r="AG908">
        <v>0</v>
      </c>
      <c r="AH908">
        <v>0</v>
      </c>
      <c r="AI908">
        <v>0</v>
      </c>
      <c r="AJ908">
        <v>0</v>
      </c>
      <c r="AK908">
        <v>1</v>
      </c>
      <c r="AL908" t="s">
        <v>421</v>
      </c>
      <c r="AX908" t="s">
        <v>170</v>
      </c>
      <c r="AZ908" t="s">
        <v>73</v>
      </c>
      <c r="BA908" t="s">
        <v>74</v>
      </c>
      <c r="BF908" t="s">
        <v>75</v>
      </c>
      <c r="BG908" t="s">
        <v>369</v>
      </c>
      <c r="BH908" t="s">
        <v>77</v>
      </c>
      <c r="BI908" t="s">
        <v>73</v>
      </c>
      <c r="BJ908" t="s">
        <v>78</v>
      </c>
      <c r="BK908">
        <v>0</v>
      </c>
      <c r="BL908">
        <v>0</v>
      </c>
      <c r="BM908">
        <v>0</v>
      </c>
      <c r="BN908">
        <v>0</v>
      </c>
      <c r="BO908">
        <v>0</v>
      </c>
      <c r="BP908">
        <v>1</v>
      </c>
      <c r="BQ908">
        <v>0</v>
      </c>
      <c r="BR908">
        <v>0</v>
      </c>
    </row>
    <row r="909" spans="1:72" x14ac:dyDescent="0.2">
      <c r="A909" s="1">
        <v>44579.972222222219</v>
      </c>
      <c r="B909" s="1">
        <v>44579.974305555559</v>
      </c>
      <c r="C909">
        <v>0</v>
      </c>
      <c r="D909">
        <v>1</v>
      </c>
      <c r="E909">
        <v>0</v>
      </c>
      <c r="F909">
        <v>0</v>
      </c>
      <c r="H909">
        <v>0</v>
      </c>
      <c r="I909">
        <v>1</v>
      </c>
      <c r="J909">
        <v>1</v>
      </c>
      <c r="K909">
        <v>0</v>
      </c>
      <c r="L909">
        <v>0</v>
      </c>
      <c r="N909" t="s">
        <v>88</v>
      </c>
      <c r="O909" t="s">
        <v>80</v>
      </c>
      <c r="P909">
        <v>0</v>
      </c>
      <c r="Q909">
        <v>0</v>
      </c>
      <c r="R909">
        <v>0</v>
      </c>
      <c r="S909">
        <v>0</v>
      </c>
      <c r="T909">
        <v>1</v>
      </c>
      <c r="U909">
        <v>0</v>
      </c>
      <c r="V909">
        <v>0</v>
      </c>
      <c r="W909">
        <v>0</v>
      </c>
      <c r="X909">
        <v>0</v>
      </c>
      <c r="Y909">
        <v>0</v>
      </c>
      <c r="Z909">
        <v>0</v>
      </c>
      <c r="AA909">
        <v>0</v>
      </c>
      <c r="AM909" t="s">
        <v>83</v>
      </c>
      <c r="AN909" t="s">
        <v>82</v>
      </c>
      <c r="AO909" t="s">
        <v>81</v>
      </c>
      <c r="AP909" t="s">
        <v>81</v>
      </c>
      <c r="AQ909" t="s">
        <v>82</v>
      </c>
      <c r="AR909" t="s">
        <v>83</v>
      </c>
      <c r="AS909" t="s">
        <v>82</v>
      </c>
      <c r="AT909" t="s">
        <v>81</v>
      </c>
      <c r="AU909" t="s">
        <v>88</v>
      </c>
      <c r="AV909" t="s">
        <v>89</v>
      </c>
      <c r="AW909" t="s">
        <v>85</v>
      </c>
      <c r="AX909" t="s">
        <v>72</v>
      </c>
      <c r="AZ909" t="s">
        <v>107</v>
      </c>
      <c r="BA909" t="s">
        <v>87</v>
      </c>
      <c r="BB909" t="s">
        <v>87</v>
      </c>
      <c r="BC909" t="s">
        <v>87</v>
      </c>
      <c r="BD909" t="s">
        <v>87</v>
      </c>
      <c r="BE909" t="s">
        <v>87</v>
      </c>
      <c r="BF909" t="s">
        <v>75</v>
      </c>
      <c r="BG909" t="s">
        <v>76</v>
      </c>
      <c r="BH909" t="s">
        <v>77</v>
      </c>
      <c r="BI909" t="s">
        <v>107</v>
      </c>
      <c r="BK909">
        <v>0</v>
      </c>
      <c r="BL909">
        <v>0</v>
      </c>
      <c r="BM909">
        <v>0</v>
      </c>
      <c r="BN909">
        <v>0</v>
      </c>
      <c r="BO909">
        <v>0</v>
      </c>
      <c r="BP909">
        <v>1</v>
      </c>
      <c r="BQ909">
        <v>0</v>
      </c>
      <c r="BR909">
        <v>0</v>
      </c>
      <c r="BT909" t="s">
        <v>138</v>
      </c>
    </row>
    <row r="910" spans="1:72" x14ac:dyDescent="0.2">
      <c r="A910" s="1">
        <v>44579.919444444444</v>
      </c>
      <c r="B910" s="1">
        <v>44579.92291666667</v>
      </c>
      <c r="C910">
        <v>1</v>
      </c>
      <c r="D910">
        <v>0</v>
      </c>
      <c r="E910">
        <v>0</v>
      </c>
      <c r="F910">
        <v>0</v>
      </c>
      <c r="H910">
        <v>0</v>
      </c>
      <c r="I910">
        <v>1</v>
      </c>
      <c r="J910">
        <v>0</v>
      </c>
      <c r="K910">
        <v>0</v>
      </c>
      <c r="L910">
        <v>0</v>
      </c>
      <c r="N910" t="s">
        <v>135</v>
      </c>
      <c r="O910" t="s">
        <v>80</v>
      </c>
      <c r="P910">
        <v>0</v>
      </c>
      <c r="Q910">
        <v>1</v>
      </c>
      <c r="R910">
        <v>0</v>
      </c>
      <c r="S910">
        <v>0</v>
      </c>
      <c r="T910">
        <v>0</v>
      </c>
      <c r="U910">
        <v>0</v>
      </c>
      <c r="V910">
        <v>0</v>
      </c>
      <c r="W910">
        <v>0</v>
      </c>
      <c r="X910">
        <v>0</v>
      </c>
      <c r="Y910">
        <v>0</v>
      </c>
      <c r="Z910">
        <v>0</v>
      </c>
      <c r="AA910">
        <v>0</v>
      </c>
      <c r="AM910" t="s">
        <v>81</v>
      </c>
      <c r="AN910" t="s">
        <v>82</v>
      </c>
      <c r="AO910" t="s">
        <v>81</v>
      </c>
      <c r="AP910" t="s">
        <v>90</v>
      </c>
      <c r="AQ910" t="s">
        <v>82</v>
      </c>
      <c r="AR910" t="s">
        <v>83</v>
      </c>
      <c r="AS910" t="s">
        <v>83</v>
      </c>
      <c r="AT910" t="s">
        <v>83</v>
      </c>
      <c r="AU910" t="s">
        <v>84</v>
      </c>
      <c r="AV910" t="s">
        <v>80</v>
      </c>
      <c r="AW910" t="s">
        <v>100</v>
      </c>
      <c r="AX910" t="s">
        <v>110</v>
      </c>
      <c r="AY910" t="s">
        <v>422</v>
      </c>
      <c r="AZ910" t="s">
        <v>96</v>
      </c>
      <c r="BA910" t="s">
        <v>86</v>
      </c>
      <c r="BB910" t="s">
        <v>86</v>
      </c>
      <c r="BC910" t="s">
        <v>86</v>
      </c>
      <c r="BD910" t="s">
        <v>86</v>
      </c>
      <c r="BE910" t="s">
        <v>74</v>
      </c>
      <c r="BF910" t="s">
        <v>75</v>
      </c>
      <c r="BG910" t="s">
        <v>76</v>
      </c>
      <c r="BH910" t="s">
        <v>93</v>
      </c>
      <c r="BI910" t="s">
        <v>96</v>
      </c>
      <c r="BJ910" t="s">
        <v>212</v>
      </c>
      <c r="BK910">
        <v>0</v>
      </c>
      <c r="BL910">
        <v>0</v>
      </c>
      <c r="BM910">
        <v>0</v>
      </c>
      <c r="BN910">
        <v>0</v>
      </c>
      <c r="BO910">
        <v>0</v>
      </c>
      <c r="BP910">
        <v>0</v>
      </c>
      <c r="BQ910">
        <v>0</v>
      </c>
      <c r="BR910">
        <v>1</v>
      </c>
    </row>
    <row r="911" spans="1:72" x14ac:dyDescent="0.2">
      <c r="A911" s="1">
        <v>44588.880555555559</v>
      </c>
      <c r="B911" s="1">
        <v>44588.884027777778</v>
      </c>
      <c r="C911">
        <v>1</v>
      </c>
      <c r="D911">
        <v>0</v>
      </c>
      <c r="E911">
        <v>0</v>
      </c>
      <c r="F911">
        <v>0</v>
      </c>
      <c r="H911">
        <v>1</v>
      </c>
      <c r="I911">
        <v>0</v>
      </c>
      <c r="J911">
        <v>0</v>
      </c>
      <c r="K911">
        <v>0</v>
      </c>
      <c r="L911">
        <v>0</v>
      </c>
      <c r="P911">
        <v>1</v>
      </c>
      <c r="Q911">
        <v>0</v>
      </c>
      <c r="R911">
        <v>0</v>
      </c>
      <c r="S911">
        <v>0</v>
      </c>
      <c r="T911">
        <v>0</v>
      </c>
      <c r="U911">
        <v>0</v>
      </c>
      <c r="V911">
        <v>0</v>
      </c>
      <c r="W911">
        <v>0</v>
      </c>
      <c r="X911">
        <v>0</v>
      </c>
      <c r="Y911">
        <v>0</v>
      </c>
      <c r="Z911">
        <v>0</v>
      </c>
      <c r="AA911">
        <v>0</v>
      </c>
      <c r="AC911">
        <v>0</v>
      </c>
      <c r="AD911">
        <v>0</v>
      </c>
      <c r="AE911">
        <v>1</v>
      </c>
      <c r="AF911">
        <v>0</v>
      </c>
      <c r="AG911">
        <v>0</v>
      </c>
      <c r="AH911">
        <v>0</v>
      </c>
      <c r="AI911">
        <v>0</v>
      </c>
      <c r="AJ911">
        <v>0</v>
      </c>
      <c r="AK911">
        <v>0</v>
      </c>
      <c r="AZ911" t="s">
        <v>120</v>
      </c>
      <c r="BA911" t="s">
        <v>87</v>
      </c>
      <c r="BB911" t="s">
        <v>87</v>
      </c>
      <c r="BC911" t="s">
        <v>87</v>
      </c>
      <c r="BD911" t="s">
        <v>87</v>
      </c>
      <c r="BE911" t="s">
        <v>87</v>
      </c>
      <c r="BF911" t="s">
        <v>101</v>
      </c>
      <c r="BG911" t="s">
        <v>278</v>
      </c>
      <c r="BH911" t="s">
        <v>184</v>
      </c>
      <c r="BI911" t="s">
        <v>120</v>
      </c>
      <c r="BK911">
        <v>0</v>
      </c>
      <c r="BL911">
        <v>0</v>
      </c>
      <c r="BM911">
        <v>0</v>
      </c>
      <c r="BN911">
        <v>0</v>
      </c>
      <c r="BO911">
        <v>0</v>
      </c>
      <c r="BP911">
        <v>1</v>
      </c>
      <c r="BQ911">
        <v>0</v>
      </c>
      <c r="BR911">
        <v>0</v>
      </c>
      <c r="BT911" t="s">
        <v>109</v>
      </c>
    </row>
    <row r="912" spans="1:72" x14ac:dyDescent="0.2">
      <c r="A912" s="1">
        <v>44580.090277777781</v>
      </c>
      <c r="B912" s="1">
        <v>44580.094444444447</v>
      </c>
      <c r="C912">
        <v>1</v>
      </c>
      <c r="D912">
        <v>0</v>
      </c>
      <c r="E912">
        <v>0</v>
      </c>
      <c r="F912">
        <v>0</v>
      </c>
      <c r="H912">
        <v>0</v>
      </c>
      <c r="I912">
        <v>1</v>
      </c>
      <c r="J912">
        <v>0</v>
      </c>
      <c r="K912">
        <v>1</v>
      </c>
      <c r="L912">
        <v>0</v>
      </c>
      <c r="N912" t="s">
        <v>88</v>
      </c>
      <c r="O912" t="s">
        <v>89</v>
      </c>
      <c r="P912">
        <v>0</v>
      </c>
      <c r="Q912">
        <v>1</v>
      </c>
      <c r="R912">
        <v>0</v>
      </c>
      <c r="S912">
        <v>0</v>
      </c>
      <c r="T912">
        <v>0</v>
      </c>
      <c r="U912">
        <v>0</v>
      </c>
      <c r="V912">
        <v>0</v>
      </c>
      <c r="W912">
        <v>0</v>
      </c>
      <c r="X912">
        <v>0</v>
      </c>
      <c r="Y912">
        <v>0</v>
      </c>
      <c r="Z912">
        <v>0</v>
      </c>
      <c r="AA912">
        <v>0</v>
      </c>
      <c r="AM912" t="s">
        <v>83</v>
      </c>
      <c r="AN912" t="s">
        <v>81</v>
      </c>
      <c r="AO912" t="s">
        <v>82</v>
      </c>
      <c r="AP912" t="s">
        <v>82</v>
      </c>
      <c r="AQ912" t="s">
        <v>83</v>
      </c>
      <c r="AR912" t="s">
        <v>83</v>
      </c>
      <c r="AS912" t="s">
        <v>83</v>
      </c>
      <c r="AT912" t="s">
        <v>83</v>
      </c>
      <c r="AU912" t="s">
        <v>88</v>
      </c>
      <c r="AV912" t="s">
        <v>89</v>
      </c>
      <c r="AW912" t="s">
        <v>100</v>
      </c>
      <c r="AX912" t="s">
        <v>122</v>
      </c>
      <c r="AZ912" t="s">
        <v>107</v>
      </c>
      <c r="BA912" t="s">
        <v>86</v>
      </c>
      <c r="BB912" t="s">
        <v>87</v>
      </c>
      <c r="BC912" t="s">
        <v>87</v>
      </c>
      <c r="BD912" t="s">
        <v>87</v>
      </c>
      <c r="BE912" t="s">
        <v>87</v>
      </c>
      <c r="BF912" t="s">
        <v>75</v>
      </c>
      <c r="BG912" t="s">
        <v>76</v>
      </c>
      <c r="BH912" t="s">
        <v>93</v>
      </c>
      <c r="BI912" t="s">
        <v>107</v>
      </c>
      <c r="BJ912" t="s">
        <v>94</v>
      </c>
      <c r="BK912">
        <v>0</v>
      </c>
      <c r="BL912">
        <v>0</v>
      </c>
      <c r="BM912">
        <v>0</v>
      </c>
      <c r="BN912">
        <v>0</v>
      </c>
      <c r="BO912">
        <v>0</v>
      </c>
      <c r="BP912">
        <v>1</v>
      </c>
      <c r="BQ912">
        <v>0</v>
      </c>
      <c r="BR912">
        <v>0</v>
      </c>
    </row>
    <row r="913" spans="1:70" x14ac:dyDescent="0.2">
      <c r="A913" s="1">
        <v>44585.547222222223</v>
      </c>
      <c r="B913" s="1">
        <v>44585.548611111109</v>
      </c>
      <c r="C913">
        <v>1</v>
      </c>
      <c r="D913">
        <v>0</v>
      </c>
      <c r="E913">
        <v>0</v>
      </c>
      <c r="F913">
        <v>0</v>
      </c>
      <c r="H913">
        <v>1</v>
      </c>
      <c r="I913">
        <v>0</v>
      </c>
      <c r="J913">
        <v>0</v>
      </c>
      <c r="K913">
        <v>0</v>
      </c>
      <c r="L913">
        <v>0</v>
      </c>
      <c r="P913">
        <v>1</v>
      </c>
      <c r="Q913">
        <v>0</v>
      </c>
      <c r="R913">
        <v>0</v>
      </c>
      <c r="S913">
        <v>0</v>
      </c>
      <c r="T913">
        <v>0</v>
      </c>
      <c r="U913">
        <v>0</v>
      </c>
      <c r="V913">
        <v>0</v>
      </c>
      <c r="W913">
        <v>0</v>
      </c>
      <c r="X913">
        <v>0</v>
      </c>
      <c r="Y913">
        <v>0</v>
      </c>
      <c r="Z913">
        <v>0</v>
      </c>
      <c r="AA913">
        <v>0</v>
      </c>
      <c r="AC913">
        <v>0</v>
      </c>
      <c r="AD913">
        <v>0</v>
      </c>
      <c r="AE913">
        <v>0</v>
      </c>
      <c r="AF913">
        <v>0</v>
      </c>
      <c r="AG913">
        <v>0</v>
      </c>
      <c r="AH913">
        <v>0</v>
      </c>
      <c r="AI913">
        <v>1</v>
      </c>
      <c r="AJ913">
        <v>0</v>
      </c>
      <c r="AK913">
        <v>0</v>
      </c>
      <c r="AX913" t="s">
        <v>118</v>
      </c>
      <c r="AZ913" t="s">
        <v>73</v>
      </c>
      <c r="BA913" t="s">
        <v>86</v>
      </c>
      <c r="BB913" t="s">
        <v>86</v>
      </c>
      <c r="BC913" t="s">
        <v>86</v>
      </c>
      <c r="BD913" t="s">
        <v>86</v>
      </c>
      <c r="BE913" t="s">
        <v>86</v>
      </c>
      <c r="BF913" t="s">
        <v>108</v>
      </c>
      <c r="BG913" t="s">
        <v>76</v>
      </c>
      <c r="BH913" t="s">
        <v>77</v>
      </c>
      <c r="BI913" t="s">
        <v>73</v>
      </c>
      <c r="BJ913" t="s">
        <v>78</v>
      </c>
      <c r="BK913">
        <v>0</v>
      </c>
      <c r="BL913">
        <v>0</v>
      </c>
      <c r="BM913">
        <v>0</v>
      </c>
      <c r="BN913">
        <v>0</v>
      </c>
      <c r="BO913">
        <v>0</v>
      </c>
      <c r="BP913">
        <v>0</v>
      </c>
      <c r="BQ913">
        <v>0</v>
      </c>
      <c r="BR913">
        <v>1</v>
      </c>
    </row>
    <row r="914" spans="1:70" x14ac:dyDescent="0.2">
      <c r="A914" s="1">
        <v>44590.809027777781</v>
      </c>
      <c r="B914" s="1">
        <v>44590.811805555553</v>
      </c>
      <c r="C914">
        <v>0</v>
      </c>
      <c r="D914">
        <v>1</v>
      </c>
      <c r="E914">
        <v>0</v>
      </c>
      <c r="F914">
        <v>0</v>
      </c>
      <c r="H914">
        <v>0</v>
      </c>
      <c r="I914">
        <v>1</v>
      </c>
      <c r="J914">
        <v>0</v>
      </c>
      <c r="K914">
        <v>0</v>
      </c>
      <c r="L914">
        <v>0</v>
      </c>
      <c r="N914" t="s">
        <v>88</v>
      </c>
      <c r="O914" t="s">
        <v>89</v>
      </c>
      <c r="P914">
        <v>0</v>
      </c>
      <c r="Q914">
        <v>0</v>
      </c>
      <c r="R914">
        <v>0</v>
      </c>
      <c r="S914">
        <v>1</v>
      </c>
      <c r="T914">
        <v>0</v>
      </c>
      <c r="U914">
        <v>0</v>
      </c>
      <c r="V914">
        <v>0</v>
      </c>
      <c r="W914">
        <v>0</v>
      </c>
      <c r="X914">
        <v>0</v>
      </c>
      <c r="Y914">
        <v>0</v>
      </c>
      <c r="Z914">
        <v>0</v>
      </c>
      <c r="AA914">
        <v>0</v>
      </c>
      <c r="AM914" t="s">
        <v>83</v>
      </c>
      <c r="AN914" t="s">
        <v>82</v>
      </c>
      <c r="AO914" t="s">
        <v>83</v>
      </c>
      <c r="AP914" t="s">
        <v>83</v>
      </c>
      <c r="AQ914" t="s">
        <v>83</v>
      </c>
      <c r="AR914" t="s">
        <v>83</v>
      </c>
      <c r="AS914" t="s">
        <v>83</v>
      </c>
      <c r="AT914" t="s">
        <v>83</v>
      </c>
      <c r="AU914" t="s">
        <v>135</v>
      </c>
      <c r="AV914" t="s">
        <v>89</v>
      </c>
      <c r="AW914" t="s">
        <v>153</v>
      </c>
      <c r="AX914" t="s">
        <v>118</v>
      </c>
      <c r="AZ914" t="s">
        <v>73</v>
      </c>
      <c r="BA914" t="s">
        <v>87</v>
      </c>
      <c r="BB914" t="s">
        <v>74</v>
      </c>
      <c r="BC914" t="s">
        <v>87</v>
      </c>
      <c r="BD914" t="s">
        <v>74</v>
      </c>
      <c r="BE914" t="s">
        <v>74</v>
      </c>
      <c r="BF914" t="s">
        <v>75</v>
      </c>
      <c r="BG914" t="s">
        <v>76</v>
      </c>
      <c r="BH914" t="s">
        <v>77</v>
      </c>
      <c r="BI914" t="s">
        <v>73</v>
      </c>
      <c r="BJ914" t="s">
        <v>102</v>
      </c>
      <c r="BK914">
        <v>0</v>
      </c>
      <c r="BL914">
        <v>0</v>
      </c>
      <c r="BM914">
        <v>0</v>
      </c>
      <c r="BN914">
        <v>0</v>
      </c>
      <c r="BO914">
        <v>0</v>
      </c>
      <c r="BP914">
        <v>1</v>
      </c>
      <c r="BQ914">
        <v>0</v>
      </c>
      <c r="BR914">
        <v>0</v>
      </c>
    </row>
    <row r="915" spans="1:70" x14ac:dyDescent="0.2">
      <c r="A915" s="1">
        <v>44580.068749999999</v>
      </c>
      <c r="B915" s="1">
        <v>44580.070138888892</v>
      </c>
      <c r="C915">
        <v>0</v>
      </c>
      <c r="D915">
        <v>0</v>
      </c>
      <c r="E915">
        <v>0</v>
      </c>
      <c r="F915">
        <v>1</v>
      </c>
      <c r="P915">
        <v>0</v>
      </c>
      <c r="Q915">
        <v>1</v>
      </c>
      <c r="R915">
        <v>0</v>
      </c>
      <c r="S915">
        <v>0</v>
      </c>
      <c r="T915">
        <v>0</v>
      </c>
      <c r="U915">
        <v>0</v>
      </c>
      <c r="V915">
        <v>0</v>
      </c>
      <c r="W915">
        <v>0</v>
      </c>
      <c r="X915">
        <v>0</v>
      </c>
      <c r="Y915">
        <v>0</v>
      </c>
      <c r="Z915">
        <v>0</v>
      </c>
      <c r="AA915">
        <v>0</v>
      </c>
      <c r="AM915" t="s">
        <v>90</v>
      </c>
      <c r="AN915" t="s">
        <v>82</v>
      </c>
      <c r="AO915" t="s">
        <v>90</v>
      </c>
      <c r="AP915" t="s">
        <v>90</v>
      </c>
      <c r="AQ915" t="s">
        <v>90</v>
      </c>
      <c r="AR915" t="s">
        <v>90</v>
      </c>
      <c r="AS915" t="s">
        <v>90</v>
      </c>
      <c r="AT915" t="s">
        <v>90</v>
      </c>
      <c r="AU915" t="s">
        <v>88</v>
      </c>
      <c r="AV915" t="s">
        <v>89</v>
      </c>
      <c r="AW915" t="s">
        <v>85</v>
      </c>
      <c r="AZ915" t="s">
        <v>107</v>
      </c>
      <c r="BA915" t="s">
        <v>86</v>
      </c>
      <c r="BB915" t="s">
        <v>74</v>
      </c>
      <c r="BC915" t="s">
        <v>86</v>
      </c>
      <c r="BD915" t="s">
        <v>74</v>
      </c>
      <c r="BE915" t="s">
        <v>74</v>
      </c>
      <c r="BF915" t="s">
        <v>97</v>
      </c>
      <c r="BG915" t="s">
        <v>76</v>
      </c>
      <c r="BH915" t="s">
        <v>158</v>
      </c>
      <c r="BI915" t="s">
        <v>107</v>
      </c>
      <c r="BJ915" t="s">
        <v>165</v>
      </c>
      <c r="BK915">
        <v>0</v>
      </c>
      <c r="BL915">
        <v>0</v>
      </c>
      <c r="BM915">
        <v>0</v>
      </c>
      <c r="BN915">
        <v>1</v>
      </c>
      <c r="BO915">
        <v>0</v>
      </c>
      <c r="BP915">
        <v>0</v>
      </c>
      <c r="BQ915">
        <v>0</v>
      </c>
      <c r="BR915">
        <v>0</v>
      </c>
    </row>
    <row r="916" spans="1:70" x14ac:dyDescent="0.2">
      <c r="A916" s="1">
        <v>44585.543055555558</v>
      </c>
      <c r="B916" s="1">
        <v>44585.544444444444</v>
      </c>
      <c r="C916">
        <v>1</v>
      </c>
      <c r="D916">
        <v>0</v>
      </c>
      <c r="E916">
        <v>0</v>
      </c>
      <c r="F916">
        <v>0</v>
      </c>
      <c r="H916">
        <v>0</v>
      </c>
      <c r="I916">
        <v>1</v>
      </c>
      <c r="J916">
        <v>0</v>
      </c>
      <c r="K916">
        <v>0</v>
      </c>
      <c r="L916">
        <v>0</v>
      </c>
      <c r="N916" t="s">
        <v>79</v>
      </c>
      <c r="O916" t="s">
        <v>223</v>
      </c>
      <c r="P916">
        <v>0</v>
      </c>
      <c r="Q916">
        <v>1</v>
      </c>
      <c r="R916">
        <v>0</v>
      </c>
      <c r="S916">
        <v>0</v>
      </c>
      <c r="T916">
        <v>0</v>
      </c>
      <c r="U916">
        <v>0</v>
      </c>
      <c r="V916">
        <v>0</v>
      </c>
      <c r="W916">
        <v>0</v>
      </c>
      <c r="X916">
        <v>0</v>
      </c>
      <c r="Y916">
        <v>0</v>
      </c>
      <c r="Z916">
        <v>0</v>
      </c>
      <c r="AA916">
        <v>0</v>
      </c>
      <c r="AM916" t="s">
        <v>83</v>
      </c>
      <c r="AN916" t="s">
        <v>82</v>
      </c>
      <c r="AO916" t="s">
        <v>83</v>
      </c>
      <c r="AP916" t="s">
        <v>90</v>
      </c>
      <c r="AQ916" t="s">
        <v>83</v>
      </c>
      <c r="AR916" t="s">
        <v>83</v>
      </c>
      <c r="AS916" t="s">
        <v>82</v>
      </c>
      <c r="AT916" t="s">
        <v>81</v>
      </c>
      <c r="AU916" t="s">
        <v>88</v>
      </c>
      <c r="AV916" t="s">
        <v>223</v>
      </c>
      <c r="AW916" t="s">
        <v>85</v>
      </c>
      <c r="AZ916" t="s">
        <v>73</v>
      </c>
      <c r="BA916" t="s">
        <v>74</v>
      </c>
      <c r="BF916" t="s">
        <v>159</v>
      </c>
      <c r="BG916" t="s">
        <v>76</v>
      </c>
      <c r="BH916" t="s">
        <v>93</v>
      </c>
      <c r="BI916" t="s">
        <v>73</v>
      </c>
      <c r="BJ916" t="s">
        <v>78</v>
      </c>
      <c r="BK916">
        <v>0</v>
      </c>
      <c r="BL916">
        <v>0</v>
      </c>
      <c r="BM916">
        <v>0</v>
      </c>
      <c r="BN916">
        <v>1</v>
      </c>
      <c r="BO916">
        <v>0</v>
      </c>
      <c r="BP916">
        <v>0</v>
      </c>
      <c r="BQ916">
        <v>0</v>
      </c>
      <c r="BR916">
        <v>0</v>
      </c>
    </row>
    <row r="917" spans="1:70" x14ac:dyDescent="0.2">
      <c r="A917" s="1">
        <v>44579.827777777777</v>
      </c>
      <c r="B917" s="1">
        <v>44579.830555555556</v>
      </c>
      <c r="C917">
        <v>1</v>
      </c>
      <c r="D917">
        <v>0</v>
      </c>
      <c r="E917">
        <v>0</v>
      </c>
      <c r="F917">
        <v>0</v>
      </c>
      <c r="H917">
        <v>0</v>
      </c>
      <c r="I917">
        <v>1</v>
      </c>
      <c r="J917">
        <v>0</v>
      </c>
      <c r="K917">
        <v>1</v>
      </c>
      <c r="L917">
        <v>0</v>
      </c>
      <c r="N917" t="s">
        <v>88</v>
      </c>
      <c r="O917" t="s">
        <v>89</v>
      </c>
      <c r="P917">
        <v>0</v>
      </c>
      <c r="Q917">
        <v>0</v>
      </c>
      <c r="R917">
        <v>1</v>
      </c>
      <c r="S917">
        <v>0</v>
      </c>
      <c r="T917">
        <v>0</v>
      </c>
      <c r="U917">
        <v>0</v>
      </c>
      <c r="V917">
        <v>0</v>
      </c>
      <c r="W917">
        <v>0</v>
      </c>
      <c r="X917">
        <v>0</v>
      </c>
      <c r="Y917">
        <v>0</v>
      </c>
      <c r="Z917">
        <v>0</v>
      </c>
      <c r="AA917">
        <v>0</v>
      </c>
      <c r="AM917" t="s">
        <v>81</v>
      </c>
      <c r="AN917" t="s">
        <v>82</v>
      </c>
      <c r="AO917" t="s">
        <v>82</v>
      </c>
      <c r="AP917" t="s">
        <v>81</v>
      </c>
      <c r="AQ917" t="s">
        <v>82</v>
      </c>
      <c r="AR917" t="s">
        <v>82</v>
      </c>
      <c r="AS917" t="s">
        <v>81</v>
      </c>
      <c r="AT917" t="s">
        <v>81</v>
      </c>
      <c r="AU917" t="s">
        <v>88</v>
      </c>
      <c r="AV917" t="s">
        <v>89</v>
      </c>
      <c r="AW917" t="s">
        <v>85</v>
      </c>
      <c r="AX917" t="s">
        <v>118</v>
      </c>
      <c r="AZ917" t="s">
        <v>73</v>
      </c>
      <c r="BA917" t="s">
        <v>87</v>
      </c>
      <c r="BB917" t="s">
        <v>87</v>
      </c>
      <c r="BC917" t="s">
        <v>87</v>
      </c>
      <c r="BD917" t="s">
        <v>87</v>
      </c>
      <c r="BE917" t="s">
        <v>87</v>
      </c>
      <c r="BF917" t="s">
        <v>75</v>
      </c>
      <c r="BG917" t="s">
        <v>92</v>
      </c>
      <c r="BH917" t="s">
        <v>77</v>
      </c>
      <c r="BI917" t="s">
        <v>73</v>
      </c>
      <c r="BJ917" t="s">
        <v>114</v>
      </c>
      <c r="BK917">
        <v>0</v>
      </c>
      <c r="BL917">
        <v>0</v>
      </c>
      <c r="BM917">
        <v>0</v>
      </c>
      <c r="BN917">
        <v>1</v>
      </c>
      <c r="BO917">
        <v>0</v>
      </c>
      <c r="BP917">
        <v>0</v>
      </c>
      <c r="BQ917">
        <v>0</v>
      </c>
      <c r="BR917">
        <v>0</v>
      </c>
    </row>
    <row r="918" spans="1:70" x14ac:dyDescent="0.2">
      <c r="A918" s="1">
        <v>44579.908333333333</v>
      </c>
      <c r="B918" s="1">
        <v>44579.919444444444</v>
      </c>
      <c r="C918">
        <v>1</v>
      </c>
      <c r="D918">
        <v>0</v>
      </c>
      <c r="E918">
        <v>0</v>
      </c>
      <c r="F918">
        <v>0</v>
      </c>
      <c r="H918">
        <v>0</v>
      </c>
      <c r="I918">
        <v>1</v>
      </c>
      <c r="J918">
        <v>0</v>
      </c>
      <c r="K918">
        <v>0</v>
      </c>
      <c r="L918">
        <v>0</v>
      </c>
      <c r="N918" t="s">
        <v>88</v>
      </c>
      <c r="O918" t="s">
        <v>89</v>
      </c>
      <c r="P918">
        <v>0</v>
      </c>
      <c r="Q918">
        <v>0</v>
      </c>
      <c r="R918">
        <v>1</v>
      </c>
      <c r="S918">
        <v>0</v>
      </c>
      <c r="T918">
        <v>0</v>
      </c>
      <c r="U918">
        <v>0</v>
      </c>
      <c r="V918">
        <v>0</v>
      </c>
      <c r="W918">
        <v>0</v>
      </c>
      <c r="X918">
        <v>0</v>
      </c>
      <c r="Y918">
        <v>0</v>
      </c>
      <c r="Z918">
        <v>0</v>
      </c>
      <c r="AA918">
        <v>0</v>
      </c>
      <c r="AM918" t="s">
        <v>83</v>
      </c>
      <c r="AN918" t="s">
        <v>82</v>
      </c>
      <c r="AO918" t="s">
        <v>83</v>
      </c>
      <c r="AP918" t="s">
        <v>81</v>
      </c>
      <c r="AQ918" t="s">
        <v>82</v>
      </c>
      <c r="AR918" t="s">
        <v>83</v>
      </c>
      <c r="AS918" t="s">
        <v>81</v>
      </c>
      <c r="AT918" t="s">
        <v>83</v>
      </c>
      <c r="AU918" t="s">
        <v>88</v>
      </c>
      <c r="AV918" t="s">
        <v>89</v>
      </c>
      <c r="AW918" t="s">
        <v>85</v>
      </c>
      <c r="AX918" t="s">
        <v>110</v>
      </c>
      <c r="AY918" t="s">
        <v>423</v>
      </c>
      <c r="AZ918" t="s">
        <v>96</v>
      </c>
      <c r="BA918" t="s">
        <v>87</v>
      </c>
      <c r="BB918" t="s">
        <v>87</v>
      </c>
      <c r="BC918" t="s">
        <v>87</v>
      </c>
      <c r="BD918" t="s">
        <v>87</v>
      </c>
      <c r="BE918" t="s">
        <v>74</v>
      </c>
      <c r="BF918" t="s">
        <v>108</v>
      </c>
      <c r="BG918" t="s">
        <v>92</v>
      </c>
      <c r="BH918" t="s">
        <v>184</v>
      </c>
      <c r="BI918" t="s">
        <v>96</v>
      </c>
      <c r="BK918">
        <v>0</v>
      </c>
      <c r="BL918">
        <v>0</v>
      </c>
      <c r="BM918">
        <v>0</v>
      </c>
      <c r="BN918">
        <v>0</v>
      </c>
      <c r="BO918">
        <v>0</v>
      </c>
      <c r="BP918">
        <v>1</v>
      </c>
      <c r="BQ918">
        <v>0</v>
      </c>
      <c r="BR918">
        <v>0</v>
      </c>
    </row>
    <row r="919" spans="1:70" x14ac:dyDescent="0.2">
      <c r="A919" s="1">
        <v>44579.890972222223</v>
      </c>
      <c r="B919" s="1">
        <v>44579.89166666667</v>
      </c>
      <c r="C919">
        <v>0</v>
      </c>
      <c r="D919">
        <v>1</v>
      </c>
      <c r="E919">
        <v>0</v>
      </c>
      <c r="F919">
        <v>0</v>
      </c>
      <c r="H919">
        <v>0</v>
      </c>
      <c r="I919">
        <v>0</v>
      </c>
      <c r="J919">
        <v>0</v>
      </c>
      <c r="K919">
        <v>1</v>
      </c>
      <c r="L919">
        <v>0</v>
      </c>
      <c r="N919" t="s">
        <v>135</v>
      </c>
      <c r="O919" t="s">
        <v>89</v>
      </c>
      <c r="P919">
        <v>0</v>
      </c>
      <c r="Q919">
        <v>0</v>
      </c>
      <c r="R919">
        <v>1</v>
      </c>
      <c r="S919">
        <v>0</v>
      </c>
      <c r="T919">
        <v>0</v>
      </c>
      <c r="U919">
        <v>0</v>
      </c>
      <c r="V919">
        <v>0</v>
      </c>
      <c r="W919">
        <v>0</v>
      </c>
      <c r="X919">
        <v>0</v>
      </c>
      <c r="Y919">
        <v>0</v>
      </c>
      <c r="Z919">
        <v>0</v>
      </c>
      <c r="AA919">
        <v>0</v>
      </c>
      <c r="AM919" t="s">
        <v>82</v>
      </c>
      <c r="AN919" t="s">
        <v>82</v>
      </c>
      <c r="AO919" t="s">
        <v>82</v>
      </c>
      <c r="AP919" t="s">
        <v>82</v>
      </c>
      <c r="AQ919" t="s">
        <v>82</v>
      </c>
      <c r="AR919" t="s">
        <v>82</v>
      </c>
      <c r="AS919" t="s">
        <v>82</v>
      </c>
      <c r="AT919" t="s">
        <v>82</v>
      </c>
      <c r="AU919" t="s">
        <v>135</v>
      </c>
      <c r="AV919" t="s">
        <v>142</v>
      </c>
      <c r="AW919" t="s">
        <v>169</v>
      </c>
      <c r="AZ919" t="s">
        <v>73</v>
      </c>
      <c r="BA919" t="s">
        <v>87</v>
      </c>
      <c r="BB919" t="s">
        <v>87</v>
      </c>
      <c r="BC919" t="s">
        <v>87</v>
      </c>
      <c r="BD919" t="s">
        <v>87</v>
      </c>
      <c r="BE919" t="s">
        <v>87</v>
      </c>
      <c r="BF919" t="s">
        <v>159</v>
      </c>
      <c r="BG919" t="s">
        <v>92</v>
      </c>
      <c r="BH919" t="s">
        <v>93</v>
      </c>
      <c r="BI919" t="s">
        <v>73</v>
      </c>
      <c r="BJ919" t="s">
        <v>114</v>
      </c>
      <c r="BK919">
        <v>0</v>
      </c>
      <c r="BL919">
        <v>0</v>
      </c>
      <c r="BM919">
        <v>0</v>
      </c>
      <c r="BN919">
        <v>1</v>
      </c>
      <c r="BO919">
        <v>0</v>
      </c>
      <c r="BP919">
        <v>0</v>
      </c>
      <c r="BQ919">
        <v>0</v>
      </c>
      <c r="BR919">
        <v>0</v>
      </c>
    </row>
    <row r="920" spans="1:70" x14ac:dyDescent="0.2">
      <c r="A920" s="1">
        <v>44579.997916666667</v>
      </c>
      <c r="B920" s="1">
        <v>44580.001388888886</v>
      </c>
      <c r="C920">
        <v>0</v>
      </c>
      <c r="D920">
        <v>1</v>
      </c>
      <c r="E920">
        <v>0</v>
      </c>
      <c r="F920">
        <v>0</v>
      </c>
      <c r="H920">
        <v>0</v>
      </c>
      <c r="I920">
        <v>1</v>
      </c>
      <c r="J920">
        <v>1</v>
      </c>
      <c r="K920">
        <v>0</v>
      </c>
      <c r="L920">
        <v>0</v>
      </c>
      <c r="N920" t="s">
        <v>88</v>
      </c>
      <c r="O920" t="s">
        <v>89</v>
      </c>
      <c r="P920">
        <v>0</v>
      </c>
      <c r="Q920">
        <v>1</v>
      </c>
      <c r="R920">
        <v>0</v>
      </c>
      <c r="S920">
        <v>0</v>
      </c>
      <c r="T920">
        <v>0</v>
      </c>
      <c r="U920">
        <v>0</v>
      </c>
      <c r="V920">
        <v>0</v>
      </c>
      <c r="W920">
        <v>0</v>
      </c>
      <c r="X920">
        <v>0</v>
      </c>
      <c r="Y920">
        <v>0</v>
      </c>
      <c r="Z920">
        <v>0</v>
      </c>
      <c r="AA920">
        <v>0</v>
      </c>
      <c r="AM920" t="s">
        <v>83</v>
      </c>
      <c r="AN920" t="s">
        <v>82</v>
      </c>
      <c r="AO920" t="s">
        <v>83</v>
      </c>
      <c r="AP920" t="s">
        <v>81</v>
      </c>
      <c r="AQ920" t="s">
        <v>83</v>
      </c>
      <c r="AR920" t="s">
        <v>83</v>
      </c>
      <c r="AS920" t="s">
        <v>83</v>
      </c>
      <c r="AT920" t="s">
        <v>83</v>
      </c>
      <c r="AU920" t="s">
        <v>88</v>
      </c>
      <c r="AV920" t="s">
        <v>89</v>
      </c>
      <c r="AW920" t="s">
        <v>85</v>
      </c>
      <c r="AX920" t="s">
        <v>146</v>
      </c>
      <c r="AZ920" t="s">
        <v>73</v>
      </c>
      <c r="BA920" t="s">
        <v>87</v>
      </c>
      <c r="BB920" t="s">
        <v>86</v>
      </c>
      <c r="BC920" t="s">
        <v>87</v>
      </c>
      <c r="BD920" t="s">
        <v>74</v>
      </c>
      <c r="BE920" t="s">
        <v>87</v>
      </c>
      <c r="BF920" t="s">
        <v>75</v>
      </c>
      <c r="BG920" t="s">
        <v>76</v>
      </c>
      <c r="BH920" t="s">
        <v>77</v>
      </c>
      <c r="BI920" t="s">
        <v>73</v>
      </c>
      <c r="BJ920" t="s">
        <v>78</v>
      </c>
      <c r="BK920">
        <v>0</v>
      </c>
      <c r="BL920">
        <v>0</v>
      </c>
      <c r="BM920">
        <v>0</v>
      </c>
      <c r="BN920">
        <v>1</v>
      </c>
      <c r="BO920">
        <v>0</v>
      </c>
      <c r="BP920">
        <v>0</v>
      </c>
      <c r="BQ920">
        <v>0</v>
      </c>
      <c r="BR920">
        <v>0</v>
      </c>
    </row>
    <row r="921" spans="1:70" x14ac:dyDescent="0.2">
      <c r="A921" s="1">
        <v>44590.963194444441</v>
      </c>
      <c r="B921" s="1">
        <v>44590.964583333334</v>
      </c>
      <c r="C921">
        <v>0</v>
      </c>
      <c r="D921">
        <v>1</v>
      </c>
      <c r="E921">
        <v>0</v>
      </c>
      <c r="F921">
        <v>0</v>
      </c>
      <c r="H921">
        <v>0</v>
      </c>
      <c r="I921">
        <v>0</v>
      </c>
      <c r="J921">
        <v>1</v>
      </c>
      <c r="K921">
        <v>1</v>
      </c>
      <c r="L921">
        <v>0</v>
      </c>
      <c r="N921" t="s">
        <v>88</v>
      </c>
      <c r="O921" t="s">
        <v>89</v>
      </c>
      <c r="P921">
        <v>1</v>
      </c>
      <c r="Q921">
        <v>0</v>
      </c>
      <c r="R921">
        <v>0</v>
      </c>
      <c r="S921">
        <v>0</v>
      </c>
      <c r="T921">
        <v>0</v>
      </c>
      <c r="U921">
        <v>0</v>
      </c>
      <c r="V921">
        <v>0</v>
      </c>
      <c r="W921">
        <v>0</v>
      </c>
      <c r="X921">
        <v>0</v>
      </c>
      <c r="Y921">
        <v>0</v>
      </c>
      <c r="Z921">
        <v>0</v>
      </c>
      <c r="AA921">
        <v>0</v>
      </c>
      <c r="AC921">
        <v>0</v>
      </c>
      <c r="AD921">
        <v>0</v>
      </c>
      <c r="AE921">
        <v>1</v>
      </c>
      <c r="AF921">
        <v>0</v>
      </c>
      <c r="AG921">
        <v>0</v>
      </c>
      <c r="AH921">
        <v>0</v>
      </c>
      <c r="AI921">
        <v>0</v>
      </c>
      <c r="AJ921">
        <v>0</v>
      </c>
      <c r="AK921">
        <v>0</v>
      </c>
      <c r="AZ921" t="s">
        <v>96</v>
      </c>
      <c r="BA921" t="s">
        <v>87</v>
      </c>
      <c r="BB921" t="s">
        <v>87</v>
      </c>
      <c r="BC921" t="s">
        <v>87</v>
      </c>
      <c r="BD921" t="s">
        <v>87</v>
      </c>
      <c r="BE921" t="s">
        <v>87</v>
      </c>
      <c r="BF921" t="s">
        <v>101</v>
      </c>
      <c r="BG921" t="s">
        <v>76</v>
      </c>
      <c r="BH921" t="s">
        <v>184</v>
      </c>
      <c r="BI921" t="s">
        <v>96</v>
      </c>
      <c r="BK921">
        <v>0</v>
      </c>
      <c r="BL921">
        <v>0</v>
      </c>
      <c r="BM921">
        <v>0</v>
      </c>
      <c r="BN921">
        <v>0</v>
      </c>
      <c r="BO921">
        <v>0</v>
      </c>
      <c r="BP921">
        <v>1</v>
      </c>
      <c r="BQ921">
        <v>0</v>
      </c>
      <c r="BR921">
        <v>0</v>
      </c>
    </row>
    <row r="922" spans="1:70" x14ac:dyDescent="0.2">
      <c r="A922" s="1">
        <v>44588.887499999997</v>
      </c>
      <c r="B922" s="1">
        <v>44588.893750000003</v>
      </c>
      <c r="C922">
        <v>1</v>
      </c>
      <c r="D922">
        <v>0</v>
      </c>
      <c r="E922">
        <v>0</v>
      </c>
      <c r="F922">
        <v>0</v>
      </c>
      <c r="H922">
        <v>0</v>
      </c>
      <c r="I922">
        <v>1</v>
      </c>
      <c r="J922">
        <v>1</v>
      </c>
      <c r="K922">
        <v>1</v>
      </c>
      <c r="L922">
        <v>0</v>
      </c>
      <c r="N922" t="s">
        <v>88</v>
      </c>
      <c r="O922" t="s">
        <v>89</v>
      </c>
      <c r="P922">
        <v>0</v>
      </c>
      <c r="Q922">
        <v>0</v>
      </c>
      <c r="R922">
        <v>1</v>
      </c>
      <c r="S922">
        <v>0</v>
      </c>
      <c r="T922">
        <v>0</v>
      </c>
      <c r="U922">
        <v>0</v>
      </c>
      <c r="V922">
        <v>0</v>
      </c>
      <c r="W922">
        <v>0</v>
      </c>
      <c r="X922">
        <v>0</v>
      </c>
      <c r="Y922">
        <v>0</v>
      </c>
      <c r="Z922">
        <v>0</v>
      </c>
      <c r="AA922">
        <v>0</v>
      </c>
      <c r="AM922" t="s">
        <v>83</v>
      </c>
      <c r="AN922" t="s">
        <v>81</v>
      </c>
      <c r="AO922" t="s">
        <v>81</v>
      </c>
      <c r="AP922" t="s">
        <v>82</v>
      </c>
      <c r="AQ922" t="s">
        <v>81</v>
      </c>
      <c r="AR922" t="s">
        <v>83</v>
      </c>
      <c r="AS922" t="s">
        <v>83</v>
      </c>
      <c r="AT922" t="s">
        <v>81</v>
      </c>
      <c r="AU922" t="s">
        <v>88</v>
      </c>
      <c r="AV922" t="s">
        <v>89</v>
      </c>
      <c r="AW922" t="s">
        <v>100</v>
      </c>
      <c r="AX922" t="s">
        <v>118</v>
      </c>
      <c r="AZ922" t="s">
        <v>107</v>
      </c>
      <c r="BA922" t="s">
        <v>86</v>
      </c>
      <c r="BB922" t="s">
        <v>86</v>
      </c>
      <c r="BC922" t="s">
        <v>86</v>
      </c>
      <c r="BD922" t="s">
        <v>87</v>
      </c>
      <c r="BE922" t="s">
        <v>86</v>
      </c>
      <c r="BF922" t="s">
        <v>75</v>
      </c>
      <c r="BG922" t="s">
        <v>76</v>
      </c>
      <c r="BH922" t="s">
        <v>184</v>
      </c>
      <c r="BI922" t="s">
        <v>107</v>
      </c>
      <c r="BJ922" t="s">
        <v>78</v>
      </c>
      <c r="BK922">
        <v>0</v>
      </c>
      <c r="BL922">
        <v>0</v>
      </c>
      <c r="BM922">
        <v>0</v>
      </c>
      <c r="BN922">
        <v>0</v>
      </c>
      <c r="BO922">
        <v>0</v>
      </c>
      <c r="BP922">
        <v>1</v>
      </c>
      <c r="BQ922">
        <v>0</v>
      </c>
      <c r="BR922">
        <v>0</v>
      </c>
    </row>
    <row r="923" spans="1:70" x14ac:dyDescent="0.2">
      <c r="A923" s="1">
        <v>44580.124305555553</v>
      </c>
      <c r="B923" s="1">
        <v>44580.127083333333</v>
      </c>
      <c r="C923">
        <v>0</v>
      </c>
      <c r="D923">
        <v>1</v>
      </c>
      <c r="E923">
        <v>0</v>
      </c>
      <c r="F923">
        <v>0</v>
      </c>
      <c r="H923">
        <v>1</v>
      </c>
      <c r="I923">
        <v>0</v>
      </c>
      <c r="J923">
        <v>0</v>
      </c>
      <c r="K923">
        <v>0</v>
      </c>
      <c r="L923">
        <v>0</v>
      </c>
      <c r="P923">
        <v>0</v>
      </c>
      <c r="Q923">
        <v>1</v>
      </c>
      <c r="R923">
        <v>0</v>
      </c>
      <c r="S923">
        <v>0</v>
      </c>
      <c r="T923">
        <v>0</v>
      </c>
      <c r="U923">
        <v>0</v>
      </c>
      <c r="V923">
        <v>0</v>
      </c>
      <c r="W923">
        <v>0</v>
      </c>
      <c r="X923">
        <v>0</v>
      </c>
      <c r="Y923">
        <v>0</v>
      </c>
      <c r="Z923">
        <v>0</v>
      </c>
      <c r="AA923">
        <v>0</v>
      </c>
      <c r="AM923" t="s">
        <v>90</v>
      </c>
      <c r="AN923" t="s">
        <v>81</v>
      </c>
      <c r="AO923" t="s">
        <v>81</v>
      </c>
      <c r="AP923" t="s">
        <v>82</v>
      </c>
      <c r="AQ923" t="s">
        <v>83</v>
      </c>
      <c r="AR923" t="s">
        <v>90</v>
      </c>
      <c r="AS923" t="s">
        <v>90</v>
      </c>
      <c r="AT923" t="s">
        <v>83</v>
      </c>
      <c r="AU923" t="s">
        <v>88</v>
      </c>
      <c r="AV923" t="s">
        <v>89</v>
      </c>
      <c r="AW923" t="s">
        <v>100</v>
      </c>
      <c r="AX923" t="s">
        <v>110</v>
      </c>
      <c r="AY923" t="s">
        <v>282</v>
      </c>
      <c r="AZ923" t="s">
        <v>73</v>
      </c>
      <c r="BA923" t="s">
        <v>86</v>
      </c>
      <c r="BB923" t="s">
        <v>86</v>
      </c>
      <c r="BC923" t="s">
        <v>86</v>
      </c>
      <c r="BD923" t="s">
        <v>87</v>
      </c>
      <c r="BE923" t="s">
        <v>86</v>
      </c>
      <c r="BF923" t="s">
        <v>75</v>
      </c>
      <c r="BG923" t="s">
        <v>76</v>
      </c>
      <c r="BH923" t="s">
        <v>93</v>
      </c>
      <c r="BI923" t="s">
        <v>73</v>
      </c>
      <c r="BJ923" t="s">
        <v>78</v>
      </c>
      <c r="BK923">
        <v>0</v>
      </c>
      <c r="BL923">
        <v>0</v>
      </c>
      <c r="BM923">
        <v>0</v>
      </c>
      <c r="BN923">
        <v>1</v>
      </c>
      <c r="BO923">
        <v>0</v>
      </c>
      <c r="BP923">
        <v>0</v>
      </c>
      <c r="BQ923">
        <v>0</v>
      </c>
      <c r="BR923">
        <v>0</v>
      </c>
    </row>
    <row r="924" spans="1:70" x14ac:dyDescent="0.2">
      <c r="A924" s="1">
        <v>44579.90902777778</v>
      </c>
      <c r="B924" s="1">
        <v>44579.910416666666</v>
      </c>
      <c r="C924">
        <v>1</v>
      </c>
      <c r="D924">
        <v>0</v>
      </c>
      <c r="E924">
        <v>0</v>
      </c>
      <c r="F924">
        <v>0</v>
      </c>
      <c r="H924">
        <v>1</v>
      </c>
      <c r="I924">
        <v>0</v>
      </c>
      <c r="J924">
        <v>0</v>
      </c>
      <c r="K924">
        <v>0</v>
      </c>
      <c r="L924">
        <v>0</v>
      </c>
      <c r="P924">
        <v>1</v>
      </c>
      <c r="Q924">
        <v>0</v>
      </c>
      <c r="R924">
        <v>0</v>
      </c>
      <c r="S924">
        <v>0</v>
      </c>
      <c r="T924">
        <v>0</v>
      </c>
      <c r="U924">
        <v>0</v>
      </c>
      <c r="V924">
        <v>0</v>
      </c>
      <c r="W924">
        <v>0</v>
      </c>
      <c r="X924">
        <v>0</v>
      </c>
      <c r="Y924">
        <v>0</v>
      </c>
      <c r="Z924">
        <v>0</v>
      </c>
      <c r="AA924">
        <v>0</v>
      </c>
      <c r="AC924">
        <v>0</v>
      </c>
      <c r="AD924">
        <v>0</v>
      </c>
      <c r="AE924">
        <v>1</v>
      </c>
      <c r="AF924">
        <v>0</v>
      </c>
      <c r="AG924">
        <v>0</v>
      </c>
      <c r="AH924">
        <v>0</v>
      </c>
      <c r="AI924">
        <v>0</v>
      </c>
      <c r="AJ924">
        <v>0</v>
      </c>
      <c r="AK924">
        <v>0</v>
      </c>
      <c r="AZ924" t="s">
        <v>107</v>
      </c>
      <c r="BA924" t="s">
        <v>87</v>
      </c>
      <c r="BB924" t="s">
        <v>74</v>
      </c>
      <c r="BC924" t="s">
        <v>87</v>
      </c>
      <c r="BD924" t="s">
        <v>87</v>
      </c>
      <c r="BE924" t="s">
        <v>74</v>
      </c>
      <c r="BF924" t="s">
        <v>97</v>
      </c>
      <c r="BG924" t="s">
        <v>76</v>
      </c>
      <c r="BH924" t="s">
        <v>98</v>
      </c>
      <c r="BI924" t="s">
        <v>107</v>
      </c>
      <c r="BJ924" t="s">
        <v>78</v>
      </c>
      <c r="BK924">
        <v>0</v>
      </c>
      <c r="BL924">
        <v>0</v>
      </c>
      <c r="BM924">
        <v>0</v>
      </c>
      <c r="BN924">
        <v>0</v>
      </c>
      <c r="BO924">
        <v>0</v>
      </c>
      <c r="BP924">
        <v>1</v>
      </c>
      <c r="BQ924">
        <v>0</v>
      </c>
      <c r="BR924">
        <v>0</v>
      </c>
    </row>
    <row r="925" spans="1:70" x14ac:dyDescent="0.2">
      <c r="A925" s="1">
        <v>44587.015972222223</v>
      </c>
      <c r="B925" s="1">
        <v>44587.018055555556</v>
      </c>
      <c r="C925">
        <v>0</v>
      </c>
      <c r="D925">
        <v>1</v>
      </c>
      <c r="E925">
        <v>0</v>
      </c>
      <c r="F925">
        <v>0</v>
      </c>
      <c r="H925">
        <v>1</v>
      </c>
      <c r="I925">
        <v>0</v>
      </c>
      <c r="J925">
        <v>0</v>
      </c>
      <c r="K925">
        <v>0</v>
      </c>
      <c r="L925">
        <v>0</v>
      </c>
      <c r="P925">
        <v>0</v>
      </c>
      <c r="Q925">
        <v>1</v>
      </c>
      <c r="R925">
        <v>0</v>
      </c>
      <c r="S925">
        <v>0</v>
      </c>
      <c r="T925">
        <v>1</v>
      </c>
      <c r="U925">
        <v>1</v>
      </c>
      <c r="V925">
        <v>0</v>
      </c>
      <c r="W925">
        <v>0</v>
      </c>
      <c r="X925">
        <v>0</v>
      </c>
      <c r="Y925">
        <v>0</v>
      </c>
      <c r="Z925">
        <v>0</v>
      </c>
      <c r="AA925">
        <v>0</v>
      </c>
      <c r="AM925" t="s">
        <v>81</v>
      </c>
      <c r="AN925" t="s">
        <v>82</v>
      </c>
      <c r="AO925" t="s">
        <v>81</v>
      </c>
      <c r="AP925" t="s">
        <v>82</v>
      </c>
      <c r="AQ925" t="s">
        <v>81</v>
      </c>
      <c r="AR925" t="s">
        <v>83</v>
      </c>
      <c r="AS925" t="s">
        <v>83</v>
      </c>
      <c r="AT925" t="s">
        <v>83</v>
      </c>
      <c r="AU925" t="s">
        <v>84</v>
      </c>
      <c r="AV925" t="s">
        <v>80</v>
      </c>
      <c r="AW925" t="s">
        <v>100</v>
      </c>
      <c r="AZ925" t="s">
        <v>73</v>
      </c>
      <c r="BA925" t="s">
        <v>74</v>
      </c>
      <c r="BF925" t="s">
        <v>97</v>
      </c>
      <c r="BG925" t="s">
        <v>76</v>
      </c>
      <c r="BH925" t="s">
        <v>98</v>
      </c>
      <c r="BI925" t="s">
        <v>73</v>
      </c>
      <c r="BJ925" t="s">
        <v>94</v>
      </c>
      <c r="BK925">
        <v>0</v>
      </c>
      <c r="BL925">
        <v>0</v>
      </c>
      <c r="BM925">
        <v>0</v>
      </c>
      <c r="BN925">
        <v>1</v>
      </c>
      <c r="BO925">
        <v>0</v>
      </c>
      <c r="BP925">
        <v>0</v>
      </c>
      <c r="BQ925">
        <v>0</v>
      </c>
      <c r="BR925">
        <v>0</v>
      </c>
    </row>
    <row r="926" spans="1:70" x14ac:dyDescent="0.2">
      <c r="A926" s="1">
        <v>44589.48333333333</v>
      </c>
      <c r="B926" s="1">
        <v>44589.547222222223</v>
      </c>
      <c r="C926">
        <v>1</v>
      </c>
      <c r="D926">
        <v>0</v>
      </c>
      <c r="E926">
        <v>0</v>
      </c>
      <c r="F926">
        <v>0</v>
      </c>
      <c r="H926">
        <v>1</v>
      </c>
      <c r="I926">
        <v>0</v>
      </c>
      <c r="J926">
        <v>0</v>
      </c>
      <c r="K926">
        <v>0</v>
      </c>
      <c r="L926">
        <v>0</v>
      </c>
      <c r="P926">
        <v>1</v>
      </c>
      <c r="Q926">
        <v>0</v>
      </c>
      <c r="R926">
        <v>0</v>
      </c>
      <c r="S926">
        <v>0</v>
      </c>
      <c r="T926">
        <v>0</v>
      </c>
      <c r="U926">
        <v>0</v>
      </c>
      <c r="V926">
        <v>0</v>
      </c>
      <c r="W926">
        <v>0</v>
      </c>
      <c r="X926">
        <v>0</v>
      </c>
      <c r="Y926">
        <v>0</v>
      </c>
      <c r="Z926">
        <v>0</v>
      </c>
      <c r="AA926">
        <v>0</v>
      </c>
      <c r="AC926">
        <v>0</v>
      </c>
      <c r="AD926">
        <v>0</v>
      </c>
      <c r="AE926">
        <v>0</v>
      </c>
      <c r="AF926">
        <v>0</v>
      </c>
      <c r="AG926">
        <v>0</v>
      </c>
      <c r="AH926">
        <v>0</v>
      </c>
      <c r="AI926">
        <v>0</v>
      </c>
      <c r="AJ926">
        <v>1</v>
      </c>
      <c r="AK926">
        <v>1</v>
      </c>
      <c r="AL926" t="s">
        <v>424</v>
      </c>
      <c r="AX926" t="s">
        <v>91</v>
      </c>
      <c r="AZ926" t="s">
        <v>107</v>
      </c>
      <c r="BA926" t="s">
        <v>86</v>
      </c>
      <c r="BB926" t="s">
        <v>74</v>
      </c>
      <c r="BC926" t="s">
        <v>87</v>
      </c>
      <c r="BD926" t="s">
        <v>74</v>
      </c>
      <c r="BE926" t="s">
        <v>74</v>
      </c>
      <c r="BF926" t="s">
        <v>75</v>
      </c>
      <c r="BG926" t="s">
        <v>92</v>
      </c>
      <c r="BH926" t="s">
        <v>77</v>
      </c>
      <c r="BI926" t="s">
        <v>107</v>
      </c>
      <c r="BJ926" t="s">
        <v>94</v>
      </c>
      <c r="BK926">
        <v>0</v>
      </c>
      <c r="BL926">
        <v>0</v>
      </c>
      <c r="BM926">
        <v>0</v>
      </c>
      <c r="BN926">
        <v>1</v>
      </c>
      <c r="BO926">
        <v>0</v>
      </c>
      <c r="BP926">
        <v>0</v>
      </c>
      <c r="BQ926">
        <v>0</v>
      </c>
      <c r="BR926">
        <v>0</v>
      </c>
    </row>
    <row r="927" spans="1:70" x14ac:dyDescent="0.2">
      <c r="A927" s="1">
        <v>44585.51458333333</v>
      </c>
      <c r="B927" s="1">
        <v>44585.518750000003</v>
      </c>
      <c r="C927">
        <v>1</v>
      </c>
      <c r="D927">
        <v>0</v>
      </c>
      <c r="E927">
        <v>0</v>
      </c>
      <c r="F927">
        <v>0</v>
      </c>
      <c r="H927">
        <v>0</v>
      </c>
      <c r="I927">
        <v>1</v>
      </c>
      <c r="J927">
        <v>0</v>
      </c>
      <c r="K927">
        <v>1</v>
      </c>
      <c r="L927">
        <v>0</v>
      </c>
      <c r="N927" t="s">
        <v>88</v>
      </c>
      <c r="O927" t="s">
        <v>89</v>
      </c>
      <c r="P927">
        <v>0</v>
      </c>
      <c r="Q927">
        <v>0</v>
      </c>
      <c r="R927">
        <v>1</v>
      </c>
      <c r="S927">
        <v>0</v>
      </c>
      <c r="T927">
        <v>0</v>
      </c>
      <c r="U927">
        <v>0</v>
      </c>
      <c r="V927">
        <v>0</v>
      </c>
      <c r="W927">
        <v>0</v>
      </c>
      <c r="X927">
        <v>0</v>
      </c>
      <c r="Y927">
        <v>0</v>
      </c>
      <c r="Z927">
        <v>0</v>
      </c>
      <c r="AA927">
        <v>0</v>
      </c>
      <c r="AM927" t="s">
        <v>83</v>
      </c>
      <c r="AN927" t="s">
        <v>82</v>
      </c>
      <c r="AO927" t="s">
        <v>83</v>
      </c>
      <c r="AP927" t="s">
        <v>83</v>
      </c>
      <c r="AQ927" t="s">
        <v>81</v>
      </c>
      <c r="AR927" t="s">
        <v>83</v>
      </c>
      <c r="AS927" t="s">
        <v>83</v>
      </c>
      <c r="AT927" t="s">
        <v>83</v>
      </c>
      <c r="AU927" t="s">
        <v>88</v>
      </c>
      <c r="AV927" t="s">
        <v>89</v>
      </c>
      <c r="AW927" t="s">
        <v>100</v>
      </c>
      <c r="AX927" t="s">
        <v>110</v>
      </c>
      <c r="AY927" t="s">
        <v>139</v>
      </c>
      <c r="AZ927" t="s">
        <v>107</v>
      </c>
      <c r="BA927" t="s">
        <v>86</v>
      </c>
      <c r="BB927" t="s">
        <v>87</v>
      </c>
      <c r="BC927" t="s">
        <v>87</v>
      </c>
      <c r="BD927" t="s">
        <v>86</v>
      </c>
      <c r="BE927" t="s">
        <v>87</v>
      </c>
      <c r="BF927" t="s">
        <v>108</v>
      </c>
      <c r="BG927" t="s">
        <v>76</v>
      </c>
      <c r="BH927" t="s">
        <v>98</v>
      </c>
      <c r="BI927" t="s">
        <v>107</v>
      </c>
      <c r="BJ927" t="s">
        <v>78</v>
      </c>
      <c r="BK927">
        <v>0</v>
      </c>
      <c r="BL927">
        <v>0</v>
      </c>
      <c r="BM927">
        <v>0</v>
      </c>
      <c r="BN927">
        <v>0</v>
      </c>
      <c r="BO927">
        <v>0</v>
      </c>
      <c r="BP927">
        <v>1</v>
      </c>
      <c r="BQ927">
        <v>0</v>
      </c>
      <c r="BR927">
        <v>0</v>
      </c>
    </row>
    <row r="928" spans="1:70" x14ac:dyDescent="0.2">
      <c r="A928" s="1">
        <v>44580.724305555559</v>
      </c>
      <c r="B928" s="1">
        <v>44580.725694444445</v>
      </c>
      <c r="C928">
        <v>1</v>
      </c>
      <c r="D928">
        <v>0</v>
      </c>
      <c r="E928">
        <v>0</v>
      </c>
      <c r="F928">
        <v>0</v>
      </c>
      <c r="H928">
        <v>0</v>
      </c>
      <c r="I928">
        <v>1</v>
      </c>
      <c r="J928">
        <v>1</v>
      </c>
      <c r="K928">
        <v>0</v>
      </c>
      <c r="L928">
        <v>0</v>
      </c>
      <c r="N928" t="s">
        <v>135</v>
      </c>
      <c r="O928" t="s">
        <v>80</v>
      </c>
      <c r="P928">
        <v>0</v>
      </c>
      <c r="Q928">
        <v>1</v>
      </c>
      <c r="R928">
        <v>0</v>
      </c>
      <c r="S928">
        <v>0</v>
      </c>
      <c r="T928">
        <v>0</v>
      </c>
      <c r="U928">
        <v>0</v>
      </c>
      <c r="V928">
        <v>0</v>
      </c>
      <c r="W928">
        <v>0</v>
      </c>
      <c r="X928">
        <v>0</v>
      </c>
      <c r="Y928">
        <v>0</v>
      </c>
      <c r="Z928">
        <v>0</v>
      </c>
      <c r="AA928">
        <v>0</v>
      </c>
      <c r="AM928" t="s">
        <v>83</v>
      </c>
      <c r="AN928" t="s">
        <v>82</v>
      </c>
      <c r="AO928" t="s">
        <v>83</v>
      </c>
      <c r="AP928" t="s">
        <v>82</v>
      </c>
      <c r="AQ928" t="s">
        <v>81</v>
      </c>
      <c r="AR928" t="s">
        <v>83</v>
      </c>
      <c r="AS928" t="s">
        <v>83</v>
      </c>
      <c r="AT928" t="s">
        <v>81</v>
      </c>
      <c r="AU928" t="s">
        <v>88</v>
      </c>
      <c r="AV928" t="s">
        <v>89</v>
      </c>
      <c r="AW928" t="s">
        <v>85</v>
      </c>
      <c r="AX928" t="s">
        <v>110</v>
      </c>
      <c r="AY928" t="s">
        <v>425</v>
      </c>
      <c r="AZ928" t="s">
        <v>107</v>
      </c>
      <c r="BA928" t="s">
        <v>87</v>
      </c>
      <c r="BB928" t="s">
        <v>87</v>
      </c>
      <c r="BC928" t="s">
        <v>87</v>
      </c>
      <c r="BD928" t="s">
        <v>74</v>
      </c>
      <c r="BE928" t="s">
        <v>87</v>
      </c>
      <c r="BF928" t="s">
        <v>75</v>
      </c>
      <c r="BG928" t="s">
        <v>76</v>
      </c>
      <c r="BH928" t="s">
        <v>93</v>
      </c>
      <c r="BI928" t="s">
        <v>107</v>
      </c>
      <c r="BJ928" t="s">
        <v>78</v>
      </c>
      <c r="BK928">
        <v>0</v>
      </c>
      <c r="BL928">
        <v>0</v>
      </c>
      <c r="BM928">
        <v>0</v>
      </c>
      <c r="BN928">
        <v>0</v>
      </c>
      <c r="BO928">
        <v>0</v>
      </c>
      <c r="BP928">
        <v>1</v>
      </c>
      <c r="BQ928">
        <v>0</v>
      </c>
      <c r="BR928">
        <v>0</v>
      </c>
    </row>
    <row r="929" spans="1:71" x14ac:dyDescent="0.2">
      <c r="A929" s="1">
        <v>44579.883333333331</v>
      </c>
      <c r="B929" s="1">
        <v>44579.885416666664</v>
      </c>
      <c r="C929">
        <v>1</v>
      </c>
      <c r="D929">
        <v>0</v>
      </c>
      <c r="E929">
        <v>0</v>
      </c>
      <c r="F929">
        <v>0</v>
      </c>
      <c r="H929">
        <v>0</v>
      </c>
      <c r="I929">
        <v>1</v>
      </c>
      <c r="J929">
        <v>1</v>
      </c>
      <c r="K929">
        <v>1</v>
      </c>
      <c r="L929">
        <v>0</v>
      </c>
      <c r="N929" t="s">
        <v>88</v>
      </c>
      <c r="O929" t="s">
        <v>80</v>
      </c>
      <c r="P929">
        <v>0</v>
      </c>
      <c r="Q929">
        <v>0</v>
      </c>
      <c r="R929">
        <v>1</v>
      </c>
      <c r="S929">
        <v>0</v>
      </c>
      <c r="T929">
        <v>0</v>
      </c>
      <c r="U929">
        <v>0</v>
      </c>
      <c r="V929">
        <v>0</v>
      </c>
      <c r="W929">
        <v>0</v>
      </c>
      <c r="X929">
        <v>0</v>
      </c>
      <c r="Y929">
        <v>0</v>
      </c>
      <c r="Z929">
        <v>0</v>
      </c>
      <c r="AA929">
        <v>0</v>
      </c>
      <c r="AM929" t="s">
        <v>81</v>
      </c>
      <c r="AN929" t="s">
        <v>82</v>
      </c>
      <c r="AO929" t="s">
        <v>81</v>
      </c>
      <c r="AP929" t="s">
        <v>82</v>
      </c>
      <c r="AQ929" t="s">
        <v>81</v>
      </c>
      <c r="AR929" t="s">
        <v>83</v>
      </c>
      <c r="AS929" t="s">
        <v>83</v>
      </c>
      <c r="AT929" t="s">
        <v>81</v>
      </c>
      <c r="AU929" t="s">
        <v>88</v>
      </c>
      <c r="AV929" t="s">
        <v>80</v>
      </c>
      <c r="AW929" t="s">
        <v>100</v>
      </c>
      <c r="AX929" t="s">
        <v>72</v>
      </c>
      <c r="AZ929" t="s">
        <v>107</v>
      </c>
      <c r="BA929" t="s">
        <v>87</v>
      </c>
      <c r="BB929" t="s">
        <v>87</v>
      </c>
      <c r="BC929" t="s">
        <v>87</v>
      </c>
      <c r="BD929" t="s">
        <v>87</v>
      </c>
      <c r="BE929" t="s">
        <v>86</v>
      </c>
      <c r="BF929" t="s">
        <v>75</v>
      </c>
      <c r="BG929" t="s">
        <v>76</v>
      </c>
      <c r="BH929" t="s">
        <v>77</v>
      </c>
      <c r="BI929" t="s">
        <v>107</v>
      </c>
      <c r="BJ929" t="s">
        <v>102</v>
      </c>
      <c r="BK929">
        <v>1</v>
      </c>
      <c r="BL929">
        <v>1</v>
      </c>
      <c r="BM929">
        <v>0</v>
      </c>
      <c r="BN929">
        <v>0</v>
      </c>
      <c r="BO929">
        <v>0</v>
      </c>
      <c r="BP929">
        <v>1</v>
      </c>
      <c r="BQ929">
        <v>0</v>
      </c>
      <c r="BR929">
        <v>0</v>
      </c>
    </row>
    <row r="930" spans="1:71" x14ac:dyDescent="0.2">
      <c r="A930" s="1">
        <v>44580.679166666669</v>
      </c>
      <c r="B930" s="1">
        <v>44580.682638888888</v>
      </c>
      <c r="C930">
        <v>1</v>
      </c>
      <c r="D930">
        <v>0</v>
      </c>
      <c r="E930">
        <v>0</v>
      </c>
      <c r="F930">
        <v>0</v>
      </c>
      <c r="H930">
        <v>0</v>
      </c>
      <c r="I930">
        <v>1</v>
      </c>
      <c r="J930">
        <v>0</v>
      </c>
      <c r="K930">
        <v>0</v>
      </c>
      <c r="L930">
        <v>0</v>
      </c>
      <c r="N930" t="s">
        <v>88</v>
      </c>
      <c r="O930" t="s">
        <v>89</v>
      </c>
      <c r="P930">
        <v>0</v>
      </c>
      <c r="Q930">
        <v>0</v>
      </c>
      <c r="R930">
        <v>1</v>
      </c>
      <c r="S930">
        <v>0</v>
      </c>
      <c r="T930">
        <v>0</v>
      </c>
      <c r="U930">
        <v>0</v>
      </c>
      <c r="V930">
        <v>0</v>
      </c>
      <c r="W930">
        <v>0</v>
      </c>
      <c r="X930">
        <v>0</v>
      </c>
      <c r="Y930">
        <v>0</v>
      </c>
      <c r="Z930">
        <v>0</v>
      </c>
      <c r="AA930">
        <v>0</v>
      </c>
      <c r="AM930" t="s">
        <v>83</v>
      </c>
      <c r="AN930" t="s">
        <v>81</v>
      </c>
      <c r="AO930" t="s">
        <v>83</v>
      </c>
      <c r="AP930" t="s">
        <v>81</v>
      </c>
      <c r="AQ930" t="s">
        <v>81</v>
      </c>
      <c r="AR930" t="s">
        <v>82</v>
      </c>
      <c r="AS930" t="s">
        <v>82</v>
      </c>
      <c r="AT930" t="s">
        <v>83</v>
      </c>
      <c r="AU930" t="s">
        <v>88</v>
      </c>
      <c r="AV930" t="s">
        <v>89</v>
      </c>
      <c r="AW930" t="s">
        <v>85</v>
      </c>
      <c r="AX930" t="s">
        <v>128</v>
      </c>
      <c r="AZ930" t="s">
        <v>73</v>
      </c>
      <c r="BA930" t="s">
        <v>87</v>
      </c>
      <c r="BB930" t="s">
        <v>86</v>
      </c>
      <c r="BC930" t="s">
        <v>87</v>
      </c>
      <c r="BD930" t="s">
        <v>87</v>
      </c>
      <c r="BE930" t="s">
        <v>87</v>
      </c>
      <c r="BF930" t="s">
        <v>75</v>
      </c>
      <c r="BG930" t="s">
        <v>76</v>
      </c>
      <c r="BH930" t="s">
        <v>93</v>
      </c>
      <c r="BI930" t="s">
        <v>73</v>
      </c>
      <c r="BJ930" t="s">
        <v>114</v>
      </c>
      <c r="BK930">
        <v>0</v>
      </c>
      <c r="BL930">
        <v>0</v>
      </c>
      <c r="BM930">
        <v>0</v>
      </c>
      <c r="BN930">
        <v>0</v>
      </c>
      <c r="BO930">
        <v>0</v>
      </c>
      <c r="BP930">
        <v>1</v>
      </c>
      <c r="BQ930">
        <v>0</v>
      </c>
      <c r="BR930">
        <v>0</v>
      </c>
    </row>
    <row r="931" spans="1:71" x14ac:dyDescent="0.2">
      <c r="A931" s="1">
        <v>44585.595138888886</v>
      </c>
      <c r="B931" s="1">
        <v>44585.59652777778</v>
      </c>
      <c r="C931">
        <v>0</v>
      </c>
      <c r="D931">
        <v>1</v>
      </c>
      <c r="E931">
        <v>0</v>
      </c>
      <c r="F931">
        <v>0</v>
      </c>
      <c r="H931">
        <v>0</v>
      </c>
      <c r="I931">
        <v>0</v>
      </c>
      <c r="J931">
        <v>0</v>
      </c>
      <c r="K931">
        <v>1</v>
      </c>
      <c r="L931">
        <v>0</v>
      </c>
      <c r="N931" t="s">
        <v>135</v>
      </c>
      <c r="O931" t="s">
        <v>127</v>
      </c>
      <c r="P931">
        <v>1</v>
      </c>
      <c r="Q931">
        <v>0</v>
      </c>
      <c r="R931">
        <v>0</v>
      </c>
      <c r="S931">
        <v>0</v>
      </c>
      <c r="T931">
        <v>0</v>
      </c>
      <c r="U931">
        <v>0</v>
      </c>
      <c r="V931">
        <v>0</v>
      </c>
      <c r="W931">
        <v>0</v>
      </c>
      <c r="X931">
        <v>0</v>
      </c>
      <c r="Y931">
        <v>0</v>
      </c>
      <c r="Z931">
        <v>0</v>
      </c>
      <c r="AA931">
        <v>0</v>
      </c>
      <c r="AC931">
        <v>0</v>
      </c>
      <c r="AD931">
        <v>0</v>
      </c>
      <c r="AE931">
        <v>0</v>
      </c>
      <c r="AF931">
        <v>0</v>
      </c>
      <c r="AG931">
        <v>0</v>
      </c>
      <c r="AH931">
        <v>0</v>
      </c>
      <c r="AI931">
        <v>1</v>
      </c>
      <c r="AJ931">
        <v>0</v>
      </c>
      <c r="AK931">
        <v>1</v>
      </c>
      <c r="AL931" t="s">
        <v>426</v>
      </c>
      <c r="AX931" t="s">
        <v>122</v>
      </c>
      <c r="AZ931" t="s">
        <v>107</v>
      </c>
      <c r="BA931" t="s">
        <v>74</v>
      </c>
      <c r="BF931" t="s">
        <v>108</v>
      </c>
      <c r="BG931" t="s">
        <v>76</v>
      </c>
      <c r="BH931" t="s">
        <v>93</v>
      </c>
      <c r="BI931" t="s">
        <v>107</v>
      </c>
      <c r="BJ931" t="s">
        <v>114</v>
      </c>
      <c r="BK931">
        <v>0</v>
      </c>
      <c r="BL931">
        <v>0</v>
      </c>
      <c r="BM931">
        <v>0</v>
      </c>
      <c r="BN931">
        <v>0</v>
      </c>
      <c r="BO931">
        <v>0</v>
      </c>
      <c r="BP931">
        <v>1</v>
      </c>
      <c r="BQ931">
        <v>0</v>
      </c>
      <c r="BR931">
        <v>0</v>
      </c>
    </row>
    <row r="932" spans="1:71" x14ac:dyDescent="0.2">
      <c r="A932" s="1">
        <v>44579.931250000001</v>
      </c>
      <c r="B932" s="1">
        <v>44579.932638888888</v>
      </c>
      <c r="C932">
        <v>1</v>
      </c>
      <c r="D932">
        <v>0</v>
      </c>
      <c r="E932">
        <v>0</v>
      </c>
      <c r="F932">
        <v>0</v>
      </c>
      <c r="H932">
        <v>0</v>
      </c>
      <c r="I932">
        <v>1</v>
      </c>
      <c r="J932">
        <v>0</v>
      </c>
      <c r="K932">
        <v>0</v>
      </c>
      <c r="L932">
        <v>0</v>
      </c>
      <c r="N932" t="s">
        <v>135</v>
      </c>
      <c r="O932" t="s">
        <v>80</v>
      </c>
      <c r="P932">
        <v>1</v>
      </c>
      <c r="Q932">
        <v>0</v>
      </c>
      <c r="R932">
        <v>0</v>
      </c>
      <c r="S932">
        <v>0</v>
      </c>
      <c r="T932">
        <v>0</v>
      </c>
      <c r="U932">
        <v>0</v>
      </c>
      <c r="V932">
        <v>0</v>
      </c>
      <c r="W932">
        <v>0</v>
      </c>
      <c r="X932">
        <v>0</v>
      </c>
      <c r="Y932">
        <v>0</v>
      </c>
      <c r="Z932">
        <v>0</v>
      </c>
      <c r="AA932">
        <v>0</v>
      </c>
      <c r="AC932">
        <v>0</v>
      </c>
      <c r="AD932">
        <v>1</v>
      </c>
      <c r="AE932">
        <v>0</v>
      </c>
      <c r="AF932">
        <v>0</v>
      </c>
      <c r="AG932">
        <v>0</v>
      </c>
      <c r="AH932">
        <v>0</v>
      </c>
      <c r="AI932">
        <v>0</v>
      </c>
      <c r="AJ932">
        <v>0</v>
      </c>
      <c r="AK932">
        <v>0</v>
      </c>
      <c r="AX932" t="s">
        <v>118</v>
      </c>
      <c r="AZ932" t="s">
        <v>107</v>
      </c>
      <c r="BA932" t="s">
        <v>86</v>
      </c>
      <c r="BB932" t="s">
        <v>87</v>
      </c>
      <c r="BC932" t="s">
        <v>87</v>
      </c>
      <c r="BD932" t="s">
        <v>87</v>
      </c>
      <c r="BE932" t="s">
        <v>87</v>
      </c>
      <c r="BF932" t="s">
        <v>75</v>
      </c>
      <c r="BG932" t="s">
        <v>76</v>
      </c>
      <c r="BH932" t="s">
        <v>93</v>
      </c>
      <c r="BI932" t="s">
        <v>107</v>
      </c>
      <c r="BJ932" t="s">
        <v>114</v>
      </c>
      <c r="BK932">
        <v>0</v>
      </c>
      <c r="BL932">
        <v>0</v>
      </c>
      <c r="BM932">
        <v>0</v>
      </c>
      <c r="BN932">
        <v>0</v>
      </c>
      <c r="BO932">
        <v>0</v>
      </c>
      <c r="BP932">
        <v>1</v>
      </c>
      <c r="BQ932">
        <v>0</v>
      </c>
      <c r="BR932">
        <v>0</v>
      </c>
    </row>
    <row r="933" spans="1:71" x14ac:dyDescent="0.2">
      <c r="A933" s="1">
        <v>44579.885416666664</v>
      </c>
      <c r="B933" s="1">
        <v>44579.88958333333</v>
      </c>
      <c r="C933">
        <v>1</v>
      </c>
      <c r="D933">
        <v>0</v>
      </c>
      <c r="E933">
        <v>0</v>
      </c>
      <c r="F933">
        <v>0</v>
      </c>
      <c r="H933">
        <v>0</v>
      </c>
      <c r="I933">
        <v>1</v>
      </c>
      <c r="J933">
        <v>1</v>
      </c>
      <c r="K933">
        <v>1</v>
      </c>
      <c r="L933">
        <v>0</v>
      </c>
      <c r="N933" t="s">
        <v>79</v>
      </c>
      <c r="O933" t="s">
        <v>89</v>
      </c>
      <c r="P933">
        <v>0</v>
      </c>
      <c r="Q933">
        <v>0</v>
      </c>
      <c r="R933">
        <v>1</v>
      </c>
      <c r="S933">
        <v>0</v>
      </c>
      <c r="T933">
        <v>0</v>
      </c>
      <c r="U933">
        <v>0</v>
      </c>
      <c r="V933">
        <v>0</v>
      </c>
      <c r="W933">
        <v>0</v>
      </c>
      <c r="X933">
        <v>0</v>
      </c>
      <c r="Y933">
        <v>0</v>
      </c>
      <c r="Z933">
        <v>0</v>
      </c>
      <c r="AA933">
        <v>0</v>
      </c>
      <c r="AM933" t="s">
        <v>83</v>
      </c>
      <c r="AN933" t="s">
        <v>82</v>
      </c>
      <c r="AO933" t="s">
        <v>81</v>
      </c>
      <c r="AP933" t="s">
        <v>82</v>
      </c>
      <c r="AQ933" t="s">
        <v>81</v>
      </c>
      <c r="AR933" t="s">
        <v>83</v>
      </c>
      <c r="AS933" t="s">
        <v>83</v>
      </c>
      <c r="AT933" t="s">
        <v>90</v>
      </c>
      <c r="AU933" t="s">
        <v>88</v>
      </c>
      <c r="AV933" t="s">
        <v>80</v>
      </c>
      <c r="AW933" t="s">
        <v>100</v>
      </c>
      <c r="AX933" t="s">
        <v>106</v>
      </c>
      <c r="AZ933" t="s">
        <v>107</v>
      </c>
      <c r="BA933" t="s">
        <v>87</v>
      </c>
      <c r="BB933" t="s">
        <v>87</v>
      </c>
      <c r="BC933" t="s">
        <v>87</v>
      </c>
      <c r="BD933" t="s">
        <v>87</v>
      </c>
      <c r="BE933" t="s">
        <v>87</v>
      </c>
      <c r="BF933" t="s">
        <v>108</v>
      </c>
      <c r="BG933" t="s">
        <v>76</v>
      </c>
      <c r="BH933" t="s">
        <v>93</v>
      </c>
      <c r="BI933" t="s">
        <v>107</v>
      </c>
      <c r="BJ933" t="s">
        <v>78</v>
      </c>
      <c r="BK933">
        <v>0</v>
      </c>
      <c r="BL933">
        <v>0</v>
      </c>
      <c r="BM933">
        <v>0</v>
      </c>
      <c r="BN933">
        <v>0</v>
      </c>
      <c r="BO933">
        <v>0</v>
      </c>
      <c r="BP933">
        <v>1</v>
      </c>
      <c r="BQ933">
        <v>0</v>
      </c>
      <c r="BR933">
        <v>0</v>
      </c>
    </row>
    <row r="934" spans="1:71" x14ac:dyDescent="0.2">
      <c r="A934" s="1">
        <v>44579.938888888886</v>
      </c>
      <c r="B934" s="1">
        <v>44579.941666666666</v>
      </c>
      <c r="C934">
        <v>0</v>
      </c>
      <c r="D934">
        <v>1</v>
      </c>
      <c r="E934">
        <v>0</v>
      </c>
      <c r="F934">
        <v>0</v>
      </c>
      <c r="H934">
        <v>0</v>
      </c>
      <c r="I934">
        <v>1</v>
      </c>
      <c r="J934">
        <v>0</v>
      </c>
      <c r="K934">
        <v>0</v>
      </c>
      <c r="L934">
        <v>0</v>
      </c>
      <c r="N934" t="s">
        <v>79</v>
      </c>
      <c r="O934" t="s">
        <v>80</v>
      </c>
      <c r="P934">
        <v>1</v>
      </c>
      <c r="Q934">
        <v>0</v>
      </c>
      <c r="R934">
        <v>0</v>
      </c>
      <c r="S934">
        <v>0</v>
      </c>
      <c r="T934">
        <v>0</v>
      </c>
      <c r="U934">
        <v>0</v>
      </c>
      <c r="V934">
        <v>0</v>
      </c>
      <c r="W934">
        <v>0</v>
      </c>
      <c r="X934">
        <v>0</v>
      </c>
      <c r="Y934">
        <v>0</v>
      </c>
      <c r="Z934">
        <v>0</v>
      </c>
      <c r="AA934">
        <v>0</v>
      </c>
      <c r="AC934">
        <v>0</v>
      </c>
      <c r="AD934">
        <v>0</v>
      </c>
      <c r="AE934">
        <v>1</v>
      </c>
      <c r="AF934">
        <v>0</v>
      </c>
      <c r="AG934">
        <v>0</v>
      </c>
      <c r="AH934">
        <v>1</v>
      </c>
      <c r="AI934">
        <v>0</v>
      </c>
      <c r="AJ934">
        <v>1</v>
      </c>
      <c r="AK934">
        <v>1</v>
      </c>
      <c r="AL934" t="s">
        <v>427</v>
      </c>
      <c r="AX934" t="s">
        <v>106</v>
      </c>
      <c r="AZ934" t="s">
        <v>107</v>
      </c>
      <c r="BA934" t="s">
        <v>86</v>
      </c>
      <c r="BB934" t="s">
        <v>86</v>
      </c>
      <c r="BC934" t="s">
        <v>86</v>
      </c>
      <c r="BD934" t="s">
        <v>74</v>
      </c>
      <c r="BE934" t="s">
        <v>86</v>
      </c>
      <c r="BF934" t="s">
        <v>75</v>
      </c>
      <c r="BG934" t="s">
        <v>76</v>
      </c>
      <c r="BH934" t="s">
        <v>98</v>
      </c>
      <c r="BI934" t="s">
        <v>107</v>
      </c>
      <c r="BJ934" t="s">
        <v>114</v>
      </c>
      <c r="BK934">
        <v>0</v>
      </c>
      <c r="BL934">
        <v>0</v>
      </c>
      <c r="BM934">
        <v>0</v>
      </c>
      <c r="BN934">
        <v>0</v>
      </c>
      <c r="BO934">
        <v>0</v>
      </c>
      <c r="BP934">
        <v>0</v>
      </c>
      <c r="BQ934">
        <v>1</v>
      </c>
      <c r="BR934">
        <v>0</v>
      </c>
      <c r="BS934" t="s">
        <v>428</v>
      </c>
    </row>
    <row r="935" spans="1:71" x14ac:dyDescent="0.2">
      <c r="A935" s="1">
        <v>44579.895138888889</v>
      </c>
      <c r="B935" s="1">
        <v>44579.898611111108</v>
      </c>
      <c r="C935">
        <v>1</v>
      </c>
      <c r="D935">
        <v>0</v>
      </c>
      <c r="E935">
        <v>0</v>
      </c>
      <c r="F935">
        <v>0</v>
      </c>
      <c r="H935">
        <v>0</v>
      </c>
      <c r="I935">
        <v>1</v>
      </c>
      <c r="J935">
        <v>1</v>
      </c>
      <c r="K935">
        <v>1</v>
      </c>
      <c r="L935">
        <v>0</v>
      </c>
      <c r="N935" t="s">
        <v>88</v>
      </c>
      <c r="O935" t="s">
        <v>89</v>
      </c>
      <c r="P935">
        <v>0</v>
      </c>
      <c r="Q935">
        <v>1</v>
      </c>
      <c r="R935">
        <v>0</v>
      </c>
      <c r="S935">
        <v>0</v>
      </c>
      <c r="T935">
        <v>0</v>
      </c>
      <c r="U935">
        <v>0</v>
      </c>
      <c r="V935">
        <v>0</v>
      </c>
      <c r="W935">
        <v>0</v>
      </c>
      <c r="X935">
        <v>0</v>
      </c>
      <c r="Y935">
        <v>1</v>
      </c>
      <c r="Z935">
        <v>0</v>
      </c>
      <c r="AA935">
        <v>0</v>
      </c>
      <c r="AM935" t="s">
        <v>83</v>
      </c>
      <c r="AN935" t="s">
        <v>81</v>
      </c>
      <c r="AO935" t="s">
        <v>82</v>
      </c>
      <c r="AP935" t="s">
        <v>81</v>
      </c>
      <c r="AQ935" t="s">
        <v>83</v>
      </c>
      <c r="AR935" t="s">
        <v>83</v>
      </c>
      <c r="AS935" t="s">
        <v>83</v>
      </c>
      <c r="AT935" t="s">
        <v>83</v>
      </c>
      <c r="AU935" t="s">
        <v>88</v>
      </c>
      <c r="AV935" t="s">
        <v>89</v>
      </c>
      <c r="AW935" t="s">
        <v>100</v>
      </c>
      <c r="AX935" t="s">
        <v>170</v>
      </c>
      <c r="AZ935" t="s">
        <v>107</v>
      </c>
      <c r="BA935" t="s">
        <v>87</v>
      </c>
      <c r="BB935" t="s">
        <v>87</v>
      </c>
      <c r="BC935" t="s">
        <v>87</v>
      </c>
      <c r="BD935" t="s">
        <v>87</v>
      </c>
      <c r="BE935" t="s">
        <v>87</v>
      </c>
      <c r="BF935" t="s">
        <v>75</v>
      </c>
      <c r="BG935" t="s">
        <v>76</v>
      </c>
      <c r="BH935" t="s">
        <v>77</v>
      </c>
      <c r="BI935" t="s">
        <v>107</v>
      </c>
      <c r="BJ935" t="s">
        <v>78</v>
      </c>
      <c r="BK935">
        <v>0</v>
      </c>
      <c r="BL935">
        <v>0</v>
      </c>
      <c r="BM935">
        <v>0</v>
      </c>
      <c r="BN935">
        <v>0</v>
      </c>
      <c r="BO935">
        <v>0</v>
      </c>
      <c r="BP935">
        <v>1</v>
      </c>
      <c r="BQ935">
        <v>0</v>
      </c>
      <c r="BR935">
        <v>0</v>
      </c>
    </row>
    <row r="936" spans="1:71" x14ac:dyDescent="0.2">
      <c r="A936" s="1">
        <v>44588.888194444444</v>
      </c>
      <c r="B936" s="1">
        <v>44588.890277777777</v>
      </c>
      <c r="C936">
        <v>0</v>
      </c>
      <c r="D936">
        <v>1</v>
      </c>
      <c r="E936">
        <v>0</v>
      </c>
      <c r="F936">
        <v>0</v>
      </c>
      <c r="H936">
        <v>0</v>
      </c>
      <c r="I936">
        <v>0</v>
      </c>
      <c r="J936">
        <v>1</v>
      </c>
      <c r="K936">
        <v>0</v>
      </c>
      <c r="L936">
        <v>1</v>
      </c>
      <c r="M936" t="s">
        <v>429</v>
      </c>
      <c r="N936" t="s">
        <v>135</v>
      </c>
      <c r="O936" t="s">
        <v>80</v>
      </c>
      <c r="P936">
        <v>1</v>
      </c>
      <c r="Q936">
        <v>0</v>
      </c>
      <c r="R936">
        <v>0</v>
      </c>
      <c r="S936">
        <v>0</v>
      </c>
      <c r="T936">
        <v>0</v>
      </c>
      <c r="U936">
        <v>0</v>
      </c>
      <c r="V936">
        <v>0</v>
      </c>
      <c r="W936">
        <v>0</v>
      </c>
      <c r="X936">
        <v>0</v>
      </c>
      <c r="Y936">
        <v>0</v>
      </c>
      <c r="Z936">
        <v>0</v>
      </c>
      <c r="AA936">
        <v>0</v>
      </c>
      <c r="AC936">
        <v>0</v>
      </c>
      <c r="AD936">
        <v>0</v>
      </c>
      <c r="AE936">
        <v>1</v>
      </c>
      <c r="AF936">
        <v>0</v>
      </c>
      <c r="AG936">
        <v>0</v>
      </c>
      <c r="AH936">
        <v>0</v>
      </c>
      <c r="AI936">
        <v>0</v>
      </c>
      <c r="AJ936">
        <v>0</v>
      </c>
      <c r="AK936">
        <v>1</v>
      </c>
      <c r="AL936" t="s">
        <v>430</v>
      </c>
      <c r="AZ936" t="s">
        <v>73</v>
      </c>
      <c r="BA936" t="s">
        <v>87</v>
      </c>
      <c r="BB936" t="s">
        <v>87</v>
      </c>
      <c r="BC936" t="s">
        <v>74</v>
      </c>
      <c r="BD936" t="s">
        <v>74</v>
      </c>
      <c r="BE936" t="s">
        <v>87</v>
      </c>
      <c r="BF936" t="s">
        <v>159</v>
      </c>
      <c r="BG936" t="s">
        <v>76</v>
      </c>
      <c r="BH936" t="s">
        <v>93</v>
      </c>
      <c r="BI936" t="s">
        <v>73</v>
      </c>
      <c r="BJ936" t="s">
        <v>78</v>
      </c>
      <c r="BK936">
        <v>0</v>
      </c>
      <c r="BL936">
        <v>0</v>
      </c>
      <c r="BM936">
        <v>0</v>
      </c>
      <c r="BN936">
        <v>0</v>
      </c>
      <c r="BO936">
        <v>0</v>
      </c>
      <c r="BP936">
        <v>1</v>
      </c>
      <c r="BQ936">
        <v>0</v>
      </c>
      <c r="BR936">
        <v>0</v>
      </c>
    </row>
    <row r="937" spans="1:71" x14ac:dyDescent="0.2">
      <c r="A937" s="1">
        <v>44581.37222222222</v>
      </c>
      <c r="B937" s="1">
        <v>44581.375694444447</v>
      </c>
      <c r="C937">
        <v>0</v>
      </c>
      <c r="D937">
        <v>1</v>
      </c>
      <c r="E937">
        <v>0</v>
      </c>
      <c r="F937">
        <v>0</v>
      </c>
      <c r="H937">
        <v>0</v>
      </c>
      <c r="I937">
        <v>1</v>
      </c>
      <c r="J937">
        <v>0</v>
      </c>
      <c r="K937">
        <v>0</v>
      </c>
      <c r="L937">
        <v>0</v>
      </c>
      <c r="N937" t="s">
        <v>88</v>
      </c>
      <c r="O937" t="s">
        <v>89</v>
      </c>
      <c r="P937">
        <v>1</v>
      </c>
      <c r="Q937">
        <v>0</v>
      </c>
      <c r="R937">
        <v>0</v>
      </c>
      <c r="S937">
        <v>0</v>
      </c>
      <c r="T937">
        <v>0</v>
      </c>
      <c r="U937">
        <v>0</v>
      </c>
      <c r="V937">
        <v>0</v>
      </c>
      <c r="W937">
        <v>0</v>
      </c>
      <c r="X937">
        <v>0</v>
      </c>
      <c r="Y937">
        <v>0</v>
      </c>
      <c r="Z937">
        <v>0</v>
      </c>
      <c r="AA937">
        <v>0</v>
      </c>
      <c r="AC937">
        <v>0</v>
      </c>
      <c r="AD937">
        <v>0</v>
      </c>
      <c r="AE937">
        <v>0</v>
      </c>
      <c r="AF937">
        <v>0</v>
      </c>
      <c r="AG937">
        <v>0</v>
      </c>
      <c r="AH937">
        <v>0</v>
      </c>
      <c r="AI937">
        <v>0</v>
      </c>
      <c r="AJ937">
        <v>0</v>
      </c>
      <c r="AK937">
        <v>1</v>
      </c>
      <c r="AL937" t="s">
        <v>431</v>
      </c>
      <c r="AX937" t="s">
        <v>91</v>
      </c>
      <c r="AZ937" t="s">
        <v>107</v>
      </c>
      <c r="BA937" t="s">
        <v>86</v>
      </c>
      <c r="BB937" t="s">
        <v>87</v>
      </c>
      <c r="BC937" t="s">
        <v>86</v>
      </c>
      <c r="BD937" t="s">
        <v>86</v>
      </c>
      <c r="BE937" t="s">
        <v>86</v>
      </c>
      <c r="BF937" t="s">
        <v>75</v>
      </c>
      <c r="BG937" t="s">
        <v>92</v>
      </c>
      <c r="BH937" t="s">
        <v>93</v>
      </c>
      <c r="BI937" t="s">
        <v>107</v>
      </c>
      <c r="BJ937" t="s">
        <v>78</v>
      </c>
      <c r="BK937">
        <v>0</v>
      </c>
      <c r="BL937">
        <v>0</v>
      </c>
      <c r="BM937">
        <v>0</v>
      </c>
      <c r="BN937">
        <v>0</v>
      </c>
      <c r="BO937">
        <v>0</v>
      </c>
      <c r="BP937">
        <v>1</v>
      </c>
      <c r="BQ937">
        <v>0</v>
      </c>
      <c r="BR937">
        <v>0</v>
      </c>
    </row>
    <row r="938" spans="1:71" x14ac:dyDescent="0.2">
      <c r="A938" s="1">
        <v>44581.131944444445</v>
      </c>
      <c r="B938" s="1">
        <v>44581.134027777778</v>
      </c>
      <c r="C938">
        <v>0</v>
      </c>
      <c r="D938">
        <v>1</v>
      </c>
      <c r="E938">
        <v>0</v>
      </c>
      <c r="F938">
        <v>0</v>
      </c>
      <c r="H938">
        <v>0</v>
      </c>
      <c r="I938">
        <v>1</v>
      </c>
      <c r="J938">
        <v>0</v>
      </c>
      <c r="K938">
        <v>0</v>
      </c>
      <c r="L938">
        <v>0</v>
      </c>
      <c r="N938" t="s">
        <v>79</v>
      </c>
      <c r="O938" t="s">
        <v>89</v>
      </c>
      <c r="P938">
        <v>0</v>
      </c>
      <c r="Q938">
        <v>0</v>
      </c>
      <c r="R938">
        <v>0</v>
      </c>
      <c r="S938">
        <v>0</v>
      </c>
      <c r="T938">
        <v>1</v>
      </c>
      <c r="U938">
        <v>0</v>
      </c>
      <c r="V938">
        <v>0</v>
      </c>
      <c r="W938">
        <v>0</v>
      </c>
      <c r="X938">
        <v>0</v>
      </c>
      <c r="Y938">
        <v>0</v>
      </c>
      <c r="Z938">
        <v>0</v>
      </c>
      <c r="AA938">
        <v>0</v>
      </c>
      <c r="AM938" t="s">
        <v>83</v>
      </c>
      <c r="AN938" t="s">
        <v>82</v>
      </c>
      <c r="AO938" t="s">
        <v>90</v>
      </c>
      <c r="AP938" t="s">
        <v>81</v>
      </c>
      <c r="AQ938" t="s">
        <v>81</v>
      </c>
      <c r="AR938" t="s">
        <v>83</v>
      </c>
      <c r="AS938" t="s">
        <v>83</v>
      </c>
      <c r="AT938" t="s">
        <v>81</v>
      </c>
      <c r="AU938" t="s">
        <v>88</v>
      </c>
      <c r="AV938" t="s">
        <v>89</v>
      </c>
      <c r="AW938" t="s">
        <v>85</v>
      </c>
      <c r="AX938" t="s">
        <v>106</v>
      </c>
      <c r="AZ938" t="s">
        <v>120</v>
      </c>
      <c r="BA938" t="s">
        <v>87</v>
      </c>
      <c r="BB938" t="s">
        <v>87</v>
      </c>
      <c r="BC938" t="s">
        <v>87</v>
      </c>
      <c r="BD938" t="s">
        <v>87</v>
      </c>
      <c r="BE938" t="s">
        <v>87</v>
      </c>
      <c r="BF938" t="s">
        <v>108</v>
      </c>
      <c r="BG938" t="s">
        <v>76</v>
      </c>
      <c r="BH938" t="s">
        <v>93</v>
      </c>
      <c r="BI938" t="s">
        <v>120</v>
      </c>
      <c r="BJ938" t="s">
        <v>78</v>
      </c>
      <c r="BK938">
        <v>0</v>
      </c>
      <c r="BL938">
        <v>0</v>
      </c>
      <c r="BM938">
        <v>0</v>
      </c>
      <c r="BN938">
        <v>0</v>
      </c>
      <c r="BO938">
        <v>1</v>
      </c>
      <c r="BP938">
        <v>0</v>
      </c>
      <c r="BQ938">
        <v>0</v>
      </c>
      <c r="BR938">
        <v>0</v>
      </c>
    </row>
    <row r="939" spans="1:71" x14ac:dyDescent="0.2">
      <c r="A939" s="1">
        <v>44585.525694444441</v>
      </c>
      <c r="B939" s="1">
        <v>44585.527777777781</v>
      </c>
      <c r="C939">
        <v>1</v>
      </c>
      <c r="D939">
        <v>0</v>
      </c>
      <c r="E939">
        <v>0</v>
      </c>
      <c r="F939">
        <v>0</v>
      </c>
      <c r="H939">
        <v>0</v>
      </c>
      <c r="I939">
        <v>1</v>
      </c>
      <c r="J939">
        <v>0</v>
      </c>
      <c r="K939">
        <v>0</v>
      </c>
      <c r="L939">
        <v>0</v>
      </c>
      <c r="N939" t="s">
        <v>127</v>
      </c>
      <c r="O939" t="s">
        <v>80</v>
      </c>
      <c r="P939">
        <v>1</v>
      </c>
      <c r="Q939">
        <v>0</v>
      </c>
      <c r="R939">
        <v>0</v>
      </c>
      <c r="S939">
        <v>0</v>
      </c>
      <c r="T939">
        <v>0</v>
      </c>
      <c r="U939">
        <v>0</v>
      </c>
      <c r="V939">
        <v>0</v>
      </c>
      <c r="W939">
        <v>0</v>
      </c>
      <c r="X939">
        <v>0</v>
      </c>
      <c r="Y939">
        <v>0</v>
      </c>
      <c r="Z939">
        <v>0</v>
      </c>
      <c r="AA939">
        <v>0</v>
      </c>
      <c r="AC939">
        <v>0</v>
      </c>
      <c r="AD939">
        <v>1</v>
      </c>
      <c r="AE939">
        <v>0</v>
      </c>
      <c r="AF939">
        <v>0</v>
      </c>
      <c r="AG939">
        <v>0</v>
      </c>
      <c r="AH939">
        <v>0</v>
      </c>
      <c r="AI939">
        <v>0</v>
      </c>
      <c r="AJ939">
        <v>0</v>
      </c>
      <c r="AK939">
        <v>0</v>
      </c>
      <c r="AX939" t="s">
        <v>122</v>
      </c>
      <c r="AZ939" t="s">
        <v>107</v>
      </c>
      <c r="BA939" t="s">
        <v>86</v>
      </c>
      <c r="BB939" t="s">
        <v>86</v>
      </c>
      <c r="BC939" t="s">
        <v>87</v>
      </c>
      <c r="BD939" t="s">
        <v>86</v>
      </c>
      <c r="BE939" t="s">
        <v>87</v>
      </c>
      <c r="BF939" t="s">
        <v>108</v>
      </c>
      <c r="BG939" t="s">
        <v>76</v>
      </c>
      <c r="BH939" t="s">
        <v>77</v>
      </c>
      <c r="BI939" t="s">
        <v>107</v>
      </c>
      <c r="BJ939" t="s">
        <v>94</v>
      </c>
      <c r="BK939">
        <v>0</v>
      </c>
      <c r="BL939">
        <v>0</v>
      </c>
      <c r="BM939">
        <v>0</v>
      </c>
      <c r="BN939">
        <v>0</v>
      </c>
      <c r="BO939">
        <v>0</v>
      </c>
      <c r="BP939">
        <v>1</v>
      </c>
      <c r="BQ939">
        <v>0</v>
      </c>
      <c r="BR939">
        <v>0</v>
      </c>
    </row>
    <row r="940" spans="1:71" x14ac:dyDescent="0.2">
      <c r="A940" s="1">
        <v>44585.581250000003</v>
      </c>
      <c r="B940" s="1">
        <v>44585.584722222222</v>
      </c>
      <c r="C940">
        <v>1</v>
      </c>
      <c r="D940">
        <v>0</v>
      </c>
      <c r="E940">
        <v>0</v>
      </c>
      <c r="F940">
        <v>0</v>
      </c>
      <c r="H940">
        <v>0</v>
      </c>
      <c r="I940">
        <v>0</v>
      </c>
      <c r="J940">
        <v>1</v>
      </c>
      <c r="K940">
        <v>0</v>
      </c>
      <c r="L940">
        <v>0</v>
      </c>
      <c r="N940" t="s">
        <v>88</v>
      </c>
      <c r="O940" t="s">
        <v>89</v>
      </c>
      <c r="P940">
        <v>0</v>
      </c>
      <c r="Q940">
        <v>0</v>
      </c>
      <c r="R940">
        <v>1</v>
      </c>
      <c r="S940">
        <v>0</v>
      </c>
      <c r="T940">
        <v>0</v>
      </c>
      <c r="U940">
        <v>0</v>
      </c>
      <c r="V940">
        <v>0</v>
      </c>
      <c r="W940">
        <v>0</v>
      </c>
      <c r="X940">
        <v>0</v>
      </c>
      <c r="Y940">
        <v>0</v>
      </c>
      <c r="Z940">
        <v>0</v>
      </c>
      <c r="AA940">
        <v>0</v>
      </c>
      <c r="AM940" t="s">
        <v>81</v>
      </c>
      <c r="AN940" t="s">
        <v>81</v>
      </c>
      <c r="AO940" t="s">
        <v>90</v>
      </c>
      <c r="AP940" t="s">
        <v>81</v>
      </c>
      <c r="AQ940" t="s">
        <v>82</v>
      </c>
      <c r="AR940" t="s">
        <v>83</v>
      </c>
      <c r="AS940" t="s">
        <v>83</v>
      </c>
      <c r="AT940" t="s">
        <v>83</v>
      </c>
      <c r="AU940" t="s">
        <v>88</v>
      </c>
      <c r="AV940" t="s">
        <v>80</v>
      </c>
      <c r="AW940" t="s">
        <v>85</v>
      </c>
      <c r="AX940" t="s">
        <v>146</v>
      </c>
      <c r="AZ940" t="s">
        <v>107</v>
      </c>
      <c r="BA940" t="s">
        <v>87</v>
      </c>
      <c r="BB940" t="s">
        <v>86</v>
      </c>
      <c r="BC940" t="s">
        <v>86</v>
      </c>
      <c r="BD940" t="s">
        <v>86</v>
      </c>
      <c r="BE940" t="s">
        <v>86</v>
      </c>
      <c r="BF940" t="s">
        <v>113</v>
      </c>
      <c r="BG940" t="s">
        <v>76</v>
      </c>
      <c r="BH940" t="s">
        <v>77</v>
      </c>
      <c r="BI940" t="s">
        <v>107</v>
      </c>
      <c r="BJ940" t="s">
        <v>78</v>
      </c>
      <c r="BK940">
        <v>0</v>
      </c>
      <c r="BL940">
        <v>0</v>
      </c>
      <c r="BM940">
        <v>0</v>
      </c>
      <c r="BN940">
        <v>0</v>
      </c>
      <c r="BO940">
        <v>0</v>
      </c>
      <c r="BP940">
        <v>1</v>
      </c>
      <c r="BQ940">
        <v>0</v>
      </c>
      <c r="BR940">
        <v>0</v>
      </c>
    </row>
    <row r="941" spans="1:71" x14ac:dyDescent="0.2">
      <c r="A941" s="1">
        <v>44580.724305555559</v>
      </c>
      <c r="B941" s="1">
        <v>44580.725694444445</v>
      </c>
      <c r="C941">
        <v>1</v>
      </c>
      <c r="D941">
        <v>0</v>
      </c>
      <c r="E941">
        <v>0</v>
      </c>
      <c r="F941">
        <v>0</v>
      </c>
      <c r="H941">
        <v>0</v>
      </c>
      <c r="I941">
        <v>1</v>
      </c>
      <c r="J941">
        <v>1</v>
      </c>
      <c r="K941">
        <v>1</v>
      </c>
      <c r="L941">
        <v>0</v>
      </c>
      <c r="N941" t="s">
        <v>88</v>
      </c>
      <c r="O941" t="s">
        <v>89</v>
      </c>
      <c r="P941">
        <v>0</v>
      </c>
      <c r="Q941">
        <v>1</v>
      </c>
      <c r="R941">
        <v>0</v>
      </c>
      <c r="S941">
        <v>0</v>
      </c>
      <c r="T941">
        <v>0</v>
      </c>
      <c r="U941">
        <v>0</v>
      </c>
      <c r="V941">
        <v>0</v>
      </c>
      <c r="W941">
        <v>0</v>
      </c>
      <c r="X941">
        <v>0</v>
      </c>
      <c r="Y941">
        <v>0</v>
      </c>
      <c r="Z941">
        <v>0</v>
      </c>
      <c r="AA941">
        <v>0</v>
      </c>
      <c r="AM941" t="s">
        <v>83</v>
      </c>
      <c r="AN941" t="s">
        <v>82</v>
      </c>
      <c r="AO941" t="s">
        <v>81</v>
      </c>
      <c r="AP941" t="s">
        <v>81</v>
      </c>
      <c r="AQ941" t="s">
        <v>82</v>
      </c>
      <c r="AR941" t="s">
        <v>83</v>
      </c>
      <c r="AS941" t="s">
        <v>83</v>
      </c>
      <c r="AT941" t="s">
        <v>81</v>
      </c>
      <c r="AU941" t="s">
        <v>88</v>
      </c>
      <c r="AV941" t="s">
        <v>89</v>
      </c>
      <c r="AW941" t="s">
        <v>100</v>
      </c>
      <c r="AX941" t="s">
        <v>118</v>
      </c>
      <c r="AZ941" t="s">
        <v>73</v>
      </c>
      <c r="BA941" t="s">
        <v>87</v>
      </c>
      <c r="BB941" t="s">
        <v>87</v>
      </c>
      <c r="BC941" t="s">
        <v>87</v>
      </c>
      <c r="BD941" t="s">
        <v>87</v>
      </c>
      <c r="BE941" t="s">
        <v>87</v>
      </c>
      <c r="BF941" t="s">
        <v>108</v>
      </c>
      <c r="BG941" t="s">
        <v>76</v>
      </c>
      <c r="BH941" t="s">
        <v>93</v>
      </c>
      <c r="BI941" t="s">
        <v>73</v>
      </c>
      <c r="BJ941" t="s">
        <v>109</v>
      </c>
      <c r="BK941">
        <v>0</v>
      </c>
      <c r="BL941">
        <v>0</v>
      </c>
      <c r="BM941">
        <v>0</v>
      </c>
      <c r="BN941">
        <v>0</v>
      </c>
      <c r="BO941">
        <v>0</v>
      </c>
      <c r="BP941">
        <v>1</v>
      </c>
      <c r="BQ941">
        <v>0</v>
      </c>
      <c r="BR941">
        <v>0</v>
      </c>
    </row>
    <row r="942" spans="1:71" x14ac:dyDescent="0.2">
      <c r="A942" s="1">
        <v>44579.876388888886</v>
      </c>
      <c r="B942" s="1">
        <v>44579.878472222219</v>
      </c>
      <c r="C942">
        <v>0</v>
      </c>
      <c r="D942">
        <v>1</v>
      </c>
      <c r="E942">
        <v>0</v>
      </c>
      <c r="F942">
        <v>0</v>
      </c>
      <c r="H942">
        <v>1</v>
      </c>
      <c r="I942">
        <v>0</v>
      </c>
      <c r="J942">
        <v>0</v>
      </c>
      <c r="K942">
        <v>0</v>
      </c>
      <c r="L942">
        <v>0</v>
      </c>
      <c r="P942">
        <v>1</v>
      </c>
      <c r="Q942">
        <v>0</v>
      </c>
      <c r="R942">
        <v>0</v>
      </c>
      <c r="S942">
        <v>0</v>
      </c>
      <c r="T942">
        <v>0</v>
      </c>
      <c r="U942">
        <v>0</v>
      </c>
      <c r="V942">
        <v>0</v>
      </c>
      <c r="W942">
        <v>0</v>
      </c>
      <c r="X942">
        <v>0</v>
      </c>
      <c r="Y942">
        <v>0</v>
      </c>
      <c r="Z942">
        <v>0</v>
      </c>
      <c r="AA942">
        <v>0</v>
      </c>
      <c r="AC942">
        <v>0</v>
      </c>
      <c r="AD942">
        <v>1</v>
      </c>
      <c r="AE942">
        <v>0</v>
      </c>
      <c r="AF942">
        <v>0</v>
      </c>
      <c r="AG942">
        <v>0</v>
      </c>
      <c r="AH942">
        <v>0</v>
      </c>
      <c r="AI942">
        <v>0</v>
      </c>
      <c r="AJ942">
        <v>0</v>
      </c>
      <c r="AK942">
        <v>0</v>
      </c>
      <c r="AZ942" t="s">
        <v>120</v>
      </c>
      <c r="BA942" t="s">
        <v>74</v>
      </c>
      <c r="BF942" t="s">
        <v>97</v>
      </c>
      <c r="BG942" t="s">
        <v>76</v>
      </c>
      <c r="BH942" t="s">
        <v>98</v>
      </c>
      <c r="BI942" t="s">
        <v>120</v>
      </c>
      <c r="BJ942" t="s">
        <v>167</v>
      </c>
      <c r="BK942">
        <v>1</v>
      </c>
      <c r="BL942">
        <v>0</v>
      </c>
      <c r="BM942">
        <v>0</v>
      </c>
      <c r="BN942">
        <v>0</v>
      </c>
      <c r="BO942">
        <v>0</v>
      </c>
      <c r="BP942">
        <v>0</v>
      </c>
      <c r="BQ942">
        <v>0</v>
      </c>
      <c r="BR942">
        <v>0</v>
      </c>
    </row>
    <row r="943" spans="1:71" x14ac:dyDescent="0.2">
      <c r="A943" s="1">
        <v>44589.40347222222</v>
      </c>
      <c r="B943" s="1">
        <v>44589.40902777778</v>
      </c>
      <c r="C943">
        <v>1</v>
      </c>
      <c r="D943">
        <v>0</v>
      </c>
      <c r="E943">
        <v>0</v>
      </c>
      <c r="F943">
        <v>0</v>
      </c>
      <c r="H943">
        <v>0</v>
      </c>
      <c r="I943">
        <v>1</v>
      </c>
      <c r="J943">
        <v>0</v>
      </c>
      <c r="K943">
        <v>0</v>
      </c>
      <c r="L943">
        <v>0</v>
      </c>
      <c r="N943" t="s">
        <v>135</v>
      </c>
      <c r="O943" t="s">
        <v>80</v>
      </c>
      <c r="P943">
        <v>0</v>
      </c>
      <c r="Q943">
        <v>1</v>
      </c>
      <c r="R943">
        <v>0</v>
      </c>
      <c r="S943">
        <v>0</v>
      </c>
      <c r="T943">
        <v>0</v>
      </c>
      <c r="U943">
        <v>0</v>
      </c>
      <c r="V943">
        <v>0</v>
      </c>
      <c r="W943">
        <v>0</v>
      </c>
      <c r="X943">
        <v>0</v>
      </c>
      <c r="Y943">
        <v>0</v>
      </c>
      <c r="Z943">
        <v>0</v>
      </c>
      <c r="AA943">
        <v>0</v>
      </c>
      <c r="AM943" t="s">
        <v>83</v>
      </c>
      <c r="AN943" t="s">
        <v>82</v>
      </c>
      <c r="AO943" t="s">
        <v>83</v>
      </c>
      <c r="AP943" t="s">
        <v>83</v>
      </c>
      <c r="AQ943" t="s">
        <v>81</v>
      </c>
      <c r="AR943" t="s">
        <v>90</v>
      </c>
      <c r="AS943" t="s">
        <v>90</v>
      </c>
      <c r="AT943" t="s">
        <v>83</v>
      </c>
      <c r="AU943" t="s">
        <v>84</v>
      </c>
      <c r="AV943" t="s">
        <v>80</v>
      </c>
      <c r="AW943" t="s">
        <v>85</v>
      </c>
      <c r="AX943" t="s">
        <v>110</v>
      </c>
      <c r="AY943" t="s">
        <v>432</v>
      </c>
      <c r="AZ943" t="s">
        <v>73</v>
      </c>
      <c r="BA943" t="s">
        <v>74</v>
      </c>
      <c r="BF943" t="s">
        <v>75</v>
      </c>
      <c r="BG943" t="s">
        <v>76</v>
      </c>
      <c r="BH943" t="s">
        <v>77</v>
      </c>
      <c r="BI943" t="s">
        <v>73</v>
      </c>
      <c r="BJ943" t="s">
        <v>114</v>
      </c>
      <c r="BK943">
        <v>1</v>
      </c>
      <c r="BL943">
        <v>0</v>
      </c>
      <c r="BM943">
        <v>0</v>
      </c>
      <c r="BN943">
        <v>0</v>
      </c>
      <c r="BO943">
        <v>0</v>
      </c>
      <c r="BP943">
        <v>0</v>
      </c>
      <c r="BQ943">
        <v>0</v>
      </c>
      <c r="BR943">
        <v>0</v>
      </c>
    </row>
    <row r="944" spans="1:71" x14ac:dyDescent="0.2">
      <c r="A944" s="1">
        <v>44586.148611111108</v>
      </c>
      <c r="B944" s="1">
        <v>44586.150694444441</v>
      </c>
      <c r="C944">
        <v>1</v>
      </c>
      <c r="D944">
        <v>0</v>
      </c>
      <c r="E944">
        <v>0</v>
      </c>
      <c r="F944">
        <v>0</v>
      </c>
      <c r="H944">
        <v>0</v>
      </c>
      <c r="I944">
        <v>1</v>
      </c>
      <c r="J944">
        <v>1</v>
      </c>
      <c r="K944">
        <v>1</v>
      </c>
      <c r="L944">
        <v>0</v>
      </c>
      <c r="N944" t="s">
        <v>135</v>
      </c>
      <c r="O944" t="s">
        <v>80</v>
      </c>
      <c r="P944">
        <v>0</v>
      </c>
      <c r="Q944">
        <v>1</v>
      </c>
      <c r="R944">
        <v>1</v>
      </c>
      <c r="S944">
        <v>0</v>
      </c>
      <c r="T944">
        <v>0</v>
      </c>
      <c r="U944">
        <v>0</v>
      </c>
      <c r="V944">
        <v>0</v>
      </c>
      <c r="W944">
        <v>0</v>
      </c>
      <c r="X944">
        <v>0</v>
      </c>
      <c r="Y944">
        <v>0</v>
      </c>
      <c r="Z944">
        <v>0</v>
      </c>
      <c r="AA944">
        <v>0</v>
      </c>
      <c r="AM944" t="s">
        <v>82</v>
      </c>
      <c r="AN944" t="s">
        <v>81</v>
      </c>
      <c r="AO944" t="s">
        <v>81</v>
      </c>
      <c r="AP944" t="s">
        <v>81</v>
      </c>
      <c r="AQ944" t="s">
        <v>81</v>
      </c>
      <c r="AR944" t="s">
        <v>81</v>
      </c>
      <c r="AS944" t="s">
        <v>81</v>
      </c>
      <c r="AT944" t="s">
        <v>81</v>
      </c>
      <c r="AU944" t="s">
        <v>88</v>
      </c>
      <c r="AV944" t="s">
        <v>80</v>
      </c>
      <c r="AW944" t="s">
        <v>100</v>
      </c>
      <c r="AX944" t="s">
        <v>118</v>
      </c>
      <c r="AZ944" t="s">
        <v>107</v>
      </c>
      <c r="BA944" t="s">
        <v>74</v>
      </c>
      <c r="BF944" t="s">
        <v>108</v>
      </c>
      <c r="BG944" t="s">
        <v>76</v>
      </c>
      <c r="BH944" t="s">
        <v>77</v>
      </c>
      <c r="BI944" t="s">
        <v>107</v>
      </c>
      <c r="BJ944" t="s">
        <v>102</v>
      </c>
      <c r="BK944">
        <v>0</v>
      </c>
      <c r="BL944">
        <v>0</v>
      </c>
      <c r="BM944">
        <v>0</v>
      </c>
      <c r="BN944">
        <v>0</v>
      </c>
      <c r="BO944">
        <v>0</v>
      </c>
      <c r="BP944">
        <v>1</v>
      </c>
      <c r="BQ944">
        <v>0</v>
      </c>
      <c r="BR944">
        <v>0</v>
      </c>
    </row>
    <row r="945" spans="1:70" x14ac:dyDescent="0.2">
      <c r="A945" s="1">
        <v>44587.140972222223</v>
      </c>
      <c r="B945" s="1">
        <v>44587.144444444442</v>
      </c>
      <c r="C945">
        <v>0</v>
      </c>
      <c r="D945">
        <v>1</v>
      </c>
      <c r="E945">
        <v>0</v>
      </c>
      <c r="F945">
        <v>0</v>
      </c>
      <c r="H945">
        <v>0</v>
      </c>
      <c r="I945">
        <v>1</v>
      </c>
      <c r="J945">
        <v>0</v>
      </c>
      <c r="K945">
        <v>1</v>
      </c>
      <c r="L945">
        <v>1</v>
      </c>
      <c r="M945" t="s">
        <v>433</v>
      </c>
      <c r="N945" t="s">
        <v>135</v>
      </c>
      <c r="O945" t="s">
        <v>80</v>
      </c>
      <c r="P945">
        <v>0</v>
      </c>
      <c r="Q945">
        <v>1</v>
      </c>
      <c r="R945">
        <v>0</v>
      </c>
      <c r="S945">
        <v>0</v>
      </c>
      <c r="T945">
        <v>0</v>
      </c>
      <c r="U945">
        <v>0</v>
      </c>
      <c r="V945">
        <v>0</v>
      </c>
      <c r="W945">
        <v>0</v>
      </c>
      <c r="X945">
        <v>0</v>
      </c>
      <c r="Y945">
        <v>0</v>
      </c>
      <c r="Z945">
        <v>0</v>
      </c>
      <c r="AA945">
        <v>0</v>
      </c>
      <c r="AM945" t="s">
        <v>83</v>
      </c>
      <c r="AN945" t="s">
        <v>82</v>
      </c>
      <c r="AO945" t="s">
        <v>81</v>
      </c>
      <c r="AP945" t="s">
        <v>90</v>
      </c>
      <c r="AQ945" t="s">
        <v>81</v>
      </c>
      <c r="AR945" t="s">
        <v>90</v>
      </c>
      <c r="AS945" t="s">
        <v>90</v>
      </c>
      <c r="AT945" t="s">
        <v>83</v>
      </c>
      <c r="AU945" t="s">
        <v>88</v>
      </c>
      <c r="AV945" t="s">
        <v>89</v>
      </c>
      <c r="AW945" t="s">
        <v>100</v>
      </c>
      <c r="AX945" t="s">
        <v>118</v>
      </c>
      <c r="AZ945" t="s">
        <v>107</v>
      </c>
      <c r="BA945" t="s">
        <v>87</v>
      </c>
      <c r="BB945" t="s">
        <v>87</v>
      </c>
      <c r="BC945" t="s">
        <v>87</v>
      </c>
      <c r="BD945" t="s">
        <v>87</v>
      </c>
      <c r="BE945" t="s">
        <v>87</v>
      </c>
      <c r="BF945" t="s">
        <v>75</v>
      </c>
      <c r="BG945" t="s">
        <v>92</v>
      </c>
      <c r="BH945" t="s">
        <v>77</v>
      </c>
      <c r="BI945" t="s">
        <v>107</v>
      </c>
      <c r="BJ945" t="s">
        <v>94</v>
      </c>
      <c r="BK945">
        <v>0</v>
      </c>
      <c r="BL945">
        <v>0</v>
      </c>
      <c r="BM945">
        <v>0</v>
      </c>
      <c r="BN945">
        <v>0</v>
      </c>
      <c r="BO945">
        <v>0</v>
      </c>
      <c r="BP945">
        <v>1</v>
      </c>
      <c r="BQ945">
        <v>0</v>
      </c>
      <c r="BR945">
        <v>0</v>
      </c>
    </row>
    <row r="946" spans="1:70" x14ac:dyDescent="0.2">
      <c r="A946" s="1">
        <v>44579.877083333333</v>
      </c>
      <c r="B946" s="1">
        <v>44579.902777777781</v>
      </c>
      <c r="C946">
        <v>1</v>
      </c>
      <c r="D946">
        <v>0</v>
      </c>
      <c r="E946">
        <v>0</v>
      </c>
      <c r="F946">
        <v>0</v>
      </c>
      <c r="H946">
        <v>0</v>
      </c>
      <c r="I946">
        <v>1</v>
      </c>
      <c r="J946">
        <v>1</v>
      </c>
      <c r="K946">
        <v>1</v>
      </c>
      <c r="L946">
        <v>0</v>
      </c>
      <c r="N946" t="s">
        <v>88</v>
      </c>
      <c r="O946" t="s">
        <v>89</v>
      </c>
      <c r="P946">
        <v>0</v>
      </c>
      <c r="Q946">
        <v>0</v>
      </c>
      <c r="R946">
        <v>0</v>
      </c>
      <c r="S946">
        <v>1</v>
      </c>
      <c r="T946">
        <v>0</v>
      </c>
      <c r="U946">
        <v>0</v>
      </c>
      <c r="V946">
        <v>0</v>
      </c>
      <c r="W946">
        <v>0</v>
      </c>
      <c r="X946">
        <v>0</v>
      </c>
      <c r="Y946">
        <v>0</v>
      </c>
      <c r="Z946">
        <v>0</v>
      </c>
      <c r="AA946">
        <v>0</v>
      </c>
      <c r="AM946" t="s">
        <v>83</v>
      </c>
      <c r="AN946" t="s">
        <v>82</v>
      </c>
      <c r="AO946" t="s">
        <v>82</v>
      </c>
      <c r="AP946" t="s">
        <v>82</v>
      </c>
      <c r="AQ946" t="s">
        <v>83</v>
      </c>
      <c r="AR946" t="s">
        <v>81</v>
      </c>
      <c r="AS946" t="s">
        <v>82</v>
      </c>
      <c r="AT946" t="s">
        <v>83</v>
      </c>
      <c r="AU946" t="s">
        <v>88</v>
      </c>
      <c r="AV946" t="s">
        <v>89</v>
      </c>
      <c r="AW946" t="s">
        <v>100</v>
      </c>
      <c r="AX946" t="s">
        <v>122</v>
      </c>
      <c r="AZ946" t="s">
        <v>73</v>
      </c>
      <c r="BA946" t="s">
        <v>87</v>
      </c>
      <c r="BB946" t="s">
        <v>87</v>
      </c>
      <c r="BC946" t="s">
        <v>87</v>
      </c>
      <c r="BD946" t="s">
        <v>87</v>
      </c>
      <c r="BE946" t="s">
        <v>87</v>
      </c>
      <c r="BF946" t="s">
        <v>75</v>
      </c>
      <c r="BG946" t="s">
        <v>92</v>
      </c>
      <c r="BH946" t="s">
        <v>93</v>
      </c>
      <c r="BI946" t="s">
        <v>73</v>
      </c>
      <c r="BJ946" t="s">
        <v>94</v>
      </c>
      <c r="BK946">
        <v>0</v>
      </c>
      <c r="BL946">
        <v>0</v>
      </c>
      <c r="BM946">
        <v>0</v>
      </c>
      <c r="BN946">
        <v>0</v>
      </c>
      <c r="BO946">
        <v>0</v>
      </c>
      <c r="BP946">
        <v>1</v>
      </c>
      <c r="BQ946">
        <v>0</v>
      </c>
      <c r="BR946">
        <v>0</v>
      </c>
    </row>
    <row r="947" spans="1:70" x14ac:dyDescent="0.2">
      <c r="A947" s="1">
        <v>44589.053472222222</v>
      </c>
      <c r="B947" s="1">
        <v>44589.054166666669</v>
      </c>
      <c r="C947">
        <v>1</v>
      </c>
      <c r="D947">
        <v>0</v>
      </c>
      <c r="E947">
        <v>0</v>
      </c>
      <c r="F947">
        <v>0</v>
      </c>
      <c r="H947">
        <v>0</v>
      </c>
      <c r="I947">
        <v>0</v>
      </c>
      <c r="J947">
        <v>0</v>
      </c>
      <c r="K947">
        <v>0</v>
      </c>
      <c r="L947">
        <v>1</v>
      </c>
      <c r="M947" t="s">
        <v>434</v>
      </c>
      <c r="N947" t="s">
        <v>88</v>
      </c>
      <c r="O947" t="s">
        <v>89</v>
      </c>
      <c r="P947">
        <v>1</v>
      </c>
      <c r="Q947">
        <v>0</v>
      </c>
      <c r="R947">
        <v>0</v>
      </c>
      <c r="S947">
        <v>0</v>
      </c>
      <c r="T947">
        <v>0</v>
      </c>
      <c r="U947">
        <v>0</v>
      </c>
      <c r="V947">
        <v>0</v>
      </c>
      <c r="W947">
        <v>0</v>
      </c>
      <c r="X947">
        <v>0</v>
      </c>
      <c r="Y947">
        <v>0</v>
      </c>
      <c r="Z947">
        <v>0</v>
      </c>
      <c r="AA947">
        <v>0</v>
      </c>
      <c r="AC947">
        <v>1</v>
      </c>
      <c r="AD947">
        <v>0</v>
      </c>
      <c r="AE947">
        <v>0</v>
      </c>
      <c r="AF947">
        <v>0</v>
      </c>
      <c r="AG947">
        <v>0</v>
      </c>
      <c r="AH947">
        <v>0</v>
      </c>
      <c r="AI947">
        <v>0</v>
      </c>
      <c r="AJ947">
        <v>0</v>
      </c>
      <c r="AK947">
        <v>0</v>
      </c>
      <c r="AX947" t="s">
        <v>122</v>
      </c>
      <c r="AZ947" t="s">
        <v>107</v>
      </c>
      <c r="BA947" t="s">
        <v>86</v>
      </c>
      <c r="BB947" t="s">
        <v>74</v>
      </c>
      <c r="BC947" t="s">
        <v>87</v>
      </c>
      <c r="BD947" t="s">
        <v>74</v>
      </c>
      <c r="BE947" t="s">
        <v>87</v>
      </c>
      <c r="BF947" t="s">
        <v>75</v>
      </c>
      <c r="BG947" t="s">
        <v>92</v>
      </c>
      <c r="BH947" t="s">
        <v>93</v>
      </c>
      <c r="BI947" t="s">
        <v>107</v>
      </c>
      <c r="BJ947" t="s">
        <v>147</v>
      </c>
      <c r="BK947">
        <v>0</v>
      </c>
      <c r="BL947">
        <v>0</v>
      </c>
      <c r="BM947">
        <v>0</v>
      </c>
      <c r="BN947">
        <v>0</v>
      </c>
      <c r="BO947">
        <v>0</v>
      </c>
      <c r="BP947">
        <v>1</v>
      </c>
      <c r="BQ947">
        <v>0</v>
      </c>
      <c r="BR947">
        <v>0</v>
      </c>
    </row>
    <row r="948" spans="1:70" x14ac:dyDescent="0.2">
      <c r="A948" s="1">
        <v>44589.037499999999</v>
      </c>
      <c r="B948" s="1">
        <v>44589.097222222219</v>
      </c>
      <c r="C948">
        <v>1</v>
      </c>
      <c r="D948">
        <v>0</v>
      </c>
      <c r="E948">
        <v>0</v>
      </c>
      <c r="F948">
        <v>0</v>
      </c>
      <c r="H948">
        <v>1</v>
      </c>
      <c r="I948">
        <v>0</v>
      </c>
      <c r="J948">
        <v>0</v>
      </c>
      <c r="K948">
        <v>0</v>
      </c>
      <c r="L948">
        <v>0</v>
      </c>
      <c r="P948">
        <v>0</v>
      </c>
      <c r="Q948">
        <v>0</v>
      </c>
      <c r="R948">
        <v>0</v>
      </c>
      <c r="S948">
        <v>0</v>
      </c>
      <c r="T948">
        <v>1</v>
      </c>
      <c r="U948">
        <v>0</v>
      </c>
      <c r="V948">
        <v>0</v>
      </c>
      <c r="W948">
        <v>0</v>
      </c>
      <c r="X948">
        <v>0</v>
      </c>
      <c r="Y948">
        <v>0</v>
      </c>
      <c r="Z948">
        <v>0</v>
      </c>
      <c r="AA948">
        <v>0</v>
      </c>
      <c r="AM948" t="s">
        <v>82</v>
      </c>
      <c r="AN948" t="s">
        <v>82</v>
      </c>
      <c r="AO948" t="s">
        <v>82</v>
      </c>
      <c r="AP948" t="s">
        <v>82</v>
      </c>
      <c r="AQ948" t="s">
        <v>82</v>
      </c>
      <c r="AR948" t="s">
        <v>83</v>
      </c>
      <c r="AS948" t="s">
        <v>82</v>
      </c>
      <c r="AT948" t="s">
        <v>83</v>
      </c>
      <c r="AU948" t="s">
        <v>88</v>
      </c>
      <c r="AV948" t="s">
        <v>89</v>
      </c>
      <c r="AW948" t="s">
        <v>100</v>
      </c>
      <c r="AX948" t="s">
        <v>146</v>
      </c>
      <c r="AZ948" t="s">
        <v>96</v>
      </c>
      <c r="BA948" t="s">
        <v>87</v>
      </c>
      <c r="BB948" t="s">
        <v>87</v>
      </c>
      <c r="BC948" t="s">
        <v>87</v>
      </c>
      <c r="BD948" t="s">
        <v>87</v>
      </c>
      <c r="BE948" t="s">
        <v>87</v>
      </c>
      <c r="BF948" t="s">
        <v>113</v>
      </c>
      <c r="BG948" t="s">
        <v>92</v>
      </c>
      <c r="BH948" t="s">
        <v>77</v>
      </c>
      <c r="BI948" t="s">
        <v>96</v>
      </c>
      <c r="BJ948" t="s">
        <v>114</v>
      </c>
      <c r="BK948">
        <v>0</v>
      </c>
      <c r="BL948">
        <v>0</v>
      </c>
      <c r="BM948">
        <v>0</v>
      </c>
      <c r="BN948">
        <v>0</v>
      </c>
      <c r="BO948">
        <v>0</v>
      </c>
      <c r="BP948">
        <v>1</v>
      </c>
      <c r="BQ948">
        <v>0</v>
      </c>
      <c r="BR948">
        <v>0</v>
      </c>
    </row>
    <row r="949" spans="1:70" x14ac:dyDescent="0.2">
      <c r="A949" s="1">
        <v>44585.702777777777</v>
      </c>
      <c r="B949" s="1">
        <v>44585.71597222222</v>
      </c>
      <c r="C949">
        <v>0</v>
      </c>
      <c r="D949">
        <v>1</v>
      </c>
      <c r="E949">
        <v>0</v>
      </c>
      <c r="F949">
        <v>0</v>
      </c>
      <c r="H949">
        <v>0</v>
      </c>
      <c r="I949">
        <v>1</v>
      </c>
      <c r="J949">
        <v>0</v>
      </c>
      <c r="K949">
        <v>0</v>
      </c>
      <c r="L949">
        <v>0</v>
      </c>
      <c r="N949" t="s">
        <v>88</v>
      </c>
      <c r="O949" t="s">
        <v>80</v>
      </c>
      <c r="P949">
        <v>0</v>
      </c>
      <c r="Q949">
        <v>0</v>
      </c>
      <c r="R949">
        <v>0</v>
      </c>
      <c r="S949">
        <v>0</v>
      </c>
      <c r="T949">
        <v>1</v>
      </c>
      <c r="U949">
        <v>0</v>
      </c>
      <c r="V949">
        <v>0</v>
      </c>
      <c r="W949">
        <v>0</v>
      </c>
      <c r="X949">
        <v>0</v>
      </c>
      <c r="Y949">
        <v>0</v>
      </c>
      <c r="Z949">
        <v>0</v>
      </c>
      <c r="AA949">
        <v>0</v>
      </c>
      <c r="AM949" t="s">
        <v>83</v>
      </c>
      <c r="AN949" t="s">
        <v>82</v>
      </c>
      <c r="AO949" t="s">
        <v>81</v>
      </c>
      <c r="AP949" t="s">
        <v>81</v>
      </c>
      <c r="AQ949" t="s">
        <v>81</v>
      </c>
      <c r="AR949" t="s">
        <v>83</v>
      </c>
      <c r="AS949" t="s">
        <v>83</v>
      </c>
      <c r="AT949" t="s">
        <v>83</v>
      </c>
      <c r="AU949" t="s">
        <v>88</v>
      </c>
      <c r="AV949" t="s">
        <v>89</v>
      </c>
      <c r="AW949" t="s">
        <v>100</v>
      </c>
      <c r="AX949" t="s">
        <v>118</v>
      </c>
      <c r="AZ949" t="s">
        <v>73</v>
      </c>
      <c r="BA949" t="s">
        <v>74</v>
      </c>
      <c r="BF949" t="s">
        <v>75</v>
      </c>
      <c r="BG949" t="s">
        <v>76</v>
      </c>
      <c r="BH949" t="s">
        <v>93</v>
      </c>
      <c r="BI949" t="s">
        <v>73</v>
      </c>
      <c r="BJ949" t="s">
        <v>114</v>
      </c>
      <c r="BK949">
        <v>0</v>
      </c>
      <c r="BL949">
        <v>0</v>
      </c>
      <c r="BM949">
        <v>0</v>
      </c>
      <c r="BN949">
        <v>1</v>
      </c>
      <c r="BO949">
        <v>0</v>
      </c>
      <c r="BP949">
        <v>0</v>
      </c>
      <c r="BQ949">
        <v>0</v>
      </c>
      <c r="BR949">
        <v>0</v>
      </c>
    </row>
    <row r="950" spans="1:70" x14ac:dyDescent="0.2">
      <c r="A950" s="1">
        <v>44587.868750000001</v>
      </c>
      <c r="B950" s="1">
        <v>44587.870138888888</v>
      </c>
      <c r="C950">
        <v>0</v>
      </c>
      <c r="D950">
        <v>1</v>
      </c>
      <c r="E950">
        <v>0</v>
      </c>
      <c r="F950">
        <v>0</v>
      </c>
      <c r="H950">
        <v>1</v>
      </c>
      <c r="I950">
        <v>0</v>
      </c>
      <c r="J950">
        <v>0</v>
      </c>
      <c r="K950">
        <v>0</v>
      </c>
      <c r="L950">
        <v>0</v>
      </c>
      <c r="P950">
        <v>0</v>
      </c>
      <c r="Q950">
        <v>1</v>
      </c>
      <c r="R950">
        <v>0</v>
      </c>
      <c r="S950">
        <v>0</v>
      </c>
      <c r="T950">
        <v>0</v>
      </c>
      <c r="U950">
        <v>0</v>
      </c>
      <c r="V950">
        <v>0</v>
      </c>
      <c r="W950">
        <v>0</v>
      </c>
      <c r="X950">
        <v>0</v>
      </c>
      <c r="Y950">
        <v>0</v>
      </c>
      <c r="Z950">
        <v>0</v>
      </c>
      <c r="AA950">
        <v>0</v>
      </c>
      <c r="AM950" t="s">
        <v>83</v>
      </c>
      <c r="AN950" t="s">
        <v>81</v>
      </c>
      <c r="AO950" t="s">
        <v>82</v>
      </c>
      <c r="AP950" t="s">
        <v>83</v>
      </c>
      <c r="AQ950" t="s">
        <v>83</v>
      </c>
      <c r="AR950" t="s">
        <v>83</v>
      </c>
      <c r="AS950" t="s">
        <v>83</v>
      </c>
      <c r="AT950" t="s">
        <v>83</v>
      </c>
      <c r="AU950" t="s">
        <v>88</v>
      </c>
      <c r="AV950" t="s">
        <v>89</v>
      </c>
      <c r="AW950" t="s">
        <v>100</v>
      </c>
      <c r="AX950" t="s">
        <v>106</v>
      </c>
      <c r="AZ950" t="s">
        <v>73</v>
      </c>
      <c r="BA950" t="s">
        <v>87</v>
      </c>
      <c r="BB950" t="s">
        <v>87</v>
      </c>
      <c r="BC950" t="s">
        <v>87</v>
      </c>
      <c r="BD950" t="s">
        <v>87</v>
      </c>
      <c r="BE950" t="s">
        <v>87</v>
      </c>
      <c r="BF950" t="s">
        <v>75</v>
      </c>
      <c r="BG950" t="s">
        <v>76</v>
      </c>
      <c r="BH950" t="s">
        <v>77</v>
      </c>
      <c r="BI950" t="s">
        <v>73</v>
      </c>
      <c r="BJ950" t="s">
        <v>78</v>
      </c>
      <c r="BK950">
        <v>0</v>
      </c>
      <c r="BL950">
        <v>0</v>
      </c>
      <c r="BM950">
        <v>0</v>
      </c>
      <c r="BN950">
        <v>0</v>
      </c>
      <c r="BO950">
        <v>0</v>
      </c>
      <c r="BP950">
        <v>1</v>
      </c>
      <c r="BQ950">
        <v>0</v>
      </c>
      <c r="BR950">
        <v>0</v>
      </c>
    </row>
    <row r="951" spans="1:70" x14ac:dyDescent="0.2">
      <c r="A951" s="1">
        <v>44580.486805555556</v>
      </c>
      <c r="B951" s="1">
        <v>44580.488888888889</v>
      </c>
      <c r="C951">
        <v>1</v>
      </c>
      <c r="D951">
        <v>0</v>
      </c>
      <c r="E951">
        <v>0</v>
      </c>
      <c r="F951">
        <v>0</v>
      </c>
      <c r="H951">
        <v>0</v>
      </c>
      <c r="I951">
        <v>1</v>
      </c>
      <c r="J951">
        <v>0</v>
      </c>
      <c r="K951">
        <v>0</v>
      </c>
      <c r="L951">
        <v>0</v>
      </c>
      <c r="N951" t="s">
        <v>79</v>
      </c>
      <c r="O951" t="s">
        <v>223</v>
      </c>
      <c r="P951">
        <v>0</v>
      </c>
      <c r="Q951">
        <v>0</v>
      </c>
      <c r="R951">
        <v>1</v>
      </c>
      <c r="S951">
        <v>0</v>
      </c>
      <c r="T951">
        <v>0</v>
      </c>
      <c r="U951">
        <v>0</v>
      </c>
      <c r="V951">
        <v>0</v>
      </c>
      <c r="W951">
        <v>0</v>
      </c>
      <c r="X951">
        <v>0</v>
      </c>
      <c r="Y951">
        <v>0</v>
      </c>
      <c r="Z951">
        <v>0</v>
      </c>
      <c r="AA951">
        <v>0</v>
      </c>
      <c r="AM951" t="s">
        <v>82</v>
      </c>
      <c r="AN951" t="s">
        <v>81</v>
      </c>
      <c r="AO951" t="s">
        <v>83</v>
      </c>
      <c r="AP951" t="s">
        <v>81</v>
      </c>
      <c r="AQ951" t="s">
        <v>82</v>
      </c>
      <c r="AR951" t="s">
        <v>81</v>
      </c>
      <c r="AS951" t="s">
        <v>81</v>
      </c>
      <c r="AT951" t="s">
        <v>83</v>
      </c>
      <c r="AU951" t="s">
        <v>88</v>
      </c>
      <c r="AV951" t="s">
        <v>89</v>
      </c>
      <c r="AW951" t="s">
        <v>100</v>
      </c>
      <c r="AZ951" t="s">
        <v>73</v>
      </c>
      <c r="BA951" t="s">
        <v>87</v>
      </c>
      <c r="BB951" t="s">
        <v>87</v>
      </c>
      <c r="BC951" t="s">
        <v>87</v>
      </c>
      <c r="BD951" t="s">
        <v>87</v>
      </c>
      <c r="BE951" t="s">
        <v>87</v>
      </c>
      <c r="BF951" t="s">
        <v>159</v>
      </c>
      <c r="BG951" t="s">
        <v>76</v>
      </c>
      <c r="BH951" t="s">
        <v>77</v>
      </c>
      <c r="BI951" t="s">
        <v>73</v>
      </c>
      <c r="BJ951" t="s">
        <v>109</v>
      </c>
      <c r="BK951">
        <v>0</v>
      </c>
      <c r="BL951">
        <v>0</v>
      </c>
      <c r="BM951">
        <v>0</v>
      </c>
      <c r="BN951">
        <v>0</v>
      </c>
      <c r="BO951">
        <v>0</v>
      </c>
      <c r="BP951">
        <v>1</v>
      </c>
      <c r="BQ951">
        <v>0</v>
      </c>
      <c r="BR951">
        <v>0</v>
      </c>
    </row>
    <row r="952" spans="1:70" x14ac:dyDescent="0.2">
      <c r="A952" s="1">
        <v>44588.911111111112</v>
      </c>
      <c r="B952" s="1">
        <v>44588.913194444445</v>
      </c>
      <c r="C952">
        <v>1</v>
      </c>
      <c r="D952">
        <v>0</v>
      </c>
      <c r="E952">
        <v>0</v>
      </c>
      <c r="F952">
        <v>0</v>
      </c>
      <c r="H952">
        <v>0</v>
      </c>
      <c r="I952">
        <v>1</v>
      </c>
      <c r="J952">
        <v>0</v>
      </c>
      <c r="K952">
        <v>0</v>
      </c>
      <c r="L952">
        <v>0</v>
      </c>
      <c r="N952" t="s">
        <v>88</v>
      </c>
      <c r="O952" t="s">
        <v>89</v>
      </c>
      <c r="P952">
        <v>0</v>
      </c>
      <c r="Q952">
        <v>0</v>
      </c>
      <c r="R952">
        <v>1</v>
      </c>
      <c r="S952">
        <v>0</v>
      </c>
      <c r="T952">
        <v>0</v>
      </c>
      <c r="U952">
        <v>0</v>
      </c>
      <c r="V952">
        <v>0</v>
      </c>
      <c r="W952">
        <v>0</v>
      </c>
      <c r="X952">
        <v>0</v>
      </c>
      <c r="Y952">
        <v>0</v>
      </c>
      <c r="Z952">
        <v>0</v>
      </c>
      <c r="AA952">
        <v>0</v>
      </c>
      <c r="AM952" t="s">
        <v>82</v>
      </c>
      <c r="AN952" t="s">
        <v>81</v>
      </c>
      <c r="AO952" t="s">
        <v>83</v>
      </c>
      <c r="AP952" t="s">
        <v>83</v>
      </c>
      <c r="AQ952" t="s">
        <v>82</v>
      </c>
      <c r="AR952" t="s">
        <v>81</v>
      </c>
      <c r="AS952" t="s">
        <v>81</v>
      </c>
      <c r="AT952" t="s">
        <v>83</v>
      </c>
      <c r="AU952" t="s">
        <v>88</v>
      </c>
      <c r="AV952" t="s">
        <v>89</v>
      </c>
      <c r="AW952" t="s">
        <v>85</v>
      </c>
      <c r="AX952" t="s">
        <v>170</v>
      </c>
      <c r="AZ952" t="s">
        <v>107</v>
      </c>
      <c r="BA952" t="s">
        <v>86</v>
      </c>
      <c r="BB952" t="s">
        <v>87</v>
      </c>
      <c r="BC952" t="s">
        <v>87</v>
      </c>
      <c r="BD952" t="s">
        <v>87</v>
      </c>
      <c r="BE952" t="s">
        <v>87</v>
      </c>
      <c r="BF952" t="s">
        <v>75</v>
      </c>
      <c r="BG952" t="s">
        <v>76</v>
      </c>
      <c r="BH952" t="s">
        <v>77</v>
      </c>
      <c r="BI952" t="s">
        <v>107</v>
      </c>
      <c r="BJ952" t="s">
        <v>114</v>
      </c>
      <c r="BK952">
        <v>0</v>
      </c>
      <c r="BL952">
        <v>0</v>
      </c>
      <c r="BM952">
        <v>0</v>
      </c>
      <c r="BN952">
        <v>0</v>
      </c>
      <c r="BO952">
        <v>0</v>
      </c>
      <c r="BP952">
        <v>1</v>
      </c>
      <c r="BQ952">
        <v>0</v>
      </c>
      <c r="BR952">
        <v>0</v>
      </c>
    </row>
    <row r="953" spans="1:70" x14ac:dyDescent="0.2">
      <c r="A953" s="1">
        <v>44585.505555555559</v>
      </c>
      <c r="B953" s="1">
        <v>44585.506944444445</v>
      </c>
      <c r="C953">
        <v>1</v>
      </c>
      <c r="D953">
        <v>0</v>
      </c>
      <c r="E953">
        <v>0</v>
      </c>
      <c r="F953">
        <v>0</v>
      </c>
      <c r="H953">
        <v>0</v>
      </c>
      <c r="I953">
        <v>1</v>
      </c>
      <c r="J953">
        <v>0</v>
      </c>
      <c r="K953">
        <v>0</v>
      </c>
      <c r="L953">
        <v>0</v>
      </c>
      <c r="N953" t="s">
        <v>79</v>
      </c>
      <c r="O953" t="s">
        <v>80</v>
      </c>
      <c r="P953">
        <v>1</v>
      </c>
      <c r="Q953">
        <v>0</v>
      </c>
      <c r="R953">
        <v>0</v>
      </c>
      <c r="S953">
        <v>0</v>
      </c>
      <c r="T953">
        <v>0</v>
      </c>
      <c r="U953">
        <v>0</v>
      </c>
      <c r="V953">
        <v>0</v>
      </c>
      <c r="W953">
        <v>0</v>
      </c>
      <c r="X953">
        <v>0</v>
      </c>
      <c r="Y953">
        <v>0</v>
      </c>
      <c r="Z953">
        <v>0</v>
      </c>
      <c r="AA953">
        <v>0</v>
      </c>
      <c r="AC953">
        <v>0</v>
      </c>
      <c r="AD953">
        <v>0</v>
      </c>
      <c r="AE953">
        <v>1</v>
      </c>
      <c r="AF953">
        <v>0</v>
      </c>
      <c r="AG953">
        <v>0</v>
      </c>
      <c r="AH953">
        <v>0</v>
      </c>
      <c r="AI953">
        <v>0</v>
      </c>
      <c r="AJ953">
        <v>0</v>
      </c>
      <c r="AK953">
        <v>0</v>
      </c>
      <c r="AX953" t="s">
        <v>118</v>
      </c>
      <c r="AZ953" t="s">
        <v>73</v>
      </c>
      <c r="BA953" t="s">
        <v>87</v>
      </c>
      <c r="BB953" t="s">
        <v>87</v>
      </c>
      <c r="BC953" t="s">
        <v>87</v>
      </c>
      <c r="BD953" t="s">
        <v>87</v>
      </c>
      <c r="BE953" t="s">
        <v>87</v>
      </c>
      <c r="BF953" t="s">
        <v>75</v>
      </c>
      <c r="BG953" t="s">
        <v>92</v>
      </c>
      <c r="BH953" t="s">
        <v>77</v>
      </c>
      <c r="BI953" t="s">
        <v>73</v>
      </c>
      <c r="BJ953" t="s">
        <v>94</v>
      </c>
      <c r="BK953">
        <v>0</v>
      </c>
      <c r="BL953">
        <v>0</v>
      </c>
      <c r="BM953">
        <v>0</v>
      </c>
      <c r="BN953">
        <v>0</v>
      </c>
      <c r="BO953">
        <v>0</v>
      </c>
      <c r="BP953">
        <v>1</v>
      </c>
      <c r="BQ953">
        <v>0</v>
      </c>
      <c r="BR953">
        <v>0</v>
      </c>
    </row>
    <row r="954" spans="1:70" x14ac:dyDescent="0.2">
      <c r="A954" s="1">
        <v>44588.876388888886</v>
      </c>
      <c r="B954" s="1">
        <v>44588.878472222219</v>
      </c>
      <c r="C954">
        <v>1</v>
      </c>
      <c r="D954">
        <v>0</v>
      </c>
      <c r="E954">
        <v>0</v>
      </c>
      <c r="F954">
        <v>0</v>
      </c>
      <c r="H954">
        <v>0</v>
      </c>
      <c r="I954">
        <v>1</v>
      </c>
      <c r="J954">
        <v>0</v>
      </c>
      <c r="K954">
        <v>0</v>
      </c>
      <c r="L954">
        <v>0</v>
      </c>
      <c r="N954" t="s">
        <v>79</v>
      </c>
      <c r="O954" t="s">
        <v>80</v>
      </c>
      <c r="P954">
        <v>0</v>
      </c>
      <c r="Q954">
        <v>1</v>
      </c>
      <c r="R954">
        <v>1</v>
      </c>
      <c r="S954">
        <v>0</v>
      </c>
      <c r="T954">
        <v>0</v>
      </c>
      <c r="U954">
        <v>0</v>
      </c>
      <c r="V954">
        <v>0</v>
      </c>
      <c r="W954">
        <v>0</v>
      </c>
      <c r="X954">
        <v>0</v>
      </c>
      <c r="Y954">
        <v>0</v>
      </c>
      <c r="Z954">
        <v>0</v>
      </c>
      <c r="AA954">
        <v>0</v>
      </c>
      <c r="AM954" t="s">
        <v>83</v>
      </c>
      <c r="AN954" t="s">
        <v>82</v>
      </c>
      <c r="AO954" t="s">
        <v>81</v>
      </c>
      <c r="AP954" t="s">
        <v>82</v>
      </c>
      <c r="AQ954" t="s">
        <v>81</v>
      </c>
      <c r="AR954" t="s">
        <v>83</v>
      </c>
      <c r="AS954" t="s">
        <v>83</v>
      </c>
      <c r="AT954" t="s">
        <v>81</v>
      </c>
      <c r="AU954" t="s">
        <v>84</v>
      </c>
      <c r="AV954" t="s">
        <v>80</v>
      </c>
      <c r="AW954" t="s">
        <v>117</v>
      </c>
      <c r="AX954" t="s">
        <v>110</v>
      </c>
      <c r="AY954" t="s">
        <v>435</v>
      </c>
      <c r="AZ954" t="s">
        <v>73</v>
      </c>
      <c r="BA954" t="s">
        <v>87</v>
      </c>
      <c r="BB954" t="s">
        <v>87</v>
      </c>
      <c r="BC954" t="s">
        <v>87</v>
      </c>
      <c r="BD954" t="s">
        <v>87</v>
      </c>
      <c r="BE954" t="s">
        <v>87</v>
      </c>
      <c r="BF954" t="s">
        <v>75</v>
      </c>
      <c r="BG954" t="s">
        <v>76</v>
      </c>
      <c r="BH954" t="s">
        <v>77</v>
      </c>
      <c r="BI954" t="s">
        <v>73</v>
      </c>
      <c r="BK954">
        <v>1</v>
      </c>
      <c r="BL954">
        <v>0</v>
      </c>
      <c r="BM954">
        <v>0</v>
      </c>
      <c r="BN954">
        <v>0</v>
      </c>
      <c r="BO954">
        <v>0</v>
      </c>
      <c r="BP954">
        <v>0</v>
      </c>
      <c r="BQ954">
        <v>0</v>
      </c>
      <c r="BR954">
        <v>0</v>
      </c>
    </row>
    <row r="955" spans="1:70" x14ac:dyDescent="0.2">
      <c r="A955" s="1">
        <v>44580.651388888888</v>
      </c>
      <c r="B955" s="1">
        <v>44580.655555555553</v>
      </c>
      <c r="C955">
        <v>1</v>
      </c>
      <c r="D955">
        <v>0</v>
      </c>
      <c r="E955">
        <v>0</v>
      </c>
      <c r="F955">
        <v>0</v>
      </c>
      <c r="H955">
        <v>0</v>
      </c>
      <c r="I955">
        <v>0</v>
      </c>
      <c r="J955">
        <v>0</v>
      </c>
      <c r="K955">
        <v>0</v>
      </c>
      <c r="L955">
        <v>1</v>
      </c>
      <c r="M955" t="s">
        <v>436</v>
      </c>
      <c r="N955" t="s">
        <v>88</v>
      </c>
      <c r="O955" t="s">
        <v>89</v>
      </c>
      <c r="P955">
        <v>0</v>
      </c>
      <c r="Q955">
        <v>0</v>
      </c>
      <c r="R955">
        <v>0</v>
      </c>
      <c r="S955">
        <v>1</v>
      </c>
      <c r="T955">
        <v>0</v>
      </c>
      <c r="U955">
        <v>0</v>
      </c>
      <c r="V955">
        <v>0</v>
      </c>
      <c r="W955">
        <v>0</v>
      </c>
      <c r="X955">
        <v>0</v>
      </c>
      <c r="Y955">
        <v>0</v>
      </c>
      <c r="Z955">
        <v>0</v>
      </c>
      <c r="AA955">
        <v>0</v>
      </c>
      <c r="AM955" t="s">
        <v>81</v>
      </c>
      <c r="AN955" t="s">
        <v>82</v>
      </c>
      <c r="AO955" t="s">
        <v>83</v>
      </c>
      <c r="AP955" t="s">
        <v>81</v>
      </c>
      <c r="AQ955" t="s">
        <v>81</v>
      </c>
      <c r="AR955" t="s">
        <v>83</v>
      </c>
      <c r="AS955" t="s">
        <v>90</v>
      </c>
      <c r="AT955" t="s">
        <v>81</v>
      </c>
      <c r="AU955" t="s">
        <v>88</v>
      </c>
      <c r="AV955" t="s">
        <v>89</v>
      </c>
      <c r="AW955" t="s">
        <v>85</v>
      </c>
      <c r="AX955" t="s">
        <v>128</v>
      </c>
      <c r="AZ955" t="s">
        <v>73</v>
      </c>
      <c r="BA955" t="s">
        <v>87</v>
      </c>
      <c r="BB955" t="s">
        <v>87</v>
      </c>
      <c r="BC955" t="s">
        <v>87</v>
      </c>
      <c r="BD955" t="s">
        <v>86</v>
      </c>
      <c r="BE955" t="s">
        <v>87</v>
      </c>
      <c r="BF955" t="s">
        <v>75</v>
      </c>
      <c r="BG955" t="s">
        <v>92</v>
      </c>
      <c r="BH955" t="s">
        <v>93</v>
      </c>
      <c r="BI955" t="s">
        <v>73</v>
      </c>
      <c r="BJ955" t="s">
        <v>114</v>
      </c>
      <c r="BK955">
        <v>0</v>
      </c>
      <c r="BL955">
        <v>0</v>
      </c>
      <c r="BM955">
        <v>0</v>
      </c>
      <c r="BN955">
        <v>0</v>
      </c>
      <c r="BO955">
        <v>0</v>
      </c>
      <c r="BP955">
        <v>1</v>
      </c>
      <c r="BQ955">
        <v>0</v>
      </c>
      <c r="BR955">
        <v>0</v>
      </c>
    </row>
    <row r="956" spans="1:70" x14ac:dyDescent="0.2">
      <c r="A956" s="1">
        <v>44580.539583333331</v>
      </c>
      <c r="B956" s="1">
        <v>44580.540972222225</v>
      </c>
      <c r="C956">
        <v>1</v>
      </c>
      <c r="D956">
        <v>0</v>
      </c>
      <c r="E956">
        <v>0</v>
      </c>
      <c r="F956">
        <v>0</v>
      </c>
      <c r="H956">
        <v>0</v>
      </c>
      <c r="I956">
        <v>1</v>
      </c>
      <c r="J956">
        <v>0</v>
      </c>
      <c r="K956">
        <v>0</v>
      </c>
      <c r="L956">
        <v>0</v>
      </c>
      <c r="N956" t="s">
        <v>79</v>
      </c>
      <c r="O956" t="s">
        <v>80</v>
      </c>
      <c r="P956">
        <v>0</v>
      </c>
      <c r="Q956">
        <v>1</v>
      </c>
      <c r="R956">
        <v>0</v>
      </c>
      <c r="S956">
        <v>1</v>
      </c>
      <c r="T956">
        <v>0</v>
      </c>
      <c r="U956">
        <v>0</v>
      </c>
      <c r="V956">
        <v>0</v>
      </c>
      <c r="W956">
        <v>0</v>
      </c>
      <c r="X956">
        <v>0</v>
      </c>
      <c r="Y956">
        <v>0</v>
      </c>
      <c r="Z956">
        <v>0</v>
      </c>
      <c r="AA956">
        <v>0</v>
      </c>
      <c r="AM956" t="s">
        <v>83</v>
      </c>
      <c r="AN956" t="s">
        <v>82</v>
      </c>
      <c r="AO956" t="s">
        <v>81</v>
      </c>
      <c r="AP956" t="s">
        <v>90</v>
      </c>
      <c r="AQ956" t="s">
        <v>83</v>
      </c>
      <c r="AR956" t="s">
        <v>83</v>
      </c>
      <c r="AS956" t="s">
        <v>83</v>
      </c>
      <c r="AT956" t="s">
        <v>83</v>
      </c>
      <c r="AU956" t="s">
        <v>88</v>
      </c>
      <c r="AV956" t="s">
        <v>89</v>
      </c>
      <c r="AW956" t="s">
        <v>100</v>
      </c>
      <c r="AX956" t="s">
        <v>110</v>
      </c>
      <c r="AY956" t="s">
        <v>282</v>
      </c>
      <c r="AZ956" t="s">
        <v>73</v>
      </c>
      <c r="BA956" t="s">
        <v>86</v>
      </c>
      <c r="BB956" t="s">
        <v>87</v>
      </c>
      <c r="BC956" t="s">
        <v>87</v>
      </c>
      <c r="BD956" t="s">
        <v>87</v>
      </c>
      <c r="BE956" t="s">
        <v>87</v>
      </c>
      <c r="BF956" t="s">
        <v>75</v>
      </c>
      <c r="BG956" t="s">
        <v>76</v>
      </c>
      <c r="BH956" t="s">
        <v>93</v>
      </c>
      <c r="BI956" t="s">
        <v>73</v>
      </c>
      <c r="BJ956" t="s">
        <v>78</v>
      </c>
      <c r="BK956">
        <v>0</v>
      </c>
      <c r="BL956">
        <v>0</v>
      </c>
      <c r="BM956">
        <v>0</v>
      </c>
      <c r="BN956">
        <v>0</v>
      </c>
      <c r="BO956">
        <v>0</v>
      </c>
      <c r="BP956">
        <v>1</v>
      </c>
      <c r="BQ956">
        <v>0</v>
      </c>
      <c r="BR956">
        <v>0</v>
      </c>
    </row>
    <row r="957" spans="1:70" x14ac:dyDescent="0.2">
      <c r="A957" s="1">
        <v>44585.536111111112</v>
      </c>
      <c r="B957" s="1">
        <v>44585.538888888892</v>
      </c>
      <c r="C957">
        <v>1</v>
      </c>
      <c r="D957">
        <v>0</v>
      </c>
      <c r="E957">
        <v>0</v>
      </c>
      <c r="F957">
        <v>0</v>
      </c>
      <c r="H957">
        <v>0</v>
      </c>
      <c r="I957">
        <v>1</v>
      </c>
      <c r="J957">
        <v>1</v>
      </c>
      <c r="K957">
        <v>0</v>
      </c>
      <c r="L957">
        <v>0</v>
      </c>
      <c r="N957" t="s">
        <v>88</v>
      </c>
      <c r="O957" t="s">
        <v>80</v>
      </c>
      <c r="P957">
        <v>0</v>
      </c>
      <c r="Q957">
        <v>1</v>
      </c>
      <c r="R957">
        <v>1</v>
      </c>
      <c r="S957">
        <v>0</v>
      </c>
      <c r="T957">
        <v>0</v>
      </c>
      <c r="U957">
        <v>0</v>
      </c>
      <c r="V957">
        <v>0</v>
      </c>
      <c r="W957">
        <v>0</v>
      </c>
      <c r="X957">
        <v>0</v>
      </c>
      <c r="Y957">
        <v>0</v>
      </c>
      <c r="Z957">
        <v>0</v>
      </c>
      <c r="AA957">
        <v>0</v>
      </c>
      <c r="AM957" t="s">
        <v>83</v>
      </c>
      <c r="AN957" t="s">
        <v>82</v>
      </c>
      <c r="AO957" t="s">
        <v>81</v>
      </c>
      <c r="AP957" t="s">
        <v>81</v>
      </c>
      <c r="AQ957" t="s">
        <v>81</v>
      </c>
      <c r="AR957" t="s">
        <v>83</v>
      </c>
      <c r="AS957" t="s">
        <v>83</v>
      </c>
      <c r="AT957" t="s">
        <v>83</v>
      </c>
      <c r="AU957" t="s">
        <v>88</v>
      </c>
      <c r="AV957" t="s">
        <v>89</v>
      </c>
      <c r="AW957" t="s">
        <v>85</v>
      </c>
      <c r="AX957" t="s">
        <v>242</v>
      </c>
      <c r="AZ957" t="s">
        <v>73</v>
      </c>
      <c r="BA957" t="s">
        <v>86</v>
      </c>
      <c r="BB957" t="s">
        <v>74</v>
      </c>
      <c r="BC957" t="s">
        <v>87</v>
      </c>
      <c r="BD957" t="s">
        <v>87</v>
      </c>
      <c r="BE957" t="s">
        <v>74</v>
      </c>
      <c r="BF957" t="s">
        <v>75</v>
      </c>
      <c r="BG957" t="s">
        <v>76</v>
      </c>
      <c r="BH957" t="s">
        <v>93</v>
      </c>
      <c r="BI957" t="s">
        <v>73</v>
      </c>
      <c r="BJ957" t="s">
        <v>109</v>
      </c>
      <c r="BK957">
        <v>0</v>
      </c>
      <c r="BL957">
        <v>0</v>
      </c>
      <c r="BM957">
        <v>0</v>
      </c>
      <c r="BN957">
        <v>1</v>
      </c>
      <c r="BO957">
        <v>0</v>
      </c>
      <c r="BP957">
        <v>1</v>
      </c>
      <c r="BQ957">
        <v>0</v>
      </c>
      <c r="BR957">
        <v>0</v>
      </c>
    </row>
    <row r="958" spans="1:70" x14ac:dyDescent="0.2">
      <c r="A958" s="1">
        <v>44588.913194444445</v>
      </c>
      <c r="B958" s="1">
        <v>44588.916666666664</v>
      </c>
      <c r="C958">
        <v>1</v>
      </c>
      <c r="D958">
        <v>0</v>
      </c>
      <c r="E958">
        <v>0</v>
      </c>
      <c r="F958">
        <v>0</v>
      </c>
      <c r="H958">
        <v>1</v>
      </c>
      <c r="I958">
        <v>0</v>
      </c>
      <c r="J958">
        <v>0</v>
      </c>
      <c r="K958">
        <v>0</v>
      </c>
      <c r="L958">
        <v>0</v>
      </c>
      <c r="P958">
        <v>0</v>
      </c>
      <c r="Q958">
        <v>1</v>
      </c>
      <c r="R958">
        <v>0</v>
      </c>
      <c r="S958">
        <v>0</v>
      </c>
      <c r="T958">
        <v>0</v>
      </c>
      <c r="U958">
        <v>0</v>
      </c>
      <c r="V958">
        <v>0</v>
      </c>
      <c r="W958">
        <v>0</v>
      </c>
      <c r="X958">
        <v>0</v>
      </c>
      <c r="Y958">
        <v>0</v>
      </c>
      <c r="Z958">
        <v>0</v>
      </c>
      <c r="AA958">
        <v>0</v>
      </c>
      <c r="AM958" t="s">
        <v>90</v>
      </c>
      <c r="AN958" t="s">
        <v>82</v>
      </c>
      <c r="AO958" t="s">
        <v>81</v>
      </c>
      <c r="AP958" t="s">
        <v>90</v>
      </c>
      <c r="AQ958" t="s">
        <v>90</v>
      </c>
      <c r="AR958" t="s">
        <v>90</v>
      </c>
      <c r="AS958" t="s">
        <v>90</v>
      </c>
      <c r="AT958" t="s">
        <v>83</v>
      </c>
      <c r="AU958" t="s">
        <v>127</v>
      </c>
      <c r="AV958" t="s">
        <v>127</v>
      </c>
      <c r="AX958" t="s">
        <v>110</v>
      </c>
      <c r="AY958" t="s">
        <v>437</v>
      </c>
      <c r="AZ958" t="s">
        <v>107</v>
      </c>
      <c r="BA958" t="s">
        <v>74</v>
      </c>
      <c r="BF958" t="s">
        <v>75</v>
      </c>
      <c r="BG958" t="s">
        <v>76</v>
      </c>
      <c r="BH958" t="s">
        <v>77</v>
      </c>
      <c r="BI958" t="s">
        <v>107</v>
      </c>
      <c r="BJ958" t="s">
        <v>78</v>
      </c>
      <c r="BK958">
        <v>0</v>
      </c>
      <c r="BL958">
        <v>0</v>
      </c>
      <c r="BM958">
        <v>0</v>
      </c>
      <c r="BN958">
        <v>0</v>
      </c>
      <c r="BO958">
        <v>0</v>
      </c>
      <c r="BP958">
        <v>1</v>
      </c>
      <c r="BQ958">
        <v>0</v>
      </c>
      <c r="BR958">
        <v>0</v>
      </c>
    </row>
    <row r="959" spans="1:70" x14ac:dyDescent="0.2">
      <c r="A959" s="1">
        <v>44580.679166666669</v>
      </c>
      <c r="B959" s="1">
        <v>44580.683333333334</v>
      </c>
      <c r="C959">
        <v>1</v>
      </c>
      <c r="D959">
        <v>0</v>
      </c>
      <c r="E959">
        <v>0</v>
      </c>
      <c r="F959">
        <v>0</v>
      </c>
      <c r="H959">
        <v>0</v>
      </c>
      <c r="I959">
        <v>0</v>
      </c>
      <c r="J959">
        <v>1</v>
      </c>
      <c r="K959">
        <v>0</v>
      </c>
      <c r="L959">
        <v>0</v>
      </c>
      <c r="N959" t="s">
        <v>88</v>
      </c>
      <c r="O959" t="s">
        <v>89</v>
      </c>
      <c r="P959">
        <v>0</v>
      </c>
      <c r="Q959">
        <v>0</v>
      </c>
      <c r="R959">
        <v>0</v>
      </c>
      <c r="S959">
        <v>1</v>
      </c>
      <c r="T959">
        <v>0</v>
      </c>
      <c r="U959">
        <v>0</v>
      </c>
      <c r="V959">
        <v>0</v>
      </c>
      <c r="W959">
        <v>0</v>
      </c>
      <c r="X959">
        <v>0</v>
      </c>
      <c r="Y959">
        <v>0</v>
      </c>
      <c r="Z959">
        <v>0</v>
      </c>
      <c r="AA959">
        <v>0</v>
      </c>
      <c r="AM959" t="s">
        <v>90</v>
      </c>
      <c r="AN959" t="s">
        <v>82</v>
      </c>
      <c r="AO959" t="s">
        <v>90</v>
      </c>
      <c r="AP959" t="s">
        <v>81</v>
      </c>
      <c r="AQ959" t="s">
        <v>90</v>
      </c>
      <c r="AR959" t="s">
        <v>90</v>
      </c>
      <c r="AS959" t="s">
        <v>82</v>
      </c>
      <c r="AT959" t="s">
        <v>83</v>
      </c>
      <c r="AU959" t="s">
        <v>88</v>
      </c>
      <c r="AV959" t="s">
        <v>142</v>
      </c>
      <c r="AW959" t="s">
        <v>153</v>
      </c>
      <c r="AX959" t="s">
        <v>110</v>
      </c>
      <c r="AY959" t="s">
        <v>400</v>
      </c>
      <c r="AZ959" t="s">
        <v>96</v>
      </c>
      <c r="BA959" t="s">
        <v>87</v>
      </c>
      <c r="BB959" t="s">
        <v>87</v>
      </c>
      <c r="BC959" t="s">
        <v>87</v>
      </c>
      <c r="BD959" t="s">
        <v>87</v>
      </c>
      <c r="BE959" t="s">
        <v>87</v>
      </c>
      <c r="BF959" t="s">
        <v>108</v>
      </c>
      <c r="BG959" t="s">
        <v>76</v>
      </c>
      <c r="BH959" t="s">
        <v>184</v>
      </c>
      <c r="BI959" t="s">
        <v>96</v>
      </c>
      <c r="BJ959" t="s">
        <v>114</v>
      </c>
      <c r="BK959">
        <v>0</v>
      </c>
      <c r="BL959">
        <v>0</v>
      </c>
      <c r="BM959">
        <v>0</v>
      </c>
      <c r="BN959">
        <v>0</v>
      </c>
      <c r="BO959">
        <v>0</v>
      </c>
      <c r="BP959">
        <v>1</v>
      </c>
      <c r="BQ959">
        <v>0</v>
      </c>
      <c r="BR959">
        <v>0</v>
      </c>
    </row>
    <row r="960" spans="1:70" x14ac:dyDescent="0.2">
      <c r="A960" s="1">
        <v>44583.904166666667</v>
      </c>
      <c r="B960" s="1">
        <v>44583.905555555553</v>
      </c>
      <c r="C960">
        <v>0</v>
      </c>
      <c r="D960">
        <v>1</v>
      </c>
      <c r="E960">
        <v>0</v>
      </c>
      <c r="F960">
        <v>0</v>
      </c>
      <c r="H960">
        <v>0</v>
      </c>
      <c r="I960">
        <v>0</v>
      </c>
      <c r="J960">
        <v>1</v>
      </c>
      <c r="K960">
        <v>1</v>
      </c>
      <c r="L960">
        <v>1</v>
      </c>
      <c r="M960" t="s">
        <v>438</v>
      </c>
      <c r="N960" t="s">
        <v>88</v>
      </c>
      <c r="O960" t="s">
        <v>89</v>
      </c>
      <c r="P960">
        <v>1</v>
      </c>
      <c r="Q960">
        <v>0</v>
      </c>
      <c r="R960">
        <v>0</v>
      </c>
      <c r="S960">
        <v>0</v>
      </c>
      <c r="T960">
        <v>0</v>
      </c>
      <c r="U960">
        <v>0</v>
      </c>
      <c r="V960">
        <v>0</v>
      </c>
      <c r="W960">
        <v>0</v>
      </c>
      <c r="X960">
        <v>0</v>
      </c>
      <c r="Y960">
        <v>0</v>
      </c>
      <c r="Z960">
        <v>0</v>
      </c>
      <c r="AA960">
        <v>0</v>
      </c>
      <c r="AC960">
        <v>0</v>
      </c>
      <c r="AD960">
        <v>0</v>
      </c>
      <c r="AE960">
        <v>0</v>
      </c>
      <c r="AF960">
        <v>1</v>
      </c>
      <c r="AG960">
        <v>1</v>
      </c>
      <c r="AH960">
        <v>0</v>
      </c>
      <c r="AI960">
        <v>1</v>
      </c>
      <c r="AJ960">
        <v>0</v>
      </c>
      <c r="AK960">
        <v>1</v>
      </c>
      <c r="AL960" t="s">
        <v>439</v>
      </c>
      <c r="AX960" t="s">
        <v>91</v>
      </c>
      <c r="AZ960" t="s">
        <v>107</v>
      </c>
      <c r="BA960" t="s">
        <v>87</v>
      </c>
      <c r="BB960" t="s">
        <v>87</v>
      </c>
      <c r="BC960" t="s">
        <v>87</v>
      </c>
      <c r="BD960" t="s">
        <v>87</v>
      </c>
      <c r="BE960" t="s">
        <v>87</v>
      </c>
      <c r="BF960" t="s">
        <v>75</v>
      </c>
      <c r="BG960" t="s">
        <v>76</v>
      </c>
      <c r="BH960" t="s">
        <v>184</v>
      </c>
      <c r="BI960" t="s">
        <v>107</v>
      </c>
      <c r="BJ960" t="s">
        <v>114</v>
      </c>
      <c r="BK960">
        <v>0</v>
      </c>
      <c r="BL960">
        <v>0</v>
      </c>
      <c r="BM960">
        <v>0</v>
      </c>
      <c r="BN960">
        <v>1</v>
      </c>
      <c r="BO960">
        <v>0</v>
      </c>
      <c r="BP960">
        <v>0</v>
      </c>
      <c r="BQ960">
        <v>0</v>
      </c>
      <c r="BR960">
        <v>0</v>
      </c>
    </row>
    <row r="961" spans="1:70" x14ac:dyDescent="0.2">
      <c r="A961" s="1">
        <v>44585.662499999999</v>
      </c>
      <c r="B961" s="1">
        <v>44585.663194444445</v>
      </c>
      <c r="C961">
        <v>0</v>
      </c>
      <c r="D961">
        <v>1</v>
      </c>
      <c r="E961">
        <v>0</v>
      </c>
      <c r="F961">
        <v>0</v>
      </c>
      <c r="H961">
        <v>1</v>
      </c>
      <c r="I961">
        <v>0</v>
      </c>
      <c r="J961">
        <v>0</v>
      </c>
      <c r="K961">
        <v>0</v>
      </c>
      <c r="L961">
        <v>0</v>
      </c>
      <c r="P961">
        <v>1</v>
      </c>
      <c r="Q961">
        <v>0</v>
      </c>
      <c r="R961">
        <v>0</v>
      </c>
      <c r="S961">
        <v>0</v>
      </c>
      <c r="T961">
        <v>0</v>
      </c>
      <c r="U961">
        <v>0</v>
      </c>
      <c r="V961">
        <v>0</v>
      </c>
      <c r="W961">
        <v>0</v>
      </c>
      <c r="X961">
        <v>0</v>
      </c>
      <c r="Y961">
        <v>0</v>
      </c>
      <c r="Z961">
        <v>0</v>
      </c>
      <c r="AA961">
        <v>0</v>
      </c>
      <c r="AC961">
        <v>0</v>
      </c>
      <c r="AD961">
        <v>0</v>
      </c>
      <c r="AE961">
        <v>1</v>
      </c>
      <c r="AF961">
        <v>0</v>
      </c>
      <c r="AG961">
        <v>1</v>
      </c>
      <c r="AH961">
        <v>0</v>
      </c>
      <c r="AI961">
        <v>1</v>
      </c>
      <c r="AJ961">
        <v>0</v>
      </c>
      <c r="AK961">
        <v>0</v>
      </c>
      <c r="AX961" t="s">
        <v>110</v>
      </c>
      <c r="AY961" t="s">
        <v>440</v>
      </c>
      <c r="AZ961" t="s">
        <v>107</v>
      </c>
      <c r="BA961" t="s">
        <v>74</v>
      </c>
      <c r="BF961" t="s">
        <v>113</v>
      </c>
      <c r="BG961" t="s">
        <v>92</v>
      </c>
      <c r="BH961" t="s">
        <v>93</v>
      </c>
      <c r="BI961" t="s">
        <v>107</v>
      </c>
      <c r="BJ961" t="s">
        <v>102</v>
      </c>
      <c r="BK961">
        <v>0</v>
      </c>
      <c r="BL961">
        <v>0</v>
      </c>
      <c r="BM961">
        <v>0</v>
      </c>
      <c r="BN961">
        <v>0</v>
      </c>
      <c r="BO961">
        <v>0</v>
      </c>
      <c r="BP961">
        <v>1</v>
      </c>
      <c r="BQ961">
        <v>0</v>
      </c>
      <c r="BR961">
        <v>0</v>
      </c>
    </row>
    <row r="962" spans="1:70" x14ac:dyDescent="0.2">
      <c r="A962" s="1">
        <v>44579.95416666667</v>
      </c>
      <c r="B962" s="1">
        <v>44579.956944444442</v>
      </c>
      <c r="C962">
        <v>0</v>
      </c>
      <c r="D962">
        <v>1</v>
      </c>
      <c r="E962">
        <v>0</v>
      </c>
      <c r="F962">
        <v>0</v>
      </c>
      <c r="H962">
        <v>1</v>
      </c>
      <c r="I962">
        <v>0</v>
      </c>
      <c r="J962">
        <v>0</v>
      </c>
      <c r="K962">
        <v>0</v>
      </c>
      <c r="L962">
        <v>0</v>
      </c>
      <c r="P962">
        <v>1</v>
      </c>
      <c r="Q962">
        <v>0</v>
      </c>
      <c r="R962">
        <v>0</v>
      </c>
      <c r="S962">
        <v>0</v>
      </c>
      <c r="T962">
        <v>0</v>
      </c>
      <c r="U962">
        <v>0</v>
      </c>
      <c r="V962">
        <v>0</v>
      </c>
      <c r="W962">
        <v>0</v>
      </c>
      <c r="X962">
        <v>0</v>
      </c>
      <c r="Y962">
        <v>0</v>
      </c>
      <c r="Z962">
        <v>0</v>
      </c>
      <c r="AA962">
        <v>0</v>
      </c>
      <c r="AC962">
        <v>0</v>
      </c>
      <c r="AD962">
        <v>0</v>
      </c>
      <c r="AE962">
        <v>0</v>
      </c>
      <c r="AF962">
        <v>0</v>
      </c>
      <c r="AG962">
        <v>0</v>
      </c>
      <c r="AH962">
        <v>0</v>
      </c>
      <c r="AI962">
        <v>0</v>
      </c>
      <c r="AJ962">
        <v>0</v>
      </c>
      <c r="AK962">
        <v>1</v>
      </c>
      <c r="AL962" t="s">
        <v>441</v>
      </c>
      <c r="AX962" t="s">
        <v>72</v>
      </c>
      <c r="AZ962" t="s">
        <v>120</v>
      </c>
      <c r="BA962" t="s">
        <v>87</v>
      </c>
      <c r="BB962" t="s">
        <v>87</v>
      </c>
      <c r="BC962" t="s">
        <v>87</v>
      </c>
      <c r="BD962" t="s">
        <v>87</v>
      </c>
      <c r="BE962" t="s">
        <v>87</v>
      </c>
      <c r="BF962" t="s">
        <v>75</v>
      </c>
      <c r="BG962" t="s">
        <v>76</v>
      </c>
      <c r="BH962" t="s">
        <v>93</v>
      </c>
      <c r="BI962" t="s">
        <v>120</v>
      </c>
      <c r="BJ962" t="s">
        <v>99</v>
      </c>
      <c r="BK962">
        <v>1</v>
      </c>
      <c r="BL962">
        <v>0</v>
      </c>
      <c r="BM962">
        <v>0</v>
      </c>
      <c r="BN962">
        <v>0</v>
      </c>
      <c r="BO962">
        <v>0</v>
      </c>
      <c r="BP962">
        <v>0</v>
      </c>
      <c r="BQ962">
        <v>0</v>
      </c>
      <c r="BR962">
        <v>0</v>
      </c>
    </row>
    <row r="963" spans="1:70" x14ac:dyDescent="0.2">
      <c r="A963" s="1">
        <v>44585.534722222219</v>
      </c>
      <c r="B963" s="1">
        <v>44585.536111111112</v>
      </c>
      <c r="C963">
        <v>1</v>
      </c>
      <c r="D963">
        <v>0</v>
      </c>
      <c r="E963">
        <v>0</v>
      </c>
      <c r="F963">
        <v>0</v>
      </c>
      <c r="H963">
        <v>0</v>
      </c>
      <c r="I963">
        <v>1</v>
      </c>
      <c r="J963">
        <v>0</v>
      </c>
      <c r="K963">
        <v>0</v>
      </c>
      <c r="L963">
        <v>0</v>
      </c>
      <c r="N963" t="s">
        <v>135</v>
      </c>
      <c r="O963" t="s">
        <v>80</v>
      </c>
      <c r="P963">
        <v>0</v>
      </c>
      <c r="Q963">
        <v>1</v>
      </c>
      <c r="R963">
        <v>0</v>
      </c>
      <c r="S963">
        <v>0</v>
      </c>
      <c r="T963">
        <v>0</v>
      </c>
      <c r="U963">
        <v>0</v>
      </c>
      <c r="V963">
        <v>0</v>
      </c>
      <c r="W963">
        <v>0</v>
      </c>
      <c r="X963">
        <v>0</v>
      </c>
      <c r="Y963">
        <v>0</v>
      </c>
      <c r="Z963">
        <v>0</v>
      </c>
      <c r="AA963">
        <v>0</v>
      </c>
      <c r="AM963" t="s">
        <v>83</v>
      </c>
      <c r="AN963" t="s">
        <v>82</v>
      </c>
      <c r="AO963" t="s">
        <v>81</v>
      </c>
      <c r="AP963" t="s">
        <v>81</v>
      </c>
      <c r="AQ963" t="s">
        <v>83</v>
      </c>
      <c r="AR963" t="s">
        <v>83</v>
      </c>
      <c r="AS963" t="s">
        <v>83</v>
      </c>
      <c r="AT963" t="s">
        <v>83</v>
      </c>
      <c r="AU963" t="s">
        <v>135</v>
      </c>
      <c r="AV963" t="s">
        <v>80</v>
      </c>
      <c r="AW963" t="s">
        <v>85</v>
      </c>
      <c r="AZ963" t="s">
        <v>107</v>
      </c>
      <c r="BA963" t="s">
        <v>87</v>
      </c>
      <c r="BB963" t="s">
        <v>87</v>
      </c>
      <c r="BC963" t="s">
        <v>87</v>
      </c>
      <c r="BD963" t="s">
        <v>87</v>
      </c>
      <c r="BE963" t="s">
        <v>87</v>
      </c>
      <c r="BF963" t="s">
        <v>101</v>
      </c>
      <c r="BG963" t="s">
        <v>76</v>
      </c>
      <c r="BH963" t="s">
        <v>77</v>
      </c>
      <c r="BI963" t="s">
        <v>107</v>
      </c>
      <c r="BJ963" t="s">
        <v>94</v>
      </c>
      <c r="BK963">
        <v>0</v>
      </c>
      <c r="BL963">
        <v>0</v>
      </c>
      <c r="BM963">
        <v>0</v>
      </c>
      <c r="BN963">
        <v>0</v>
      </c>
      <c r="BO963">
        <v>0</v>
      </c>
      <c r="BP963">
        <v>1</v>
      </c>
      <c r="BQ963">
        <v>0</v>
      </c>
      <c r="BR963">
        <v>0</v>
      </c>
    </row>
    <row r="964" spans="1:70" x14ac:dyDescent="0.2">
      <c r="A964" s="1">
        <v>44579.892361111109</v>
      </c>
      <c r="B964" s="1">
        <v>44579.893750000003</v>
      </c>
      <c r="C964">
        <v>1</v>
      </c>
      <c r="D964">
        <v>0</v>
      </c>
      <c r="E964">
        <v>0</v>
      </c>
      <c r="F964">
        <v>0</v>
      </c>
      <c r="H964">
        <v>0</v>
      </c>
      <c r="I964">
        <v>1</v>
      </c>
      <c r="J964">
        <v>1</v>
      </c>
      <c r="K964">
        <v>0</v>
      </c>
      <c r="L964">
        <v>0</v>
      </c>
      <c r="N964" t="s">
        <v>88</v>
      </c>
      <c r="O964" t="s">
        <v>89</v>
      </c>
      <c r="P964">
        <v>0</v>
      </c>
      <c r="Q964">
        <v>1</v>
      </c>
      <c r="R964">
        <v>1</v>
      </c>
      <c r="S964">
        <v>0</v>
      </c>
      <c r="T964">
        <v>0</v>
      </c>
      <c r="U964">
        <v>0</v>
      </c>
      <c r="V964">
        <v>0</v>
      </c>
      <c r="W964">
        <v>0</v>
      </c>
      <c r="X964">
        <v>0</v>
      </c>
      <c r="Y964">
        <v>0</v>
      </c>
      <c r="Z964">
        <v>0</v>
      </c>
      <c r="AA964">
        <v>0</v>
      </c>
      <c r="AM964" t="s">
        <v>83</v>
      </c>
      <c r="AN964" t="s">
        <v>82</v>
      </c>
      <c r="AO964" t="s">
        <v>81</v>
      </c>
      <c r="AP964" t="s">
        <v>81</v>
      </c>
      <c r="AQ964" t="s">
        <v>83</v>
      </c>
      <c r="AR964" t="s">
        <v>90</v>
      </c>
      <c r="AS964" t="s">
        <v>83</v>
      </c>
      <c r="AT964" t="s">
        <v>83</v>
      </c>
      <c r="AU964" t="s">
        <v>88</v>
      </c>
      <c r="AV964" t="s">
        <v>80</v>
      </c>
      <c r="AW964" t="s">
        <v>85</v>
      </c>
      <c r="AX964" t="s">
        <v>170</v>
      </c>
      <c r="AZ964" t="s">
        <v>107</v>
      </c>
      <c r="BA964" t="s">
        <v>86</v>
      </c>
      <c r="BB964" t="s">
        <v>74</v>
      </c>
      <c r="BC964" t="s">
        <v>86</v>
      </c>
      <c r="BD964" t="s">
        <v>74</v>
      </c>
      <c r="BE964" t="s">
        <v>87</v>
      </c>
      <c r="BF964" t="s">
        <v>108</v>
      </c>
      <c r="BG964" t="s">
        <v>76</v>
      </c>
      <c r="BH964" t="s">
        <v>93</v>
      </c>
      <c r="BI964" t="s">
        <v>107</v>
      </c>
      <c r="BJ964" t="s">
        <v>78</v>
      </c>
      <c r="BK964">
        <v>0</v>
      </c>
      <c r="BL964">
        <v>0</v>
      </c>
      <c r="BM964">
        <v>0</v>
      </c>
      <c r="BN964">
        <v>0</v>
      </c>
      <c r="BO964">
        <v>0</v>
      </c>
      <c r="BP964">
        <v>1</v>
      </c>
      <c r="BQ964">
        <v>0</v>
      </c>
      <c r="BR964">
        <v>0</v>
      </c>
    </row>
    <row r="965" spans="1:70" x14ac:dyDescent="0.2">
      <c r="A965" s="1">
        <v>44579.941666666666</v>
      </c>
      <c r="B965" s="1">
        <v>44579.943055555559</v>
      </c>
      <c r="C965">
        <v>1</v>
      </c>
      <c r="D965">
        <v>0</v>
      </c>
      <c r="E965">
        <v>0</v>
      </c>
      <c r="F965">
        <v>0</v>
      </c>
      <c r="H965">
        <v>0</v>
      </c>
      <c r="I965">
        <v>1</v>
      </c>
      <c r="J965">
        <v>0</v>
      </c>
      <c r="K965">
        <v>0</v>
      </c>
      <c r="L965">
        <v>0</v>
      </c>
      <c r="N965" t="s">
        <v>135</v>
      </c>
      <c r="O965" t="s">
        <v>89</v>
      </c>
      <c r="P965">
        <v>0</v>
      </c>
      <c r="Q965">
        <v>1</v>
      </c>
      <c r="R965">
        <v>0</v>
      </c>
      <c r="S965">
        <v>0</v>
      </c>
      <c r="T965">
        <v>0</v>
      </c>
      <c r="U965">
        <v>0</v>
      </c>
      <c r="V965">
        <v>0</v>
      </c>
      <c r="W965">
        <v>0</v>
      </c>
      <c r="X965">
        <v>0</v>
      </c>
      <c r="Y965">
        <v>0</v>
      </c>
      <c r="Z965">
        <v>0</v>
      </c>
      <c r="AA965">
        <v>0</v>
      </c>
      <c r="AM965" t="s">
        <v>82</v>
      </c>
      <c r="AN965" t="s">
        <v>81</v>
      </c>
      <c r="AO965" t="s">
        <v>81</v>
      </c>
      <c r="AP965" t="s">
        <v>83</v>
      </c>
      <c r="AQ965" t="s">
        <v>82</v>
      </c>
      <c r="AR965" t="s">
        <v>82</v>
      </c>
      <c r="AS965" t="s">
        <v>81</v>
      </c>
      <c r="AT965" t="s">
        <v>83</v>
      </c>
      <c r="AU965" t="s">
        <v>88</v>
      </c>
      <c r="AV965" t="s">
        <v>89</v>
      </c>
      <c r="AW965" t="s">
        <v>85</v>
      </c>
      <c r="AX965" t="s">
        <v>146</v>
      </c>
      <c r="AZ965" t="s">
        <v>107</v>
      </c>
      <c r="BA965" t="s">
        <v>86</v>
      </c>
      <c r="BB965" t="s">
        <v>86</v>
      </c>
      <c r="BC965" t="s">
        <v>86</v>
      </c>
      <c r="BD965" t="s">
        <v>86</v>
      </c>
      <c r="BE965" t="s">
        <v>86</v>
      </c>
      <c r="BF965" t="s">
        <v>113</v>
      </c>
      <c r="BG965" t="s">
        <v>92</v>
      </c>
      <c r="BH965" t="s">
        <v>77</v>
      </c>
      <c r="BI965" t="s">
        <v>107</v>
      </c>
      <c r="BJ965" t="s">
        <v>78</v>
      </c>
      <c r="BK965">
        <v>0</v>
      </c>
      <c r="BL965">
        <v>0</v>
      </c>
      <c r="BM965">
        <v>0</v>
      </c>
      <c r="BN965">
        <v>0</v>
      </c>
      <c r="BO965">
        <v>0</v>
      </c>
      <c r="BP965">
        <v>1</v>
      </c>
      <c r="BQ965">
        <v>0</v>
      </c>
      <c r="BR965">
        <v>0</v>
      </c>
    </row>
    <row r="966" spans="1:70" x14ac:dyDescent="0.2">
      <c r="A966" s="1">
        <v>44585.581250000003</v>
      </c>
      <c r="B966" s="1">
        <v>44585.581944444442</v>
      </c>
      <c r="C966">
        <v>1</v>
      </c>
      <c r="D966">
        <v>0</v>
      </c>
      <c r="E966">
        <v>0</v>
      </c>
      <c r="F966">
        <v>0</v>
      </c>
      <c r="H966">
        <v>0</v>
      </c>
      <c r="I966">
        <v>1</v>
      </c>
      <c r="J966">
        <v>0</v>
      </c>
      <c r="K966">
        <v>0</v>
      </c>
      <c r="L966">
        <v>0</v>
      </c>
      <c r="N966" t="s">
        <v>88</v>
      </c>
      <c r="O966" t="s">
        <v>89</v>
      </c>
      <c r="P966">
        <v>1</v>
      </c>
      <c r="Q966">
        <v>0</v>
      </c>
      <c r="R966">
        <v>0</v>
      </c>
      <c r="S966">
        <v>0</v>
      </c>
      <c r="T966">
        <v>0</v>
      </c>
      <c r="U966">
        <v>0</v>
      </c>
      <c r="V966">
        <v>0</v>
      </c>
      <c r="W966">
        <v>0</v>
      </c>
      <c r="X966">
        <v>0</v>
      </c>
      <c r="Y966">
        <v>0</v>
      </c>
      <c r="Z966">
        <v>0</v>
      </c>
      <c r="AA966">
        <v>0</v>
      </c>
      <c r="AC966">
        <v>0</v>
      </c>
      <c r="AD966">
        <v>0</v>
      </c>
      <c r="AE966">
        <v>0</v>
      </c>
      <c r="AF966">
        <v>0</v>
      </c>
      <c r="AG966">
        <v>0</v>
      </c>
      <c r="AH966">
        <v>0</v>
      </c>
      <c r="AI966">
        <v>0</v>
      </c>
      <c r="AJ966">
        <v>1</v>
      </c>
      <c r="AK966">
        <v>0</v>
      </c>
      <c r="AX966" t="s">
        <v>199</v>
      </c>
      <c r="AZ966" t="s">
        <v>107</v>
      </c>
      <c r="BA966" t="s">
        <v>74</v>
      </c>
      <c r="BF966" t="s">
        <v>75</v>
      </c>
      <c r="BG966" t="s">
        <v>92</v>
      </c>
      <c r="BH966" t="s">
        <v>77</v>
      </c>
      <c r="BI966" t="s">
        <v>107</v>
      </c>
      <c r="BJ966" t="s">
        <v>94</v>
      </c>
      <c r="BK966">
        <v>0</v>
      </c>
      <c r="BL966">
        <v>0</v>
      </c>
      <c r="BM966">
        <v>0</v>
      </c>
      <c r="BN966">
        <v>0</v>
      </c>
      <c r="BO966">
        <v>0</v>
      </c>
      <c r="BP966">
        <v>1</v>
      </c>
      <c r="BQ966">
        <v>0</v>
      </c>
      <c r="BR966">
        <v>0</v>
      </c>
    </row>
    <row r="967" spans="1:70" x14ac:dyDescent="0.2">
      <c r="A967" s="1">
        <v>44580.052083333336</v>
      </c>
      <c r="B967" s="1">
        <v>44580.056250000001</v>
      </c>
      <c r="C967">
        <v>0</v>
      </c>
      <c r="D967">
        <v>1</v>
      </c>
      <c r="E967">
        <v>0</v>
      </c>
      <c r="F967">
        <v>0</v>
      </c>
      <c r="H967">
        <v>0</v>
      </c>
      <c r="I967">
        <v>1</v>
      </c>
      <c r="J967">
        <v>1</v>
      </c>
      <c r="K967">
        <v>1</v>
      </c>
      <c r="L967">
        <v>0</v>
      </c>
      <c r="N967" t="s">
        <v>88</v>
      </c>
      <c r="O967" t="s">
        <v>89</v>
      </c>
      <c r="P967">
        <v>0</v>
      </c>
      <c r="Q967">
        <v>1</v>
      </c>
      <c r="R967">
        <v>0</v>
      </c>
      <c r="S967">
        <v>0</v>
      </c>
      <c r="T967">
        <v>0</v>
      </c>
      <c r="U967">
        <v>0</v>
      </c>
      <c r="V967">
        <v>0</v>
      </c>
      <c r="W967">
        <v>0</v>
      </c>
      <c r="X967">
        <v>0</v>
      </c>
      <c r="Y967">
        <v>0</v>
      </c>
      <c r="Z967">
        <v>0</v>
      </c>
      <c r="AA967">
        <v>0</v>
      </c>
      <c r="AM967" t="s">
        <v>83</v>
      </c>
      <c r="AN967" t="s">
        <v>82</v>
      </c>
      <c r="AO967" t="s">
        <v>81</v>
      </c>
      <c r="AP967" t="s">
        <v>81</v>
      </c>
      <c r="AQ967" t="s">
        <v>81</v>
      </c>
      <c r="AR967" t="s">
        <v>83</v>
      </c>
      <c r="AS967" t="s">
        <v>83</v>
      </c>
      <c r="AT967" t="s">
        <v>83</v>
      </c>
      <c r="AU967" t="s">
        <v>88</v>
      </c>
      <c r="AV967" t="s">
        <v>89</v>
      </c>
      <c r="AW967" t="s">
        <v>100</v>
      </c>
      <c r="AX967" t="s">
        <v>146</v>
      </c>
      <c r="AZ967" t="s">
        <v>73</v>
      </c>
      <c r="BA967" t="s">
        <v>87</v>
      </c>
      <c r="BB967" t="s">
        <v>87</v>
      </c>
      <c r="BC967" t="s">
        <v>87</v>
      </c>
      <c r="BD967" t="s">
        <v>87</v>
      </c>
      <c r="BE967" t="s">
        <v>74</v>
      </c>
      <c r="BF967" t="s">
        <v>75</v>
      </c>
      <c r="BG967" t="s">
        <v>92</v>
      </c>
      <c r="BH967" t="s">
        <v>77</v>
      </c>
      <c r="BI967" t="s">
        <v>73</v>
      </c>
      <c r="BJ967" t="s">
        <v>94</v>
      </c>
      <c r="BK967">
        <v>0</v>
      </c>
      <c r="BL967">
        <v>0</v>
      </c>
      <c r="BM967">
        <v>0</v>
      </c>
      <c r="BN967">
        <v>0</v>
      </c>
      <c r="BO967">
        <v>0</v>
      </c>
      <c r="BP967">
        <v>1</v>
      </c>
      <c r="BQ967">
        <v>0</v>
      </c>
      <c r="BR967">
        <v>0</v>
      </c>
    </row>
    <row r="968" spans="1:70" x14ac:dyDescent="0.2">
      <c r="A968" s="1">
        <v>44579.875</v>
      </c>
      <c r="B968" s="1">
        <v>44579.876388888886</v>
      </c>
      <c r="C968">
        <v>0</v>
      </c>
      <c r="D968">
        <v>1</v>
      </c>
      <c r="E968">
        <v>0</v>
      </c>
      <c r="F968">
        <v>0</v>
      </c>
      <c r="H968">
        <v>1</v>
      </c>
      <c r="I968">
        <v>0</v>
      </c>
      <c r="J968">
        <v>0</v>
      </c>
      <c r="K968">
        <v>0</v>
      </c>
      <c r="L968">
        <v>0</v>
      </c>
      <c r="P968">
        <v>1</v>
      </c>
      <c r="Q968">
        <v>0</v>
      </c>
      <c r="R968">
        <v>0</v>
      </c>
      <c r="S968">
        <v>0</v>
      </c>
      <c r="T968">
        <v>0</v>
      </c>
      <c r="U968">
        <v>0</v>
      </c>
      <c r="V968">
        <v>0</v>
      </c>
      <c r="W968">
        <v>0</v>
      </c>
      <c r="X968">
        <v>0</v>
      </c>
      <c r="Y968">
        <v>0</v>
      </c>
      <c r="Z968">
        <v>0</v>
      </c>
      <c r="AA968">
        <v>0</v>
      </c>
      <c r="AC968">
        <v>0</v>
      </c>
      <c r="AD968">
        <v>0</v>
      </c>
      <c r="AE968">
        <v>1</v>
      </c>
      <c r="AF968">
        <v>0</v>
      </c>
      <c r="AG968">
        <v>1</v>
      </c>
      <c r="AH968">
        <v>0</v>
      </c>
      <c r="AI968">
        <v>0</v>
      </c>
      <c r="AJ968">
        <v>1</v>
      </c>
      <c r="AK968">
        <v>0</v>
      </c>
      <c r="AX968" t="s">
        <v>110</v>
      </c>
      <c r="AY968" t="s">
        <v>442</v>
      </c>
      <c r="AZ968" t="s">
        <v>120</v>
      </c>
      <c r="BA968" t="s">
        <v>86</v>
      </c>
      <c r="BB968" t="s">
        <v>87</v>
      </c>
      <c r="BC968" t="s">
        <v>87</v>
      </c>
      <c r="BD968" t="s">
        <v>87</v>
      </c>
      <c r="BE968" t="s">
        <v>87</v>
      </c>
      <c r="BF968" t="s">
        <v>108</v>
      </c>
      <c r="BG968" t="s">
        <v>76</v>
      </c>
      <c r="BH968" t="s">
        <v>93</v>
      </c>
      <c r="BI968" t="s">
        <v>120</v>
      </c>
      <c r="BJ968" t="s">
        <v>109</v>
      </c>
      <c r="BK968">
        <v>0</v>
      </c>
      <c r="BL968">
        <v>0</v>
      </c>
      <c r="BM968">
        <v>0</v>
      </c>
      <c r="BN968">
        <v>0</v>
      </c>
      <c r="BO968">
        <v>0</v>
      </c>
      <c r="BP968">
        <v>1</v>
      </c>
      <c r="BQ968">
        <v>0</v>
      </c>
      <c r="BR968">
        <v>0</v>
      </c>
    </row>
    <row r="969" spans="1:70" x14ac:dyDescent="0.2">
      <c r="A969" s="1">
        <v>44589.574999999997</v>
      </c>
      <c r="B969" s="1">
        <v>44589.576388888891</v>
      </c>
      <c r="C969">
        <v>0</v>
      </c>
      <c r="D969">
        <v>1</v>
      </c>
      <c r="E969">
        <v>0</v>
      </c>
      <c r="F969">
        <v>0</v>
      </c>
      <c r="H969">
        <v>0</v>
      </c>
      <c r="I969">
        <v>1</v>
      </c>
      <c r="J969">
        <v>0</v>
      </c>
      <c r="K969">
        <v>1</v>
      </c>
      <c r="L969">
        <v>0</v>
      </c>
      <c r="N969" t="s">
        <v>88</v>
      </c>
      <c r="O969" t="s">
        <v>89</v>
      </c>
      <c r="P969">
        <v>0</v>
      </c>
      <c r="Q969">
        <v>1</v>
      </c>
      <c r="R969">
        <v>0</v>
      </c>
      <c r="S969">
        <v>0</v>
      </c>
      <c r="T969">
        <v>0</v>
      </c>
      <c r="U969">
        <v>0</v>
      </c>
      <c r="V969">
        <v>0</v>
      </c>
      <c r="W969">
        <v>0</v>
      </c>
      <c r="X969">
        <v>0</v>
      </c>
      <c r="Y969">
        <v>0</v>
      </c>
      <c r="Z969">
        <v>0</v>
      </c>
      <c r="AA969">
        <v>0</v>
      </c>
      <c r="AM969" t="s">
        <v>83</v>
      </c>
      <c r="AN969" t="s">
        <v>82</v>
      </c>
      <c r="AO969" t="s">
        <v>81</v>
      </c>
      <c r="AP969" t="s">
        <v>82</v>
      </c>
      <c r="AQ969" t="s">
        <v>81</v>
      </c>
      <c r="AR969" t="s">
        <v>83</v>
      </c>
      <c r="AS969" t="s">
        <v>83</v>
      </c>
      <c r="AT969" t="s">
        <v>83</v>
      </c>
      <c r="AU969" t="s">
        <v>88</v>
      </c>
      <c r="AV969" t="s">
        <v>89</v>
      </c>
      <c r="AW969" t="s">
        <v>100</v>
      </c>
      <c r="AX969" t="s">
        <v>106</v>
      </c>
      <c r="AZ969" t="s">
        <v>107</v>
      </c>
      <c r="BA969" t="s">
        <v>87</v>
      </c>
      <c r="BB969" t="s">
        <v>87</v>
      </c>
      <c r="BC969" t="s">
        <v>86</v>
      </c>
      <c r="BD969" t="s">
        <v>87</v>
      </c>
      <c r="BE969" t="s">
        <v>86</v>
      </c>
      <c r="BF969" t="s">
        <v>75</v>
      </c>
      <c r="BG969" t="s">
        <v>76</v>
      </c>
      <c r="BH969" t="s">
        <v>93</v>
      </c>
      <c r="BI969" t="s">
        <v>107</v>
      </c>
      <c r="BJ969" t="s">
        <v>94</v>
      </c>
      <c r="BK969">
        <v>0</v>
      </c>
      <c r="BL969">
        <v>0</v>
      </c>
      <c r="BM969">
        <v>0</v>
      </c>
      <c r="BN969">
        <v>0</v>
      </c>
      <c r="BO969">
        <v>0</v>
      </c>
      <c r="BP969">
        <v>1</v>
      </c>
      <c r="BQ969">
        <v>0</v>
      </c>
      <c r="BR969">
        <v>0</v>
      </c>
    </row>
    <row r="970" spans="1:70" x14ac:dyDescent="0.2">
      <c r="A970" s="1">
        <v>44579.892361111109</v>
      </c>
      <c r="B970" s="1">
        <v>44579.894444444442</v>
      </c>
      <c r="C970">
        <v>1</v>
      </c>
      <c r="D970">
        <v>0</v>
      </c>
      <c r="E970">
        <v>0</v>
      </c>
      <c r="F970">
        <v>0</v>
      </c>
      <c r="H970">
        <v>0</v>
      </c>
      <c r="I970">
        <v>1</v>
      </c>
      <c r="J970">
        <v>1</v>
      </c>
      <c r="K970">
        <v>1</v>
      </c>
      <c r="L970">
        <v>1</v>
      </c>
      <c r="M970" t="s">
        <v>443</v>
      </c>
      <c r="N970" t="s">
        <v>88</v>
      </c>
      <c r="O970" t="s">
        <v>89</v>
      </c>
      <c r="P970">
        <v>0</v>
      </c>
      <c r="Q970">
        <v>0</v>
      </c>
      <c r="R970">
        <v>1</v>
      </c>
      <c r="S970">
        <v>0</v>
      </c>
      <c r="T970">
        <v>0</v>
      </c>
      <c r="U970">
        <v>0</v>
      </c>
      <c r="V970">
        <v>0</v>
      </c>
      <c r="W970">
        <v>0</v>
      </c>
      <c r="X970">
        <v>0</v>
      </c>
      <c r="Y970">
        <v>1</v>
      </c>
      <c r="Z970">
        <v>0</v>
      </c>
      <c r="AA970">
        <v>0</v>
      </c>
      <c r="AM970" t="s">
        <v>81</v>
      </c>
      <c r="AN970" t="s">
        <v>82</v>
      </c>
      <c r="AO970" t="s">
        <v>82</v>
      </c>
      <c r="AP970" t="s">
        <v>81</v>
      </c>
      <c r="AQ970" t="s">
        <v>81</v>
      </c>
      <c r="AR970" t="s">
        <v>81</v>
      </c>
      <c r="AS970" t="s">
        <v>90</v>
      </c>
      <c r="AT970" t="s">
        <v>83</v>
      </c>
      <c r="AU970" t="s">
        <v>88</v>
      </c>
      <c r="AV970" t="s">
        <v>89</v>
      </c>
      <c r="AW970" t="s">
        <v>100</v>
      </c>
      <c r="AX970" t="s">
        <v>146</v>
      </c>
      <c r="AZ970" t="s">
        <v>73</v>
      </c>
      <c r="BA970" t="s">
        <v>87</v>
      </c>
      <c r="BB970" t="s">
        <v>86</v>
      </c>
      <c r="BC970" t="s">
        <v>87</v>
      </c>
      <c r="BD970" t="s">
        <v>87</v>
      </c>
      <c r="BE970" t="s">
        <v>86</v>
      </c>
      <c r="BF970" t="s">
        <v>75</v>
      </c>
      <c r="BG970" t="s">
        <v>76</v>
      </c>
      <c r="BH970" t="s">
        <v>77</v>
      </c>
      <c r="BI970" t="s">
        <v>73</v>
      </c>
      <c r="BJ970" t="s">
        <v>94</v>
      </c>
      <c r="BK970">
        <v>0</v>
      </c>
      <c r="BL970">
        <v>0</v>
      </c>
      <c r="BM970">
        <v>0</v>
      </c>
      <c r="BN970">
        <v>0</v>
      </c>
      <c r="BO970">
        <v>0</v>
      </c>
      <c r="BP970">
        <v>1</v>
      </c>
      <c r="BQ970">
        <v>0</v>
      </c>
      <c r="BR970">
        <v>0</v>
      </c>
    </row>
    <row r="971" spans="1:70" x14ac:dyDescent="0.2">
      <c r="A971" s="1">
        <v>44579.989583333336</v>
      </c>
      <c r="B971" s="1">
        <v>44579.990972222222</v>
      </c>
      <c r="C971">
        <v>0</v>
      </c>
      <c r="D971">
        <v>1</v>
      </c>
      <c r="E971">
        <v>0</v>
      </c>
      <c r="F971">
        <v>0</v>
      </c>
      <c r="H971">
        <v>1</v>
      </c>
      <c r="I971">
        <v>0</v>
      </c>
      <c r="J971">
        <v>0</v>
      </c>
      <c r="K971">
        <v>0</v>
      </c>
      <c r="L971">
        <v>0</v>
      </c>
      <c r="P971">
        <v>1</v>
      </c>
      <c r="Q971">
        <v>0</v>
      </c>
      <c r="R971">
        <v>0</v>
      </c>
      <c r="S971">
        <v>0</v>
      </c>
      <c r="T971">
        <v>0</v>
      </c>
      <c r="U971">
        <v>0</v>
      </c>
      <c r="V971">
        <v>0</v>
      </c>
      <c r="W971">
        <v>0</v>
      </c>
      <c r="X971">
        <v>0</v>
      </c>
      <c r="Y971">
        <v>0</v>
      </c>
      <c r="Z971">
        <v>0</v>
      </c>
      <c r="AA971">
        <v>0</v>
      </c>
      <c r="AC971">
        <v>0</v>
      </c>
      <c r="AD971">
        <v>0</v>
      </c>
      <c r="AE971">
        <v>0</v>
      </c>
      <c r="AF971">
        <v>0</v>
      </c>
      <c r="AG971">
        <v>0</v>
      </c>
      <c r="AH971">
        <v>0</v>
      </c>
      <c r="AI971">
        <v>1</v>
      </c>
      <c r="AJ971">
        <v>0</v>
      </c>
      <c r="AK971">
        <v>0</v>
      </c>
      <c r="AX971" t="s">
        <v>119</v>
      </c>
      <c r="AZ971" t="s">
        <v>120</v>
      </c>
      <c r="BA971" t="s">
        <v>74</v>
      </c>
      <c r="BF971" t="s">
        <v>75</v>
      </c>
      <c r="BG971" t="s">
        <v>76</v>
      </c>
      <c r="BH971" t="s">
        <v>93</v>
      </c>
      <c r="BI971" t="s">
        <v>120</v>
      </c>
      <c r="BJ971" t="s">
        <v>212</v>
      </c>
      <c r="BK971">
        <v>0</v>
      </c>
      <c r="BL971">
        <v>0</v>
      </c>
      <c r="BM971">
        <v>0</v>
      </c>
      <c r="BN971">
        <v>0</v>
      </c>
      <c r="BO971">
        <v>0</v>
      </c>
      <c r="BP971">
        <v>1</v>
      </c>
      <c r="BQ971">
        <v>0</v>
      </c>
      <c r="BR971">
        <v>0</v>
      </c>
    </row>
    <row r="972" spans="1:70" x14ac:dyDescent="0.2">
      <c r="A972" s="1">
        <v>44580.722222222219</v>
      </c>
      <c r="B972" s="1">
        <v>44580.723611111112</v>
      </c>
      <c r="C972">
        <v>1</v>
      </c>
      <c r="D972">
        <v>0</v>
      </c>
      <c r="E972">
        <v>0</v>
      </c>
      <c r="F972">
        <v>0</v>
      </c>
      <c r="H972">
        <v>0</v>
      </c>
      <c r="I972">
        <v>1</v>
      </c>
      <c r="J972">
        <v>1</v>
      </c>
      <c r="K972">
        <v>0</v>
      </c>
      <c r="L972">
        <v>0</v>
      </c>
      <c r="N972" t="s">
        <v>88</v>
      </c>
      <c r="O972" t="s">
        <v>80</v>
      </c>
      <c r="P972">
        <v>0</v>
      </c>
      <c r="Q972">
        <v>0</v>
      </c>
      <c r="R972">
        <v>1</v>
      </c>
      <c r="S972">
        <v>0</v>
      </c>
      <c r="T972">
        <v>0</v>
      </c>
      <c r="U972">
        <v>0</v>
      </c>
      <c r="V972">
        <v>0</v>
      </c>
      <c r="W972">
        <v>0</v>
      </c>
      <c r="X972">
        <v>0</v>
      </c>
      <c r="Y972">
        <v>0</v>
      </c>
      <c r="Z972">
        <v>0</v>
      </c>
      <c r="AA972">
        <v>0</v>
      </c>
      <c r="AM972" t="s">
        <v>81</v>
      </c>
      <c r="AN972" t="s">
        <v>81</v>
      </c>
      <c r="AO972" t="s">
        <v>83</v>
      </c>
      <c r="AP972" t="s">
        <v>83</v>
      </c>
      <c r="AQ972" t="s">
        <v>82</v>
      </c>
      <c r="AR972" t="s">
        <v>83</v>
      </c>
      <c r="AS972" t="s">
        <v>83</v>
      </c>
      <c r="AT972" t="s">
        <v>83</v>
      </c>
      <c r="AU972" t="s">
        <v>88</v>
      </c>
      <c r="AV972" t="s">
        <v>80</v>
      </c>
      <c r="AW972" t="s">
        <v>85</v>
      </c>
      <c r="AX972" t="s">
        <v>128</v>
      </c>
      <c r="AZ972" t="s">
        <v>73</v>
      </c>
      <c r="BA972" t="s">
        <v>87</v>
      </c>
      <c r="BB972" t="s">
        <v>87</v>
      </c>
      <c r="BC972" t="s">
        <v>74</v>
      </c>
      <c r="BD972" t="s">
        <v>87</v>
      </c>
      <c r="BE972" t="s">
        <v>87</v>
      </c>
      <c r="BF972" t="s">
        <v>75</v>
      </c>
      <c r="BG972" t="s">
        <v>76</v>
      </c>
      <c r="BH972" t="s">
        <v>93</v>
      </c>
      <c r="BI972" t="s">
        <v>73</v>
      </c>
      <c r="BJ972" t="s">
        <v>78</v>
      </c>
      <c r="BK972">
        <v>0</v>
      </c>
      <c r="BL972">
        <v>0</v>
      </c>
      <c r="BM972">
        <v>0</v>
      </c>
      <c r="BN972">
        <v>1</v>
      </c>
      <c r="BO972">
        <v>0</v>
      </c>
      <c r="BP972">
        <v>1</v>
      </c>
      <c r="BQ972">
        <v>0</v>
      </c>
      <c r="BR972">
        <v>0</v>
      </c>
    </row>
    <row r="973" spans="1:70" x14ac:dyDescent="0.2">
      <c r="A973" s="1">
        <v>44579.982638888891</v>
      </c>
      <c r="B973" s="1">
        <v>44579.984722222223</v>
      </c>
      <c r="C973">
        <v>0</v>
      </c>
      <c r="D973">
        <v>1</v>
      </c>
      <c r="E973">
        <v>0</v>
      </c>
      <c r="F973">
        <v>0</v>
      </c>
      <c r="H973">
        <v>1</v>
      </c>
      <c r="I973">
        <v>0</v>
      </c>
      <c r="J973">
        <v>0</v>
      </c>
      <c r="K973">
        <v>0</v>
      </c>
      <c r="L973">
        <v>0</v>
      </c>
      <c r="P973">
        <v>0</v>
      </c>
      <c r="Q973">
        <v>0</v>
      </c>
      <c r="R973">
        <v>0</v>
      </c>
      <c r="S973">
        <v>1</v>
      </c>
      <c r="T973">
        <v>0</v>
      </c>
      <c r="U973">
        <v>0</v>
      </c>
      <c r="V973">
        <v>0</v>
      </c>
      <c r="W973">
        <v>0</v>
      </c>
      <c r="X973">
        <v>0</v>
      </c>
      <c r="Y973">
        <v>0</v>
      </c>
      <c r="Z973">
        <v>0</v>
      </c>
      <c r="AA973">
        <v>0</v>
      </c>
      <c r="AM973" t="s">
        <v>90</v>
      </c>
      <c r="AN973" t="s">
        <v>82</v>
      </c>
      <c r="AO973" t="s">
        <v>82</v>
      </c>
      <c r="AP973" t="s">
        <v>82</v>
      </c>
      <c r="AQ973" t="s">
        <v>90</v>
      </c>
      <c r="AR973" t="s">
        <v>90</v>
      </c>
      <c r="AS973" t="s">
        <v>90</v>
      </c>
      <c r="AT973" t="s">
        <v>90</v>
      </c>
      <c r="AU973" t="s">
        <v>127</v>
      </c>
      <c r="AV973" t="s">
        <v>127</v>
      </c>
      <c r="AX973" t="s">
        <v>122</v>
      </c>
      <c r="AZ973" t="s">
        <v>73</v>
      </c>
      <c r="BA973" t="s">
        <v>74</v>
      </c>
      <c r="BF973" t="s">
        <v>108</v>
      </c>
      <c r="BG973" t="s">
        <v>76</v>
      </c>
      <c r="BH973" t="s">
        <v>93</v>
      </c>
      <c r="BI973" t="s">
        <v>73</v>
      </c>
      <c r="BJ973" t="s">
        <v>176</v>
      </c>
      <c r="BK973">
        <v>0</v>
      </c>
      <c r="BL973">
        <v>0</v>
      </c>
      <c r="BM973">
        <v>0</v>
      </c>
      <c r="BN973">
        <v>0</v>
      </c>
      <c r="BO973">
        <v>0</v>
      </c>
      <c r="BP973">
        <v>1</v>
      </c>
      <c r="BQ973">
        <v>0</v>
      </c>
      <c r="BR973">
        <v>0</v>
      </c>
    </row>
    <row r="974" spans="1:70" x14ac:dyDescent="0.2">
      <c r="A974" s="1">
        <v>44579.95416666667</v>
      </c>
      <c r="B974" s="1">
        <v>44579.955555555556</v>
      </c>
      <c r="C974">
        <v>1</v>
      </c>
      <c r="D974">
        <v>0</v>
      </c>
      <c r="E974">
        <v>0</v>
      </c>
      <c r="F974">
        <v>0</v>
      </c>
      <c r="H974">
        <v>1</v>
      </c>
      <c r="I974">
        <v>0</v>
      </c>
      <c r="J974">
        <v>0</v>
      </c>
      <c r="K974">
        <v>0</v>
      </c>
      <c r="L974">
        <v>0</v>
      </c>
      <c r="P974">
        <v>1</v>
      </c>
      <c r="Q974">
        <v>0</v>
      </c>
      <c r="R974">
        <v>0</v>
      </c>
      <c r="S974">
        <v>0</v>
      </c>
      <c r="T974">
        <v>0</v>
      </c>
      <c r="U974">
        <v>0</v>
      </c>
      <c r="V974">
        <v>0</v>
      </c>
      <c r="W974">
        <v>0</v>
      </c>
      <c r="X974">
        <v>0</v>
      </c>
      <c r="Y974">
        <v>0</v>
      </c>
      <c r="Z974">
        <v>0</v>
      </c>
      <c r="AA974">
        <v>0</v>
      </c>
      <c r="AC974">
        <v>1</v>
      </c>
      <c r="AD974">
        <v>0</v>
      </c>
      <c r="AE974">
        <v>0</v>
      </c>
      <c r="AF974">
        <v>0</v>
      </c>
      <c r="AG974">
        <v>0</v>
      </c>
      <c r="AH974">
        <v>0</v>
      </c>
      <c r="AI974">
        <v>0</v>
      </c>
      <c r="AJ974">
        <v>0</v>
      </c>
      <c r="AK974">
        <v>0</v>
      </c>
      <c r="AZ974" t="s">
        <v>107</v>
      </c>
      <c r="BA974" t="s">
        <v>87</v>
      </c>
      <c r="BB974" t="s">
        <v>87</v>
      </c>
      <c r="BC974" t="s">
        <v>87</v>
      </c>
      <c r="BD974" t="s">
        <v>87</v>
      </c>
      <c r="BE974" t="s">
        <v>87</v>
      </c>
      <c r="BF974" t="s">
        <v>101</v>
      </c>
      <c r="BG974" t="s">
        <v>92</v>
      </c>
      <c r="BH974" t="s">
        <v>77</v>
      </c>
      <c r="BI974" t="s">
        <v>107</v>
      </c>
      <c r="BJ974" t="s">
        <v>109</v>
      </c>
      <c r="BK974">
        <v>0</v>
      </c>
      <c r="BL974">
        <v>0</v>
      </c>
      <c r="BM974">
        <v>0</v>
      </c>
      <c r="BN974">
        <v>0</v>
      </c>
      <c r="BO974">
        <v>0</v>
      </c>
      <c r="BP974">
        <v>1</v>
      </c>
      <c r="BQ974">
        <v>0</v>
      </c>
      <c r="BR974">
        <v>0</v>
      </c>
    </row>
    <row r="975" spans="1:70" x14ac:dyDescent="0.2">
      <c r="A975" s="1">
        <v>44588.994444444441</v>
      </c>
      <c r="B975" s="1">
        <v>44588.99722222222</v>
      </c>
      <c r="C975">
        <v>0</v>
      </c>
      <c r="D975">
        <v>1</v>
      </c>
      <c r="E975">
        <v>0</v>
      </c>
      <c r="F975">
        <v>0</v>
      </c>
      <c r="H975">
        <v>1</v>
      </c>
      <c r="I975">
        <v>0</v>
      </c>
      <c r="J975">
        <v>0</v>
      </c>
      <c r="K975">
        <v>0</v>
      </c>
      <c r="L975">
        <v>0</v>
      </c>
      <c r="P975">
        <v>0</v>
      </c>
      <c r="Q975">
        <v>0</v>
      </c>
      <c r="R975">
        <v>0</v>
      </c>
      <c r="S975">
        <v>0</v>
      </c>
      <c r="T975">
        <v>0</v>
      </c>
      <c r="U975">
        <v>0</v>
      </c>
      <c r="V975">
        <v>0</v>
      </c>
      <c r="W975">
        <v>0</v>
      </c>
      <c r="X975">
        <v>0</v>
      </c>
      <c r="Y975">
        <v>0</v>
      </c>
      <c r="Z975">
        <v>0</v>
      </c>
      <c r="AA975">
        <v>1</v>
      </c>
      <c r="AB975" t="s">
        <v>444</v>
      </c>
      <c r="AM975" t="s">
        <v>83</v>
      </c>
      <c r="AN975" t="s">
        <v>81</v>
      </c>
      <c r="AO975" t="s">
        <v>83</v>
      </c>
      <c r="AP975" t="s">
        <v>83</v>
      </c>
      <c r="AQ975" t="s">
        <v>82</v>
      </c>
      <c r="AR975" t="s">
        <v>83</v>
      </c>
      <c r="AS975" t="s">
        <v>81</v>
      </c>
      <c r="AT975" t="s">
        <v>83</v>
      </c>
      <c r="AU975" t="s">
        <v>88</v>
      </c>
      <c r="AV975" t="s">
        <v>80</v>
      </c>
      <c r="AW975" t="s">
        <v>85</v>
      </c>
      <c r="AX975" t="s">
        <v>191</v>
      </c>
      <c r="AZ975" t="s">
        <v>96</v>
      </c>
      <c r="BA975" t="s">
        <v>87</v>
      </c>
      <c r="BB975" t="s">
        <v>87</v>
      </c>
      <c r="BC975" t="s">
        <v>87</v>
      </c>
      <c r="BD975" t="s">
        <v>87</v>
      </c>
      <c r="BE975" t="s">
        <v>74</v>
      </c>
      <c r="BF975" t="s">
        <v>75</v>
      </c>
      <c r="BG975" t="s">
        <v>92</v>
      </c>
      <c r="BH975" t="s">
        <v>77</v>
      </c>
      <c r="BI975" t="s">
        <v>96</v>
      </c>
      <c r="BJ975" t="s">
        <v>102</v>
      </c>
      <c r="BK975">
        <v>0</v>
      </c>
      <c r="BL975">
        <v>0</v>
      </c>
      <c r="BM975">
        <v>0</v>
      </c>
      <c r="BN975">
        <v>0</v>
      </c>
      <c r="BO975">
        <v>0</v>
      </c>
      <c r="BP975">
        <v>1</v>
      </c>
      <c r="BQ975">
        <v>0</v>
      </c>
      <c r="BR975">
        <v>0</v>
      </c>
    </row>
    <row r="976" spans="1:70" x14ac:dyDescent="0.2">
      <c r="A976" s="1">
        <v>44579.890277777777</v>
      </c>
      <c r="B976" s="1">
        <v>44579.89166666667</v>
      </c>
      <c r="C976">
        <v>1</v>
      </c>
      <c r="D976">
        <v>0</v>
      </c>
      <c r="E976">
        <v>0</v>
      </c>
      <c r="F976">
        <v>0</v>
      </c>
      <c r="H976">
        <v>0</v>
      </c>
      <c r="I976">
        <v>1</v>
      </c>
      <c r="J976">
        <v>0</v>
      </c>
      <c r="K976">
        <v>1</v>
      </c>
      <c r="L976">
        <v>0</v>
      </c>
      <c r="N976" t="s">
        <v>79</v>
      </c>
      <c r="O976" t="s">
        <v>80</v>
      </c>
      <c r="P976">
        <v>0</v>
      </c>
      <c r="Q976">
        <v>1</v>
      </c>
      <c r="R976">
        <v>0</v>
      </c>
      <c r="S976">
        <v>0</v>
      </c>
      <c r="T976">
        <v>0</v>
      </c>
      <c r="U976">
        <v>0</v>
      </c>
      <c r="V976">
        <v>0</v>
      </c>
      <c r="W976">
        <v>0</v>
      </c>
      <c r="X976">
        <v>0</v>
      </c>
      <c r="Y976">
        <v>0</v>
      </c>
      <c r="Z976">
        <v>0</v>
      </c>
      <c r="AA976">
        <v>0</v>
      </c>
      <c r="AM976" t="s">
        <v>83</v>
      </c>
      <c r="AN976" t="s">
        <v>82</v>
      </c>
      <c r="AO976" t="s">
        <v>82</v>
      </c>
      <c r="AP976" t="s">
        <v>81</v>
      </c>
      <c r="AQ976" t="s">
        <v>81</v>
      </c>
      <c r="AR976" t="s">
        <v>83</v>
      </c>
      <c r="AS976" t="s">
        <v>83</v>
      </c>
      <c r="AT976" t="s">
        <v>83</v>
      </c>
      <c r="AU976" t="s">
        <v>88</v>
      </c>
      <c r="AV976" t="s">
        <v>89</v>
      </c>
      <c r="AW976" t="s">
        <v>100</v>
      </c>
      <c r="AX976" t="s">
        <v>118</v>
      </c>
      <c r="AZ976" t="s">
        <v>73</v>
      </c>
      <c r="BA976" t="s">
        <v>87</v>
      </c>
      <c r="BB976" t="s">
        <v>87</v>
      </c>
      <c r="BC976" t="s">
        <v>87</v>
      </c>
      <c r="BD976" t="s">
        <v>87</v>
      </c>
      <c r="BE976" t="s">
        <v>87</v>
      </c>
      <c r="BF976" t="s">
        <v>75</v>
      </c>
      <c r="BG976" t="s">
        <v>76</v>
      </c>
      <c r="BH976" t="s">
        <v>77</v>
      </c>
      <c r="BI976" t="s">
        <v>73</v>
      </c>
      <c r="BJ976" t="s">
        <v>94</v>
      </c>
      <c r="BK976">
        <v>0</v>
      </c>
      <c r="BL976">
        <v>0</v>
      </c>
      <c r="BM976">
        <v>0</v>
      </c>
      <c r="BN976">
        <v>0</v>
      </c>
      <c r="BO976">
        <v>0</v>
      </c>
      <c r="BP976">
        <v>1</v>
      </c>
      <c r="BQ976">
        <v>0</v>
      </c>
      <c r="BR976">
        <v>0</v>
      </c>
    </row>
    <row r="977" spans="1:70" x14ac:dyDescent="0.2">
      <c r="A977" s="1">
        <v>44588.974305555559</v>
      </c>
      <c r="B977" s="1">
        <v>44588.976388888892</v>
      </c>
      <c r="C977">
        <v>1</v>
      </c>
      <c r="D977">
        <v>0</v>
      </c>
      <c r="E977">
        <v>0</v>
      </c>
      <c r="F977">
        <v>0</v>
      </c>
      <c r="H977">
        <v>0</v>
      </c>
      <c r="I977">
        <v>0</v>
      </c>
      <c r="J977">
        <v>0</v>
      </c>
      <c r="K977">
        <v>0</v>
      </c>
      <c r="L977">
        <v>1</v>
      </c>
      <c r="M977" t="s">
        <v>445</v>
      </c>
      <c r="N977" t="s">
        <v>88</v>
      </c>
      <c r="O977" t="s">
        <v>89</v>
      </c>
      <c r="P977">
        <v>1</v>
      </c>
      <c r="Q977">
        <v>0</v>
      </c>
      <c r="R977">
        <v>0</v>
      </c>
      <c r="S977">
        <v>0</v>
      </c>
      <c r="T977">
        <v>0</v>
      </c>
      <c r="U977">
        <v>0</v>
      </c>
      <c r="V977">
        <v>0</v>
      </c>
      <c r="W977">
        <v>0</v>
      </c>
      <c r="X977">
        <v>0</v>
      </c>
      <c r="Y977">
        <v>0</v>
      </c>
      <c r="Z977">
        <v>0</v>
      </c>
      <c r="AA977">
        <v>0</v>
      </c>
      <c r="AC977">
        <v>0</v>
      </c>
      <c r="AD977">
        <v>0</v>
      </c>
      <c r="AE977">
        <v>0</v>
      </c>
      <c r="AF977">
        <v>0</v>
      </c>
      <c r="AG977">
        <v>1</v>
      </c>
      <c r="AH977">
        <v>0</v>
      </c>
      <c r="AI977">
        <v>1</v>
      </c>
      <c r="AJ977">
        <v>1</v>
      </c>
      <c r="AK977">
        <v>1</v>
      </c>
      <c r="AL977" t="s">
        <v>446</v>
      </c>
      <c r="AX977" t="s">
        <v>110</v>
      </c>
      <c r="AY977" t="s">
        <v>447</v>
      </c>
      <c r="AZ977" t="s">
        <v>73</v>
      </c>
      <c r="BA977" t="s">
        <v>74</v>
      </c>
      <c r="BF977" t="s">
        <v>75</v>
      </c>
      <c r="BG977" t="s">
        <v>76</v>
      </c>
      <c r="BH977" t="s">
        <v>77</v>
      </c>
      <c r="BI977" t="s">
        <v>73</v>
      </c>
      <c r="BJ977" t="s">
        <v>94</v>
      </c>
      <c r="BK977">
        <v>0</v>
      </c>
      <c r="BL977">
        <v>0</v>
      </c>
      <c r="BM977">
        <v>0</v>
      </c>
      <c r="BN977">
        <v>0</v>
      </c>
      <c r="BO977">
        <v>0</v>
      </c>
      <c r="BP977">
        <v>1</v>
      </c>
      <c r="BQ977">
        <v>0</v>
      </c>
      <c r="BR977">
        <v>0</v>
      </c>
    </row>
    <row r="978" spans="1:70" x14ac:dyDescent="0.2">
      <c r="A978" s="1">
        <v>44586.60833333333</v>
      </c>
      <c r="B978" s="1">
        <v>44586.615972222222</v>
      </c>
      <c r="C978">
        <v>0</v>
      </c>
      <c r="D978">
        <v>1</v>
      </c>
      <c r="E978">
        <v>0</v>
      </c>
      <c r="F978">
        <v>0</v>
      </c>
      <c r="H978">
        <v>0</v>
      </c>
      <c r="I978">
        <v>1</v>
      </c>
      <c r="J978">
        <v>0</v>
      </c>
      <c r="K978">
        <v>0</v>
      </c>
      <c r="L978">
        <v>0</v>
      </c>
      <c r="N978" t="s">
        <v>135</v>
      </c>
      <c r="O978" t="s">
        <v>80</v>
      </c>
      <c r="P978">
        <v>1</v>
      </c>
      <c r="Q978">
        <v>0</v>
      </c>
      <c r="R978">
        <v>0</v>
      </c>
      <c r="S978">
        <v>0</v>
      </c>
      <c r="T978">
        <v>0</v>
      </c>
      <c r="U978">
        <v>0</v>
      </c>
      <c r="V978">
        <v>0</v>
      </c>
      <c r="W978">
        <v>0</v>
      </c>
      <c r="X978">
        <v>0</v>
      </c>
      <c r="Y978">
        <v>0</v>
      </c>
      <c r="Z978">
        <v>0</v>
      </c>
      <c r="AA978">
        <v>0</v>
      </c>
      <c r="AC978">
        <v>0</v>
      </c>
      <c r="AD978">
        <v>0</v>
      </c>
      <c r="AE978">
        <v>0</v>
      </c>
      <c r="AF978">
        <v>0</v>
      </c>
      <c r="AG978">
        <v>0</v>
      </c>
      <c r="AH978">
        <v>0</v>
      </c>
      <c r="AI978">
        <v>1</v>
      </c>
      <c r="AJ978">
        <v>1</v>
      </c>
      <c r="AK978">
        <v>1</v>
      </c>
      <c r="AL978" t="s">
        <v>448</v>
      </c>
      <c r="AX978" t="s">
        <v>128</v>
      </c>
      <c r="AZ978" t="s">
        <v>73</v>
      </c>
      <c r="BA978" t="s">
        <v>87</v>
      </c>
      <c r="BB978" t="s">
        <v>87</v>
      </c>
      <c r="BC978" t="s">
        <v>87</v>
      </c>
      <c r="BD978" t="s">
        <v>86</v>
      </c>
      <c r="BE978" t="s">
        <v>86</v>
      </c>
      <c r="BF978" t="s">
        <v>75</v>
      </c>
      <c r="BG978" t="s">
        <v>76</v>
      </c>
      <c r="BH978" t="s">
        <v>98</v>
      </c>
      <c r="BI978" t="s">
        <v>73</v>
      </c>
      <c r="BJ978" t="s">
        <v>114</v>
      </c>
      <c r="BK978">
        <v>0</v>
      </c>
      <c r="BL978">
        <v>0</v>
      </c>
      <c r="BM978">
        <v>0</v>
      </c>
      <c r="BN978">
        <v>0</v>
      </c>
      <c r="BO978">
        <v>0</v>
      </c>
      <c r="BP978">
        <v>1</v>
      </c>
      <c r="BQ978">
        <v>0</v>
      </c>
      <c r="BR978">
        <v>0</v>
      </c>
    </row>
    <row r="979" spans="1:70" x14ac:dyDescent="0.2">
      <c r="A979" s="1">
        <v>44579.883333333331</v>
      </c>
      <c r="B979" s="1">
        <v>44579.884722222225</v>
      </c>
      <c r="C979">
        <v>0</v>
      </c>
      <c r="D979">
        <v>1</v>
      </c>
      <c r="E979">
        <v>0</v>
      </c>
      <c r="F979">
        <v>0</v>
      </c>
      <c r="H979">
        <v>0</v>
      </c>
      <c r="I979">
        <v>0</v>
      </c>
      <c r="J979">
        <v>0</v>
      </c>
      <c r="K979">
        <v>0</v>
      </c>
      <c r="L979">
        <v>1</v>
      </c>
      <c r="M979" t="s">
        <v>449</v>
      </c>
      <c r="N979" t="s">
        <v>135</v>
      </c>
      <c r="O979" t="s">
        <v>80</v>
      </c>
      <c r="P979">
        <v>1</v>
      </c>
      <c r="Q979">
        <v>0</v>
      </c>
      <c r="R979">
        <v>0</v>
      </c>
      <c r="S979">
        <v>0</v>
      </c>
      <c r="T979">
        <v>0</v>
      </c>
      <c r="U979">
        <v>0</v>
      </c>
      <c r="V979">
        <v>0</v>
      </c>
      <c r="W979">
        <v>0</v>
      </c>
      <c r="X979">
        <v>0</v>
      </c>
      <c r="Y979">
        <v>0</v>
      </c>
      <c r="Z979">
        <v>0</v>
      </c>
      <c r="AA979">
        <v>0</v>
      </c>
      <c r="AC979">
        <v>0</v>
      </c>
      <c r="AD979">
        <v>1</v>
      </c>
      <c r="AE979">
        <v>0</v>
      </c>
      <c r="AF979">
        <v>0</v>
      </c>
      <c r="AG979">
        <v>0</v>
      </c>
      <c r="AH979">
        <v>0</v>
      </c>
      <c r="AI979">
        <v>0</v>
      </c>
      <c r="AJ979">
        <v>0</v>
      </c>
      <c r="AK979">
        <v>0</v>
      </c>
      <c r="AZ979" t="s">
        <v>73</v>
      </c>
      <c r="BA979" t="s">
        <v>86</v>
      </c>
      <c r="BB979" t="s">
        <v>87</v>
      </c>
      <c r="BC979" t="s">
        <v>86</v>
      </c>
      <c r="BD979" t="s">
        <v>74</v>
      </c>
      <c r="BE979" t="s">
        <v>87</v>
      </c>
      <c r="BF979" t="s">
        <v>101</v>
      </c>
      <c r="BG979" t="s">
        <v>76</v>
      </c>
      <c r="BH979" t="s">
        <v>77</v>
      </c>
      <c r="BI979" t="s">
        <v>73</v>
      </c>
      <c r="BJ979" t="s">
        <v>109</v>
      </c>
      <c r="BK979">
        <v>0</v>
      </c>
      <c r="BL979">
        <v>0</v>
      </c>
      <c r="BM979">
        <v>0</v>
      </c>
      <c r="BN979">
        <v>0</v>
      </c>
      <c r="BO979">
        <v>0</v>
      </c>
      <c r="BP979">
        <v>1</v>
      </c>
      <c r="BQ979">
        <v>0</v>
      </c>
      <c r="BR979">
        <v>0</v>
      </c>
    </row>
    <row r="980" spans="1:70" x14ac:dyDescent="0.2">
      <c r="A980" s="1">
        <v>44586.691666666666</v>
      </c>
      <c r="B980" s="1">
        <v>44586.693749999999</v>
      </c>
      <c r="C980">
        <v>1</v>
      </c>
      <c r="D980">
        <v>0</v>
      </c>
      <c r="E980">
        <v>0</v>
      </c>
      <c r="F980">
        <v>0</v>
      </c>
      <c r="H980">
        <v>1</v>
      </c>
      <c r="I980">
        <v>0</v>
      </c>
      <c r="J980">
        <v>0</v>
      </c>
      <c r="K980">
        <v>0</v>
      </c>
      <c r="L980">
        <v>0</v>
      </c>
      <c r="P980">
        <v>1</v>
      </c>
      <c r="Q980">
        <v>0</v>
      </c>
      <c r="R980">
        <v>0</v>
      </c>
      <c r="S980">
        <v>0</v>
      </c>
      <c r="T980">
        <v>0</v>
      </c>
      <c r="U980">
        <v>0</v>
      </c>
      <c r="V980">
        <v>0</v>
      </c>
      <c r="W980">
        <v>0</v>
      </c>
      <c r="X980">
        <v>0</v>
      </c>
      <c r="Y980">
        <v>0</v>
      </c>
      <c r="Z980">
        <v>0</v>
      </c>
      <c r="AA980">
        <v>0</v>
      </c>
      <c r="AC980">
        <v>0</v>
      </c>
      <c r="AD980">
        <v>0</v>
      </c>
      <c r="AE980">
        <v>0</v>
      </c>
      <c r="AF980">
        <v>0</v>
      </c>
      <c r="AG980">
        <v>0</v>
      </c>
      <c r="AH980">
        <v>0</v>
      </c>
      <c r="AI980">
        <v>1</v>
      </c>
      <c r="AJ980">
        <v>1</v>
      </c>
      <c r="AK980">
        <v>0</v>
      </c>
      <c r="AZ980" t="s">
        <v>107</v>
      </c>
      <c r="BA980" t="s">
        <v>87</v>
      </c>
      <c r="BB980" t="s">
        <v>74</v>
      </c>
      <c r="BC980" t="s">
        <v>74</v>
      </c>
      <c r="BD980" t="s">
        <v>74</v>
      </c>
      <c r="BE980" t="s">
        <v>74</v>
      </c>
      <c r="BF980" t="s">
        <v>159</v>
      </c>
      <c r="BG980" t="s">
        <v>76</v>
      </c>
      <c r="BH980" t="s">
        <v>77</v>
      </c>
      <c r="BI980" t="s">
        <v>107</v>
      </c>
      <c r="BJ980" t="s">
        <v>109</v>
      </c>
      <c r="BK980">
        <v>0</v>
      </c>
      <c r="BL980">
        <v>0</v>
      </c>
      <c r="BM980">
        <v>0</v>
      </c>
      <c r="BN980">
        <v>0</v>
      </c>
      <c r="BO980">
        <v>0</v>
      </c>
      <c r="BP980">
        <v>1</v>
      </c>
      <c r="BQ980">
        <v>0</v>
      </c>
      <c r="BR980">
        <v>0</v>
      </c>
    </row>
    <row r="981" spans="1:70" x14ac:dyDescent="0.2">
      <c r="A981" s="1">
        <v>44579.945833333331</v>
      </c>
      <c r="B981" s="1">
        <v>44579.95208333333</v>
      </c>
      <c r="C981">
        <v>1</v>
      </c>
      <c r="D981">
        <v>0</v>
      </c>
      <c r="E981">
        <v>0</v>
      </c>
      <c r="F981">
        <v>0</v>
      </c>
      <c r="H981">
        <v>0</v>
      </c>
      <c r="I981">
        <v>1</v>
      </c>
      <c r="J981">
        <v>1</v>
      </c>
      <c r="K981">
        <v>0</v>
      </c>
      <c r="L981">
        <v>0</v>
      </c>
      <c r="N981" t="s">
        <v>88</v>
      </c>
      <c r="O981" t="s">
        <v>89</v>
      </c>
      <c r="P981">
        <v>0</v>
      </c>
      <c r="Q981">
        <v>0</v>
      </c>
      <c r="R981">
        <v>1</v>
      </c>
      <c r="S981">
        <v>0</v>
      </c>
      <c r="T981">
        <v>0</v>
      </c>
      <c r="U981">
        <v>0</v>
      </c>
      <c r="V981">
        <v>0</v>
      </c>
      <c r="W981">
        <v>0</v>
      </c>
      <c r="X981">
        <v>0</v>
      </c>
      <c r="Y981">
        <v>0</v>
      </c>
      <c r="Z981">
        <v>0</v>
      </c>
      <c r="AA981">
        <v>0</v>
      </c>
      <c r="AM981" t="s">
        <v>83</v>
      </c>
      <c r="AN981" t="s">
        <v>81</v>
      </c>
      <c r="AO981" t="s">
        <v>81</v>
      </c>
      <c r="AP981" t="s">
        <v>82</v>
      </c>
      <c r="AQ981" t="s">
        <v>82</v>
      </c>
      <c r="AR981" t="s">
        <v>83</v>
      </c>
      <c r="AS981" t="s">
        <v>83</v>
      </c>
      <c r="AT981" t="s">
        <v>83</v>
      </c>
      <c r="AU981" t="s">
        <v>88</v>
      </c>
      <c r="AV981" t="s">
        <v>89</v>
      </c>
      <c r="AW981" t="s">
        <v>100</v>
      </c>
      <c r="AZ981" t="s">
        <v>73</v>
      </c>
      <c r="BA981" t="s">
        <v>86</v>
      </c>
      <c r="BB981" t="s">
        <v>87</v>
      </c>
      <c r="BC981" t="s">
        <v>87</v>
      </c>
      <c r="BD981" t="s">
        <v>87</v>
      </c>
      <c r="BE981" t="s">
        <v>87</v>
      </c>
      <c r="BF981" t="s">
        <v>159</v>
      </c>
      <c r="BG981" t="s">
        <v>76</v>
      </c>
      <c r="BH981" t="s">
        <v>77</v>
      </c>
      <c r="BI981" t="s">
        <v>73</v>
      </c>
      <c r="BJ981" t="s">
        <v>78</v>
      </c>
      <c r="BK981">
        <v>0</v>
      </c>
      <c r="BL981">
        <v>0</v>
      </c>
      <c r="BM981">
        <v>0</v>
      </c>
      <c r="BN981">
        <v>0</v>
      </c>
      <c r="BO981">
        <v>0</v>
      </c>
      <c r="BP981">
        <v>1</v>
      </c>
      <c r="BQ981">
        <v>0</v>
      </c>
      <c r="BR981">
        <v>0</v>
      </c>
    </row>
    <row r="982" spans="1:70" x14ac:dyDescent="0.2">
      <c r="A982" s="1">
        <v>44580.590277777781</v>
      </c>
      <c r="B982" s="1">
        <v>44580.592361111114</v>
      </c>
      <c r="C982">
        <v>0</v>
      </c>
      <c r="D982">
        <v>1</v>
      </c>
      <c r="E982">
        <v>0</v>
      </c>
      <c r="F982">
        <v>0</v>
      </c>
      <c r="H982">
        <v>0</v>
      </c>
      <c r="I982">
        <v>1</v>
      </c>
      <c r="J982">
        <v>1</v>
      </c>
      <c r="K982">
        <v>1</v>
      </c>
      <c r="L982">
        <v>0</v>
      </c>
      <c r="N982" t="s">
        <v>135</v>
      </c>
      <c r="O982" t="s">
        <v>142</v>
      </c>
      <c r="P982">
        <v>1</v>
      </c>
      <c r="Q982">
        <v>0</v>
      </c>
      <c r="R982">
        <v>0</v>
      </c>
      <c r="S982">
        <v>0</v>
      </c>
      <c r="T982">
        <v>0</v>
      </c>
      <c r="U982">
        <v>0</v>
      </c>
      <c r="V982">
        <v>0</v>
      </c>
      <c r="W982">
        <v>0</v>
      </c>
      <c r="X982">
        <v>0</v>
      </c>
      <c r="Y982">
        <v>0</v>
      </c>
      <c r="Z982">
        <v>0</v>
      </c>
      <c r="AA982">
        <v>0</v>
      </c>
      <c r="AC982">
        <v>0</v>
      </c>
      <c r="AD982">
        <v>0</v>
      </c>
      <c r="AE982">
        <v>1</v>
      </c>
      <c r="AF982">
        <v>0</v>
      </c>
      <c r="AG982">
        <v>0</v>
      </c>
      <c r="AH982">
        <v>0</v>
      </c>
      <c r="AI982">
        <v>0</v>
      </c>
      <c r="AJ982">
        <v>0</v>
      </c>
      <c r="AK982">
        <v>0</v>
      </c>
      <c r="AZ982" t="s">
        <v>107</v>
      </c>
      <c r="BA982" t="s">
        <v>87</v>
      </c>
      <c r="BB982" t="s">
        <v>87</v>
      </c>
      <c r="BC982" t="s">
        <v>74</v>
      </c>
      <c r="BD982" t="s">
        <v>74</v>
      </c>
      <c r="BE982" t="s">
        <v>74</v>
      </c>
      <c r="BF982" t="s">
        <v>101</v>
      </c>
      <c r="BG982" t="s">
        <v>278</v>
      </c>
      <c r="BH982" t="s">
        <v>93</v>
      </c>
      <c r="BI982" t="s">
        <v>107</v>
      </c>
      <c r="BJ982" t="s">
        <v>114</v>
      </c>
      <c r="BK982">
        <v>0</v>
      </c>
      <c r="BL982">
        <v>0</v>
      </c>
      <c r="BM982">
        <v>0</v>
      </c>
      <c r="BN982">
        <v>0</v>
      </c>
      <c r="BO982">
        <v>0</v>
      </c>
      <c r="BP982">
        <v>1</v>
      </c>
      <c r="BQ982">
        <v>0</v>
      </c>
      <c r="BR982">
        <v>0</v>
      </c>
    </row>
    <row r="983" spans="1:70" x14ac:dyDescent="0.2">
      <c r="A983" s="1">
        <v>44579.878472222219</v>
      </c>
      <c r="B983" s="1">
        <v>44579.879166666666</v>
      </c>
      <c r="C983">
        <v>0</v>
      </c>
      <c r="D983">
        <v>1</v>
      </c>
      <c r="E983">
        <v>0</v>
      </c>
      <c r="F983">
        <v>0</v>
      </c>
      <c r="H983">
        <v>1</v>
      </c>
      <c r="I983">
        <v>0</v>
      </c>
      <c r="J983">
        <v>0</v>
      </c>
      <c r="K983">
        <v>0</v>
      </c>
      <c r="L983">
        <v>0</v>
      </c>
      <c r="P983">
        <v>1</v>
      </c>
      <c r="Q983">
        <v>0</v>
      </c>
      <c r="R983">
        <v>0</v>
      </c>
      <c r="S983">
        <v>0</v>
      </c>
      <c r="T983">
        <v>0</v>
      </c>
      <c r="U983">
        <v>0</v>
      </c>
      <c r="V983">
        <v>0</v>
      </c>
      <c r="W983">
        <v>0</v>
      </c>
      <c r="X983">
        <v>0</v>
      </c>
      <c r="Y983">
        <v>0</v>
      </c>
      <c r="Z983">
        <v>0</v>
      </c>
      <c r="AA983">
        <v>0</v>
      </c>
      <c r="AC983">
        <v>0</v>
      </c>
      <c r="AD983">
        <v>0</v>
      </c>
      <c r="AE983">
        <v>0</v>
      </c>
      <c r="AF983">
        <v>0</v>
      </c>
      <c r="AG983">
        <v>0</v>
      </c>
      <c r="AH983">
        <v>0</v>
      </c>
      <c r="AI983">
        <v>1</v>
      </c>
      <c r="AJ983">
        <v>0</v>
      </c>
      <c r="AK983">
        <v>0</v>
      </c>
      <c r="AX983" t="s">
        <v>146</v>
      </c>
      <c r="AZ983" t="s">
        <v>73</v>
      </c>
      <c r="BA983" t="s">
        <v>87</v>
      </c>
      <c r="BB983" t="s">
        <v>87</v>
      </c>
      <c r="BC983" t="s">
        <v>87</v>
      </c>
      <c r="BD983" t="s">
        <v>87</v>
      </c>
      <c r="BE983" t="s">
        <v>86</v>
      </c>
      <c r="BF983" t="s">
        <v>75</v>
      </c>
      <c r="BG983" t="s">
        <v>92</v>
      </c>
      <c r="BH983" t="s">
        <v>77</v>
      </c>
      <c r="BI983" t="s">
        <v>73</v>
      </c>
      <c r="BJ983" t="s">
        <v>78</v>
      </c>
      <c r="BK983">
        <v>0</v>
      </c>
      <c r="BL983">
        <v>0</v>
      </c>
      <c r="BM983">
        <v>0</v>
      </c>
      <c r="BN983">
        <v>0</v>
      </c>
      <c r="BO983">
        <v>0</v>
      </c>
      <c r="BP983">
        <v>1</v>
      </c>
      <c r="BQ983">
        <v>0</v>
      </c>
      <c r="BR983">
        <v>0</v>
      </c>
    </row>
    <row r="984" spans="1:70" x14ac:dyDescent="0.2">
      <c r="A984" s="1">
        <v>44580.109722222223</v>
      </c>
      <c r="B984" s="1">
        <v>44580.111111111109</v>
      </c>
      <c r="C984">
        <v>0</v>
      </c>
      <c r="D984">
        <v>1</v>
      </c>
      <c r="E984">
        <v>0</v>
      </c>
      <c r="F984">
        <v>0</v>
      </c>
      <c r="H984">
        <v>0</v>
      </c>
      <c r="I984">
        <v>1</v>
      </c>
      <c r="J984">
        <v>0</v>
      </c>
      <c r="K984">
        <v>0</v>
      </c>
      <c r="L984">
        <v>0</v>
      </c>
      <c r="N984" t="s">
        <v>79</v>
      </c>
      <c r="O984" t="s">
        <v>80</v>
      </c>
      <c r="P984">
        <v>0</v>
      </c>
      <c r="Q984">
        <v>1</v>
      </c>
      <c r="R984">
        <v>0</v>
      </c>
      <c r="S984">
        <v>0</v>
      </c>
      <c r="T984">
        <v>0</v>
      </c>
      <c r="U984">
        <v>0</v>
      </c>
      <c r="V984">
        <v>0</v>
      </c>
      <c r="W984">
        <v>0</v>
      </c>
      <c r="X984">
        <v>0</v>
      </c>
      <c r="Y984">
        <v>0</v>
      </c>
      <c r="Z984">
        <v>0</v>
      </c>
      <c r="AA984">
        <v>0</v>
      </c>
      <c r="AM984" t="s">
        <v>83</v>
      </c>
      <c r="AN984" t="s">
        <v>82</v>
      </c>
      <c r="AO984" t="s">
        <v>81</v>
      </c>
      <c r="AP984" t="s">
        <v>82</v>
      </c>
      <c r="AQ984" t="s">
        <v>81</v>
      </c>
      <c r="AR984" t="s">
        <v>83</v>
      </c>
      <c r="AS984" t="s">
        <v>90</v>
      </c>
      <c r="AT984" t="s">
        <v>83</v>
      </c>
      <c r="AU984" t="s">
        <v>135</v>
      </c>
      <c r="AV984" t="s">
        <v>89</v>
      </c>
      <c r="AW984" t="s">
        <v>85</v>
      </c>
      <c r="AX984" t="s">
        <v>146</v>
      </c>
      <c r="AZ984" t="s">
        <v>107</v>
      </c>
      <c r="BA984" t="s">
        <v>86</v>
      </c>
      <c r="BB984" t="s">
        <v>87</v>
      </c>
      <c r="BC984" t="s">
        <v>87</v>
      </c>
      <c r="BD984" t="s">
        <v>86</v>
      </c>
      <c r="BE984" t="s">
        <v>87</v>
      </c>
      <c r="BF984" t="s">
        <v>75</v>
      </c>
      <c r="BG984" t="s">
        <v>76</v>
      </c>
      <c r="BH984" t="s">
        <v>77</v>
      </c>
      <c r="BI984" t="s">
        <v>107</v>
      </c>
      <c r="BJ984" t="s">
        <v>147</v>
      </c>
      <c r="BK984">
        <v>0</v>
      </c>
      <c r="BL984">
        <v>0</v>
      </c>
      <c r="BM984">
        <v>0</v>
      </c>
      <c r="BN984">
        <v>0</v>
      </c>
      <c r="BO984">
        <v>0</v>
      </c>
      <c r="BP984">
        <v>1</v>
      </c>
      <c r="BQ984">
        <v>0</v>
      </c>
      <c r="BR984">
        <v>0</v>
      </c>
    </row>
    <row r="985" spans="1:70" x14ac:dyDescent="0.2">
      <c r="A985" s="1">
        <v>44579.913888888892</v>
      </c>
      <c r="B985" s="1">
        <v>44579.915277777778</v>
      </c>
      <c r="C985">
        <v>0</v>
      </c>
      <c r="D985">
        <v>1</v>
      </c>
      <c r="E985">
        <v>0</v>
      </c>
      <c r="F985">
        <v>0</v>
      </c>
      <c r="H985">
        <v>0</v>
      </c>
      <c r="I985">
        <v>0</v>
      </c>
      <c r="J985">
        <v>0</v>
      </c>
      <c r="K985">
        <v>1</v>
      </c>
      <c r="L985">
        <v>0</v>
      </c>
      <c r="N985" t="s">
        <v>88</v>
      </c>
      <c r="O985" t="s">
        <v>89</v>
      </c>
      <c r="P985">
        <v>1</v>
      </c>
      <c r="Q985">
        <v>0</v>
      </c>
      <c r="R985">
        <v>0</v>
      </c>
      <c r="S985">
        <v>0</v>
      </c>
      <c r="T985">
        <v>0</v>
      </c>
      <c r="U985">
        <v>0</v>
      </c>
      <c r="V985">
        <v>0</v>
      </c>
      <c r="W985">
        <v>0</v>
      </c>
      <c r="X985">
        <v>0</v>
      </c>
      <c r="Y985">
        <v>0</v>
      </c>
      <c r="Z985">
        <v>0</v>
      </c>
      <c r="AA985">
        <v>0</v>
      </c>
      <c r="AC985">
        <v>0</v>
      </c>
      <c r="AD985">
        <v>1</v>
      </c>
      <c r="AE985">
        <v>0</v>
      </c>
      <c r="AF985">
        <v>0</v>
      </c>
      <c r="AG985">
        <v>0</v>
      </c>
      <c r="AH985">
        <v>0</v>
      </c>
      <c r="AI985">
        <v>0</v>
      </c>
      <c r="AJ985">
        <v>0</v>
      </c>
      <c r="AK985">
        <v>0</v>
      </c>
      <c r="AX985" t="s">
        <v>199</v>
      </c>
      <c r="AZ985" t="s">
        <v>73</v>
      </c>
      <c r="BA985" t="s">
        <v>74</v>
      </c>
      <c r="BF985" t="s">
        <v>75</v>
      </c>
      <c r="BG985" t="s">
        <v>92</v>
      </c>
      <c r="BH985" t="s">
        <v>77</v>
      </c>
      <c r="BI985" t="s">
        <v>73</v>
      </c>
      <c r="BJ985" t="s">
        <v>78</v>
      </c>
      <c r="BK985">
        <v>0</v>
      </c>
      <c r="BL985">
        <v>0</v>
      </c>
      <c r="BM985">
        <v>0</v>
      </c>
      <c r="BN985">
        <v>0</v>
      </c>
      <c r="BO985">
        <v>0</v>
      </c>
      <c r="BP985">
        <v>1</v>
      </c>
      <c r="BQ985">
        <v>0</v>
      </c>
      <c r="BR985">
        <v>0</v>
      </c>
    </row>
    <row r="986" spans="1:70" x14ac:dyDescent="0.2">
      <c r="A986" s="1">
        <v>44589.158333333333</v>
      </c>
      <c r="B986" s="1">
        <v>44589.15902777778</v>
      </c>
      <c r="C986">
        <v>1</v>
      </c>
      <c r="D986">
        <v>0</v>
      </c>
      <c r="E986">
        <v>0</v>
      </c>
      <c r="F986">
        <v>0</v>
      </c>
      <c r="H986">
        <v>1</v>
      </c>
      <c r="I986">
        <v>0</v>
      </c>
      <c r="J986">
        <v>0</v>
      </c>
      <c r="K986">
        <v>0</v>
      </c>
      <c r="L986">
        <v>0</v>
      </c>
      <c r="P986">
        <v>1</v>
      </c>
      <c r="Q986">
        <v>0</v>
      </c>
      <c r="R986">
        <v>0</v>
      </c>
      <c r="S986">
        <v>0</v>
      </c>
      <c r="T986">
        <v>0</v>
      </c>
      <c r="U986">
        <v>0</v>
      </c>
      <c r="V986">
        <v>0</v>
      </c>
      <c r="W986">
        <v>0</v>
      </c>
      <c r="X986">
        <v>0</v>
      </c>
      <c r="Y986">
        <v>0</v>
      </c>
      <c r="Z986">
        <v>0</v>
      </c>
      <c r="AA986">
        <v>0</v>
      </c>
      <c r="AC986">
        <v>0</v>
      </c>
      <c r="AD986">
        <v>0</v>
      </c>
      <c r="AE986">
        <v>1</v>
      </c>
      <c r="AF986">
        <v>0</v>
      </c>
      <c r="AG986">
        <v>0</v>
      </c>
      <c r="AH986">
        <v>0</v>
      </c>
      <c r="AI986">
        <v>0</v>
      </c>
      <c r="AJ986">
        <v>0</v>
      </c>
      <c r="AK986">
        <v>0</v>
      </c>
      <c r="AZ986" t="s">
        <v>73</v>
      </c>
      <c r="BA986" t="s">
        <v>86</v>
      </c>
      <c r="BB986" t="s">
        <v>87</v>
      </c>
      <c r="BC986" t="s">
        <v>87</v>
      </c>
      <c r="BD986" t="s">
        <v>87</v>
      </c>
      <c r="BE986" t="s">
        <v>87</v>
      </c>
      <c r="BF986" t="s">
        <v>159</v>
      </c>
      <c r="BG986" t="s">
        <v>76</v>
      </c>
      <c r="BH986" t="s">
        <v>93</v>
      </c>
      <c r="BI986" t="s">
        <v>73</v>
      </c>
      <c r="BJ986" t="s">
        <v>212</v>
      </c>
      <c r="BK986">
        <v>0</v>
      </c>
      <c r="BL986">
        <v>0</v>
      </c>
      <c r="BM986">
        <v>0</v>
      </c>
      <c r="BN986">
        <v>0</v>
      </c>
      <c r="BO986">
        <v>0</v>
      </c>
      <c r="BP986">
        <v>1</v>
      </c>
      <c r="BQ986">
        <v>0</v>
      </c>
      <c r="BR986">
        <v>0</v>
      </c>
    </row>
    <row r="987" spans="1:70" x14ac:dyDescent="0.2">
      <c r="A987" s="1">
        <v>44585.645833333336</v>
      </c>
      <c r="B987" s="1">
        <v>44585.647222222222</v>
      </c>
      <c r="C987">
        <v>1</v>
      </c>
      <c r="D987">
        <v>0</v>
      </c>
      <c r="E987">
        <v>0</v>
      </c>
      <c r="F987">
        <v>0</v>
      </c>
      <c r="H987">
        <v>1</v>
      </c>
      <c r="I987">
        <v>0</v>
      </c>
      <c r="J987">
        <v>0</v>
      </c>
      <c r="K987">
        <v>0</v>
      </c>
      <c r="L987">
        <v>0</v>
      </c>
      <c r="P987">
        <v>0</v>
      </c>
      <c r="Q987">
        <v>0</v>
      </c>
      <c r="R987">
        <v>1</v>
      </c>
      <c r="S987">
        <v>0</v>
      </c>
      <c r="T987">
        <v>0</v>
      </c>
      <c r="U987">
        <v>0</v>
      </c>
      <c r="V987">
        <v>0</v>
      </c>
      <c r="W987">
        <v>0</v>
      </c>
      <c r="X987">
        <v>0</v>
      </c>
      <c r="Y987">
        <v>0</v>
      </c>
      <c r="Z987">
        <v>0</v>
      </c>
      <c r="AA987">
        <v>0</v>
      </c>
      <c r="AM987" t="s">
        <v>83</v>
      </c>
      <c r="AN987" t="s">
        <v>83</v>
      </c>
      <c r="AO987" t="s">
        <v>83</v>
      </c>
      <c r="AP987" t="s">
        <v>83</v>
      </c>
      <c r="AQ987" t="s">
        <v>82</v>
      </c>
      <c r="AR987" t="s">
        <v>83</v>
      </c>
      <c r="AS987" t="s">
        <v>83</v>
      </c>
      <c r="AT987" t="s">
        <v>83</v>
      </c>
      <c r="AU987" t="s">
        <v>88</v>
      </c>
      <c r="AV987" t="s">
        <v>89</v>
      </c>
      <c r="AW987" t="s">
        <v>85</v>
      </c>
      <c r="AZ987" t="s">
        <v>107</v>
      </c>
      <c r="BA987" t="s">
        <v>74</v>
      </c>
      <c r="BF987" t="s">
        <v>159</v>
      </c>
      <c r="BG987" t="s">
        <v>76</v>
      </c>
      <c r="BH987" t="s">
        <v>77</v>
      </c>
      <c r="BI987" t="s">
        <v>107</v>
      </c>
      <c r="BJ987" t="s">
        <v>109</v>
      </c>
      <c r="BK987">
        <v>0</v>
      </c>
      <c r="BL987">
        <v>0</v>
      </c>
      <c r="BM987">
        <v>0</v>
      </c>
      <c r="BN987">
        <v>0</v>
      </c>
      <c r="BO987">
        <v>0</v>
      </c>
      <c r="BP987">
        <v>1</v>
      </c>
      <c r="BQ987">
        <v>0</v>
      </c>
      <c r="BR987">
        <v>0</v>
      </c>
    </row>
    <row r="988" spans="1:70" x14ac:dyDescent="0.2">
      <c r="A988" s="1">
        <v>44585.517361111109</v>
      </c>
      <c r="B988" s="1">
        <v>44585.519444444442</v>
      </c>
      <c r="C988">
        <v>1</v>
      </c>
      <c r="D988">
        <v>0</v>
      </c>
      <c r="E988">
        <v>0</v>
      </c>
      <c r="F988">
        <v>0</v>
      </c>
      <c r="H988">
        <v>1</v>
      </c>
      <c r="I988">
        <v>0</v>
      </c>
      <c r="J988">
        <v>0</v>
      </c>
      <c r="K988">
        <v>0</v>
      </c>
      <c r="L988">
        <v>0</v>
      </c>
      <c r="P988">
        <v>1</v>
      </c>
      <c r="Q988">
        <v>0</v>
      </c>
      <c r="R988">
        <v>0</v>
      </c>
      <c r="S988">
        <v>0</v>
      </c>
      <c r="T988">
        <v>0</v>
      </c>
      <c r="U988">
        <v>0</v>
      </c>
      <c r="V988">
        <v>0</v>
      </c>
      <c r="W988">
        <v>0</v>
      </c>
      <c r="X988">
        <v>0</v>
      </c>
      <c r="Y988">
        <v>0</v>
      </c>
      <c r="Z988">
        <v>0</v>
      </c>
      <c r="AA988">
        <v>0</v>
      </c>
      <c r="AC988">
        <v>0</v>
      </c>
      <c r="AD988">
        <v>0</v>
      </c>
      <c r="AE988">
        <v>1</v>
      </c>
      <c r="AF988">
        <v>0</v>
      </c>
      <c r="AG988">
        <v>0</v>
      </c>
      <c r="AH988">
        <v>0</v>
      </c>
      <c r="AI988">
        <v>0</v>
      </c>
      <c r="AJ988">
        <v>0</v>
      </c>
      <c r="AK988">
        <v>0</v>
      </c>
      <c r="AX988" t="s">
        <v>199</v>
      </c>
      <c r="AZ988" t="s">
        <v>73</v>
      </c>
      <c r="BA988" t="s">
        <v>87</v>
      </c>
      <c r="BB988" t="s">
        <v>87</v>
      </c>
      <c r="BC988" t="s">
        <v>87</v>
      </c>
      <c r="BD988" t="s">
        <v>86</v>
      </c>
      <c r="BE988" t="s">
        <v>74</v>
      </c>
      <c r="BF988" t="s">
        <v>75</v>
      </c>
      <c r="BG988" t="s">
        <v>76</v>
      </c>
      <c r="BH988" t="s">
        <v>77</v>
      </c>
      <c r="BI988" t="s">
        <v>73</v>
      </c>
      <c r="BJ988" t="s">
        <v>114</v>
      </c>
      <c r="BK988">
        <v>1</v>
      </c>
      <c r="BL988">
        <v>0</v>
      </c>
      <c r="BM988">
        <v>0</v>
      </c>
      <c r="BN988">
        <v>0</v>
      </c>
      <c r="BO988">
        <v>0</v>
      </c>
      <c r="BP988">
        <v>0</v>
      </c>
      <c r="BQ988">
        <v>0</v>
      </c>
      <c r="BR988">
        <v>0</v>
      </c>
    </row>
    <row r="989" spans="1:70" x14ac:dyDescent="0.2">
      <c r="A989" s="1">
        <v>44579.875694444447</v>
      </c>
      <c r="B989" s="1">
        <v>44579.876388888886</v>
      </c>
      <c r="C989">
        <v>1</v>
      </c>
      <c r="D989">
        <v>0</v>
      </c>
      <c r="E989">
        <v>0</v>
      </c>
      <c r="F989">
        <v>0</v>
      </c>
      <c r="H989">
        <v>1</v>
      </c>
      <c r="I989">
        <v>0</v>
      </c>
      <c r="J989">
        <v>0</v>
      </c>
      <c r="K989">
        <v>0</v>
      </c>
      <c r="L989">
        <v>0</v>
      </c>
      <c r="P989">
        <v>1</v>
      </c>
      <c r="Q989">
        <v>0</v>
      </c>
      <c r="R989">
        <v>0</v>
      </c>
      <c r="S989">
        <v>0</v>
      </c>
      <c r="T989">
        <v>0</v>
      </c>
      <c r="U989">
        <v>0</v>
      </c>
      <c r="V989">
        <v>0</v>
      </c>
      <c r="W989">
        <v>0</v>
      </c>
      <c r="X989">
        <v>0</v>
      </c>
      <c r="Y989">
        <v>0</v>
      </c>
      <c r="Z989">
        <v>0</v>
      </c>
      <c r="AA989">
        <v>0</v>
      </c>
      <c r="AC989">
        <v>0</v>
      </c>
      <c r="AD989">
        <v>0</v>
      </c>
      <c r="AE989">
        <v>0</v>
      </c>
      <c r="AF989">
        <v>0</v>
      </c>
      <c r="AG989">
        <v>0</v>
      </c>
      <c r="AH989">
        <v>0</v>
      </c>
      <c r="AI989">
        <v>1</v>
      </c>
      <c r="AJ989">
        <v>0</v>
      </c>
      <c r="AK989">
        <v>0</v>
      </c>
      <c r="AZ989" t="s">
        <v>107</v>
      </c>
      <c r="BA989" t="s">
        <v>74</v>
      </c>
      <c r="BF989" t="s">
        <v>97</v>
      </c>
      <c r="BG989" t="s">
        <v>76</v>
      </c>
      <c r="BH989" t="s">
        <v>98</v>
      </c>
      <c r="BI989" t="s">
        <v>107</v>
      </c>
      <c r="BJ989" t="s">
        <v>114</v>
      </c>
      <c r="BK989">
        <v>0</v>
      </c>
      <c r="BL989">
        <v>0</v>
      </c>
      <c r="BM989">
        <v>0</v>
      </c>
      <c r="BN989">
        <v>0</v>
      </c>
      <c r="BO989">
        <v>0</v>
      </c>
      <c r="BP989">
        <v>1</v>
      </c>
      <c r="BQ989">
        <v>0</v>
      </c>
      <c r="BR989">
        <v>0</v>
      </c>
    </row>
    <row r="990" spans="1:70" x14ac:dyDescent="0.2">
      <c r="A990" s="1">
        <v>44589.025694444441</v>
      </c>
      <c r="B990" s="1">
        <v>44589.027083333334</v>
      </c>
      <c r="C990">
        <v>0</v>
      </c>
      <c r="D990">
        <v>1</v>
      </c>
      <c r="E990">
        <v>0</v>
      </c>
      <c r="F990">
        <v>0</v>
      </c>
      <c r="H990">
        <v>1</v>
      </c>
      <c r="I990">
        <v>0</v>
      </c>
      <c r="J990">
        <v>0</v>
      </c>
      <c r="K990">
        <v>0</v>
      </c>
      <c r="L990">
        <v>0</v>
      </c>
      <c r="P990">
        <v>0</v>
      </c>
      <c r="Q990">
        <v>0</v>
      </c>
      <c r="R990">
        <v>0</v>
      </c>
      <c r="S990">
        <v>0</v>
      </c>
      <c r="T990">
        <v>0</v>
      </c>
      <c r="U990">
        <v>1</v>
      </c>
      <c r="V990">
        <v>0</v>
      </c>
      <c r="W990">
        <v>0</v>
      </c>
      <c r="X990">
        <v>0</v>
      </c>
      <c r="Y990">
        <v>0</v>
      </c>
      <c r="Z990">
        <v>0</v>
      </c>
      <c r="AA990">
        <v>0</v>
      </c>
      <c r="AM990" t="s">
        <v>90</v>
      </c>
      <c r="AN990" t="s">
        <v>82</v>
      </c>
      <c r="AO990" t="s">
        <v>90</v>
      </c>
      <c r="AP990" t="s">
        <v>90</v>
      </c>
      <c r="AQ990" t="s">
        <v>90</v>
      </c>
      <c r="AR990" t="s">
        <v>90</v>
      </c>
      <c r="AS990" t="s">
        <v>90</v>
      </c>
      <c r="AT990" t="s">
        <v>90</v>
      </c>
      <c r="AU990" t="s">
        <v>84</v>
      </c>
      <c r="AV990" t="s">
        <v>80</v>
      </c>
      <c r="AW990" t="s">
        <v>153</v>
      </c>
      <c r="AX990" t="s">
        <v>259</v>
      </c>
      <c r="AZ990" t="s">
        <v>107</v>
      </c>
      <c r="BA990" t="s">
        <v>86</v>
      </c>
      <c r="BB990" t="s">
        <v>87</v>
      </c>
      <c r="BC990" t="s">
        <v>87</v>
      </c>
      <c r="BD990" t="s">
        <v>87</v>
      </c>
      <c r="BE990" t="s">
        <v>87</v>
      </c>
      <c r="BF990" t="s">
        <v>75</v>
      </c>
      <c r="BG990" t="s">
        <v>76</v>
      </c>
      <c r="BH990" t="s">
        <v>77</v>
      </c>
      <c r="BI990" t="s">
        <v>107</v>
      </c>
      <c r="BJ990" t="s">
        <v>114</v>
      </c>
      <c r="BK990">
        <v>0</v>
      </c>
      <c r="BL990">
        <v>0</v>
      </c>
      <c r="BM990">
        <v>0</v>
      </c>
      <c r="BN990">
        <v>0</v>
      </c>
      <c r="BO990">
        <v>0</v>
      </c>
      <c r="BP990">
        <v>1</v>
      </c>
      <c r="BQ990">
        <v>0</v>
      </c>
      <c r="BR990">
        <v>0</v>
      </c>
    </row>
    <row r="991" spans="1:70" x14ac:dyDescent="0.2">
      <c r="A991" s="1">
        <v>44586.996527777781</v>
      </c>
      <c r="B991" s="1">
        <v>44586.998611111114</v>
      </c>
      <c r="C991">
        <v>1</v>
      </c>
      <c r="D991">
        <v>1</v>
      </c>
      <c r="E991">
        <v>0</v>
      </c>
      <c r="F991">
        <v>0</v>
      </c>
      <c r="H991">
        <v>0</v>
      </c>
      <c r="I991">
        <v>0</v>
      </c>
      <c r="J991">
        <v>0</v>
      </c>
      <c r="K991">
        <v>1</v>
      </c>
      <c r="L991">
        <v>0</v>
      </c>
      <c r="N991" t="s">
        <v>135</v>
      </c>
      <c r="O991" t="s">
        <v>80</v>
      </c>
      <c r="P991">
        <v>1</v>
      </c>
      <c r="Q991">
        <v>0</v>
      </c>
      <c r="R991">
        <v>0</v>
      </c>
      <c r="S991">
        <v>0</v>
      </c>
      <c r="T991">
        <v>0</v>
      </c>
      <c r="U991">
        <v>0</v>
      </c>
      <c r="V991">
        <v>0</v>
      </c>
      <c r="W991">
        <v>0</v>
      </c>
      <c r="X991">
        <v>0</v>
      </c>
      <c r="Y991">
        <v>0</v>
      </c>
      <c r="Z991">
        <v>0</v>
      </c>
      <c r="AA991">
        <v>0</v>
      </c>
      <c r="AC991">
        <v>0</v>
      </c>
      <c r="AD991">
        <v>0</v>
      </c>
      <c r="AE991">
        <v>0</v>
      </c>
      <c r="AF991">
        <v>0</v>
      </c>
      <c r="AG991">
        <v>0</v>
      </c>
      <c r="AH991">
        <v>0</v>
      </c>
      <c r="AI991">
        <v>0</v>
      </c>
      <c r="AJ991">
        <v>1</v>
      </c>
      <c r="AK991">
        <v>0</v>
      </c>
      <c r="AX991" t="s">
        <v>191</v>
      </c>
      <c r="AZ991" t="s">
        <v>107</v>
      </c>
      <c r="BA991" t="s">
        <v>86</v>
      </c>
      <c r="BB991" t="s">
        <v>86</v>
      </c>
      <c r="BC991" t="s">
        <v>86</v>
      </c>
      <c r="BD991" t="s">
        <v>86</v>
      </c>
      <c r="BE991" t="s">
        <v>86</v>
      </c>
      <c r="BF991" t="s">
        <v>108</v>
      </c>
      <c r="BG991" t="s">
        <v>225</v>
      </c>
      <c r="BH991" t="s">
        <v>77</v>
      </c>
      <c r="BI991" t="s">
        <v>107</v>
      </c>
      <c r="BJ991" t="s">
        <v>109</v>
      </c>
      <c r="BK991">
        <v>0</v>
      </c>
      <c r="BL991">
        <v>0</v>
      </c>
      <c r="BM991">
        <v>0</v>
      </c>
      <c r="BN991">
        <v>0</v>
      </c>
      <c r="BO991">
        <v>0</v>
      </c>
      <c r="BP991">
        <v>0</v>
      </c>
      <c r="BQ991">
        <v>0</v>
      </c>
      <c r="BR991">
        <v>1</v>
      </c>
    </row>
    <row r="992" spans="1:70" x14ac:dyDescent="0.2">
      <c r="A992" s="1">
        <v>44585.503472222219</v>
      </c>
      <c r="B992" s="1">
        <v>44585.504861111112</v>
      </c>
      <c r="C992">
        <v>0</v>
      </c>
      <c r="D992">
        <v>0</v>
      </c>
      <c r="E992">
        <v>1</v>
      </c>
      <c r="F992">
        <v>0</v>
      </c>
      <c r="G992" t="s">
        <v>450</v>
      </c>
      <c r="H992">
        <v>1</v>
      </c>
      <c r="I992">
        <v>0</v>
      </c>
      <c r="J992">
        <v>0</v>
      </c>
      <c r="K992">
        <v>0</v>
      </c>
      <c r="L992">
        <v>0</v>
      </c>
      <c r="P992">
        <v>1</v>
      </c>
      <c r="Q992">
        <v>0</v>
      </c>
      <c r="R992">
        <v>0</v>
      </c>
      <c r="S992">
        <v>0</v>
      </c>
      <c r="T992">
        <v>0</v>
      </c>
      <c r="U992">
        <v>0</v>
      </c>
      <c r="V992">
        <v>0</v>
      </c>
      <c r="W992">
        <v>0</v>
      </c>
      <c r="X992">
        <v>0</v>
      </c>
      <c r="Y992">
        <v>0</v>
      </c>
      <c r="Z992">
        <v>0</v>
      </c>
      <c r="AA992">
        <v>0</v>
      </c>
      <c r="AC992">
        <v>0</v>
      </c>
      <c r="AD992">
        <v>0</v>
      </c>
      <c r="AE992">
        <v>0</v>
      </c>
      <c r="AF992">
        <v>0</v>
      </c>
      <c r="AG992">
        <v>0</v>
      </c>
      <c r="AH992">
        <v>0</v>
      </c>
      <c r="AI992">
        <v>1</v>
      </c>
      <c r="AJ992">
        <v>1</v>
      </c>
      <c r="AK992">
        <v>1</v>
      </c>
      <c r="AL992" t="s">
        <v>451</v>
      </c>
      <c r="AZ992" t="s">
        <v>73</v>
      </c>
      <c r="BA992" t="s">
        <v>74</v>
      </c>
      <c r="BF992" t="s">
        <v>101</v>
      </c>
      <c r="BG992" t="s">
        <v>92</v>
      </c>
      <c r="BH992" t="s">
        <v>98</v>
      </c>
      <c r="BI992" t="s">
        <v>73</v>
      </c>
      <c r="BJ992" t="s">
        <v>109</v>
      </c>
      <c r="BK992">
        <v>0</v>
      </c>
      <c r="BL992">
        <v>0</v>
      </c>
      <c r="BM992">
        <v>0</v>
      </c>
      <c r="BN992">
        <v>0</v>
      </c>
      <c r="BO992">
        <v>0</v>
      </c>
      <c r="BP992">
        <v>1</v>
      </c>
      <c r="BQ992">
        <v>0</v>
      </c>
      <c r="BR992">
        <v>0</v>
      </c>
    </row>
    <row r="993" spans="1:70" x14ac:dyDescent="0.2">
      <c r="A993" s="1">
        <v>44588.877083333333</v>
      </c>
      <c r="B993" s="1">
        <v>44588.879166666666</v>
      </c>
      <c r="C993">
        <v>1</v>
      </c>
      <c r="D993">
        <v>0</v>
      </c>
      <c r="E993">
        <v>0</v>
      </c>
      <c r="F993">
        <v>0</v>
      </c>
      <c r="H993">
        <v>0</v>
      </c>
      <c r="I993">
        <v>1</v>
      </c>
      <c r="J993">
        <v>1</v>
      </c>
      <c r="K993">
        <v>0</v>
      </c>
      <c r="L993">
        <v>0</v>
      </c>
      <c r="N993" t="s">
        <v>135</v>
      </c>
      <c r="O993" t="s">
        <v>80</v>
      </c>
      <c r="P993">
        <v>0</v>
      </c>
      <c r="Q993">
        <v>0</v>
      </c>
      <c r="R993">
        <v>0</v>
      </c>
      <c r="S993">
        <v>0</v>
      </c>
      <c r="T993">
        <v>0</v>
      </c>
      <c r="U993">
        <v>1</v>
      </c>
      <c r="V993">
        <v>0</v>
      </c>
      <c r="W993">
        <v>0</v>
      </c>
      <c r="X993">
        <v>0</v>
      </c>
      <c r="Y993">
        <v>0</v>
      </c>
      <c r="Z993">
        <v>0</v>
      </c>
      <c r="AA993">
        <v>0</v>
      </c>
      <c r="AM993" t="s">
        <v>81</v>
      </c>
      <c r="AN993" t="s">
        <v>82</v>
      </c>
      <c r="AO993" t="s">
        <v>90</v>
      </c>
      <c r="AP993" t="s">
        <v>81</v>
      </c>
      <c r="AQ993" t="s">
        <v>82</v>
      </c>
      <c r="AR993" t="s">
        <v>81</v>
      </c>
      <c r="AS993" t="s">
        <v>81</v>
      </c>
      <c r="AT993" t="s">
        <v>90</v>
      </c>
      <c r="AU993" t="s">
        <v>135</v>
      </c>
      <c r="AV993" t="s">
        <v>80</v>
      </c>
      <c r="AW993" t="s">
        <v>85</v>
      </c>
      <c r="AX993" t="s">
        <v>118</v>
      </c>
      <c r="AZ993" t="s">
        <v>73</v>
      </c>
      <c r="BA993" t="s">
        <v>74</v>
      </c>
      <c r="BF993" t="s">
        <v>75</v>
      </c>
      <c r="BG993" t="s">
        <v>76</v>
      </c>
      <c r="BH993" t="s">
        <v>77</v>
      </c>
      <c r="BI993" t="s">
        <v>73</v>
      </c>
      <c r="BJ993" t="s">
        <v>94</v>
      </c>
      <c r="BK993">
        <v>0</v>
      </c>
      <c r="BL993">
        <v>0</v>
      </c>
      <c r="BM993">
        <v>0</v>
      </c>
      <c r="BN993">
        <v>0</v>
      </c>
      <c r="BO993">
        <v>0</v>
      </c>
      <c r="BP993">
        <v>1</v>
      </c>
      <c r="BQ993">
        <v>0</v>
      </c>
      <c r="BR993">
        <v>0</v>
      </c>
    </row>
    <row r="994" spans="1:70" x14ac:dyDescent="0.2">
      <c r="A994" s="1">
        <v>44588.972222222219</v>
      </c>
      <c r="B994" s="1">
        <v>44588.974305555559</v>
      </c>
      <c r="C994">
        <v>1</v>
      </c>
      <c r="D994">
        <v>0</v>
      </c>
      <c r="E994">
        <v>0</v>
      </c>
      <c r="F994">
        <v>0</v>
      </c>
      <c r="H994">
        <v>0</v>
      </c>
      <c r="I994">
        <v>1</v>
      </c>
      <c r="J994">
        <v>0</v>
      </c>
      <c r="K994">
        <v>0</v>
      </c>
      <c r="L994">
        <v>0</v>
      </c>
      <c r="N994" t="s">
        <v>135</v>
      </c>
      <c r="O994" t="s">
        <v>142</v>
      </c>
      <c r="P994">
        <v>0</v>
      </c>
      <c r="Q994">
        <v>0</v>
      </c>
      <c r="R994">
        <v>1</v>
      </c>
      <c r="S994">
        <v>0</v>
      </c>
      <c r="T994">
        <v>0</v>
      </c>
      <c r="U994">
        <v>0</v>
      </c>
      <c r="V994">
        <v>0</v>
      </c>
      <c r="W994">
        <v>0</v>
      </c>
      <c r="X994">
        <v>0</v>
      </c>
      <c r="Y994">
        <v>0</v>
      </c>
      <c r="Z994">
        <v>0</v>
      </c>
      <c r="AA994">
        <v>0</v>
      </c>
      <c r="AM994" t="s">
        <v>83</v>
      </c>
      <c r="AN994" t="s">
        <v>82</v>
      </c>
      <c r="AO994" t="s">
        <v>83</v>
      </c>
      <c r="AP994" t="s">
        <v>82</v>
      </c>
      <c r="AQ994" t="s">
        <v>82</v>
      </c>
      <c r="AR994" t="s">
        <v>83</v>
      </c>
      <c r="AS994" t="s">
        <v>81</v>
      </c>
      <c r="AT994" t="s">
        <v>83</v>
      </c>
      <c r="AU994" t="s">
        <v>135</v>
      </c>
      <c r="AV994" t="s">
        <v>89</v>
      </c>
      <c r="AW994" t="s">
        <v>85</v>
      </c>
      <c r="AX994" t="s">
        <v>72</v>
      </c>
      <c r="AZ994" t="s">
        <v>107</v>
      </c>
      <c r="BA994" t="s">
        <v>86</v>
      </c>
      <c r="BB994" t="s">
        <v>86</v>
      </c>
      <c r="BC994" t="s">
        <v>86</v>
      </c>
      <c r="BD994" t="s">
        <v>74</v>
      </c>
      <c r="BE994" t="s">
        <v>86</v>
      </c>
      <c r="BF994" t="s">
        <v>75</v>
      </c>
      <c r="BG994" t="s">
        <v>76</v>
      </c>
      <c r="BH994" t="s">
        <v>77</v>
      </c>
      <c r="BI994" t="s">
        <v>107</v>
      </c>
      <c r="BJ994" t="s">
        <v>129</v>
      </c>
      <c r="BK994">
        <v>0</v>
      </c>
      <c r="BL994">
        <v>0</v>
      </c>
      <c r="BM994">
        <v>0</v>
      </c>
      <c r="BN994">
        <v>0</v>
      </c>
      <c r="BO994">
        <v>0</v>
      </c>
      <c r="BP994">
        <v>1</v>
      </c>
      <c r="BQ994">
        <v>0</v>
      </c>
      <c r="BR994">
        <v>0</v>
      </c>
    </row>
    <row r="995" spans="1:70" x14ac:dyDescent="0.2">
      <c r="A995" s="1">
        <v>44583.554861111108</v>
      </c>
      <c r="B995" s="1">
        <v>44583.556250000001</v>
      </c>
      <c r="C995">
        <v>1</v>
      </c>
      <c r="D995">
        <v>0</v>
      </c>
      <c r="E995">
        <v>0</v>
      </c>
      <c r="F995">
        <v>0</v>
      </c>
      <c r="H995">
        <v>1</v>
      </c>
      <c r="I995">
        <v>0</v>
      </c>
      <c r="J995">
        <v>0</v>
      </c>
      <c r="K995">
        <v>0</v>
      </c>
      <c r="L995">
        <v>0</v>
      </c>
      <c r="P995">
        <v>1</v>
      </c>
      <c r="Q995">
        <v>0</v>
      </c>
      <c r="R995">
        <v>0</v>
      </c>
      <c r="S995">
        <v>0</v>
      </c>
      <c r="T995">
        <v>0</v>
      </c>
      <c r="U995">
        <v>0</v>
      </c>
      <c r="V995">
        <v>0</v>
      </c>
      <c r="W995">
        <v>0</v>
      </c>
      <c r="X995">
        <v>0</v>
      </c>
      <c r="Y995">
        <v>0</v>
      </c>
      <c r="Z995">
        <v>0</v>
      </c>
      <c r="AA995">
        <v>0</v>
      </c>
      <c r="AC995">
        <v>0</v>
      </c>
      <c r="AD995">
        <v>0</v>
      </c>
      <c r="AE995">
        <v>0</v>
      </c>
      <c r="AF995">
        <v>0</v>
      </c>
      <c r="AG995">
        <v>0</v>
      </c>
      <c r="AH995">
        <v>0</v>
      </c>
      <c r="AI995">
        <v>1</v>
      </c>
      <c r="AJ995">
        <v>0</v>
      </c>
      <c r="AK995">
        <v>0</v>
      </c>
      <c r="AX995" t="s">
        <v>124</v>
      </c>
      <c r="AZ995" t="s">
        <v>107</v>
      </c>
      <c r="BA995" t="s">
        <v>74</v>
      </c>
      <c r="BF995" t="s">
        <v>75</v>
      </c>
      <c r="BG995" t="s">
        <v>76</v>
      </c>
      <c r="BH995" t="s">
        <v>77</v>
      </c>
      <c r="BI995" t="s">
        <v>107</v>
      </c>
      <c r="BJ995" t="s">
        <v>174</v>
      </c>
      <c r="BK995">
        <v>0</v>
      </c>
      <c r="BL995">
        <v>0</v>
      </c>
      <c r="BM995">
        <v>0</v>
      </c>
      <c r="BN995">
        <v>0</v>
      </c>
      <c r="BO995">
        <v>0</v>
      </c>
      <c r="BP995">
        <v>1</v>
      </c>
      <c r="BQ995">
        <v>0</v>
      </c>
      <c r="BR995">
        <v>0</v>
      </c>
    </row>
    <row r="996" spans="1:70" x14ac:dyDescent="0.2">
      <c r="A996" s="1">
        <v>44581.584027777775</v>
      </c>
      <c r="B996" s="1">
        <v>44581.584722222222</v>
      </c>
      <c r="C996">
        <v>1</v>
      </c>
      <c r="D996">
        <v>0</v>
      </c>
      <c r="E996">
        <v>0</v>
      </c>
      <c r="F996">
        <v>0</v>
      </c>
      <c r="H996">
        <v>1</v>
      </c>
      <c r="I996">
        <v>0</v>
      </c>
      <c r="J996">
        <v>0</v>
      </c>
      <c r="K996">
        <v>0</v>
      </c>
      <c r="L996">
        <v>0</v>
      </c>
      <c r="P996">
        <v>0</v>
      </c>
      <c r="Q996">
        <v>0</v>
      </c>
      <c r="R996">
        <v>1</v>
      </c>
      <c r="S996">
        <v>0</v>
      </c>
      <c r="T996">
        <v>0</v>
      </c>
      <c r="U996">
        <v>0</v>
      </c>
      <c r="V996">
        <v>0</v>
      </c>
      <c r="W996">
        <v>0</v>
      </c>
      <c r="X996">
        <v>0</v>
      </c>
      <c r="Y996">
        <v>0</v>
      </c>
      <c r="Z996">
        <v>0</v>
      </c>
      <c r="AA996">
        <v>0</v>
      </c>
      <c r="AM996" t="s">
        <v>90</v>
      </c>
      <c r="AN996" t="s">
        <v>90</v>
      </c>
      <c r="AO996" t="s">
        <v>90</v>
      </c>
      <c r="AP996" t="s">
        <v>90</v>
      </c>
      <c r="AQ996" t="s">
        <v>82</v>
      </c>
      <c r="AR996" t="s">
        <v>90</v>
      </c>
      <c r="AS996" t="s">
        <v>90</v>
      </c>
      <c r="AT996" t="s">
        <v>90</v>
      </c>
      <c r="AU996" t="s">
        <v>135</v>
      </c>
      <c r="AV996" t="s">
        <v>80</v>
      </c>
      <c r="AW996" t="s">
        <v>85</v>
      </c>
      <c r="AX996" t="s">
        <v>106</v>
      </c>
      <c r="AZ996" t="s">
        <v>107</v>
      </c>
      <c r="BA996" t="s">
        <v>87</v>
      </c>
      <c r="BB996" t="s">
        <v>87</v>
      </c>
      <c r="BC996" t="s">
        <v>87</v>
      </c>
      <c r="BD996" t="s">
        <v>87</v>
      </c>
      <c r="BE996" t="s">
        <v>87</v>
      </c>
      <c r="BF996" t="s">
        <v>75</v>
      </c>
      <c r="BG996" t="s">
        <v>76</v>
      </c>
      <c r="BH996" t="s">
        <v>93</v>
      </c>
      <c r="BI996" t="s">
        <v>107</v>
      </c>
      <c r="BJ996" t="s">
        <v>78</v>
      </c>
      <c r="BK996">
        <v>0</v>
      </c>
      <c r="BL996">
        <v>0</v>
      </c>
      <c r="BM996">
        <v>0</v>
      </c>
      <c r="BN996">
        <v>0</v>
      </c>
      <c r="BO996">
        <v>0</v>
      </c>
      <c r="BP996">
        <v>1</v>
      </c>
      <c r="BQ996">
        <v>0</v>
      </c>
      <c r="BR996">
        <v>0</v>
      </c>
    </row>
    <row r="997" spans="1:70" x14ac:dyDescent="0.2">
      <c r="A997" s="1">
        <v>44589.99722222222</v>
      </c>
      <c r="B997" s="1">
        <v>44589.999305555553</v>
      </c>
      <c r="C997">
        <v>0</v>
      </c>
      <c r="D997">
        <v>1</v>
      </c>
      <c r="E997">
        <v>0</v>
      </c>
      <c r="F997">
        <v>0</v>
      </c>
      <c r="H997">
        <v>1</v>
      </c>
      <c r="I997">
        <v>0</v>
      </c>
      <c r="J997">
        <v>0</v>
      </c>
      <c r="K997">
        <v>0</v>
      </c>
      <c r="L997">
        <v>0</v>
      </c>
      <c r="P997">
        <v>1</v>
      </c>
      <c r="Q997">
        <v>0</v>
      </c>
      <c r="R997">
        <v>0</v>
      </c>
      <c r="S997">
        <v>0</v>
      </c>
      <c r="T997">
        <v>0</v>
      </c>
      <c r="U997">
        <v>0</v>
      </c>
      <c r="V997">
        <v>0</v>
      </c>
      <c r="W997">
        <v>0</v>
      </c>
      <c r="X997">
        <v>0</v>
      </c>
      <c r="Y997">
        <v>0</v>
      </c>
      <c r="Z997">
        <v>0</v>
      </c>
      <c r="AA997">
        <v>0</v>
      </c>
      <c r="AC997">
        <v>0</v>
      </c>
      <c r="AD997">
        <v>0</v>
      </c>
      <c r="AE997">
        <v>0</v>
      </c>
      <c r="AF997">
        <v>0</v>
      </c>
      <c r="AG997">
        <v>0</v>
      </c>
      <c r="AH997">
        <v>0</v>
      </c>
      <c r="AI997">
        <v>1</v>
      </c>
      <c r="AJ997">
        <v>0</v>
      </c>
      <c r="AK997">
        <v>0</v>
      </c>
      <c r="AZ997" t="s">
        <v>120</v>
      </c>
      <c r="BA997" t="s">
        <v>74</v>
      </c>
      <c r="BF997" t="s">
        <v>101</v>
      </c>
      <c r="BG997" t="s">
        <v>92</v>
      </c>
      <c r="BH997" t="s">
        <v>77</v>
      </c>
      <c r="BI997" t="s">
        <v>120</v>
      </c>
      <c r="BJ997" t="s">
        <v>109</v>
      </c>
      <c r="BK997">
        <v>0</v>
      </c>
      <c r="BL997">
        <v>0</v>
      </c>
      <c r="BM997">
        <v>0</v>
      </c>
      <c r="BN997">
        <v>0</v>
      </c>
      <c r="BO997">
        <v>0</v>
      </c>
      <c r="BP997">
        <v>1</v>
      </c>
      <c r="BQ997">
        <v>0</v>
      </c>
      <c r="BR997">
        <v>0</v>
      </c>
    </row>
    <row r="998" spans="1:70" x14ac:dyDescent="0.2">
      <c r="A998" s="1">
        <v>44588.892361111109</v>
      </c>
      <c r="B998" s="1">
        <v>44588.893055555556</v>
      </c>
      <c r="C998">
        <v>1</v>
      </c>
      <c r="D998">
        <v>0</v>
      </c>
      <c r="E998">
        <v>0</v>
      </c>
      <c r="F998">
        <v>0</v>
      </c>
      <c r="H998">
        <v>1</v>
      </c>
      <c r="I998">
        <v>0</v>
      </c>
      <c r="J998">
        <v>0</v>
      </c>
      <c r="K998">
        <v>0</v>
      </c>
      <c r="L998">
        <v>0</v>
      </c>
      <c r="P998">
        <v>0</v>
      </c>
      <c r="Q998">
        <v>1</v>
      </c>
      <c r="R998">
        <v>0</v>
      </c>
      <c r="S998">
        <v>0</v>
      </c>
      <c r="T998">
        <v>0</v>
      </c>
      <c r="U998">
        <v>0</v>
      </c>
      <c r="V998">
        <v>0</v>
      </c>
      <c r="W998">
        <v>0</v>
      </c>
      <c r="X998">
        <v>0</v>
      </c>
      <c r="Y998">
        <v>0</v>
      </c>
      <c r="Z998">
        <v>0</v>
      </c>
      <c r="AA998">
        <v>0</v>
      </c>
      <c r="AM998" t="s">
        <v>83</v>
      </c>
      <c r="AN998" t="s">
        <v>82</v>
      </c>
      <c r="AO998" t="s">
        <v>82</v>
      </c>
      <c r="AP998" t="s">
        <v>82</v>
      </c>
      <c r="AQ998" t="s">
        <v>81</v>
      </c>
      <c r="AR998" t="s">
        <v>83</v>
      </c>
      <c r="AS998" t="s">
        <v>83</v>
      </c>
      <c r="AT998" t="s">
        <v>83</v>
      </c>
      <c r="AU998" t="s">
        <v>88</v>
      </c>
      <c r="AV998" t="s">
        <v>89</v>
      </c>
      <c r="AW998" t="s">
        <v>100</v>
      </c>
      <c r="AX998" t="s">
        <v>191</v>
      </c>
      <c r="AZ998" t="s">
        <v>96</v>
      </c>
      <c r="BA998" t="s">
        <v>87</v>
      </c>
      <c r="BB998" t="s">
        <v>87</v>
      </c>
      <c r="BC998" t="s">
        <v>87</v>
      </c>
      <c r="BD998" t="s">
        <v>87</v>
      </c>
      <c r="BE998" t="s">
        <v>87</v>
      </c>
      <c r="BF998" t="s">
        <v>75</v>
      </c>
      <c r="BG998" t="s">
        <v>76</v>
      </c>
      <c r="BH998" t="s">
        <v>77</v>
      </c>
      <c r="BI998" t="s">
        <v>96</v>
      </c>
      <c r="BJ998" t="s">
        <v>94</v>
      </c>
      <c r="BK998">
        <v>0</v>
      </c>
      <c r="BL998">
        <v>0</v>
      </c>
      <c r="BM998">
        <v>0</v>
      </c>
      <c r="BN998">
        <v>0</v>
      </c>
      <c r="BO998">
        <v>0</v>
      </c>
      <c r="BP998">
        <v>1</v>
      </c>
      <c r="BQ998">
        <v>0</v>
      </c>
      <c r="BR998">
        <v>0</v>
      </c>
    </row>
    <row r="999" spans="1:70" x14ac:dyDescent="0.2">
      <c r="A999" s="1">
        <v>44591.691666666666</v>
      </c>
      <c r="B999" s="1">
        <v>44591.693055555559</v>
      </c>
      <c r="C999">
        <v>0</v>
      </c>
      <c r="D999">
        <v>1</v>
      </c>
      <c r="E999">
        <v>0</v>
      </c>
      <c r="F999">
        <v>0</v>
      </c>
      <c r="H999">
        <v>1</v>
      </c>
      <c r="I999">
        <v>0</v>
      </c>
      <c r="J999">
        <v>0</v>
      </c>
      <c r="K999">
        <v>0</v>
      </c>
      <c r="L999">
        <v>0</v>
      </c>
      <c r="P999">
        <v>0</v>
      </c>
      <c r="Q999">
        <v>0</v>
      </c>
      <c r="R999">
        <v>0</v>
      </c>
      <c r="S999">
        <v>0</v>
      </c>
      <c r="T999">
        <v>1</v>
      </c>
      <c r="U999">
        <v>0</v>
      </c>
      <c r="V999">
        <v>0</v>
      </c>
      <c r="W999">
        <v>0</v>
      </c>
      <c r="X999">
        <v>0</v>
      </c>
      <c r="Y999">
        <v>0</v>
      </c>
      <c r="Z999">
        <v>0</v>
      </c>
      <c r="AA999">
        <v>0</v>
      </c>
      <c r="AM999" t="s">
        <v>83</v>
      </c>
      <c r="AN999" t="s">
        <v>81</v>
      </c>
      <c r="AO999" t="s">
        <v>83</v>
      </c>
      <c r="AP999" t="s">
        <v>83</v>
      </c>
      <c r="AQ999" t="s">
        <v>82</v>
      </c>
      <c r="AR999" t="s">
        <v>83</v>
      </c>
      <c r="AS999" t="s">
        <v>83</v>
      </c>
      <c r="AT999" t="s">
        <v>83</v>
      </c>
      <c r="AU999" t="s">
        <v>88</v>
      </c>
      <c r="AV999" t="s">
        <v>80</v>
      </c>
      <c r="AW999" t="s">
        <v>85</v>
      </c>
      <c r="AX999" t="s">
        <v>118</v>
      </c>
      <c r="AZ999" t="s">
        <v>73</v>
      </c>
      <c r="BA999" t="s">
        <v>87</v>
      </c>
      <c r="BB999" t="s">
        <v>87</v>
      </c>
      <c r="BC999" t="s">
        <v>87</v>
      </c>
      <c r="BD999" t="s">
        <v>87</v>
      </c>
      <c r="BE999" t="s">
        <v>87</v>
      </c>
      <c r="BF999" t="s">
        <v>75</v>
      </c>
      <c r="BG999" t="s">
        <v>76</v>
      </c>
      <c r="BH999" t="s">
        <v>77</v>
      </c>
      <c r="BI999" t="s">
        <v>73</v>
      </c>
      <c r="BJ999" t="s">
        <v>94</v>
      </c>
      <c r="BK999">
        <v>0</v>
      </c>
      <c r="BL999">
        <v>0</v>
      </c>
      <c r="BM999">
        <v>0</v>
      </c>
      <c r="BN999">
        <v>0</v>
      </c>
      <c r="BO999">
        <v>0</v>
      </c>
      <c r="BP999">
        <v>1</v>
      </c>
      <c r="BQ999">
        <v>0</v>
      </c>
      <c r="BR999">
        <v>0</v>
      </c>
    </row>
    <row r="1000" spans="1:70" x14ac:dyDescent="0.2">
      <c r="A1000" s="1">
        <v>44586.504861111112</v>
      </c>
      <c r="B1000" s="1">
        <v>44586.506249999999</v>
      </c>
      <c r="C1000">
        <v>1</v>
      </c>
      <c r="D1000">
        <v>0</v>
      </c>
      <c r="E1000">
        <v>0</v>
      </c>
      <c r="F1000">
        <v>0</v>
      </c>
      <c r="H1000">
        <v>0</v>
      </c>
      <c r="I1000">
        <v>1</v>
      </c>
      <c r="J1000">
        <v>0</v>
      </c>
      <c r="K1000">
        <v>0</v>
      </c>
      <c r="L1000">
        <v>0</v>
      </c>
      <c r="N1000" t="s">
        <v>135</v>
      </c>
      <c r="O1000" t="s">
        <v>127</v>
      </c>
      <c r="P1000">
        <v>1</v>
      </c>
      <c r="Q1000">
        <v>0</v>
      </c>
      <c r="R1000">
        <v>0</v>
      </c>
      <c r="S1000">
        <v>0</v>
      </c>
      <c r="T1000">
        <v>0</v>
      </c>
      <c r="U1000">
        <v>0</v>
      </c>
      <c r="V1000">
        <v>0</v>
      </c>
      <c r="W1000">
        <v>0</v>
      </c>
      <c r="X1000">
        <v>0</v>
      </c>
      <c r="Y1000">
        <v>0</v>
      </c>
      <c r="Z1000">
        <v>0</v>
      </c>
      <c r="AA1000">
        <v>0</v>
      </c>
      <c r="AC1000">
        <v>0</v>
      </c>
      <c r="AD1000">
        <v>0</v>
      </c>
      <c r="AE1000">
        <v>0</v>
      </c>
      <c r="AF1000">
        <v>0</v>
      </c>
      <c r="AG1000">
        <v>0</v>
      </c>
      <c r="AH1000">
        <v>0</v>
      </c>
      <c r="AI1000">
        <v>0</v>
      </c>
      <c r="AJ1000">
        <v>1</v>
      </c>
      <c r="AK1000">
        <v>0</v>
      </c>
      <c r="AX1000" t="s">
        <v>72</v>
      </c>
      <c r="AZ1000" t="s">
        <v>107</v>
      </c>
      <c r="BA1000" t="s">
        <v>74</v>
      </c>
      <c r="BF1000" t="s">
        <v>75</v>
      </c>
      <c r="BG1000" t="s">
        <v>76</v>
      </c>
      <c r="BH1000" t="s">
        <v>77</v>
      </c>
      <c r="BI1000" t="s">
        <v>107</v>
      </c>
      <c r="BJ1000" t="s">
        <v>78</v>
      </c>
      <c r="BK1000">
        <v>0</v>
      </c>
      <c r="BL1000">
        <v>0</v>
      </c>
      <c r="BM1000">
        <v>0</v>
      </c>
      <c r="BN1000">
        <v>0</v>
      </c>
      <c r="BO1000">
        <v>0</v>
      </c>
      <c r="BP1000">
        <v>1</v>
      </c>
      <c r="BQ1000">
        <v>0</v>
      </c>
      <c r="BR1000">
        <v>0</v>
      </c>
    </row>
    <row r="1001" spans="1:70" x14ac:dyDescent="0.2">
      <c r="A1001" s="1">
        <v>44579.967361111114</v>
      </c>
      <c r="B1001" s="1">
        <v>44579.968055555553</v>
      </c>
      <c r="C1001">
        <v>1</v>
      </c>
      <c r="D1001">
        <v>0</v>
      </c>
      <c r="E1001">
        <v>0</v>
      </c>
      <c r="F1001">
        <v>0</v>
      </c>
      <c r="H1001">
        <v>1</v>
      </c>
      <c r="I1001">
        <v>0</v>
      </c>
      <c r="J1001">
        <v>0</v>
      </c>
      <c r="K1001">
        <v>0</v>
      </c>
      <c r="L1001">
        <v>0</v>
      </c>
      <c r="P1001">
        <v>1</v>
      </c>
      <c r="Q1001">
        <v>0</v>
      </c>
      <c r="R1001">
        <v>0</v>
      </c>
      <c r="S1001">
        <v>0</v>
      </c>
      <c r="T1001">
        <v>0</v>
      </c>
      <c r="U1001">
        <v>0</v>
      </c>
      <c r="V1001">
        <v>0</v>
      </c>
      <c r="W1001">
        <v>0</v>
      </c>
      <c r="X1001">
        <v>0</v>
      </c>
      <c r="Y1001">
        <v>0</v>
      </c>
      <c r="Z1001">
        <v>0</v>
      </c>
      <c r="AA1001">
        <v>0</v>
      </c>
      <c r="AC1001">
        <v>0</v>
      </c>
      <c r="AD1001">
        <v>1</v>
      </c>
      <c r="AE1001">
        <v>0</v>
      </c>
      <c r="AF1001">
        <v>0</v>
      </c>
      <c r="AG1001">
        <v>0</v>
      </c>
      <c r="AH1001">
        <v>0</v>
      </c>
      <c r="AI1001">
        <v>0</v>
      </c>
      <c r="AJ1001">
        <v>0</v>
      </c>
      <c r="AK1001">
        <v>0</v>
      </c>
      <c r="AX1001" t="s">
        <v>199</v>
      </c>
      <c r="AZ1001" t="s">
        <v>107</v>
      </c>
      <c r="BA1001" t="s">
        <v>74</v>
      </c>
      <c r="BF1001" t="s">
        <v>75</v>
      </c>
      <c r="BG1001" t="s">
        <v>92</v>
      </c>
      <c r="BH1001" t="s">
        <v>77</v>
      </c>
      <c r="BI1001" t="s">
        <v>107</v>
      </c>
      <c r="BJ1001" t="s">
        <v>78</v>
      </c>
      <c r="BK1001">
        <v>0</v>
      </c>
      <c r="BL1001">
        <v>0</v>
      </c>
      <c r="BM1001">
        <v>0</v>
      </c>
      <c r="BN1001">
        <v>0</v>
      </c>
      <c r="BO1001">
        <v>0</v>
      </c>
      <c r="BP1001">
        <v>1</v>
      </c>
      <c r="BQ1001">
        <v>0</v>
      </c>
      <c r="BR1001">
        <v>0</v>
      </c>
    </row>
    <row r="1002" spans="1:70" x14ac:dyDescent="0.2">
      <c r="A1002" s="1">
        <v>44585.70208333333</v>
      </c>
      <c r="B1002" s="1">
        <v>44585.704861111109</v>
      </c>
      <c r="C1002">
        <v>1</v>
      </c>
      <c r="D1002">
        <v>0</v>
      </c>
      <c r="E1002">
        <v>0</v>
      </c>
      <c r="F1002">
        <v>0</v>
      </c>
      <c r="H1002">
        <v>0</v>
      </c>
      <c r="I1002">
        <v>1</v>
      </c>
      <c r="J1002">
        <v>1</v>
      </c>
      <c r="K1002">
        <v>0</v>
      </c>
      <c r="L1002">
        <v>1</v>
      </c>
      <c r="M1002" t="s">
        <v>452</v>
      </c>
      <c r="N1002" t="s">
        <v>135</v>
      </c>
      <c r="O1002" t="s">
        <v>223</v>
      </c>
      <c r="P1002">
        <v>0</v>
      </c>
      <c r="Q1002">
        <v>0</v>
      </c>
      <c r="R1002">
        <v>1</v>
      </c>
      <c r="S1002">
        <v>0</v>
      </c>
      <c r="T1002">
        <v>0</v>
      </c>
      <c r="U1002">
        <v>0</v>
      </c>
      <c r="V1002">
        <v>0</v>
      </c>
      <c r="W1002">
        <v>0</v>
      </c>
      <c r="X1002">
        <v>0</v>
      </c>
      <c r="Y1002">
        <v>0</v>
      </c>
      <c r="Z1002">
        <v>0</v>
      </c>
      <c r="AA1002">
        <v>0</v>
      </c>
      <c r="AM1002" t="s">
        <v>83</v>
      </c>
      <c r="AN1002" t="s">
        <v>82</v>
      </c>
      <c r="AO1002" t="s">
        <v>83</v>
      </c>
      <c r="AP1002" t="s">
        <v>82</v>
      </c>
      <c r="AQ1002" t="s">
        <v>82</v>
      </c>
      <c r="AR1002" t="s">
        <v>82</v>
      </c>
      <c r="AS1002" t="s">
        <v>83</v>
      </c>
      <c r="AT1002" t="s">
        <v>83</v>
      </c>
      <c r="AU1002" t="s">
        <v>88</v>
      </c>
      <c r="AV1002" t="s">
        <v>89</v>
      </c>
      <c r="AW1002" t="s">
        <v>85</v>
      </c>
      <c r="AX1002" t="s">
        <v>122</v>
      </c>
      <c r="AZ1002" t="s">
        <v>73</v>
      </c>
      <c r="BA1002" t="s">
        <v>87</v>
      </c>
      <c r="BB1002" t="s">
        <v>87</v>
      </c>
      <c r="BC1002" t="s">
        <v>87</v>
      </c>
      <c r="BD1002" t="s">
        <v>74</v>
      </c>
      <c r="BE1002" t="s">
        <v>87</v>
      </c>
      <c r="BF1002" t="s">
        <v>75</v>
      </c>
      <c r="BG1002" t="s">
        <v>76</v>
      </c>
      <c r="BH1002" t="s">
        <v>77</v>
      </c>
      <c r="BI1002" t="s">
        <v>73</v>
      </c>
      <c r="BJ1002" t="s">
        <v>99</v>
      </c>
      <c r="BK1002">
        <v>0</v>
      </c>
      <c r="BL1002">
        <v>0</v>
      </c>
      <c r="BM1002">
        <v>0</v>
      </c>
      <c r="BN1002">
        <v>0</v>
      </c>
      <c r="BO1002">
        <v>0</v>
      </c>
      <c r="BP1002">
        <v>1</v>
      </c>
      <c r="BQ1002">
        <v>0</v>
      </c>
      <c r="BR1002">
        <v>0</v>
      </c>
    </row>
    <row r="1003" spans="1:70" x14ac:dyDescent="0.2">
      <c r="A1003" s="1">
        <v>44589.54791666667</v>
      </c>
      <c r="B1003" s="1">
        <v>44589.549305555556</v>
      </c>
      <c r="C1003">
        <v>1</v>
      </c>
      <c r="D1003">
        <v>0</v>
      </c>
      <c r="E1003">
        <v>0</v>
      </c>
      <c r="F1003">
        <v>0</v>
      </c>
      <c r="H1003">
        <v>0</v>
      </c>
      <c r="I1003">
        <v>1</v>
      </c>
      <c r="J1003">
        <v>0</v>
      </c>
      <c r="K1003">
        <v>0</v>
      </c>
      <c r="L1003">
        <v>0</v>
      </c>
      <c r="N1003" t="s">
        <v>88</v>
      </c>
      <c r="O1003" t="s">
        <v>89</v>
      </c>
      <c r="P1003">
        <v>0</v>
      </c>
      <c r="Q1003">
        <v>0</v>
      </c>
      <c r="R1003">
        <v>1</v>
      </c>
      <c r="S1003">
        <v>0</v>
      </c>
      <c r="T1003">
        <v>0</v>
      </c>
      <c r="U1003">
        <v>0</v>
      </c>
      <c r="V1003">
        <v>0</v>
      </c>
      <c r="W1003">
        <v>0</v>
      </c>
      <c r="X1003">
        <v>0</v>
      </c>
      <c r="Y1003">
        <v>0</v>
      </c>
      <c r="Z1003">
        <v>0</v>
      </c>
      <c r="AA1003">
        <v>0</v>
      </c>
      <c r="AM1003" t="s">
        <v>83</v>
      </c>
      <c r="AN1003" t="s">
        <v>82</v>
      </c>
      <c r="AO1003" t="s">
        <v>83</v>
      </c>
      <c r="AP1003" t="s">
        <v>83</v>
      </c>
      <c r="AQ1003" t="s">
        <v>81</v>
      </c>
      <c r="AR1003" t="s">
        <v>83</v>
      </c>
      <c r="AS1003" t="s">
        <v>81</v>
      </c>
      <c r="AT1003" t="s">
        <v>83</v>
      </c>
      <c r="AU1003" t="s">
        <v>88</v>
      </c>
      <c r="AV1003" t="s">
        <v>89</v>
      </c>
      <c r="AW1003" t="s">
        <v>85</v>
      </c>
      <c r="AX1003" t="s">
        <v>242</v>
      </c>
      <c r="AZ1003" t="s">
        <v>107</v>
      </c>
      <c r="BA1003" t="s">
        <v>87</v>
      </c>
      <c r="BB1003" t="s">
        <v>87</v>
      </c>
      <c r="BC1003" t="s">
        <v>87</v>
      </c>
      <c r="BD1003" t="s">
        <v>87</v>
      </c>
      <c r="BE1003" t="s">
        <v>87</v>
      </c>
      <c r="BF1003" t="s">
        <v>75</v>
      </c>
      <c r="BG1003" t="s">
        <v>92</v>
      </c>
      <c r="BH1003" t="s">
        <v>77</v>
      </c>
      <c r="BI1003" t="s">
        <v>107</v>
      </c>
      <c r="BJ1003" t="s">
        <v>114</v>
      </c>
      <c r="BK1003">
        <v>0</v>
      </c>
      <c r="BL1003">
        <v>0</v>
      </c>
      <c r="BM1003">
        <v>0</v>
      </c>
      <c r="BN1003">
        <v>0</v>
      </c>
      <c r="BO1003">
        <v>0</v>
      </c>
      <c r="BP1003">
        <v>1</v>
      </c>
      <c r="BQ1003">
        <v>0</v>
      </c>
      <c r="BR1003">
        <v>0</v>
      </c>
    </row>
    <row r="1004" spans="1:70" x14ac:dyDescent="0.2">
      <c r="A1004" s="1">
        <v>44585.727083333331</v>
      </c>
      <c r="B1004" s="1">
        <v>44585.728472222225</v>
      </c>
      <c r="C1004">
        <v>1</v>
      </c>
      <c r="D1004">
        <v>0</v>
      </c>
      <c r="E1004">
        <v>0</v>
      </c>
      <c r="F1004">
        <v>0</v>
      </c>
      <c r="H1004">
        <v>1</v>
      </c>
      <c r="I1004">
        <v>0</v>
      </c>
      <c r="J1004">
        <v>0</v>
      </c>
      <c r="K1004">
        <v>0</v>
      </c>
      <c r="L1004">
        <v>0</v>
      </c>
      <c r="P1004">
        <v>0</v>
      </c>
      <c r="Q1004">
        <v>0</v>
      </c>
      <c r="R1004">
        <v>0</v>
      </c>
      <c r="S1004">
        <v>1</v>
      </c>
      <c r="T1004">
        <v>0</v>
      </c>
      <c r="U1004">
        <v>0</v>
      </c>
      <c r="V1004">
        <v>0</v>
      </c>
      <c r="W1004">
        <v>0</v>
      </c>
      <c r="X1004">
        <v>0</v>
      </c>
      <c r="Y1004">
        <v>0</v>
      </c>
      <c r="Z1004">
        <v>0</v>
      </c>
      <c r="AA1004">
        <v>0</v>
      </c>
      <c r="AM1004" t="s">
        <v>83</v>
      </c>
      <c r="AN1004" t="s">
        <v>82</v>
      </c>
      <c r="AO1004" t="s">
        <v>83</v>
      </c>
      <c r="AP1004" t="s">
        <v>83</v>
      </c>
      <c r="AQ1004" t="s">
        <v>83</v>
      </c>
      <c r="AR1004" t="s">
        <v>83</v>
      </c>
      <c r="AS1004" t="s">
        <v>83</v>
      </c>
      <c r="AT1004" t="s">
        <v>83</v>
      </c>
      <c r="AU1004" t="s">
        <v>135</v>
      </c>
      <c r="AV1004" t="s">
        <v>80</v>
      </c>
      <c r="AW1004" t="s">
        <v>117</v>
      </c>
      <c r="AX1004" t="s">
        <v>118</v>
      </c>
      <c r="AZ1004" t="s">
        <v>73</v>
      </c>
      <c r="BA1004" t="s">
        <v>74</v>
      </c>
      <c r="BF1004" t="s">
        <v>75</v>
      </c>
      <c r="BG1004" t="s">
        <v>76</v>
      </c>
      <c r="BH1004" t="s">
        <v>77</v>
      </c>
      <c r="BI1004" t="s">
        <v>73</v>
      </c>
      <c r="BJ1004" t="s">
        <v>109</v>
      </c>
      <c r="BK1004">
        <v>0</v>
      </c>
      <c r="BL1004">
        <v>0</v>
      </c>
      <c r="BM1004">
        <v>0</v>
      </c>
      <c r="BN1004">
        <v>0</v>
      </c>
      <c r="BO1004">
        <v>0</v>
      </c>
      <c r="BP1004">
        <v>1</v>
      </c>
      <c r="BQ1004">
        <v>0</v>
      </c>
      <c r="BR1004">
        <v>0</v>
      </c>
    </row>
    <row r="1005" spans="1:70" x14ac:dyDescent="0.2">
      <c r="A1005" s="1">
        <v>44579.762499999997</v>
      </c>
      <c r="B1005" s="1">
        <v>44579.76458333333</v>
      </c>
      <c r="C1005">
        <v>1</v>
      </c>
      <c r="D1005">
        <v>0</v>
      </c>
      <c r="E1005">
        <v>0</v>
      </c>
      <c r="F1005">
        <v>0</v>
      </c>
      <c r="H1005">
        <v>0</v>
      </c>
      <c r="I1005">
        <v>1</v>
      </c>
      <c r="J1005">
        <v>0</v>
      </c>
      <c r="K1005">
        <v>0</v>
      </c>
      <c r="L1005">
        <v>0</v>
      </c>
      <c r="N1005" t="s">
        <v>135</v>
      </c>
      <c r="O1005" t="s">
        <v>80</v>
      </c>
      <c r="P1005">
        <v>0</v>
      </c>
      <c r="Q1005">
        <v>0</v>
      </c>
      <c r="R1005">
        <v>1</v>
      </c>
      <c r="S1005">
        <v>0</v>
      </c>
      <c r="T1005">
        <v>0</v>
      </c>
      <c r="U1005">
        <v>0</v>
      </c>
      <c r="V1005">
        <v>0</v>
      </c>
      <c r="W1005">
        <v>0</v>
      </c>
      <c r="X1005">
        <v>0</v>
      </c>
      <c r="Y1005">
        <v>0</v>
      </c>
      <c r="Z1005">
        <v>0</v>
      </c>
      <c r="AA1005">
        <v>0</v>
      </c>
      <c r="AM1005" t="s">
        <v>90</v>
      </c>
      <c r="AN1005" t="s">
        <v>82</v>
      </c>
      <c r="AO1005" t="s">
        <v>90</v>
      </c>
      <c r="AP1005" t="s">
        <v>82</v>
      </c>
      <c r="AQ1005" t="s">
        <v>81</v>
      </c>
      <c r="AR1005" t="s">
        <v>90</v>
      </c>
      <c r="AS1005" t="s">
        <v>90</v>
      </c>
      <c r="AT1005" t="s">
        <v>90</v>
      </c>
      <c r="AU1005" t="s">
        <v>88</v>
      </c>
      <c r="AV1005" t="s">
        <v>89</v>
      </c>
      <c r="AW1005" t="s">
        <v>85</v>
      </c>
      <c r="AX1005" t="s">
        <v>122</v>
      </c>
      <c r="AZ1005" t="s">
        <v>107</v>
      </c>
      <c r="BA1005" t="s">
        <v>87</v>
      </c>
      <c r="BB1005" t="s">
        <v>87</v>
      </c>
      <c r="BC1005" t="s">
        <v>87</v>
      </c>
      <c r="BD1005" t="s">
        <v>74</v>
      </c>
      <c r="BE1005" t="s">
        <v>74</v>
      </c>
      <c r="BF1005" t="s">
        <v>75</v>
      </c>
      <c r="BG1005" t="s">
        <v>92</v>
      </c>
      <c r="BH1005" t="s">
        <v>77</v>
      </c>
      <c r="BI1005" t="s">
        <v>107</v>
      </c>
      <c r="BJ1005" t="s">
        <v>176</v>
      </c>
      <c r="BK1005">
        <v>0</v>
      </c>
      <c r="BL1005">
        <v>0</v>
      </c>
      <c r="BM1005">
        <v>0</v>
      </c>
      <c r="BN1005">
        <v>0</v>
      </c>
      <c r="BO1005">
        <v>0</v>
      </c>
      <c r="BP1005">
        <v>1</v>
      </c>
      <c r="BQ1005">
        <v>0</v>
      </c>
      <c r="BR1005">
        <v>0</v>
      </c>
    </row>
    <row r="1006" spans="1:70" x14ac:dyDescent="0.2">
      <c r="A1006" s="1">
        <v>44580.103472222225</v>
      </c>
      <c r="B1006" s="1">
        <v>44580.104861111111</v>
      </c>
      <c r="C1006">
        <v>0</v>
      </c>
      <c r="D1006">
        <v>1</v>
      </c>
      <c r="E1006">
        <v>0</v>
      </c>
      <c r="F1006">
        <v>0</v>
      </c>
      <c r="H1006">
        <v>0</v>
      </c>
      <c r="I1006">
        <v>1</v>
      </c>
      <c r="J1006">
        <v>0</v>
      </c>
      <c r="K1006">
        <v>0</v>
      </c>
      <c r="L1006">
        <v>0</v>
      </c>
      <c r="N1006" t="s">
        <v>88</v>
      </c>
      <c r="O1006" t="s">
        <v>89</v>
      </c>
      <c r="P1006">
        <v>0</v>
      </c>
      <c r="Q1006">
        <v>0</v>
      </c>
      <c r="R1006">
        <v>0</v>
      </c>
      <c r="S1006">
        <v>0</v>
      </c>
      <c r="T1006">
        <v>1</v>
      </c>
      <c r="U1006">
        <v>0</v>
      </c>
      <c r="V1006">
        <v>0</v>
      </c>
      <c r="W1006">
        <v>0</v>
      </c>
      <c r="X1006">
        <v>0</v>
      </c>
      <c r="Y1006">
        <v>0</v>
      </c>
      <c r="Z1006">
        <v>0</v>
      </c>
      <c r="AA1006">
        <v>0</v>
      </c>
      <c r="AM1006" t="s">
        <v>81</v>
      </c>
      <c r="AN1006" t="s">
        <v>81</v>
      </c>
      <c r="AO1006" t="s">
        <v>83</v>
      </c>
      <c r="AP1006" t="s">
        <v>83</v>
      </c>
      <c r="AQ1006" t="s">
        <v>82</v>
      </c>
      <c r="AR1006" t="s">
        <v>81</v>
      </c>
      <c r="AS1006" t="s">
        <v>81</v>
      </c>
      <c r="AT1006" t="s">
        <v>83</v>
      </c>
      <c r="AU1006" t="s">
        <v>88</v>
      </c>
      <c r="AV1006" t="s">
        <v>89</v>
      </c>
      <c r="AW1006" t="s">
        <v>85</v>
      </c>
      <c r="AX1006" t="s">
        <v>118</v>
      </c>
      <c r="AZ1006" t="s">
        <v>73</v>
      </c>
      <c r="BA1006" t="s">
        <v>87</v>
      </c>
      <c r="BB1006" t="s">
        <v>87</v>
      </c>
      <c r="BC1006" t="s">
        <v>87</v>
      </c>
      <c r="BD1006" t="s">
        <v>87</v>
      </c>
      <c r="BE1006" t="s">
        <v>87</v>
      </c>
      <c r="BF1006" t="s">
        <v>75</v>
      </c>
      <c r="BG1006" t="s">
        <v>76</v>
      </c>
      <c r="BH1006" t="s">
        <v>93</v>
      </c>
      <c r="BI1006" t="s">
        <v>73</v>
      </c>
      <c r="BJ1006" t="s">
        <v>78</v>
      </c>
      <c r="BK1006">
        <v>0</v>
      </c>
      <c r="BL1006">
        <v>0</v>
      </c>
      <c r="BM1006">
        <v>0</v>
      </c>
      <c r="BN1006">
        <v>0</v>
      </c>
      <c r="BO1006">
        <v>0</v>
      </c>
      <c r="BP1006">
        <v>1</v>
      </c>
      <c r="BQ1006">
        <v>0</v>
      </c>
      <c r="BR1006">
        <v>0</v>
      </c>
    </row>
    <row r="1007" spans="1:70" x14ac:dyDescent="0.2">
      <c r="A1007" s="1">
        <v>44579.88958333333</v>
      </c>
      <c r="B1007" s="1">
        <v>44579.892361111109</v>
      </c>
      <c r="C1007">
        <v>1</v>
      </c>
      <c r="D1007">
        <v>0</v>
      </c>
      <c r="E1007">
        <v>0</v>
      </c>
      <c r="F1007">
        <v>0</v>
      </c>
      <c r="H1007">
        <v>0</v>
      </c>
      <c r="I1007">
        <v>1</v>
      </c>
      <c r="J1007">
        <v>1</v>
      </c>
      <c r="K1007">
        <v>1</v>
      </c>
      <c r="L1007">
        <v>0</v>
      </c>
      <c r="N1007" t="s">
        <v>88</v>
      </c>
      <c r="O1007" t="s">
        <v>89</v>
      </c>
      <c r="P1007">
        <v>0</v>
      </c>
      <c r="Q1007">
        <v>0</v>
      </c>
      <c r="R1007">
        <v>1</v>
      </c>
      <c r="S1007">
        <v>0</v>
      </c>
      <c r="T1007">
        <v>0</v>
      </c>
      <c r="U1007">
        <v>0</v>
      </c>
      <c r="V1007">
        <v>0</v>
      </c>
      <c r="W1007">
        <v>0</v>
      </c>
      <c r="X1007">
        <v>0</v>
      </c>
      <c r="Y1007">
        <v>0</v>
      </c>
      <c r="Z1007">
        <v>0</v>
      </c>
      <c r="AA1007">
        <v>0</v>
      </c>
      <c r="AM1007" t="s">
        <v>83</v>
      </c>
      <c r="AN1007" t="s">
        <v>82</v>
      </c>
      <c r="AO1007" t="s">
        <v>81</v>
      </c>
      <c r="AP1007" t="s">
        <v>82</v>
      </c>
      <c r="AQ1007" t="s">
        <v>81</v>
      </c>
      <c r="AR1007" t="s">
        <v>83</v>
      </c>
      <c r="AS1007" t="s">
        <v>83</v>
      </c>
      <c r="AT1007" t="s">
        <v>83</v>
      </c>
      <c r="AU1007" t="s">
        <v>88</v>
      </c>
      <c r="AV1007" t="s">
        <v>89</v>
      </c>
      <c r="AW1007" t="s">
        <v>100</v>
      </c>
      <c r="AX1007" t="s">
        <v>110</v>
      </c>
      <c r="AY1007" t="s">
        <v>453</v>
      </c>
      <c r="AZ1007" t="s">
        <v>107</v>
      </c>
      <c r="BA1007" t="s">
        <v>87</v>
      </c>
      <c r="BB1007" t="s">
        <v>87</v>
      </c>
      <c r="BC1007" t="s">
        <v>87</v>
      </c>
      <c r="BD1007" t="s">
        <v>87</v>
      </c>
      <c r="BE1007" t="s">
        <v>87</v>
      </c>
      <c r="BF1007" t="s">
        <v>75</v>
      </c>
      <c r="BG1007" t="s">
        <v>92</v>
      </c>
      <c r="BH1007" t="s">
        <v>93</v>
      </c>
      <c r="BI1007" t="s">
        <v>107</v>
      </c>
      <c r="BJ1007" t="s">
        <v>137</v>
      </c>
      <c r="BK1007">
        <v>0</v>
      </c>
      <c r="BL1007">
        <v>0</v>
      </c>
      <c r="BM1007">
        <v>0</v>
      </c>
      <c r="BN1007">
        <v>0</v>
      </c>
      <c r="BO1007">
        <v>0</v>
      </c>
      <c r="BP1007">
        <v>1</v>
      </c>
      <c r="BQ1007">
        <v>0</v>
      </c>
      <c r="BR1007">
        <v>0</v>
      </c>
    </row>
    <row r="1008" spans="1:70" x14ac:dyDescent="0.2">
      <c r="A1008" s="1">
        <v>44585.829861111109</v>
      </c>
      <c r="B1008" s="1">
        <v>44585.835416666669</v>
      </c>
      <c r="C1008">
        <v>1</v>
      </c>
      <c r="D1008">
        <v>0</v>
      </c>
      <c r="E1008">
        <v>0</v>
      </c>
      <c r="F1008">
        <v>0</v>
      </c>
      <c r="H1008">
        <v>1</v>
      </c>
      <c r="I1008">
        <v>0</v>
      </c>
      <c r="J1008">
        <v>0</v>
      </c>
      <c r="K1008">
        <v>0</v>
      </c>
      <c r="L1008">
        <v>0</v>
      </c>
      <c r="P1008">
        <v>1</v>
      </c>
      <c r="Q1008">
        <v>0</v>
      </c>
      <c r="R1008">
        <v>0</v>
      </c>
      <c r="S1008">
        <v>0</v>
      </c>
      <c r="T1008">
        <v>0</v>
      </c>
      <c r="U1008">
        <v>0</v>
      </c>
      <c r="V1008">
        <v>0</v>
      </c>
      <c r="W1008">
        <v>0</v>
      </c>
      <c r="X1008">
        <v>0</v>
      </c>
      <c r="Y1008">
        <v>0</v>
      </c>
      <c r="Z1008">
        <v>0</v>
      </c>
      <c r="AA1008">
        <v>0</v>
      </c>
      <c r="AC1008">
        <v>1</v>
      </c>
      <c r="AD1008">
        <v>0</v>
      </c>
      <c r="AE1008">
        <v>0</v>
      </c>
      <c r="AF1008">
        <v>0</v>
      </c>
      <c r="AG1008">
        <v>0</v>
      </c>
      <c r="AH1008">
        <v>0</v>
      </c>
      <c r="AI1008">
        <v>0</v>
      </c>
      <c r="AJ1008">
        <v>0</v>
      </c>
      <c r="AK1008">
        <v>0</v>
      </c>
      <c r="AX1008" t="s">
        <v>110</v>
      </c>
      <c r="AY1008" t="s">
        <v>454</v>
      </c>
      <c r="AZ1008" t="s">
        <v>107</v>
      </c>
      <c r="BA1008" t="s">
        <v>86</v>
      </c>
      <c r="BB1008" t="s">
        <v>87</v>
      </c>
      <c r="BC1008" t="s">
        <v>87</v>
      </c>
      <c r="BD1008" t="s">
        <v>87</v>
      </c>
      <c r="BE1008" t="s">
        <v>87</v>
      </c>
      <c r="BF1008" t="s">
        <v>75</v>
      </c>
      <c r="BG1008" t="s">
        <v>76</v>
      </c>
      <c r="BH1008" t="s">
        <v>77</v>
      </c>
      <c r="BI1008" t="s">
        <v>107</v>
      </c>
      <c r="BK1008">
        <v>0</v>
      </c>
      <c r="BL1008">
        <v>0</v>
      </c>
      <c r="BM1008">
        <v>0</v>
      </c>
      <c r="BN1008">
        <v>0</v>
      </c>
      <c r="BO1008">
        <v>0</v>
      </c>
      <c r="BP1008">
        <v>1</v>
      </c>
      <c r="BQ1008">
        <v>0</v>
      </c>
      <c r="BR1008">
        <v>0</v>
      </c>
    </row>
    <row r="1009" spans="1:70" x14ac:dyDescent="0.2">
      <c r="A1009" s="1">
        <v>44580.265277777777</v>
      </c>
      <c r="B1009" s="1">
        <v>44580.268750000003</v>
      </c>
      <c r="C1009">
        <v>1</v>
      </c>
      <c r="D1009">
        <v>0</v>
      </c>
      <c r="E1009">
        <v>0</v>
      </c>
      <c r="F1009">
        <v>0</v>
      </c>
      <c r="H1009">
        <v>1</v>
      </c>
      <c r="I1009">
        <v>0</v>
      </c>
      <c r="J1009">
        <v>0</v>
      </c>
      <c r="K1009">
        <v>0</v>
      </c>
      <c r="L1009">
        <v>0</v>
      </c>
      <c r="P1009">
        <v>0</v>
      </c>
      <c r="Q1009">
        <v>0</v>
      </c>
      <c r="R1009">
        <v>0</v>
      </c>
      <c r="S1009">
        <v>0</v>
      </c>
      <c r="T1009">
        <v>0</v>
      </c>
      <c r="U1009">
        <v>0</v>
      </c>
      <c r="V1009">
        <v>0</v>
      </c>
      <c r="W1009">
        <v>0</v>
      </c>
      <c r="X1009">
        <v>0</v>
      </c>
      <c r="Y1009">
        <v>1</v>
      </c>
      <c r="Z1009">
        <v>0</v>
      </c>
      <c r="AA1009">
        <v>0</v>
      </c>
      <c r="AM1009" t="s">
        <v>90</v>
      </c>
      <c r="AN1009" t="s">
        <v>81</v>
      </c>
      <c r="AO1009" t="s">
        <v>82</v>
      </c>
      <c r="AP1009" t="s">
        <v>90</v>
      </c>
      <c r="AQ1009" t="s">
        <v>90</v>
      </c>
      <c r="AR1009" t="s">
        <v>90</v>
      </c>
      <c r="AS1009" t="s">
        <v>90</v>
      </c>
      <c r="AT1009" t="s">
        <v>90</v>
      </c>
      <c r="AU1009" t="s">
        <v>88</v>
      </c>
      <c r="AV1009" t="s">
        <v>89</v>
      </c>
      <c r="AW1009" t="s">
        <v>100</v>
      </c>
      <c r="AZ1009" t="s">
        <v>107</v>
      </c>
      <c r="BA1009" t="s">
        <v>86</v>
      </c>
      <c r="BB1009" t="s">
        <v>74</v>
      </c>
      <c r="BC1009" t="s">
        <v>86</v>
      </c>
      <c r="BD1009" t="s">
        <v>87</v>
      </c>
      <c r="BE1009" t="s">
        <v>74</v>
      </c>
      <c r="BF1009" t="s">
        <v>97</v>
      </c>
      <c r="BG1009" t="s">
        <v>76</v>
      </c>
      <c r="BH1009" t="s">
        <v>98</v>
      </c>
      <c r="BI1009" t="s">
        <v>107</v>
      </c>
      <c r="BJ1009" t="s">
        <v>78</v>
      </c>
      <c r="BK1009">
        <v>0</v>
      </c>
      <c r="BL1009">
        <v>0</v>
      </c>
      <c r="BM1009">
        <v>0</v>
      </c>
      <c r="BN1009">
        <v>0</v>
      </c>
      <c r="BO1009">
        <v>0</v>
      </c>
      <c r="BP1009">
        <v>1</v>
      </c>
      <c r="BQ1009">
        <v>0</v>
      </c>
      <c r="BR1009">
        <v>0</v>
      </c>
    </row>
    <row r="1010" spans="1:70" x14ac:dyDescent="0.2">
      <c r="A1010" s="1">
        <v>44579.875</v>
      </c>
      <c r="B1010" s="1">
        <v>44579.878472222219</v>
      </c>
      <c r="C1010">
        <v>0</v>
      </c>
      <c r="D1010">
        <v>1</v>
      </c>
      <c r="E1010">
        <v>0</v>
      </c>
      <c r="F1010">
        <v>0</v>
      </c>
      <c r="H1010">
        <v>0</v>
      </c>
      <c r="I1010">
        <v>0</v>
      </c>
      <c r="J1010">
        <v>1</v>
      </c>
      <c r="K1010">
        <v>1</v>
      </c>
      <c r="L1010">
        <v>0</v>
      </c>
      <c r="N1010" t="s">
        <v>88</v>
      </c>
      <c r="O1010" t="s">
        <v>89</v>
      </c>
      <c r="P1010">
        <v>0</v>
      </c>
      <c r="Q1010">
        <v>1</v>
      </c>
      <c r="R1010">
        <v>0</v>
      </c>
      <c r="S1010">
        <v>0</v>
      </c>
      <c r="T1010">
        <v>0</v>
      </c>
      <c r="U1010">
        <v>0</v>
      </c>
      <c r="V1010">
        <v>0</v>
      </c>
      <c r="W1010">
        <v>0</v>
      </c>
      <c r="X1010">
        <v>0</v>
      </c>
      <c r="Y1010">
        <v>0</v>
      </c>
      <c r="Z1010">
        <v>0</v>
      </c>
      <c r="AA1010">
        <v>0</v>
      </c>
      <c r="AM1010" t="s">
        <v>90</v>
      </c>
      <c r="AN1010" t="s">
        <v>82</v>
      </c>
      <c r="AO1010" t="s">
        <v>81</v>
      </c>
      <c r="AP1010" t="s">
        <v>90</v>
      </c>
      <c r="AQ1010" t="s">
        <v>90</v>
      </c>
      <c r="AR1010" t="s">
        <v>90</v>
      </c>
      <c r="AS1010" t="s">
        <v>90</v>
      </c>
      <c r="AT1010" t="s">
        <v>90</v>
      </c>
      <c r="AU1010" t="s">
        <v>84</v>
      </c>
      <c r="AV1010" t="s">
        <v>80</v>
      </c>
      <c r="AW1010" t="s">
        <v>100</v>
      </c>
      <c r="AX1010" t="s">
        <v>199</v>
      </c>
      <c r="AZ1010" t="s">
        <v>107</v>
      </c>
      <c r="BA1010" t="s">
        <v>87</v>
      </c>
      <c r="BB1010" t="s">
        <v>86</v>
      </c>
      <c r="BC1010" t="s">
        <v>87</v>
      </c>
      <c r="BD1010" t="s">
        <v>87</v>
      </c>
      <c r="BE1010" t="s">
        <v>86</v>
      </c>
      <c r="BF1010" t="s">
        <v>75</v>
      </c>
      <c r="BG1010" t="s">
        <v>76</v>
      </c>
      <c r="BH1010" t="s">
        <v>98</v>
      </c>
      <c r="BI1010" t="s">
        <v>107</v>
      </c>
      <c r="BJ1010" t="s">
        <v>94</v>
      </c>
      <c r="BK1010">
        <v>0</v>
      </c>
      <c r="BL1010">
        <v>0</v>
      </c>
      <c r="BM1010">
        <v>0</v>
      </c>
      <c r="BN1010">
        <v>0</v>
      </c>
      <c r="BO1010">
        <v>0</v>
      </c>
      <c r="BP1010">
        <v>1</v>
      </c>
      <c r="BQ1010">
        <v>0</v>
      </c>
      <c r="BR1010">
        <v>0</v>
      </c>
    </row>
    <row r="1011" spans="1:70" x14ac:dyDescent="0.2">
      <c r="A1011" s="1">
        <v>44579.884027777778</v>
      </c>
      <c r="B1011" s="1">
        <v>44585.609722222223</v>
      </c>
      <c r="C1011">
        <v>0</v>
      </c>
      <c r="D1011">
        <v>1</v>
      </c>
      <c r="E1011">
        <v>0</v>
      </c>
      <c r="F1011">
        <v>0</v>
      </c>
      <c r="H1011">
        <v>0</v>
      </c>
      <c r="I1011">
        <v>1</v>
      </c>
      <c r="J1011">
        <v>0</v>
      </c>
      <c r="K1011">
        <v>0</v>
      </c>
      <c r="L1011">
        <v>0</v>
      </c>
      <c r="N1011" t="s">
        <v>135</v>
      </c>
      <c r="O1011" t="s">
        <v>89</v>
      </c>
      <c r="P1011">
        <v>0</v>
      </c>
      <c r="Q1011">
        <v>1</v>
      </c>
      <c r="R1011">
        <v>0</v>
      </c>
      <c r="S1011">
        <v>0</v>
      </c>
      <c r="T1011">
        <v>0</v>
      </c>
      <c r="U1011">
        <v>0</v>
      </c>
      <c r="V1011">
        <v>0</v>
      </c>
      <c r="W1011">
        <v>0</v>
      </c>
      <c r="X1011">
        <v>0</v>
      </c>
      <c r="Y1011">
        <v>0</v>
      </c>
      <c r="Z1011">
        <v>0</v>
      </c>
      <c r="AA1011">
        <v>0</v>
      </c>
      <c r="AM1011" t="s">
        <v>83</v>
      </c>
      <c r="AN1011" t="s">
        <v>82</v>
      </c>
      <c r="AO1011" t="s">
        <v>90</v>
      </c>
      <c r="AP1011" t="s">
        <v>90</v>
      </c>
      <c r="AQ1011" t="s">
        <v>82</v>
      </c>
      <c r="AR1011" t="s">
        <v>83</v>
      </c>
      <c r="AS1011" t="s">
        <v>81</v>
      </c>
      <c r="AT1011" t="s">
        <v>83</v>
      </c>
      <c r="AU1011" t="s">
        <v>135</v>
      </c>
      <c r="AV1011" t="s">
        <v>89</v>
      </c>
      <c r="AW1011" t="s">
        <v>85</v>
      </c>
      <c r="AX1011" t="s">
        <v>106</v>
      </c>
      <c r="AZ1011" t="s">
        <v>120</v>
      </c>
      <c r="BA1011" t="s">
        <v>86</v>
      </c>
      <c r="BB1011" t="s">
        <v>87</v>
      </c>
      <c r="BC1011" t="s">
        <v>74</v>
      </c>
      <c r="BD1011" t="s">
        <v>74</v>
      </c>
      <c r="BE1011" t="s">
        <v>74</v>
      </c>
      <c r="BF1011" t="s">
        <v>75</v>
      </c>
      <c r="BG1011" t="s">
        <v>76</v>
      </c>
      <c r="BH1011" t="s">
        <v>77</v>
      </c>
      <c r="BI1011" t="s">
        <v>120</v>
      </c>
      <c r="BJ1011" t="s">
        <v>78</v>
      </c>
      <c r="BK1011">
        <v>0</v>
      </c>
      <c r="BL1011">
        <v>0</v>
      </c>
      <c r="BM1011">
        <v>0</v>
      </c>
      <c r="BN1011">
        <v>0</v>
      </c>
      <c r="BO1011">
        <v>0</v>
      </c>
      <c r="BP1011">
        <v>1</v>
      </c>
      <c r="BQ1011">
        <v>0</v>
      </c>
      <c r="BR1011">
        <v>0</v>
      </c>
    </row>
    <row r="1012" spans="1:70" x14ac:dyDescent="0.2">
      <c r="A1012" s="1">
        <v>44588.334722222222</v>
      </c>
      <c r="B1012" s="1">
        <v>44588.336805555555</v>
      </c>
      <c r="C1012">
        <v>1</v>
      </c>
      <c r="D1012">
        <v>0</v>
      </c>
      <c r="E1012">
        <v>0</v>
      </c>
      <c r="F1012">
        <v>0</v>
      </c>
      <c r="H1012">
        <v>1</v>
      </c>
      <c r="I1012">
        <v>0</v>
      </c>
      <c r="J1012">
        <v>0</v>
      </c>
      <c r="K1012">
        <v>0</v>
      </c>
      <c r="L1012">
        <v>0</v>
      </c>
      <c r="P1012">
        <v>0</v>
      </c>
      <c r="Q1012">
        <v>1</v>
      </c>
      <c r="R1012">
        <v>0</v>
      </c>
      <c r="S1012">
        <v>0</v>
      </c>
      <c r="T1012">
        <v>0</v>
      </c>
      <c r="U1012">
        <v>0</v>
      </c>
      <c r="V1012">
        <v>0</v>
      </c>
      <c r="W1012">
        <v>0</v>
      </c>
      <c r="X1012">
        <v>0</v>
      </c>
      <c r="Y1012">
        <v>0</v>
      </c>
      <c r="Z1012">
        <v>0</v>
      </c>
      <c r="AA1012">
        <v>0</v>
      </c>
      <c r="AM1012" t="s">
        <v>83</v>
      </c>
      <c r="AN1012" t="s">
        <v>82</v>
      </c>
      <c r="AO1012" t="s">
        <v>81</v>
      </c>
      <c r="AP1012" t="s">
        <v>81</v>
      </c>
      <c r="AQ1012" t="s">
        <v>83</v>
      </c>
      <c r="AR1012" t="s">
        <v>83</v>
      </c>
      <c r="AS1012" t="s">
        <v>90</v>
      </c>
      <c r="AT1012" t="s">
        <v>83</v>
      </c>
      <c r="AU1012" t="s">
        <v>88</v>
      </c>
      <c r="AV1012" t="s">
        <v>89</v>
      </c>
      <c r="AW1012" t="s">
        <v>100</v>
      </c>
      <c r="AX1012" t="s">
        <v>72</v>
      </c>
      <c r="AZ1012" t="s">
        <v>107</v>
      </c>
      <c r="BA1012" t="s">
        <v>74</v>
      </c>
      <c r="BF1012" t="s">
        <v>75</v>
      </c>
      <c r="BG1012" t="s">
        <v>76</v>
      </c>
      <c r="BH1012" t="s">
        <v>93</v>
      </c>
      <c r="BI1012" t="s">
        <v>107</v>
      </c>
      <c r="BJ1012" t="s">
        <v>78</v>
      </c>
      <c r="BK1012">
        <v>0</v>
      </c>
      <c r="BL1012">
        <v>0</v>
      </c>
      <c r="BM1012">
        <v>0</v>
      </c>
      <c r="BN1012">
        <v>0</v>
      </c>
      <c r="BO1012">
        <v>1</v>
      </c>
      <c r="BP1012">
        <v>0</v>
      </c>
      <c r="BQ1012">
        <v>0</v>
      </c>
      <c r="BR1012">
        <v>0</v>
      </c>
    </row>
    <row r="1013" spans="1:70" x14ac:dyDescent="0.2">
      <c r="A1013" s="1">
        <v>44589.51458333333</v>
      </c>
      <c r="B1013" s="1">
        <v>44589.51666666667</v>
      </c>
      <c r="C1013">
        <v>0</v>
      </c>
      <c r="D1013">
        <v>1</v>
      </c>
      <c r="E1013">
        <v>0</v>
      </c>
      <c r="F1013">
        <v>0</v>
      </c>
      <c r="H1013">
        <v>0</v>
      </c>
      <c r="I1013">
        <v>0</v>
      </c>
      <c r="J1013">
        <v>0</v>
      </c>
      <c r="K1013">
        <v>0</v>
      </c>
      <c r="L1013">
        <v>1</v>
      </c>
      <c r="M1013" t="s">
        <v>455</v>
      </c>
      <c r="N1013" t="s">
        <v>88</v>
      </c>
      <c r="O1013" t="s">
        <v>89</v>
      </c>
      <c r="P1013">
        <v>1</v>
      </c>
      <c r="Q1013">
        <v>0</v>
      </c>
      <c r="R1013">
        <v>0</v>
      </c>
      <c r="S1013">
        <v>0</v>
      </c>
      <c r="T1013">
        <v>0</v>
      </c>
      <c r="U1013">
        <v>0</v>
      </c>
      <c r="V1013">
        <v>0</v>
      </c>
      <c r="W1013">
        <v>0</v>
      </c>
      <c r="X1013">
        <v>0</v>
      </c>
      <c r="Y1013">
        <v>0</v>
      </c>
      <c r="Z1013">
        <v>0</v>
      </c>
      <c r="AA1013">
        <v>0</v>
      </c>
      <c r="AC1013">
        <v>0</v>
      </c>
      <c r="AD1013">
        <v>1</v>
      </c>
      <c r="AE1013">
        <v>0</v>
      </c>
      <c r="AF1013">
        <v>0</v>
      </c>
      <c r="AG1013">
        <v>0</v>
      </c>
      <c r="AH1013">
        <v>0</v>
      </c>
      <c r="AI1013">
        <v>0</v>
      </c>
      <c r="AJ1013">
        <v>0</v>
      </c>
      <c r="AK1013">
        <v>0</v>
      </c>
      <c r="AX1013" t="s">
        <v>146</v>
      </c>
      <c r="AZ1013" t="s">
        <v>107</v>
      </c>
      <c r="BA1013" t="s">
        <v>86</v>
      </c>
      <c r="BB1013" t="s">
        <v>87</v>
      </c>
      <c r="BC1013" t="s">
        <v>74</v>
      </c>
      <c r="BD1013" t="s">
        <v>87</v>
      </c>
      <c r="BE1013" t="s">
        <v>74</v>
      </c>
      <c r="BF1013" t="s">
        <v>75</v>
      </c>
      <c r="BG1013" t="s">
        <v>92</v>
      </c>
      <c r="BH1013" t="s">
        <v>77</v>
      </c>
      <c r="BI1013" t="s">
        <v>107</v>
      </c>
      <c r="BJ1013" t="s">
        <v>129</v>
      </c>
      <c r="BK1013">
        <v>0</v>
      </c>
      <c r="BL1013">
        <v>0</v>
      </c>
      <c r="BM1013">
        <v>0</v>
      </c>
      <c r="BN1013">
        <v>0</v>
      </c>
      <c r="BO1013">
        <v>0</v>
      </c>
      <c r="BP1013">
        <v>1</v>
      </c>
      <c r="BQ1013">
        <v>0</v>
      </c>
      <c r="BR1013">
        <v>0</v>
      </c>
    </row>
    <row r="1014" spans="1:70" x14ac:dyDescent="0.2">
      <c r="A1014" s="1">
        <v>44579.960416666669</v>
      </c>
      <c r="B1014" s="1">
        <v>44579.961805555555</v>
      </c>
      <c r="C1014">
        <v>0</v>
      </c>
      <c r="D1014">
        <v>1</v>
      </c>
      <c r="E1014">
        <v>0</v>
      </c>
      <c r="F1014">
        <v>0</v>
      </c>
      <c r="H1014">
        <v>0</v>
      </c>
      <c r="I1014">
        <v>0</v>
      </c>
      <c r="J1014">
        <v>0</v>
      </c>
      <c r="K1014">
        <v>0</v>
      </c>
      <c r="L1014">
        <v>1</v>
      </c>
      <c r="M1014" t="s">
        <v>456</v>
      </c>
      <c r="N1014" t="s">
        <v>88</v>
      </c>
      <c r="O1014" t="s">
        <v>89</v>
      </c>
      <c r="P1014">
        <v>1</v>
      </c>
      <c r="Q1014">
        <v>0</v>
      </c>
      <c r="R1014">
        <v>0</v>
      </c>
      <c r="S1014">
        <v>0</v>
      </c>
      <c r="T1014">
        <v>0</v>
      </c>
      <c r="U1014">
        <v>0</v>
      </c>
      <c r="V1014">
        <v>0</v>
      </c>
      <c r="W1014">
        <v>0</v>
      </c>
      <c r="X1014">
        <v>0</v>
      </c>
      <c r="Y1014">
        <v>0</v>
      </c>
      <c r="Z1014">
        <v>0</v>
      </c>
      <c r="AA1014">
        <v>0</v>
      </c>
      <c r="AC1014">
        <v>0</v>
      </c>
      <c r="AD1014">
        <v>0</v>
      </c>
      <c r="AE1014">
        <v>1</v>
      </c>
      <c r="AF1014">
        <v>0</v>
      </c>
      <c r="AG1014">
        <v>0</v>
      </c>
      <c r="AH1014">
        <v>0</v>
      </c>
      <c r="AI1014">
        <v>0</v>
      </c>
      <c r="AJ1014">
        <v>0</v>
      </c>
      <c r="AK1014">
        <v>0</v>
      </c>
      <c r="AZ1014" t="s">
        <v>73</v>
      </c>
      <c r="BA1014" t="s">
        <v>86</v>
      </c>
      <c r="BB1014" t="s">
        <v>87</v>
      </c>
      <c r="BC1014" t="s">
        <v>74</v>
      </c>
      <c r="BD1014" t="s">
        <v>74</v>
      </c>
      <c r="BE1014" t="s">
        <v>86</v>
      </c>
      <c r="BF1014" t="s">
        <v>101</v>
      </c>
      <c r="BG1014" t="s">
        <v>76</v>
      </c>
      <c r="BH1014" t="s">
        <v>77</v>
      </c>
      <c r="BI1014" t="s">
        <v>73</v>
      </c>
      <c r="BJ1014" t="s">
        <v>78</v>
      </c>
      <c r="BK1014">
        <v>0</v>
      </c>
      <c r="BL1014">
        <v>0</v>
      </c>
      <c r="BM1014">
        <v>0</v>
      </c>
      <c r="BN1014">
        <v>0</v>
      </c>
      <c r="BO1014">
        <v>0</v>
      </c>
      <c r="BP1014">
        <v>1</v>
      </c>
      <c r="BQ1014">
        <v>0</v>
      </c>
      <c r="BR1014">
        <v>0</v>
      </c>
    </row>
    <row r="1015" spans="1:70" x14ac:dyDescent="0.2">
      <c r="A1015" s="1">
        <v>44581.222222222219</v>
      </c>
      <c r="B1015" s="1">
        <v>44581.223611111112</v>
      </c>
      <c r="C1015">
        <v>1</v>
      </c>
      <c r="D1015">
        <v>0</v>
      </c>
      <c r="E1015">
        <v>0</v>
      </c>
      <c r="F1015">
        <v>0</v>
      </c>
      <c r="H1015">
        <v>0</v>
      </c>
      <c r="I1015">
        <v>0</v>
      </c>
      <c r="J1015">
        <v>1</v>
      </c>
      <c r="K1015">
        <v>0</v>
      </c>
      <c r="L1015">
        <v>0</v>
      </c>
      <c r="N1015" t="s">
        <v>79</v>
      </c>
      <c r="O1015" t="s">
        <v>80</v>
      </c>
      <c r="P1015">
        <v>1</v>
      </c>
      <c r="Q1015">
        <v>0</v>
      </c>
      <c r="R1015">
        <v>0</v>
      </c>
      <c r="S1015">
        <v>0</v>
      </c>
      <c r="T1015">
        <v>0</v>
      </c>
      <c r="U1015">
        <v>0</v>
      </c>
      <c r="V1015">
        <v>0</v>
      </c>
      <c r="W1015">
        <v>0</v>
      </c>
      <c r="X1015">
        <v>0</v>
      </c>
      <c r="Y1015">
        <v>0</v>
      </c>
      <c r="Z1015">
        <v>0</v>
      </c>
      <c r="AA1015">
        <v>0</v>
      </c>
      <c r="AC1015">
        <v>0</v>
      </c>
      <c r="AD1015">
        <v>0</v>
      </c>
      <c r="AE1015">
        <v>0</v>
      </c>
      <c r="AF1015">
        <v>0</v>
      </c>
      <c r="AG1015">
        <v>0</v>
      </c>
      <c r="AH1015">
        <v>0</v>
      </c>
      <c r="AI1015">
        <v>1</v>
      </c>
      <c r="AJ1015">
        <v>0</v>
      </c>
      <c r="AK1015">
        <v>0</v>
      </c>
      <c r="AX1015" t="s">
        <v>146</v>
      </c>
      <c r="AZ1015" t="s">
        <v>107</v>
      </c>
      <c r="BA1015" t="s">
        <v>74</v>
      </c>
      <c r="BF1015" t="s">
        <v>75</v>
      </c>
      <c r="BG1015" t="s">
        <v>76</v>
      </c>
      <c r="BH1015" t="s">
        <v>77</v>
      </c>
      <c r="BI1015" t="s">
        <v>107</v>
      </c>
      <c r="BJ1015" t="s">
        <v>114</v>
      </c>
      <c r="BK1015">
        <v>0</v>
      </c>
      <c r="BL1015">
        <v>0</v>
      </c>
      <c r="BM1015">
        <v>0</v>
      </c>
      <c r="BN1015">
        <v>0</v>
      </c>
      <c r="BO1015">
        <v>0</v>
      </c>
      <c r="BP1015">
        <v>1</v>
      </c>
      <c r="BQ1015">
        <v>0</v>
      </c>
      <c r="BR1015">
        <v>0</v>
      </c>
    </row>
    <row r="1016" spans="1:70" x14ac:dyDescent="0.2">
      <c r="A1016" s="1">
        <v>44579.878472222219</v>
      </c>
      <c r="B1016" s="1">
        <v>44579.879166666666</v>
      </c>
      <c r="C1016">
        <v>1</v>
      </c>
      <c r="D1016">
        <v>0</v>
      </c>
      <c r="E1016">
        <v>0</v>
      </c>
      <c r="F1016">
        <v>0</v>
      </c>
      <c r="H1016">
        <v>1</v>
      </c>
      <c r="I1016">
        <v>0</v>
      </c>
      <c r="J1016">
        <v>0</v>
      </c>
      <c r="K1016">
        <v>0</v>
      </c>
      <c r="L1016">
        <v>0</v>
      </c>
      <c r="P1016">
        <v>1</v>
      </c>
      <c r="Q1016">
        <v>0</v>
      </c>
      <c r="R1016">
        <v>0</v>
      </c>
      <c r="S1016">
        <v>0</v>
      </c>
      <c r="T1016">
        <v>0</v>
      </c>
      <c r="U1016">
        <v>0</v>
      </c>
      <c r="V1016">
        <v>0</v>
      </c>
      <c r="W1016">
        <v>0</v>
      </c>
      <c r="X1016">
        <v>0</v>
      </c>
      <c r="Y1016">
        <v>0</v>
      </c>
      <c r="Z1016">
        <v>0</v>
      </c>
      <c r="AA1016">
        <v>0</v>
      </c>
      <c r="AC1016">
        <v>0</v>
      </c>
      <c r="AD1016">
        <v>0</v>
      </c>
      <c r="AE1016">
        <v>0</v>
      </c>
      <c r="AF1016">
        <v>0</v>
      </c>
      <c r="AG1016">
        <v>0</v>
      </c>
      <c r="AH1016">
        <v>0</v>
      </c>
      <c r="AI1016">
        <v>1</v>
      </c>
      <c r="AJ1016">
        <v>0</v>
      </c>
      <c r="AK1016">
        <v>0</v>
      </c>
      <c r="AX1016" t="s">
        <v>146</v>
      </c>
      <c r="AZ1016" t="s">
        <v>120</v>
      </c>
      <c r="BA1016" t="s">
        <v>74</v>
      </c>
      <c r="BF1016" t="s">
        <v>75</v>
      </c>
      <c r="BG1016" t="s">
        <v>76</v>
      </c>
      <c r="BH1016" t="s">
        <v>77</v>
      </c>
      <c r="BI1016" t="s">
        <v>120</v>
      </c>
      <c r="BJ1016" t="s">
        <v>147</v>
      </c>
      <c r="BK1016">
        <v>0</v>
      </c>
      <c r="BL1016">
        <v>0</v>
      </c>
      <c r="BM1016">
        <v>0</v>
      </c>
      <c r="BN1016">
        <v>0</v>
      </c>
      <c r="BO1016">
        <v>0</v>
      </c>
      <c r="BP1016">
        <v>1</v>
      </c>
      <c r="BQ1016">
        <v>0</v>
      </c>
      <c r="BR1016">
        <v>0</v>
      </c>
    </row>
    <row r="1017" spans="1:70" x14ac:dyDescent="0.2">
      <c r="A1017" s="1">
        <v>44579.899305555555</v>
      </c>
      <c r="B1017" s="1">
        <v>44579.9</v>
      </c>
      <c r="C1017">
        <v>1</v>
      </c>
      <c r="D1017">
        <v>0</v>
      </c>
      <c r="E1017">
        <v>0</v>
      </c>
      <c r="F1017">
        <v>0</v>
      </c>
      <c r="H1017">
        <v>1</v>
      </c>
      <c r="I1017">
        <v>0</v>
      </c>
      <c r="J1017">
        <v>0</v>
      </c>
      <c r="K1017">
        <v>0</v>
      </c>
      <c r="L1017">
        <v>0</v>
      </c>
      <c r="P1017">
        <v>1</v>
      </c>
      <c r="Q1017">
        <v>0</v>
      </c>
      <c r="R1017">
        <v>0</v>
      </c>
      <c r="S1017">
        <v>0</v>
      </c>
      <c r="T1017">
        <v>0</v>
      </c>
      <c r="U1017">
        <v>0</v>
      </c>
      <c r="V1017">
        <v>0</v>
      </c>
      <c r="W1017">
        <v>0</v>
      </c>
      <c r="X1017">
        <v>0</v>
      </c>
      <c r="Y1017">
        <v>0</v>
      </c>
      <c r="Z1017">
        <v>0</v>
      </c>
      <c r="AA1017">
        <v>0</v>
      </c>
      <c r="AC1017">
        <v>0</v>
      </c>
      <c r="AD1017">
        <v>0</v>
      </c>
      <c r="AE1017">
        <v>0</v>
      </c>
      <c r="AF1017">
        <v>0</v>
      </c>
      <c r="AG1017">
        <v>0</v>
      </c>
      <c r="AH1017">
        <v>0</v>
      </c>
      <c r="AI1017">
        <v>0</v>
      </c>
      <c r="AJ1017">
        <v>1</v>
      </c>
      <c r="AK1017">
        <v>0</v>
      </c>
      <c r="AX1017" t="s">
        <v>118</v>
      </c>
      <c r="AZ1017" t="s">
        <v>73</v>
      </c>
      <c r="BA1017" t="s">
        <v>74</v>
      </c>
      <c r="BF1017" t="s">
        <v>75</v>
      </c>
      <c r="BG1017" t="s">
        <v>76</v>
      </c>
      <c r="BH1017" t="s">
        <v>77</v>
      </c>
      <c r="BI1017" t="s">
        <v>73</v>
      </c>
      <c r="BJ1017" t="s">
        <v>174</v>
      </c>
      <c r="BK1017">
        <v>0</v>
      </c>
      <c r="BL1017">
        <v>0</v>
      </c>
      <c r="BM1017">
        <v>0</v>
      </c>
      <c r="BN1017">
        <v>0</v>
      </c>
      <c r="BO1017">
        <v>0</v>
      </c>
      <c r="BP1017">
        <v>1</v>
      </c>
      <c r="BQ1017">
        <v>0</v>
      </c>
      <c r="BR1017">
        <v>0</v>
      </c>
    </row>
    <row r="1018" spans="1:70" x14ac:dyDescent="0.2">
      <c r="A1018" s="1">
        <v>44580.527777777781</v>
      </c>
      <c r="B1018" s="1">
        <v>44580.52847222222</v>
      </c>
      <c r="C1018">
        <v>1</v>
      </c>
      <c r="D1018">
        <v>0</v>
      </c>
      <c r="E1018">
        <v>0</v>
      </c>
      <c r="F1018">
        <v>0</v>
      </c>
      <c r="H1018">
        <v>1</v>
      </c>
      <c r="I1018">
        <v>0</v>
      </c>
      <c r="J1018">
        <v>0</v>
      </c>
      <c r="K1018">
        <v>0</v>
      </c>
      <c r="L1018">
        <v>0</v>
      </c>
      <c r="P1018">
        <v>0</v>
      </c>
      <c r="Q1018">
        <v>1</v>
      </c>
      <c r="R1018">
        <v>0</v>
      </c>
      <c r="S1018">
        <v>0</v>
      </c>
      <c r="T1018">
        <v>0</v>
      </c>
      <c r="U1018">
        <v>0</v>
      </c>
      <c r="V1018">
        <v>0</v>
      </c>
      <c r="W1018">
        <v>0</v>
      </c>
      <c r="X1018">
        <v>0</v>
      </c>
      <c r="Y1018">
        <v>0</v>
      </c>
      <c r="Z1018">
        <v>0</v>
      </c>
      <c r="AA1018">
        <v>0</v>
      </c>
      <c r="AM1018" t="s">
        <v>83</v>
      </c>
      <c r="AN1018" t="s">
        <v>83</v>
      </c>
      <c r="AO1018" t="s">
        <v>83</v>
      </c>
      <c r="AP1018" t="s">
        <v>83</v>
      </c>
      <c r="AQ1018" t="s">
        <v>82</v>
      </c>
      <c r="AR1018" t="s">
        <v>83</v>
      </c>
      <c r="AS1018" t="s">
        <v>90</v>
      </c>
      <c r="AT1018" t="s">
        <v>83</v>
      </c>
      <c r="AU1018" t="s">
        <v>127</v>
      </c>
      <c r="AV1018" t="s">
        <v>127</v>
      </c>
      <c r="AX1018" t="s">
        <v>72</v>
      </c>
      <c r="AZ1018" t="s">
        <v>96</v>
      </c>
      <c r="BA1018" t="s">
        <v>74</v>
      </c>
      <c r="BF1018" t="s">
        <v>75</v>
      </c>
      <c r="BG1018" t="s">
        <v>76</v>
      </c>
      <c r="BH1018" t="s">
        <v>93</v>
      </c>
      <c r="BI1018" t="s">
        <v>96</v>
      </c>
      <c r="BJ1018" t="s">
        <v>78</v>
      </c>
      <c r="BK1018">
        <v>0</v>
      </c>
      <c r="BL1018">
        <v>0</v>
      </c>
      <c r="BM1018">
        <v>0</v>
      </c>
      <c r="BN1018">
        <v>0</v>
      </c>
      <c r="BO1018">
        <v>0</v>
      </c>
      <c r="BP1018">
        <v>0</v>
      </c>
      <c r="BQ1018">
        <v>0</v>
      </c>
      <c r="BR1018">
        <v>1</v>
      </c>
    </row>
    <row r="1019" spans="1:70" x14ac:dyDescent="0.2">
      <c r="A1019" s="1">
        <v>44585.884027777778</v>
      </c>
      <c r="B1019" s="1">
        <v>44585.885416666664</v>
      </c>
      <c r="C1019">
        <v>1</v>
      </c>
      <c r="D1019">
        <v>0</v>
      </c>
      <c r="E1019">
        <v>0</v>
      </c>
      <c r="F1019">
        <v>0</v>
      </c>
      <c r="H1019">
        <v>1</v>
      </c>
      <c r="I1019">
        <v>0</v>
      </c>
      <c r="J1019">
        <v>0</v>
      </c>
      <c r="K1019">
        <v>0</v>
      </c>
      <c r="L1019">
        <v>0</v>
      </c>
      <c r="P1019">
        <v>0</v>
      </c>
      <c r="Q1019">
        <v>0</v>
      </c>
      <c r="R1019">
        <v>0</v>
      </c>
      <c r="S1019">
        <v>1</v>
      </c>
      <c r="T1019">
        <v>0</v>
      </c>
      <c r="U1019">
        <v>0</v>
      </c>
      <c r="V1019">
        <v>0</v>
      </c>
      <c r="W1019">
        <v>0</v>
      </c>
      <c r="X1019">
        <v>0</v>
      </c>
      <c r="Y1019">
        <v>0</v>
      </c>
      <c r="Z1019">
        <v>0</v>
      </c>
      <c r="AA1019">
        <v>0</v>
      </c>
      <c r="AM1019" t="s">
        <v>83</v>
      </c>
      <c r="AN1019" t="s">
        <v>83</v>
      </c>
      <c r="AO1019" t="s">
        <v>83</v>
      </c>
      <c r="AP1019" t="s">
        <v>81</v>
      </c>
      <c r="AQ1019" t="s">
        <v>83</v>
      </c>
      <c r="AR1019" t="s">
        <v>83</v>
      </c>
      <c r="AS1019" t="s">
        <v>83</v>
      </c>
      <c r="AT1019" t="s">
        <v>83</v>
      </c>
      <c r="AU1019" t="s">
        <v>135</v>
      </c>
      <c r="AV1019" t="s">
        <v>80</v>
      </c>
      <c r="AW1019" t="s">
        <v>85</v>
      </c>
      <c r="AX1019" t="s">
        <v>146</v>
      </c>
      <c r="AZ1019" t="s">
        <v>73</v>
      </c>
      <c r="BA1019" t="s">
        <v>87</v>
      </c>
      <c r="BB1019" t="s">
        <v>87</v>
      </c>
      <c r="BC1019" t="s">
        <v>86</v>
      </c>
      <c r="BD1019" t="s">
        <v>87</v>
      </c>
      <c r="BE1019" t="s">
        <v>74</v>
      </c>
      <c r="BF1019" t="s">
        <v>75</v>
      </c>
      <c r="BG1019" t="s">
        <v>92</v>
      </c>
      <c r="BH1019" t="s">
        <v>77</v>
      </c>
      <c r="BI1019" t="s">
        <v>73</v>
      </c>
      <c r="BJ1019" t="s">
        <v>78</v>
      </c>
      <c r="BK1019">
        <v>0</v>
      </c>
      <c r="BL1019">
        <v>0</v>
      </c>
      <c r="BM1019">
        <v>0</v>
      </c>
      <c r="BN1019">
        <v>0</v>
      </c>
      <c r="BO1019">
        <v>0</v>
      </c>
      <c r="BP1019">
        <v>1</v>
      </c>
      <c r="BQ1019">
        <v>0</v>
      </c>
      <c r="BR1019">
        <v>0</v>
      </c>
    </row>
    <row r="1020" spans="1:70" x14ac:dyDescent="0.2">
      <c r="A1020" s="1">
        <v>44580.541666666664</v>
      </c>
      <c r="B1020" s="1">
        <v>44580.543749999997</v>
      </c>
      <c r="C1020">
        <v>1</v>
      </c>
      <c r="D1020">
        <v>0</v>
      </c>
      <c r="E1020">
        <v>0</v>
      </c>
      <c r="F1020">
        <v>0</v>
      </c>
      <c r="H1020">
        <v>0</v>
      </c>
      <c r="I1020">
        <v>1</v>
      </c>
      <c r="J1020">
        <v>0</v>
      </c>
      <c r="K1020">
        <v>0</v>
      </c>
      <c r="L1020">
        <v>0</v>
      </c>
      <c r="N1020" t="s">
        <v>88</v>
      </c>
      <c r="O1020" t="s">
        <v>89</v>
      </c>
      <c r="P1020">
        <v>1</v>
      </c>
      <c r="Q1020">
        <v>0</v>
      </c>
      <c r="R1020">
        <v>0</v>
      </c>
      <c r="S1020">
        <v>0</v>
      </c>
      <c r="T1020">
        <v>0</v>
      </c>
      <c r="U1020">
        <v>0</v>
      </c>
      <c r="V1020">
        <v>0</v>
      </c>
      <c r="W1020">
        <v>0</v>
      </c>
      <c r="X1020">
        <v>0</v>
      </c>
      <c r="Y1020">
        <v>0</v>
      </c>
      <c r="Z1020">
        <v>0</v>
      </c>
      <c r="AA1020">
        <v>0</v>
      </c>
      <c r="AC1020">
        <v>0</v>
      </c>
      <c r="AD1020">
        <v>0</v>
      </c>
      <c r="AE1020">
        <v>1</v>
      </c>
      <c r="AF1020">
        <v>0</v>
      </c>
      <c r="AG1020">
        <v>0</v>
      </c>
      <c r="AH1020">
        <v>0</v>
      </c>
      <c r="AI1020">
        <v>0</v>
      </c>
      <c r="AJ1020">
        <v>0</v>
      </c>
      <c r="AK1020">
        <v>0</v>
      </c>
      <c r="AX1020" t="s">
        <v>110</v>
      </c>
      <c r="AY1020" t="s">
        <v>282</v>
      </c>
      <c r="AZ1020" t="s">
        <v>107</v>
      </c>
      <c r="BA1020" t="s">
        <v>87</v>
      </c>
      <c r="BB1020" t="s">
        <v>87</v>
      </c>
      <c r="BC1020" t="s">
        <v>87</v>
      </c>
      <c r="BD1020" t="s">
        <v>87</v>
      </c>
      <c r="BE1020" t="s">
        <v>87</v>
      </c>
      <c r="BF1020" t="s">
        <v>75</v>
      </c>
      <c r="BG1020" t="s">
        <v>76</v>
      </c>
      <c r="BH1020" t="s">
        <v>77</v>
      </c>
      <c r="BI1020" t="s">
        <v>107</v>
      </c>
      <c r="BJ1020" t="s">
        <v>114</v>
      </c>
      <c r="BK1020">
        <v>0</v>
      </c>
      <c r="BL1020">
        <v>0</v>
      </c>
      <c r="BM1020">
        <v>0</v>
      </c>
      <c r="BN1020">
        <v>0</v>
      </c>
      <c r="BO1020">
        <v>0</v>
      </c>
      <c r="BP1020">
        <v>1</v>
      </c>
      <c r="BQ1020">
        <v>0</v>
      </c>
      <c r="BR1020">
        <v>0</v>
      </c>
    </row>
    <row r="1021" spans="1:70" x14ac:dyDescent="0.2">
      <c r="A1021" s="1">
        <v>44585.522222222222</v>
      </c>
      <c r="B1021" s="1">
        <v>44585.525694444441</v>
      </c>
      <c r="C1021">
        <v>1</v>
      </c>
      <c r="D1021">
        <v>0</v>
      </c>
      <c r="E1021">
        <v>0</v>
      </c>
      <c r="F1021">
        <v>0</v>
      </c>
      <c r="H1021">
        <v>1</v>
      </c>
      <c r="I1021">
        <v>0</v>
      </c>
      <c r="J1021">
        <v>0</v>
      </c>
      <c r="K1021">
        <v>0</v>
      </c>
      <c r="L1021">
        <v>0</v>
      </c>
      <c r="P1021">
        <v>0</v>
      </c>
      <c r="Q1021">
        <v>1</v>
      </c>
      <c r="R1021">
        <v>0</v>
      </c>
      <c r="S1021">
        <v>0</v>
      </c>
      <c r="T1021">
        <v>0</v>
      </c>
      <c r="U1021">
        <v>0</v>
      </c>
      <c r="V1021">
        <v>0</v>
      </c>
      <c r="W1021">
        <v>0</v>
      </c>
      <c r="X1021">
        <v>0</v>
      </c>
      <c r="Y1021">
        <v>0</v>
      </c>
      <c r="Z1021">
        <v>0</v>
      </c>
      <c r="AA1021">
        <v>0</v>
      </c>
      <c r="AM1021" t="s">
        <v>83</v>
      </c>
      <c r="AN1021" t="s">
        <v>83</v>
      </c>
      <c r="AO1021" t="s">
        <v>83</v>
      </c>
      <c r="AP1021" t="s">
        <v>83</v>
      </c>
      <c r="AQ1021" t="s">
        <v>82</v>
      </c>
      <c r="AR1021" t="s">
        <v>83</v>
      </c>
      <c r="AS1021" t="s">
        <v>81</v>
      </c>
      <c r="AT1021" t="s">
        <v>90</v>
      </c>
      <c r="AU1021" t="s">
        <v>127</v>
      </c>
      <c r="AV1021" t="s">
        <v>127</v>
      </c>
      <c r="AZ1021" t="s">
        <v>107</v>
      </c>
      <c r="BA1021" t="s">
        <v>86</v>
      </c>
      <c r="BB1021" t="s">
        <v>87</v>
      </c>
      <c r="BC1021" t="s">
        <v>87</v>
      </c>
      <c r="BD1021" t="s">
        <v>87</v>
      </c>
      <c r="BE1021" t="s">
        <v>86</v>
      </c>
      <c r="BF1021" t="s">
        <v>101</v>
      </c>
      <c r="BG1021" t="s">
        <v>76</v>
      </c>
      <c r="BH1021" t="s">
        <v>77</v>
      </c>
      <c r="BI1021" t="s">
        <v>107</v>
      </c>
      <c r="BJ1021" t="s">
        <v>109</v>
      </c>
      <c r="BK1021">
        <v>0</v>
      </c>
      <c r="BL1021">
        <v>0</v>
      </c>
      <c r="BM1021">
        <v>0</v>
      </c>
      <c r="BN1021">
        <v>0</v>
      </c>
      <c r="BO1021">
        <v>0</v>
      </c>
      <c r="BP1021">
        <v>1</v>
      </c>
      <c r="BQ1021">
        <v>0</v>
      </c>
      <c r="BR1021">
        <v>0</v>
      </c>
    </row>
    <row r="1022" spans="1:70" x14ac:dyDescent="0.2">
      <c r="A1022" s="1">
        <v>44579.914583333331</v>
      </c>
      <c r="B1022" s="1">
        <v>44579.915972222225</v>
      </c>
      <c r="C1022">
        <v>1</v>
      </c>
      <c r="D1022">
        <v>0</v>
      </c>
      <c r="E1022">
        <v>0</v>
      </c>
      <c r="F1022">
        <v>0</v>
      </c>
      <c r="H1022">
        <v>0</v>
      </c>
      <c r="I1022">
        <v>0</v>
      </c>
      <c r="J1022">
        <v>0</v>
      </c>
      <c r="K1022">
        <v>1</v>
      </c>
      <c r="L1022">
        <v>0</v>
      </c>
      <c r="N1022" t="s">
        <v>79</v>
      </c>
      <c r="O1022" t="s">
        <v>80</v>
      </c>
      <c r="P1022">
        <v>0</v>
      </c>
      <c r="Q1022">
        <v>1</v>
      </c>
      <c r="R1022">
        <v>1</v>
      </c>
      <c r="S1022">
        <v>0</v>
      </c>
      <c r="T1022">
        <v>0</v>
      </c>
      <c r="U1022">
        <v>0</v>
      </c>
      <c r="V1022">
        <v>0</v>
      </c>
      <c r="W1022">
        <v>0</v>
      </c>
      <c r="X1022">
        <v>0</v>
      </c>
      <c r="Y1022">
        <v>0</v>
      </c>
      <c r="Z1022">
        <v>0</v>
      </c>
      <c r="AA1022">
        <v>0</v>
      </c>
      <c r="AM1022" t="s">
        <v>83</v>
      </c>
      <c r="AN1022" t="s">
        <v>82</v>
      </c>
      <c r="AO1022" t="s">
        <v>90</v>
      </c>
      <c r="AP1022" t="s">
        <v>90</v>
      </c>
      <c r="AQ1022" t="s">
        <v>81</v>
      </c>
      <c r="AR1022" t="s">
        <v>81</v>
      </c>
      <c r="AS1022" t="s">
        <v>81</v>
      </c>
      <c r="AT1022" t="s">
        <v>83</v>
      </c>
      <c r="AU1022" t="s">
        <v>88</v>
      </c>
      <c r="AV1022" t="s">
        <v>80</v>
      </c>
      <c r="AW1022" t="s">
        <v>85</v>
      </c>
      <c r="AX1022" t="s">
        <v>199</v>
      </c>
      <c r="AZ1022" t="s">
        <v>96</v>
      </c>
      <c r="BA1022" t="s">
        <v>86</v>
      </c>
      <c r="BB1022" t="s">
        <v>74</v>
      </c>
      <c r="BC1022" t="s">
        <v>86</v>
      </c>
      <c r="BD1022" t="s">
        <v>86</v>
      </c>
      <c r="BE1022" t="s">
        <v>86</v>
      </c>
      <c r="BF1022" t="s">
        <v>75</v>
      </c>
      <c r="BG1022" t="s">
        <v>76</v>
      </c>
      <c r="BH1022" t="s">
        <v>77</v>
      </c>
      <c r="BI1022" t="s">
        <v>96</v>
      </c>
      <c r="BJ1022" t="s">
        <v>187</v>
      </c>
      <c r="BK1022">
        <v>0</v>
      </c>
      <c r="BL1022">
        <v>0</v>
      </c>
      <c r="BM1022">
        <v>0</v>
      </c>
      <c r="BN1022">
        <v>0</v>
      </c>
      <c r="BO1022">
        <v>0</v>
      </c>
      <c r="BP1022">
        <v>1</v>
      </c>
      <c r="BQ1022">
        <v>0</v>
      </c>
      <c r="BR1022">
        <v>0</v>
      </c>
    </row>
    <row r="1023" spans="1:70" x14ac:dyDescent="0.2">
      <c r="A1023" s="1">
        <v>44580.490972222222</v>
      </c>
      <c r="B1023" s="1">
        <v>44580.493055555555</v>
      </c>
      <c r="C1023">
        <v>1</v>
      </c>
      <c r="D1023">
        <v>0</v>
      </c>
      <c r="E1023">
        <v>0</v>
      </c>
      <c r="F1023">
        <v>0</v>
      </c>
      <c r="H1023">
        <v>0</v>
      </c>
      <c r="I1023">
        <v>0</v>
      </c>
      <c r="J1023">
        <v>0</v>
      </c>
      <c r="K1023">
        <v>0</v>
      </c>
      <c r="L1023">
        <v>1</v>
      </c>
      <c r="M1023" t="s">
        <v>457</v>
      </c>
      <c r="N1023" t="s">
        <v>135</v>
      </c>
      <c r="O1023" t="s">
        <v>80</v>
      </c>
      <c r="P1023">
        <v>1</v>
      </c>
      <c r="Q1023">
        <v>0</v>
      </c>
      <c r="R1023">
        <v>0</v>
      </c>
      <c r="S1023">
        <v>0</v>
      </c>
      <c r="T1023">
        <v>0</v>
      </c>
      <c r="U1023">
        <v>0</v>
      </c>
      <c r="V1023">
        <v>0</v>
      </c>
      <c r="W1023">
        <v>0</v>
      </c>
      <c r="X1023">
        <v>0</v>
      </c>
      <c r="Y1023">
        <v>0</v>
      </c>
      <c r="Z1023">
        <v>0</v>
      </c>
      <c r="AA1023">
        <v>0</v>
      </c>
      <c r="AC1023">
        <v>0</v>
      </c>
      <c r="AD1023">
        <v>0</v>
      </c>
      <c r="AE1023">
        <v>1</v>
      </c>
      <c r="AF1023">
        <v>1</v>
      </c>
      <c r="AG1023">
        <v>0</v>
      </c>
      <c r="AH1023">
        <v>0</v>
      </c>
      <c r="AI1023">
        <v>0</v>
      </c>
      <c r="AJ1023">
        <v>0</v>
      </c>
      <c r="AK1023">
        <v>0</v>
      </c>
      <c r="AZ1023" t="s">
        <v>73</v>
      </c>
      <c r="BA1023" t="s">
        <v>86</v>
      </c>
      <c r="BB1023" t="s">
        <v>87</v>
      </c>
      <c r="BC1023" t="s">
        <v>86</v>
      </c>
      <c r="BD1023" t="s">
        <v>87</v>
      </c>
      <c r="BE1023" t="s">
        <v>86</v>
      </c>
      <c r="BF1023" t="s">
        <v>101</v>
      </c>
      <c r="BG1023" t="s">
        <v>76</v>
      </c>
      <c r="BH1023" t="s">
        <v>77</v>
      </c>
      <c r="BI1023" t="s">
        <v>73</v>
      </c>
      <c r="BJ1023" t="s">
        <v>94</v>
      </c>
      <c r="BK1023">
        <v>0</v>
      </c>
      <c r="BL1023">
        <v>0</v>
      </c>
      <c r="BM1023">
        <v>0</v>
      </c>
      <c r="BN1023">
        <v>0</v>
      </c>
      <c r="BO1023">
        <v>0</v>
      </c>
      <c r="BP1023">
        <v>1</v>
      </c>
      <c r="BQ1023">
        <v>0</v>
      </c>
      <c r="BR1023">
        <v>0</v>
      </c>
    </row>
    <row r="1024" spans="1:70" x14ac:dyDescent="0.2">
      <c r="A1024" s="1">
        <v>44579.907638888886</v>
      </c>
      <c r="B1024" s="1">
        <v>44579.909722222219</v>
      </c>
      <c r="C1024">
        <v>1</v>
      </c>
      <c r="D1024">
        <v>0</v>
      </c>
      <c r="E1024">
        <v>0</v>
      </c>
      <c r="F1024">
        <v>0</v>
      </c>
      <c r="H1024">
        <v>0</v>
      </c>
      <c r="I1024">
        <v>1</v>
      </c>
      <c r="J1024">
        <v>0</v>
      </c>
      <c r="K1024">
        <v>0</v>
      </c>
      <c r="L1024">
        <v>0</v>
      </c>
      <c r="N1024" t="s">
        <v>88</v>
      </c>
      <c r="O1024" t="s">
        <v>89</v>
      </c>
      <c r="P1024">
        <v>0</v>
      </c>
      <c r="Q1024">
        <v>1</v>
      </c>
      <c r="R1024">
        <v>0</v>
      </c>
      <c r="S1024">
        <v>0</v>
      </c>
      <c r="T1024">
        <v>0</v>
      </c>
      <c r="U1024">
        <v>0</v>
      </c>
      <c r="V1024">
        <v>0</v>
      </c>
      <c r="W1024">
        <v>0</v>
      </c>
      <c r="X1024">
        <v>0</v>
      </c>
      <c r="Y1024">
        <v>0</v>
      </c>
      <c r="Z1024">
        <v>0</v>
      </c>
      <c r="AA1024">
        <v>0</v>
      </c>
      <c r="AM1024" t="s">
        <v>83</v>
      </c>
      <c r="AN1024" t="s">
        <v>82</v>
      </c>
      <c r="AO1024" t="s">
        <v>81</v>
      </c>
      <c r="AP1024" t="s">
        <v>90</v>
      </c>
      <c r="AQ1024" t="s">
        <v>83</v>
      </c>
      <c r="AR1024" t="s">
        <v>83</v>
      </c>
      <c r="AS1024" t="s">
        <v>83</v>
      </c>
      <c r="AT1024" t="s">
        <v>83</v>
      </c>
      <c r="AU1024" t="s">
        <v>88</v>
      </c>
      <c r="AV1024" t="s">
        <v>89</v>
      </c>
      <c r="AW1024" t="s">
        <v>100</v>
      </c>
      <c r="AZ1024" t="s">
        <v>73</v>
      </c>
      <c r="BA1024" t="s">
        <v>74</v>
      </c>
      <c r="BF1024" t="s">
        <v>97</v>
      </c>
      <c r="BG1024" t="s">
        <v>92</v>
      </c>
      <c r="BH1024" t="s">
        <v>98</v>
      </c>
      <c r="BI1024" t="s">
        <v>73</v>
      </c>
      <c r="BJ1024" t="s">
        <v>78</v>
      </c>
      <c r="BK1024">
        <v>0</v>
      </c>
      <c r="BL1024">
        <v>0</v>
      </c>
      <c r="BM1024">
        <v>0</v>
      </c>
      <c r="BN1024">
        <v>0</v>
      </c>
      <c r="BO1024">
        <v>0</v>
      </c>
      <c r="BP1024">
        <v>1</v>
      </c>
      <c r="BQ1024">
        <v>0</v>
      </c>
      <c r="BR1024">
        <v>0</v>
      </c>
    </row>
    <row r="1025" spans="1:70" x14ac:dyDescent="0.2">
      <c r="A1025" s="1">
        <v>44580.597222222219</v>
      </c>
      <c r="B1025" s="1">
        <v>44580.599305555559</v>
      </c>
      <c r="C1025">
        <v>0</v>
      </c>
      <c r="D1025">
        <v>1</v>
      </c>
      <c r="E1025">
        <v>0</v>
      </c>
      <c r="F1025">
        <v>0</v>
      </c>
      <c r="H1025">
        <v>0</v>
      </c>
      <c r="I1025">
        <v>1</v>
      </c>
      <c r="J1025">
        <v>1</v>
      </c>
      <c r="K1025">
        <v>1</v>
      </c>
      <c r="L1025">
        <v>0</v>
      </c>
      <c r="N1025" t="s">
        <v>88</v>
      </c>
      <c r="O1025" t="s">
        <v>89</v>
      </c>
      <c r="P1025">
        <v>0</v>
      </c>
      <c r="Q1025">
        <v>1</v>
      </c>
      <c r="R1025">
        <v>0</v>
      </c>
      <c r="S1025">
        <v>0</v>
      </c>
      <c r="T1025">
        <v>0</v>
      </c>
      <c r="U1025">
        <v>0</v>
      </c>
      <c r="V1025">
        <v>0</v>
      </c>
      <c r="W1025">
        <v>0</v>
      </c>
      <c r="X1025">
        <v>0</v>
      </c>
      <c r="Y1025">
        <v>0</v>
      </c>
      <c r="Z1025">
        <v>0</v>
      </c>
      <c r="AA1025">
        <v>0</v>
      </c>
      <c r="AM1025" t="s">
        <v>83</v>
      </c>
      <c r="AN1025" t="s">
        <v>81</v>
      </c>
      <c r="AO1025" t="s">
        <v>82</v>
      </c>
      <c r="AP1025" t="s">
        <v>82</v>
      </c>
      <c r="AQ1025" t="s">
        <v>81</v>
      </c>
      <c r="AR1025" t="s">
        <v>83</v>
      </c>
      <c r="AS1025" t="s">
        <v>83</v>
      </c>
      <c r="AT1025" t="s">
        <v>83</v>
      </c>
      <c r="AU1025" t="s">
        <v>88</v>
      </c>
      <c r="AV1025" t="s">
        <v>89</v>
      </c>
      <c r="AW1025" t="s">
        <v>100</v>
      </c>
      <c r="AX1025" t="s">
        <v>122</v>
      </c>
      <c r="AZ1025" t="s">
        <v>73</v>
      </c>
      <c r="BA1025" t="s">
        <v>86</v>
      </c>
      <c r="BB1025" t="s">
        <v>87</v>
      </c>
      <c r="BC1025" t="s">
        <v>74</v>
      </c>
      <c r="BD1025" t="s">
        <v>87</v>
      </c>
      <c r="BE1025" t="s">
        <v>86</v>
      </c>
      <c r="BF1025" t="s">
        <v>108</v>
      </c>
      <c r="BG1025" t="s">
        <v>92</v>
      </c>
      <c r="BH1025" t="s">
        <v>93</v>
      </c>
      <c r="BI1025" t="s">
        <v>73</v>
      </c>
      <c r="BJ1025" t="s">
        <v>114</v>
      </c>
      <c r="BK1025">
        <v>0</v>
      </c>
      <c r="BL1025">
        <v>0</v>
      </c>
      <c r="BM1025">
        <v>0</v>
      </c>
      <c r="BN1025">
        <v>0</v>
      </c>
      <c r="BO1025">
        <v>0</v>
      </c>
      <c r="BP1025">
        <v>1</v>
      </c>
      <c r="BQ1025">
        <v>0</v>
      </c>
      <c r="BR1025">
        <v>0</v>
      </c>
    </row>
    <row r="1026" spans="1:70" x14ac:dyDescent="0.2">
      <c r="A1026" s="1">
        <v>44581.534722222219</v>
      </c>
      <c r="B1026" s="1">
        <v>44581.538888888892</v>
      </c>
      <c r="C1026">
        <v>0</v>
      </c>
      <c r="D1026">
        <v>1</v>
      </c>
      <c r="E1026">
        <v>0</v>
      </c>
      <c r="F1026">
        <v>0</v>
      </c>
      <c r="H1026">
        <v>0</v>
      </c>
      <c r="I1026">
        <v>1</v>
      </c>
      <c r="J1026">
        <v>1</v>
      </c>
      <c r="K1026">
        <v>1</v>
      </c>
      <c r="L1026">
        <v>0</v>
      </c>
      <c r="N1026" t="s">
        <v>88</v>
      </c>
      <c r="O1026" t="s">
        <v>89</v>
      </c>
      <c r="P1026">
        <v>0</v>
      </c>
      <c r="Q1026">
        <v>1</v>
      </c>
      <c r="R1026">
        <v>0</v>
      </c>
      <c r="S1026">
        <v>0</v>
      </c>
      <c r="T1026">
        <v>0</v>
      </c>
      <c r="U1026">
        <v>0</v>
      </c>
      <c r="V1026">
        <v>0</v>
      </c>
      <c r="W1026">
        <v>0</v>
      </c>
      <c r="X1026">
        <v>0</v>
      </c>
      <c r="Y1026">
        <v>0</v>
      </c>
      <c r="Z1026">
        <v>0</v>
      </c>
      <c r="AA1026">
        <v>0</v>
      </c>
      <c r="AM1026" t="s">
        <v>81</v>
      </c>
      <c r="AN1026" t="s">
        <v>82</v>
      </c>
      <c r="AO1026" t="s">
        <v>81</v>
      </c>
      <c r="AP1026" t="s">
        <v>82</v>
      </c>
      <c r="AQ1026" t="s">
        <v>82</v>
      </c>
      <c r="AR1026" t="s">
        <v>83</v>
      </c>
      <c r="AS1026" t="s">
        <v>81</v>
      </c>
      <c r="AT1026" t="s">
        <v>83</v>
      </c>
      <c r="AU1026" t="s">
        <v>88</v>
      </c>
      <c r="AV1026" t="s">
        <v>89</v>
      </c>
      <c r="AW1026" t="s">
        <v>100</v>
      </c>
      <c r="AX1026" t="s">
        <v>122</v>
      </c>
      <c r="AZ1026" t="s">
        <v>107</v>
      </c>
      <c r="BA1026" t="s">
        <v>87</v>
      </c>
      <c r="BB1026" t="s">
        <v>87</v>
      </c>
      <c r="BC1026" t="s">
        <v>87</v>
      </c>
      <c r="BD1026" t="s">
        <v>87</v>
      </c>
      <c r="BE1026" t="s">
        <v>87</v>
      </c>
      <c r="BF1026" t="s">
        <v>113</v>
      </c>
      <c r="BG1026" t="s">
        <v>76</v>
      </c>
      <c r="BH1026" t="s">
        <v>93</v>
      </c>
      <c r="BI1026" t="s">
        <v>107</v>
      </c>
      <c r="BJ1026" t="s">
        <v>109</v>
      </c>
      <c r="BK1026">
        <v>0</v>
      </c>
      <c r="BL1026">
        <v>0</v>
      </c>
      <c r="BM1026">
        <v>0</v>
      </c>
      <c r="BN1026">
        <v>0</v>
      </c>
      <c r="BO1026">
        <v>0</v>
      </c>
      <c r="BP1026">
        <v>1</v>
      </c>
      <c r="BQ1026">
        <v>0</v>
      </c>
      <c r="BR1026">
        <v>0</v>
      </c>
    </row>
    <row r="1027" spans="1:70" x14ac:dyDescent="0.2">
      <c r="A1027" s="1">
        <v>44581.12777777778</v>
      </c>
      <c r="B1027" s="1">
        <v>44581.131249999999</v>
      </c>
      <c r="C1027">
        <v>1</v>
      </c>
      <c r="D1027">
        <v>0</v>
      </c>
      <c r="E1027">
        <v>0</v>
      </c>
      <c r="F1027">
        <v>0</v>
      </c>
      <c r="H1027">
        <v>0</v>
      </c>
      <c r="I1027">
        <v>1</v>
      </c>
      <c r="J1027">
        <v>0</v>
      </c>
      <c r="K1027">
        <v>1</v>
      </c>
      <c r="L1027">
        <v>0</v>
      </c>
      <c r="N1027" t="s">
        <v>88</v>
      </c>
      <c r="O1027" t="s">
        <v>89</v>
      </c>
      <c r="P1027">
        <v>0</v>
      </c>
      <c r="Q1027">
        <v>1</v>
      </c>
      <c r="R1027">
        <v>0</v>
      </c>
      <c r="S1027">
        <v>0</v>
      </c>
      <c r="T1027">
        <v>0</v>
      </c>
      <c r="U1027">
        <v>0</v>
      </c>
      <c r="V1027">
        <v>0</v>
      </c>
      <c r="W1027">
        <v>0</v>
      </c>
      <c r="X1027">
        <v>0</v>
      </c>
      <c r="Y1027">
        <v>0</v>
      </c>
      <c r="Z1027">
        <v>0</v>
      </c>
      <c r="AA1027">
        <v>0</v>
      </c>
      <c r="AM1027" t="s">
        <v>90</v>
      </c>
      <c r="AN1027" t="s">
        <v>82</v>
      </c>
      <c r="AO1027" t="s">
        <v>83</v>
      </c>
      <c r="AP1027" t="s">
        <v>83</v>
      </c>
      <c r="AQ1027" t="s">
        <v>81</v>
      </c>
      <c r="AR1027" t="s">
        <v>90</v>
      </c>
      <c r="AS1027" t="s">
        <v>90</v>
      </c>
      <c r="AT1027" t="s">
        <v>83</v>
      </c>
      <c r="AU1027" t="s">
        <v>88</v>
      </c>
      <c r="AV1027" t="s">
        <v>80</v>
      </c>
      <c r="AW1027" t="s">
        <v>85</v>
      </c>
      <c r="AX1027" t="s">
        <v>91</v>
      </c>
      <c r="AZ1027" t="s">
        <v>107</v>
      </c>
      <c r="BA1027" t="s">
        <v>87</v>
      </c>
      <c r="BB1027" t="s">
        <v>87</v>
      </c>
      <c r="BC1027" t="s">
        <v>87</v>
      </c>
      <c r="BD1027" t="s">
        <v>74</v>
      </c>
      <c r="BE1027" t="s">
        <v>87</v>
      </c>
      <c r="BF1027" t="s">
        <v>75</v>
      </c>
      <c r="BG1027" t="s">
        <v>76</v>
      </c>
      <c r="BH1027" t="s">
        <v>77</v>
      </c>
      <c r="BI1027" t="s">
        <v>107</v>
      </c>
      <c r="BJ1027" t="s">
        <v>78</v>
      </c>
      <c r="BK1027">
        <v>0</v>
      </c>
      <c r="BL1027">
        <v>0</v>
      </c>
      <c r="BM1027">
        <v>0</v>
      </c>
      <c r="BN1027">
        <v>0</v>
      </c>
      <c r="BO1027">
        <v>0</v>
      </c>
      <c r="BP1027">
        <v>1</v>
      </c>
      <c r="BQ1027">
        <v>0</v>
      </c>
      <c r="BR1027">
        <v>0</v>
      </c>
    </row>
    <row r="1028" spans="1:70" x14ac:dyDescent="0.2">
      <c r="A1028" s="1">
        <v>44586.597222222219</v>
      </c>
      <c r="B1028" s="1">
        <v>44586.598611111112</v>
      </c>
      <c r="C1028">
        <v>1</v>
      </c>
      <c r="D1028">
        <v>0</v>
      </c>
      <c r="E1028">
        <v>0</v>
      </c>
      <c r="F1028">
        <v>0</v>
      </c>
      <c r="H1028">
        <v>1</v>
      </c>
      <c r="I1028">
        <v>0</v>
      </c>
      <c r="J1028">
        <v>0</v>
      </c>
      <c r="K1028">
        <v>0</v>
      </c>
      <c r="L1028">
        <v>0</v>
      </c>
      <c r="P1028">
        <v>1</v>
      </c>
      <c r="Q1028">
        <v>0</v>
      </c>
      <c r="R1028">
        <v>0</v>
      </c>
      <c r="S1028">
        <v>0</v>
      </c>
      <c r="T1028">
        <v>0</v>
      </c>
      <c r="U1028">
        <v>0</v>
      </c>
      <c r="V1028">
        <v>0</v>
      </c>
      <c r="W1028">
        <v>0</v>
      </c>
      <c r="X1028">
        <v>0</v>
      </c>
      <c r="Y1028">
        <v>0</v>
      </c>
      <c r="Z1028">
        <v>0</v>
      </c>
      <c r="AA1028">
        <v>0</v>
      </c>
      <c r="AC1028">
        <v>0</v>
      </c>
      <c r="AD1028">
        <v>0</v>
      </c>
      <c r="AE1028">
        <v>0</v>
      </c>
      <c r="AF1028">
        <v>0</v>
      </c>
      <c r="AG1028">
        <v>0</v>
      </c>
      <c r="AH1028">
        <v>0</v>
      </c>
      <c r="AI1028">
        <v>1</v>
      </c>
      <c r="AJ1028">
        <v>1</v>
      </c>
      <c r="AK1028">
        <v>0</v>
      </c>
      <c r="AX1028" t="s">
        <v>170</v>
      </c>
      <c r="AZ1028" t="s">
        <v>73</v>
      </c>
      <c r="BA1028" t="s">
        <v>86</v>
      </c>
      <c r="BB1028" t="s">
        <v>87</v>
      </c>
      <c r="BC1028" t="s">
        <v>87</v>
      </c>
      <c r="BD1028" t="s">
        <v>87</v>
      </c>
      <c r="BE1028" t="s">
        <v>87</v>
      </c>
      <c r="BF1028" t="s">
        <v>75</v>
      </c>
      <c r="BG1028" t="s">
        <v>92</v>
      </c>
      <c r="BH1028" t="s">
        <v>77</v>
      </c>
      <c r="BI1028" t="s">
        <v>73</v>
      </c>
      <c r="BJ1028" t="s">
        <v>94</v>
      </c>
      <c r="BK1028">
        <v>0</v>
      </c>
      <c r="BL1028">
        <v>0</v>
      </c>
      <c r="BM1028">
        <v>0</v>
      </c>
      <c r="BN1028">
        <v>0</v>
      </c>
      <c r="BO1028">
        <v>0</v>
      </c>
      <c r="BP1028">
        <v>0</v>
      </c>
      <c r="BQ1028">
        <v>1</v>
      </c>
      <c r="BR1028">
        <v>0</v>
      </c>
    </row>
    <row r="1029" spans="1:70" x14ac:dyDescent="0.2">
      <c r="A1029" s="1">
        <v>44579.972222222219</v>
      </c>
      <c r="B1029" s="1">
        <v>44579.975694444445</v>
      </c>
      <c r="C1029">
        <v>1</v>
      </c>
      <c r="D1029">
        <v>0</v>
      </c>
      <c r="E1029">
        <v>0</v>
      </c>
      <c r="F1029">
        <v>0</v>
      </c>
      <c r="H1029">
        <v>0</v>
      </c>
      <c r="I1029">
        <v>1</v>
      </c>
      <c r="J1029">
        <v>1</v>
      </c>
      <c r="K1029">
        <v>0</v>
      </c>
      <c r="L1029">
        <v>1</v>
      </c>
      <c r="M1029" t="s">
        <v>458</v>
      </c>
      <c r="N1029" t="s">
        <v>79</v>
      </c>
      <c r="O1029" t="s">
        <v>80</v>
      </c>
      <c r="P1029">
        <v>0</v>
      </c>
      <c r="Q1029">
        <v>0</v>
      </c>
      <c r="R1029">
        <v>1</v>
      </c>
      <c r="S1029">
        <v>0</v>
      </c>
      <c r="T1029">
        <v>0</v>
      </c>
      <c r="U1029">
        <v>0</v>
      </c>
      <c r="V1029">
        <v>0</v>
      </c>
      <c r="W1029">
        <v>0</v>
      </c>
      <c r="X1029">
        <v>0</v>
      </c>
      <c r="Y1029">
        <v>0</v>
      </c>
      <c r="Z1029">
        <v>0</v>
      </c>
      <c r="AA1029">
        <v>1</v>
      </c>
      <c r="AB1029" t="s">
        <v>459</v>
      </c>
      <c r="AM1029" t="s">
        <v>83</v>
      </c>
      <c r="AN1029" t="s">
        <v>82</v>
      </c>
      <c r="AO1029" t="s">
        <v>83</v>
      </c>
      <c r="AP1029" t="s">
        <v>81</v>
      </c>
      <c r="AQ1029" t="s">
        <v>83</v>
      </c>
      <c r="AR1029" t="s">
        <v>81</v>
      </c>
      <c r="AS1029" t="s">
        <v>81</v>
      </c>
      <c r="AT1029" t="s">
        <v>83</v>
      </c>
      <c r="AU1029" t="s">
        <v>84</v>
      </c>
      <c r="AV1029" t="s">
        <v>80</v>
      </c>
      <c r="AW1029" t="s">
        <v>117</v>
      </c>
      <c r="AZ1029" t="s">
        <v>107</v>
      </c>
      <c r="BA1029" t="s">
        <v>86</v>
      </c>
      <c r="BB1029" t="s">
        <v>86</v>
      </c>
      <c r="BC1029" t="s">
        <v>86</v>
      </c>
      <c r="BD1029" t="s">
        <v>86</v>
      </c>
      <c r="BE1029" t="s">
        <v>86</v>
      </c>
      <c r="BF1029" t="s">
        <v>97</v>
      </c>
      <c r="BG1029" t="s">
        <v>76</v>
      </c>
      <c r="BH1029" t="s">
        <v>98</v>
      </c>
      <c r="BI1029" t="s">
        <v>107</v>
      </c>
      <c r="BJ1029" t="s">
        <v>78</v>
      </c>
      <c r="BK1029">
        <v>0</v>
      </c>
      <c r="BL1029">
        <v>0</v>
      </c>
      <c r="BM1029">
        <v>0</v>
      </c>
      <c r="BN1029">
        <v>0</v>
      </c>
      <c r="BO1029">
        <v>0</v>
      </c>
      <c r="BP1029">
        <v>1</v>
      </c>
      <c r="BQ1029">
        <v>0</v>
      </c>
      <c r="BR1029">
        <v>0</v>
      </c>
    </row>
    <row r="1030" spans="1:70" x14ac:dyDescent="0.2">
      <c r="A1030" s="1">
        <v>44588.884722222225</v>
      </c>
      <c r="B1030" s="1">
        <v>44588.885416666664</v>
      </c>
      <c r="C1030">
        <v>1</v>
      </c>
      <c r="D1030">
        <v>0</v>
      </c>
      <c r="E1030">
        <v>0</v>
      </c>
      <c r="F1030">
        <v>0</v>
      </c>
      <c r="H1030">
        <v>0</v>
      </c>
      <c r="I1030">
        <v>1</v>
      </c>
      <c r="J1030">
        <v>0</v>
      </c>
      <c r="K1030">
        <v>0</v>
      </c>
      <c r="L1030">
        <v>0</v>
      </c>
      <c r="N1030" t="s">
        <v>79</v>
      </c>
      <c r="O1030" t="s">
        <v>80</v>
      </c>
      <c r="P1030">
        <v>1</v>
      </c>
      <c r="Q1030">
        <v>0</v>
      </c>
      <c r="R1030">
        <v>0</v>
      </c>
      <c r="S1030">
        <v>0</v>
      </c>
      <c r="T1030">
        <v>0</v>
      </c>
      <c r="U1030">
        <v>0</v>
      </c>
      <c r="V1030">
        <v>0</v>
      </c>
      <c r="W1030">
        <v>0</v>
      </c>
      <c r="X1030">
        <v>0</v>
      </c>
      <c r="Y1030">
        <v>0</v>
      </c>
      <c r="Z1030">
        <v>0</v>
      </c>
      <c r="AA1030">
        <v>0</v>
      </c>
      <c r="AC1030">
        <v>0</v>
      </c>
      <c r="AD1030">
        <v>0</v>
      </c>
      <c r="AE1030">
        <v>1</v>
      </c>
      <c r="AF1030">
        <v>0</v>
      </c>
      <c r="AG1030">
        <v>0</v>
      </c>
      <c r="AH1030">
        <v>0</v>
      </c>
      <c r="AI1030">
        <v>1</v>
      </c>
      <c r="AJ1030">
        <v>1</v>
      </c>
      <c r="AK1030">
        <v>0</v>
      </c>
      <c r="AX1030" t="s">
        <v>118</v>
      </c>
      <c r="AZ1030" t="s">
        <v>73</v>
      </c>
      <c r="BA1030" t="s">
        <v>74</v>
      </c>
      <c r="BF1030" t="s">
        <v>75</v>
      </c>
      <c r="BG1030" t="s">
        <v>76</v>
      </c>
      <c r="BH1030" t="s">
        <v>77</v>
      </c>
      <c r="BI1030" t="s">
        <v>73</v>
      </c>
      <c r="BJ1030" t="s">
        <v>114</v>
      </c>
      <c r="BK1030">
        <v>0</v>
      </c>
      <c r="BL1030">
        <v>0</v>
      </c>
      <c r="BM1030">
        <v>0</v>
      </c>
      <c r="BN1030">
        <v>0</v>
      </c>
      <c r="BO1030">
        <v>0</v>
      </c>
      <c r="BP1030">
        <v>1</v>
      </c>
      <c r="BQ1030">
        <v>0</v>
      </c>
      <c r="BR1030">
        <v>0</v>
      </c>
    </row>
    <row r="1031" spans="1:70" x14ac:dyDescent="0.2">
      <c r="A1031" s="1">
        <v>44585.535416666666</v>
      </c>
      <c r="B1031" s="1">
        <v>44585.538194444445</v>
      </c>
      <c r="C1031">
        <v>1</v>
      </c>
      <c r="D1031">
        <v>0</v>
      </c>
      <c r="E1031">
        <v>0</v>
      </c>
      <c r="F1031">
        <v>0</v>
      </c>
      <c r="H1031">
        <v>0</v>
      </c>
      <c r="I1031">
        <v>1</v>
      </c>
      <c r="J1031">
        <v>1</v>
      </c>
      <c r="K1031">
        <v>1</v>
      </c>
      <c r="L1031">
        <v>0</v>
      </c>
      <c r="N1031" t="s">
        <v>88</v>
      </c>
      <c r="O1031" t="s">
        <v>89</v>
      </c>
      <c r="P1031">
        <v>0</v>
      </c>
      <c r="Q1031">
        <v>0</v>
      </c>
      <c r="R1031">
        <v>1</v>
      </c>
      <c r="S1031">
        <v>0</v>
      </c>
      <c r="T1031">
        <v>0</v>
      </c>
      <c r="U1031">
        <v>0</v>
      </c>
      <c r="V1031">
        <v>0</v>
      </c>
      <c r="W1031">
        <v>0</v>
      </c>
      <c r="X1031">
        <v>0</v>
      </c>
      <c r="Y1031">
        <v>0</v>
      </c>
      <c r="Z1031">
        <v>0</v>
      </c>
      <c r="AA1031">
        <v>0</v>
      </c>
      <c r="AM1031" t="s">
        <v>81</v>
      </c>
      <c r="AN1031" t="s">
        <v>81</v>
      </c>
      <c r="AO1031" t="s">
        <v>81</v>
      </c>
      <c r="AP1031" t="s">
        <v>81</v>
      </c>
      <c r="AQ1031" t="s">
        <v>82</v>
      </c>
      <c r="AR1031" t="s">
        <v>81</v>
      </c>
      <c r="AS1031" t="s">
        <v>81</v>
      </c>
      <c r="AT1031" t="s">
        <v>83</v>
      </c>
      <c r="AU1031" t="s">
        <v>88</v>
      </c>
      <c r="AV1031" t="s">
        <v>89</v>
      </c>
      <c r="AW1031" t="s">
        <v>85</v>
      </c>
      <c r="AZ1031" t="s">
        <v>107</v>
      </c>
      <c r="BA1031" t="s">
        <v>86</v>
      </c>
      <c r="BB1031" t="s">
        <v>87</v>
      </c>
      <c r="BC1031" t="s">
        <v>87</v>
      </c>
      <c r="BD1031" t="s">
        <v>87</v>
      </c>
      <c r="BE1031" t="s">
        <v>87</v>
      </c>
      <c r="BF1031" t="s">
        <v>159</v>
      </c>
      <c r="BG1031" t="s">
        <v>76</v>
      </c>
      <c r="BH1031" t="s">
        <v>77</v>
      </c>
      <c r="BI1031" t="s">
        <v>107</v>
      </c>
      <c r="BJ1031" t="s">
        <v>94</v>
      </c>
      <c r="BK1031">
        <v>0</v>
      </c>
      <c r="BL1031">
        <v>0</v>
      </c>
      <c r="BM1031">
        <v>0</v>
      </c>
      <c r="BN1031">
        <v>0</v>
      </c>
      <c r="BO1031">
        <v>0</v>
      </c>
      <c r="BP1031">
        <v>1</v>
      </c>
      <c r="BQ1031">
        <v>0</v>
      </c>
      <c r="BR1031">
        <v>0</v>
      </c>
    </row>
    <row r="1032" spans="1:70" x14ac:dyDescent="0.2">
      <c r="A1032" s="1">
        <v>44579.792361111111</v>
      </c>
      <c r="B1032" s="1">
        <v>44579.79583333333</v>
      </c>
      <c r="C1032">
        <v>1</v>
      </c>
      <c r="D1032">
        <v>0</v>
      </c>
      <c r="E1032">
        <v>0</v>
      </c>
      <c r="F1032">
        <v>0</v>
      </c>
      <c r="H1032">
        <v>0</v>
      </c>
      <c r="I1032">
        <v>1</v>
      </c>
      <c r="J1032">
        <v>0</v>
      </c>
      <c r="K1032">
        <v>0</v>
      </c>
      <c r="L1032">
        <v>0</v>
      </c>
      <c r="N1032" t="s">
        <v>79</v>
      </c>
      <c r="O1032" t="s">
        <v>80</v>
      </c>
      <c r="P1032">
        <v>0</v>
      </c>
      <c r="Q1032">
        <v>1</v>
      </c>
      <c r="R1032">
        <v>0</v>
      </c>
      <c r="S1032">
        <v>0</v>
      </c>
      <c r="T1032">
        <v>0</v>
      </c>
      <c r="U1032">
        <v>0</v>
      </c>
      <c r="V1032">
        <v>0</v>
      </c>
      <c r="W1032">
        <v>0</v>
      </c>
      <c r="X1032">
        <v>0</v>
      </c>
      <c r="Y1032">
        <v>0</v>
      </c>
      <c r="Z1032">
        <v>0</v>
      </c>
      <c r="AA1032">
        <v>0</v>
      </c>
      <c r="AM1032" t="s">
        <v>83</v>
      </c>
      <c r="AN1032" t="s">
        <v>82</v>
      </c>
      <c r="AO1032" t="s">
        <v>81</v>
      </c>
      <c r="AP1032" t="s">
        <v>90</v>
      </c>
      <c r="AQ1032" t="s">
        <v>90</v>
      </c>
      <c r="AR1032" t="s">
        <v>90</v>
      </c>
      <c r="AS1032" t="s">
        <v>90</v>
      </c>
      <c r="AT1032" t="s">
        <v>83</v>
      </c>
      <c r="AU1032" t="s">
        <v>127</v>
      </c>
      <c r="AV1032" t="s">
        <v>127</v>
      </c>
      <c r="AX1032" t="s">
        <v>72</v>
      </c>
      <c r="AZ1032" t="s">
        <v>107</v>
      </c>
      <c r="BA1032" t="s">
        <v>87</v>
      </c>
      <c r="BB1032" t="s">
        <v>87</v>
      </c>
      <c r="BC1032" t="s">
        <v>87</v>
      </c>
      <c r="BD1032" t="s">
        <v>87</v>
      </c>
      <c r="BE1032" t="s">
        <v>87</v>
      </c>
      <c r="BF1032" t="s">
        <v>108</v>
      </c>
      <c r="BG1032" t="s">
        <v>76</v>
      </c>
      <c r="BH1032" t="s">
        <v>77</v>
      </c>
      <c r="BI1032" t="s">
        <v>107</v>
      </c>
      <c r="BJ1032" t="s">
        <v>114</v>
      </c>
      <c r="BK1032">
        <v>0</v>
      </c>
      <c r="BL1032">
        <v>0</v>
      </c>
      <c r="BM1032">
        <v>0</v>
      </c>
      <c r="BN1032">
        <v>0</v>
      </c>
      <c r="BO1032">
        <v>0</v>
      </c>
      <c r="BP1032">
        <v>1</v>
      </c>
      <c r="BQ1032">
        <v>0</v>
      </c>
      <c r="BR1032">
        <v>0</v>
      </c>
    </row>
    <row r="1033" spans="1:70" x14ac:dyDescent="0.2">
      <c r="A1033" s="1">
        <v>44586.586805555555</v>
      </c>
      <c r="B1033" s="1">
        <v>44586.588194444441</v>
      </c>
      <c r="C1033">
        <v>1</v>
      </c>
      <c r="D1033">
        <v>0</v>
      </c>
      <c r="E1033">
        <v>0</v>
      </c>
      <c r="F1033">
        <v>0</v>
      </c>
      <c r="H1033">
        <v>0</v>
      </c>
      <c r="I1033">
        <v>1</v>
      </c>
      <c r="J1033">
        <v>0</v>
      </c>
      <c r="K1033">
        <v>0</v>
      </c>
      <c r="L1033">
        <v>0</v>
      </c>
      <c r="N1033" t="s">
        <v>88</v>
      </c>
      <c r="O1033" t="s">
        <v>89</v>
      </c>
      <c r="P1033">
        <v>0</v>
      </c>
      <c r="Q1033">
        <v>0</v>
      </c>
      <c r="R1033">
        <v>1</v>
      </c>
      <c r="S1033">
        <v>0</v>
      </c>
      <c r="T1033">
        <v>0</v>
      </c>
      <c r="U1033">
        <v>0</v>
      </c>
      <c r="V1033">
        <v>0</v>
      </c>
      <c r="W1033">
        <v>0</v>
      </c>
      <c r="X1033">
        <v>0</v>
      </c>
      <c r="Y1033">
        <v>0</v>
      </c>
      <c r="Z1033">
        <v>0</v>
      </c>
      <c r="AA1033">
        <v>0</v>
      </c>
      <c r="AM1033" t="s">
        <v>83</v>
      </c>
      <c r="AN1033" t="s">
        <v>82</v>
      </c>
      <c r="AO1033" t="s">
        <v>83</v>
      </c>
      <c r="AP1033" t="s">
        <v>83</v>
      </c>
      <c r="AQ1033" t="s">
        <v>83</v>
      </c>
      <c r="AR1033" t="s">
        <v>81</v>
      </c>
      <c r="AS1033" t="s">
        <v>83</v>
      </c>
      <c r="AT1033" t="s">
        <v>81</v>
      </c>
      <c r="AU1033" t="s">
        <v>88</v>
      </c>
      <c r="AV1033" t="s">
        <v>89</v>
      </c>
      <c r="AW1033" t="s">
        <v>85</v>
      </c>
      <c r="AX1033" t="s">
        <v>106</v>
      </c>
      <c r="AZ1033" t="s">
        <v>107</v>
      </c>
      <c r="BA1033" t="s">
        <v>87</v>
      </c>
      <c r="BB1033" t="s">
        <v>87</v>
      </c>
      <c r="BC1033" t="s">
        <v>87</v>
      </c>
      <c r="BD1033" t="s">
        <v>74</v>
      </c>
      <c r="BE1033" t="s">
        <v>87</v>
      </c>
      <c r="BF1033" t="s">
        <v>75</v>
      </c>
      <c r="BG1033" t="s">
        <v>76</v>
      </c>
      <c r="BH1033" t="s">
        <v>77</v>
      </c>
      <c r="BI1033" t="s">
        <v>107</v>
      </c>
      <c r="BJ1033" t="s">
        <v>78</v>
      </c>
      <c r="BK1033">
        <v>0</v>
      </c>
      <c r="BL1033">
        <v>0</v>
      </c>
      <c r="BM1033">
        <v>0</v>
      </c>
      <c r="BN1033">
        <v>0</v>
      </c>
      <c r="BO1033">
        <v>0</v>
      </c>
      <c r="BP1033">
        <v>1</v>
      </c>
      <c r="BQ1033">
        <v>0</v>
      </c>
      <c r="BR1033">
        <v>0</v>
      </c>
    </row>
    <row r="1034" spans="1:70" x14ac:dyDescent="0.2">
      <c r="A1034" s="1">
        <v>44588.90347222222</v>
      </c>
      <c r="B1034" s="1">
        <v>44588.916666666664</v>
      </c>
      <c r="C1034">
        <v>0</v>
      </c>
      <c r="D1034">
        <v>1</v>
      </c>
      <c r="E1034">
        <v>0</v>
      </c>
      <c r="F1034">
        <v>0</v>
      </c>
      <c r="H1034">
        <v>1</v>
      </c>
      <c r="I1034">
        <v>0</v>
      </c>
      <c r="J1034">
        <v>0</v>
      </c>
      <c r="K1034">
        <v>0</v>
      </c>
      <c r="L1034">
        <v>0</v>
      </c>
      <c r="P1034">
        <v>0</v>
      </c>
      <c r="Q1034">
        <v>1</v>
      </c>
      <c r="R1034">
        <v>0</v>
      </c>
      <c r="S1034">
        <v>0</v>
      </c>
      <c r="T1034">
        <v>0</v>
      </c>
      <c r="U1034">
        <v>0</v>
      </c>
      <c r="V1034">
        <v>0</v>
      </c>
      <c r="W1034">
        <v>0</v>
      </c>
      <c r="X1034">
        <v>0</v>
      </c>
      <c r="Y1034">
        <v>0</v>
      </c>
      <c r="Z1034">
        <v>0</v>
      </c>
      <c r="AA1034">
        <v>0</v>
      </c>
      <c r="AM1034" t="s">
        <v>82</v>
      </c>
      <c r="AN1034" t="s">
        <v>81</v>
      </c>
      <c r="AO1034" t="s">
        <v>81</v>
      </c>
      <c r="AP1034" t="s">
        <v>83</v>
      </c>
      <c r="AQ1034" t="s">
        <v>81</v>
      </c>
      <c r="AR1034" t="s">
        <v>81</v>
      </c>
      <c r="AS1034" t="s">
        <v>82</v>
      </c>
      <c r="AT1034" t="s">
        <v>83</v>
      </c>
      <c r="AU1034" t="s">
        <v>84</v>
      </c>
      <c r="AV1034" t="s">
        <v>127</v>
      </c>
      <c r="AW1034" t="s">
        <v>117</v>
      </c>
      <c r="AX1034" t="s">
        <v>110</v>
      </c>
      <c r="AY1034" t="s">
        <v>460</v>
      </c>
      <c r="AZ1034" t="s">
        <v>96</v>
      </c>
      <c r="BA1034" t="s">
        <v>74</v>
      </c>
      <c r="BF1034" t="s">
        <v>108</v>
      </c>
      <c r="BG1034" t="s">
        <v>76</v>
      </c>
      <c r="BH1034" t="s">
        <v>77</v>
      </c>
      <c r="BI1034" t="s">
        <v>96</v>
      </c>
      <c r="BK1034">
        <v>0</v>
      </c>
      <c r="BL1034">
        <v>0</v>
      </c>
      <c r="BM1034">
        <v>0</v>
      </c>
      <c r="BN1034">
        <v>0</v>
      </c>
      <c r="BO1034">
        <v>0</v>
      </c>
      <c r="BP1034">
        <v>1</v>
      </c>
      <c r="BQ1034">
        <v>0</v>
      </c>
      <c r="BR1034">
        <v>0</v>
      </c>
    </row>
    <row r="1035" spans="1:70" x14ac:dyDescent="0.2">
      <c r="A1035" s="1">
        <v>44581.803472222222</v>
      </c>
      <c r="B1035" s="1">
        <v>44581.805555555555</v>
      </c>
      <c r="C1035">
        <v>1</v>
      </c>
      <c r="D1035">
        <v>0</v>
      </c>
      <c r="E1035">
        <v>0</v>
      </c>
      <c r="F1035">
        <v>0</v>
      </c>
      <c r="H1035">
        <v>1</v>
      </c>
      <c r="I1035">
        <v>0</v>
      </c>
      <c r="J1035">
        <v>0</v>
      </c>
      <c r="K1035">
        <v>0</v>
      </c>
      <c r="L1035">
        <v>0</v>
      </c>
      <c r="P1035">
        <v>1</v>
      </c>
      <c r="Q1035">
        <v>0</v>
      </c>
      <c r="R1035">
        <v>0</v>
      </c>
      <c r="S1035">
        <v>0</v>
      </c>
      <c r="T1035">
        <v>0</v>
      </c>
      <c r="U1035">
        <v>0</v>
      </c>
      <c r="V1035">
        <v>0</v>
      </c>
      <c r="W1035">
        <v>0</v>
      </c>
      <c r="X1035">
        <v>0</v>
      </c>
      <c r="Y1035">
        <v>0</v>
      </c>
      <c r="Z1035">
        <v>0</v>
      </c>
      <c r="AA1035">
        <v>0</v>
      </c>
      <c r="AC1035">
        <v>0</v>
      </c>
      <c r="AD1035">
        <v>0</v>
      </c>
      <c r="AE1035">
        <v>0</v>
      </c>
      <c r="AF1035">
        <v>0</v>
      </c>
      <c r="AG1035">
        <v>0</v>
      </c>
      <c r="AH1035">
        <v>0</v>
      </c>
      <c r="AI1035">
        <v>1</v>
      </c>
      <c r="AJ1035">
        <v>0</v>
      </c>
      <c r="AK1035">
        <v>0</v>
      </c>
      <c r="AX1035" t="s">
        <v>118</v>
      </c>
      <c r="AZ1035" t="s">
        <v>107</v>
      </c>
      <c r="BA1035" t="s">
        <v>86</v>
      </c>
      <c r="BB1035" t="s">
        <v>86</v>
      </c>
      <c r="BC1035" t="s">
        <v>86</v>
      </c>
      <c r="BD1035" t="s">
        <v>86</v>
      </c>
      <c r="BE1035" t="s">
        <v>86</v>
      </c>
      <c r="BF1035" t="s">
        <v>108</v>
      </c>
      <c r="BG1035" t="s">
        <v>76</v>
      </c>
      <c r="BH1035" t="s">
        <v>93</v>
      </c>
      <c r="BI1035" t="s">
        <v>107</v>
      </c>
      <c r="BJ1035" t="s">
        <v>165</v>
      </c>
      <c r="BK1035">
        <v>0</v>
      </c>
      <c r="BL1035">
        <v>0</v>
      </c>
      <c r="BM1035">
        <v>0</v>
      </c>
      <c r="BN1035">
        <v>0</v>
      </c>
      <c r="BO1035">
        <v>0</v>
      </c>
      <c r="BP1035">
        <v>1</v>
      </c>
      <c r="BQ1035">
        <v>0</v>
      </c>
      <c r="BR1035">
        <v>0</v>
      </c>
    </row>
    <row r="1036" spans="1:70" x14ac:dyDescent="0.2">
      <c r="A1036" s="1">
        <v>44580.763194444444</v>
      </c>
      <c r="B1036" s="1">
        <v>44580.767361111109</v>
      </c>
      <c r="C1036">
        <v>1</v>
      </c>
      <c r="D1036">
        <v>0</v>
      </c>
      <c r="E1036">
        <v>0</v>
      </c>
      <c r="F1036">
        <v>0</v>
      </c>
      <c r="H1036">
        <v>0</v>
      </c>
      <c r="I1036">
        <v>1</v>
      </c>
      <c r="J1036">
        <v>0</v>
      </c>
      <c r="K1036">
        <v>0</v>
      </c>
      <c r="L1036">
        <v>0</v>
      </c>
      <c r="N1036" t="s">
        <v>88</v>
      </c>
      <c r="O1036" t="s">
        <v>89</v>
      </c>
      <c r="P1036">
        <v>0</v>
      </c>
      <c r="Q1036">
        <v>1</v>
      </c>
      <c r="R1036">
        <v>1</v>
      </c>
      <c r="S1036">
        <v>0</v>
      </c>
      <c r="T1036">
        <v>0</v>
      </c>
      <c r="U1036">
        <v>0</v>
      </c>
      <c r="V1036">
        <v>0</v>
      </c>
      <c r="W1036">
        <v>0</v>
      </c>
      <c r="X1036">
        <v>0</v>
      </c>
      <c r="Y1036">
        <v>0</v>
      </c>
      <c r="Z1036">
        <v>0</v>
      </c>
      <c r="AA1036">
        <v>0</v>
      </c>
      <c r="AM1036" t="s">
        <v>83</v>
      </c>
      <c r="AN1036" t="s">
        <v>82</v>
      </c>
      <c r="AO1036" t="s">
        <v>83</v>
      </c>
      <c r="AP1036" t="s">
        <v>83</v>
      </c>
      <c r="AQ1036" t="s">
        <v>81</v>
      </c>
      <c r="AR1036" t="s">
        <v>81</v>
      </c>
      <c r="AS1036" t="s">
        <v>83</v>
      </c>
      <c r="AT1036" t="s">
        <v>83</v>
      </c>
      <c r="AU1036" t="s">
        <v>88</v>
      </c>
      <c r="AV1036" t="s">
        <v>89</v>
      </c>
      <c r="AW1036" t="s">
        <v>85</v>
      </c>
      <c r="AX1036" t="s">
        <v>199</v>
      </c>
      <c r="AZ1036" t="s">
        <v>96</v>
      </c>
      <c r="BA1036" t="s">
        <v>87</v>
      </c>
      <c r="BB1036" t="s">
        <v>74</v>
      </c>
      <c r="BC1036" t="s">
        <v>87</v>
      </c>
      <c r="BD1036" t="s">
        <v>86</v>
      </c>
      <c r="BE1036" t="s">
        <v>86</v>
      </c>
      <c r="BF1036" t="s">
        <v>75</v>
      </c>
      <c r="BG1036" t="s">
        <v>76</v>
      </c>
      <c r="BH1036" t="s">
        <v>98</v>
      </c>
      <c r="BI1036" t="s">
        <v>96</v>
      </c>
      <c r="BJ1036" t="s">
        <v>147</v>
      </c>
      <c r="BK1036">
        <v>1</v>
      </c>
      <c r="BL1036">
        <v>0</v>
      </c>
      <c r="BM1036">
        <v>0</v>
      </c>
      <c r="BN1036">
        <v>0</v>
      </c>
      <c r="BO1036">
        <v>0</v>
      </c>
      <c r="BP1036">
        <v>0</v>
      </c>
      <c r="BQ1036">
        <v>0</v>
      </c>
      <c r="BR1036">
        <v>0</v>
      </c>
    </row>
    <row r="1037" spans="1:70" x14ac:dyDescent="0.2">
      <c r="A1037" s="1">
        <v>44585.706250000003</v>
      </c>
      <c r="B1037" s="1">
        <v>44585.708333333336</v>
      </c>
      <c r="C1037">
        <v>1</v>
      </c>
      <c r="D1037">
        <v>0</v>
      </c>
      <c r="E1037">
        <v>0</v>
      </c>
      <c r="F1037">
        <v>0</v>
      </c>
      <c r="H1037">
        <v>0</v>
      </c>
      <c r="I1037">
        <v>1</v>
      </c>
      <c r="J1037">
        <v>1</v>
      </c>
      <c r="K1037">
        <v>0</v>
      </c>
      <c r="L1037">
        <v>0</v>
      </c>
      <c r="N1037" t="s">
        <v>135</v>
      </c>
      <c r="O1037" t="s">
        <v>80</v>
      </c>
      <c r="P1037">
        <v>0</v>
      </c>
      <c r="Q1037">
        <v>0</v>
      </c>
      <c r="R1037">
        <v>1</v>
      </c>
      <c r="S1037">
        <v>0</v>
      </c>
      <c r="T1037">
        <v>0</v>
      </c>
      <c r="U1037">
        <v>0</v>
      </c>
      <c r="V1037">
        <v>0</v>
      </c>
      <c r="W1037">
        <v>0</v>
      </c>
      <c r="X1037">
        <v>0</v>
      </c>
      <c r="Y1037">
        <v>0</v>
      </c>
      <c r="Z1037">
        <v>0</v>
      </c>
      <c r="AA1037">
        <v>0</v>
      </c>
      <c r="AM1037" t="s">
        <v>83</v>
      </c>
      <c r="AN1037" t="s">
        <v>82</v>
      </c>
      <c r="AO1037" t="s">
        <v>83</v>
      </c>
      <c r="AP1037" t="s">
        <v>82</v>
      </c>
      <c r="AQ1037" t="s">
        <v>81</v>
      </c>
      <c r="AR1037" t="s">
        <v>83</v>
      </c>
      <c r="AS1037" t="s">
        <v>82</v>
      </c>
      <c r="AT1037" t="s">
        <v>83</v>
      </c>
      <c r="AU1037" t="s">
        <v>88</v>
      </c>
      <c r="AV1037" t="s">
        <v>89</v>
      </c>
      <c r="AW1037" t="s">
        <v>85</v>
      </c>
      <c r="AX1037" t="s">
        <v>175</v>
      </c>
      <c r="AZ1037" t="s">
        <v>107</v>
      </c>
      <c r="BA1037" t="s">
        <v>87</v>
      </c>
      <c r="BB1037" t="s">
        <v>87</v>
      </c>
      <c r="BC1037" t="s">
        <v>87</v>
      </c>
      <c r="BD1037" t="s">
        <v>87</v>
      </c>
      <c r="BE1037" t="s">
        <v>87</v>
      </c>
      <c r="BF1037" t="s">
        <v>108</v>
      </c>
      <c r="BG1037" t="s">
        <v>76</v>
      </c>
      <c r="BH1037" t="s">
        <v>98</v>
      </c>
      <c r="BI1037" t="s">
        <v>107</v>
      </c>
      <c r="BJ1037" t="s">
        <v>94</v>
      </c>
      <c r="BK1037">
        <v>0</v>
      </c>
      <c r="BL1037">
        <v>1</v>
      </c>
      <c r="BM1037">
        <v>0</v>
      </c>
      <c r="BN1037">
        <v>0</v>
      </c>
      <c r="BO1037">
        <v>0</v>
      </c>
      <c r="BP1037">
        <v>1</v>
      </c>
      <c r="BQ1037">
        <v>0</v>
      </c>
      <c r="BR1037">
        <v>0</v>
      </c>
    </row>
    <row r="1038" spans="1:70" x14ac:dyDescent="0.2">
      <c r="A1038" s="1">
        <v>44579.879861111112</v>
      </c>
      <c r="B1038" s="1">
        <v>44579.881249999999</v>
      </c>
      <c r="C1038">
        <v>1</v>
      </c>
      <c r="D1038">
        <v>0</v>
      </c>
      <c r="E1038">
        <v>0</v>
      </c>
      <c r="F1038">
        <v>0</v>
      </c>
      <c r="H1038">
        <v>0</v>
      </c>
      <c r="I1038">
        <v>1</v>
      </c>
      <c r="J1038">
        <v>1</v>
      </c>
      <c r="K1038">
        <v>1</v>
      </c>
      <c r="L1038">
        <v>0</v>
      </c>
      <c r="N1038" t="s">
        <v>135</v>
      </c>
      <c r="O1038" t="s">
        <v>80</v>
      </c>
      <c r="P1038">
        <v>1</v>
      </c>
      <c r="Q1038">
        <v>0</v>
      </c>
      <c r="R1038">
        <v>0</v>
      </c>
      <c r="S1038">
        <v>0</v>
      </c>
      <c r="T1038">
        <v>0</v>
      </c>
      <c r="U1038">
        <v>0</v>
      </c>
      <c r="V1038">
        <v>0</v>
      </c>
      <c r="W1038">
        <v>0</v>
      </c>
      <c r="X1038">
        <v>0</v>
      </c>
      <c r="Y1038">
        <v>0</v>
      </c>
      <c r="Z1038">
        <v>0</v>
      </c>
      <c r="AA1038">
        <v>0</v>
      </c>
      <c r="AC1038">
        <v>0</v>
      </c>
      <c r="AD1038">
        <v>0</v>
      </c>
      <c r="AE1038">
        <v>0</v>
      </c>
      <c r="AF1038">
        <v>0</v>
      </c>
      <c r="AG1038">
        <v>1</v>
      </c>
      <c r="AH1038">
        <v>0</v>
      </c>
      <c r="AI1038">
        <v>0</v>
      </c>
      <c r="AJ1038">
        <v>1</v>
      </c>
      <c r="AK1038">
        <v>0</v>
      </c>
      <c r="AX1038" t="s">
        <v>146</v>
      </c>
      <c r="AZ1038" t="s">
        <v>107</v>
      </c>
      <c r="BA1038" t="s">
        <v>87</v>
      </c>
      <c r="BB1038" t="s">
        <v>86</v>
      </c>
      <c r="BC1038" t="s">
        <v>86</v>
      </c>
      <c r="BD1038" t="s">
        <v>86</v>
      </c>
      <c r="BE1038" t="s">
        <v>74</v>
      </c>
      <c r="BF1038" t="s">
        <v>75</v>
      </c>
      <c r="BG1038" t="s">
        <v>76</v>
      </c>
      <c r="BH1038" t="s">
        <v>93</v>
      </c>
      <c r="BI1038" t="s">
        <v>107</v>
      </c>
      <c r="BJ1038" t="s">
        <v>114</v>
      </c>
      <c r="BK1038">
        <v>0</v>
      </c>
      <c r="BL1038">
        <v>0</v>
      </c>
      <c r="BM1038">
        <v>0</v>
      </c>
      <c r="BN1038">
        <v>0</v>
      </c>
      <c r="BO1038">
        <v>0</v>
      </c>
      <c r="BP1038">
        <v>1</v>
      </c>
      <c r="BQ1038">
        <v>0</v>
      </c>
      <c r="BR1038">
        <v>0</v>
      </c>
    </row>
    <row r="1039" spans="1:70" x14ac:dyDescent="0.2">
      <c r="A1039" s="1">
        <v>44579.881944444445</v>
      </c>
      <c r="B1039" s="1">
        <v>44579.883333333331</v>
      </c>
      <c r="C1039">
        <v>1</v>
      </c>
      <c r="D1039">
        <v>0</v>
      </c>
      <c r="E1039">
        <v>0</v>
      </c>
      <c r="F1039">
        <v>0</v>
      </c>
      <c r="H1039">
        <v>0</v>
      </c>
      <c r="I1039">
        <v>1</v>
      </c>
      <c r="J1039">
        <v>1</v>
      </c>
      <c r="K1039">
        <v>0</v>
      </c>
      <c r="L1039">
        <v>0</v>
      </c>
      <c r="N1039" t="s">
        <v>88</v>
      </c>
      <c r="O1039" t="s">
        <v>89</v>
      </c>
      <c r="P1039">
        <v>0</v>
      </c>
      <c r="Q1039">
        <v>0</v>
      </c>
      <c r="R1039">
        <v>1</v>
      </c>
      <c r="S1039">
        <v>0</v>
      </c>
      <c r="T1039">
        <v>0</v>
      </c>
      <c r="U1039">
        <v>0</v>
      </c>
      <c r="V1039">
        <v>0</v>
      </c>
      <c r="W1039">
        <v>0</v>
      </c>
      <c r="X1039">
        <v>0</v>
      </c>
      <c r="Y1039">
        <v>0</v>
      </c>
      <c r="Z1039">
        <v>0</v>
      </c>
      <c r="AA1039">
        <v>0</v>
      </c>
      <c r="AM1039" t="s">
        <v>81</v>
      </c>
      <c r="AN1039" t="s">
        <v>82</v>
      </c>
      <c r="AO1039" t="s">
        <v>83</v>
      </c>
      <c r="AP1039" t="s">
        <v>81</v>
      </c>
      <c r="AQ1039" t="s">
        <v>82</v>
      </c>
      <c r="AR1039" t="s">
        <v>83</v>
      </c>
      <c r="AS1039" t="s">
        <v>81</v>
      </c>
      <c r="AT1039" t="s">
        <v>83</v>
      </c>
      <c r="AU1039" t="s">
        <v>88</v>
      </c>
      <c r="AV1039" t="s">
        <v>89</v>
      </c>
      <c r="AW1039" t="s">
        <v>85</v>
      </c>
      <c r="AX1039" t="s">
        <v>146</v>
      </c>
      <c r="AZ1039" t="s">
        <v>107</v>
      </c>
      <c r="BA1039" t="s">
        <v>87</v>
      </c>
      <c r="BB1039" t="s">
        <v>87</v>
      </c>
      <c r="BC1039" t="s">
        <v>87</v>
      </c>
      <c r="BD1039" t="s">
        <v>87</v>
      </c>
      <c r="BE1039" t="s">
        <v>87</v>
      </c>
      <c r="BF1039" t="s">
        <v>75</v>
      </c>
      <c r="BG1039" t="s">
        <v>92</v>
      </c>
      <c r="BH1039" t="s">
        <v>93</v>
      </c>
      <c r="BI1039" t="s">
        <v>107</v>
      </c>
      <c r="BK1039">
        <v>0</v>
      </c>
      <c r="BL1039">
        <v>0</v>
      </c>
      <c r="BM1039">
        <v>0</v>
      </c>
      <c r="BN1039">
        <v>0</v>
      </c>
      <c r="BO1039">
        <v>0</v>
      </c>
      <c r="BP1039">
        <v>1</v>
      </c>
      <c r="BQ1039">
        <v>0</v>
      </c>
      <c r="BR1039">
        <v>0</v>
      </c>
    </row>
    <row r="1040" spans="1:70" x14ac:dyDescent="0.2">
      <c r="A1040" s="1">
        <v>44579.877083333333</v>
      </c>
      <c r="B1040" s="1">
        <v>44579.881944444445</v>
      </c>
      <c r="C1040">
        <v>1</v>
      </c>
      <c r="D1040">
        <v>0</v>
      </c>
      <c r="E1040">
        <v>0</v>
      </c>
      <c r="F1040">
        <v>0</v>
      </c>
      <c r="H1040">
        <v>0</v>
      </c>
      <c r="I1040">
        <v>1</v>
      </c>
      <c r="J1040">
        <v>0</v>
      </c>
      <c r="K1040">
        <v>0</v>
      </c>
      <c r="L1040">
        <v>0</v>
      </c>
      <c r="N1040" t="s">
        <v>135</v>
      </c>
      <c r="O1040" t="s">
        <v>80</v>
      </c>
      <c r="P1040">
        <v>0</v>
      </c>
      <c r="Q1040">
        <v>0</v>
      </c>
      <c r="R1040">
        <v>1</v>
      </c>
      <c r="S1040">
        <v>0</v>
      </c>
      <c r="T1040">
        <v>0</v>
      </c>
      <c r="U1040">
        <v>0</v>
      </c>
      <c r="V1040">
        <v>0</v>
      </c>
      <c r="W1040">
        <v>0</v>
      </c>
      <c r="X1040">
        <v>0</v>
      </c>
      <c r="Y1040">
        <v>0</v>
      </c>
      <c r="Z1040">
        <v>0</v>
      </c>
      <c r="AA1040">
        <v>0</v>
      </c>
      <c r="AM1040" t="s">
        <v>82</v>
      </c>
      <c r="AN1040" t="s">
        <v>81</v>
      </c>
      <c r="AO1040" t="s">
        <v>83</v>
      </c>
      <c r="AP1040" t="s">
        <v>81</v>
      </c>
      <c r="AQ1040" t="s">
        <v>82</v>
      </c>
      <c r="AR1040" t="s">
        <v>81</v>
      </c>
      <c r="AS1040" t="s">
        <v>82</v>
      </c>
      <c r="AT1040" t="s">
        <v>83</v>
      </c>
      <c r="AU1040" t="s">
        <v>88</v>
      </c>
      <c r="AV1040" t="s">
        <v>89</v>
      </c>
      <c r="AW1040" t="s">
        <v>85</v>
      </c>
      <c r="AX1040" t="s">
        <v>118</v>
      </c>
      <c r="AZ1040" t="s">
        <v>73</v>
      </c>
      <c r="BA1040" t="s">
        <v>87</v>
      </c>
      <c r="BB1040" t="s">
        <v>87</v>
      </c>
      <c r="BC1040" t="s">
        <v>87</v>
      </c>
      <c r="BD1040" t="s">
        <v>86</v>
      </c>
      <c r="BE1040" t="s">
        <v>87</v>
      </c>
      <c r="BF1040" t="s">
        <v>75</v>
      </c>
      <c r="BG1040" t="s">
        <v>76</v>
      </c>
      <c r="BH1040" t="s">
        <v>77</v>
      </c>
      <c r="BI1040" t="s">
        <v>73</v>
      </c>
      <c r="BJ1040" t="s">
        <v>165</v>
      </c>
      <c r="BK1040">
        <v>0</v>
      </c>
      <c r="BL1040">
        <v>0</v>
      </c>
      <c r="BM1040">
        <v>0</v>
      </c>
      <c r="BN1040">
        <v>0</v>
      </c>
      <c r="BO1040">
        <v>0</v>
      </c>
      <c r="BP1040">
        <v>1</v>
      </c>
      <c r="BQ1040">
        <v>0</v>
      </c>
      <c r="BR1040">
        <v>0</v>
      </c>
    </row>
    <row r="1041" spans="1:72" x14ac:dyDescent="0.2">
      <c r="A1041" s="1">
        <v>44579.952777777777</v>
      </c>
      <c r="B1041" s="1">
        <v>44579.95416666667</v>
      </c>
      <c r="C1041">
        <v>0</v>
      </c>
      <c r="D1041">
        <v>1</v>
      </c>
      <c r="E1041">
        <v>0</v>
      </c>
      <c r="F1041">
        <v>0</v>
      </c>
      <c r="H1041">
        <v>0</v>
      </c>
      <c r="I1041">
        <v>1</v>
      </c>
      <c r="J1041">
        <v>0</v>
      </c>
      <c r="K1041">
        <v>0</v>
      </c>
      <c r="L1041">
        <v>0</v>
      </c>
      <c r="N1041" t="s">
        <v>79</v>
      </c>
      <c r="O1041" t="s">
        <v>80</v>
      </c>
      <c r="P1041">
        <v>1</v>
      </c>
      <c r="Q1041">
        <v>0</v>
      </c>
      <c r="R1041">
        <v>0</v>
      </c>
      <c r="S1041">
        <v>0</v>
      </c>
      <c r="T1041">
        <v>0</v>
      </c>
      <c r="U1041">
        <v>0</v>
      </c>
      <c r="V1041">
        <v>0</v>
      </c>
      <c r="W1041">
        <v>0</v>
      </c>
      <c r="X1041">
        <v>0</v>
      </c>
      <c r="Y1041">
        <v>0</v>
      </c>
      <c r="Z1041">
        <v>0</v>
      </c>
      <c r="AA1041">
        <v>0</v>
      </c>
      <c r="AC1041">
        <v>0</v>
      </c>
      <c r="AD1041">
        <v>0</v>
      </c>
      <c r="AE1041">
        <v>1</v>
      </c>
      <c r="AF1041">
        <v>0</v>
      </c>
      <c r="AG1041">
        <v>0</v>
      </c>
      <c r="AH1041">
        <v>0</v>
      </c>
      <c r="AI1041">
        <v>1</v>
      </c>
      <c r="AJ1041">
        <v>1</v>
      </c>
      <c r="AK1041">
        <v>0</v>
      </c>
      <c r="AX1041" t="s">
        <v>72</v>
      </c>
      <c r="AZ1041" t="s">
        <v>73</v>
      </c>
      <c r="BA1041" t="s">
        <v>86</v>
      </c>
      <c r="BB1041" t="s">
        <v>86</v>
      </c>
      <c r="BC1041" t="s">
        <v>86</v>
      </c>
      <c r="BD1041" t="s">
        <v>87</v>
      </c>
      <c r="BE1041" t="s">
        <v>87</v>
      </c>
      <c r="BF1041" t="s">
        <v>75</v>
      </c>
      <c r="BG1041" t="s">
        <v>76</v>
      </c>
      <c r="BH1041" t="s">
        <v>93</v>
      </c>
      <c r="BI1041" t="s">
        <v>73</v>
      </c>
      <c r="BJ1041" t="s">
        <v>114</v>
      </c>
      <c r="BK1041">
        <v>0</v>
      </c>
      <c r="BL1041">
        <v>0</v>
      </c>
      <c r="BM1041">
        <v>0</v>
      </c>
      <c r="BN1041">
        <v>0</v>
      </c>
      <c r="BO1041">
        <v>0</v>
      </c>
      <c r="BP1041">
        <v>1</v>
      </c>
      <c r="BQ1041">
        <v>0</v>
      </c>
      <c r="BR1041">
        <v>0</v>
      </c>
    </row>
    <row r="1042" spans="1:72" x14ac:dyDescent="0.2">
      <c r="A1042" s="1">
        <v>44579.875</v>
      </c>
      <c r="B1042" s="1">
        <v>44579.877083333333</v>
      </c>
      <c r="C1042">
        <v>1</v>
      </c>
      <c r="D1042">
        <v>0</v>
      </c>
      <c r="E1042">
        <v>0</v>
      </c>
      <c r="F1042">
        <v>0</v>
      </c>
      <c r="H1042">
        <v>0</v>
      </c>
      <c r="I1042">
        <v>1</v>
      </c>
      <c r="J1042">
        <v>1</v>
      </c>
      <c r="K1042">
        <v>1</v>
      </c>
      <c r="L1042">
        <v>0</v>
      </c>
      <c r="N1042" t="s">
        <v>88</v>
      </c>
      <c r="O1042" t="s">
        <v>89</v>
      </c>
      <c r="P1042">
        <v>0</v>
      </c>
      <c r="Q1042">
        <v>0</v>
      </c>
      <c r="R1042">
        <v>1</v>
      </c>
      <c r="S1042">
        <v>0</v>
      </c>
      <c r="T1042">
        <v>0</v>
      </c>
      <c r="U1042">
        <v>0</v>
      </c>
      <c r="V1042">
        <v>0</v>
      </c>
      <c r="W1042">
        <v>0</v>
      </c>
      <c r="X1042">
        <v>0</v>
      </c>
      <c r="Y1042">
        <v>0</v>
      </c>
      <c r="Z1042">
        <v>0</v>
      </c>
      <c r="AA1042">
        <v>0</v>
      </c>
      <c r="AM1042" t="s">
        <v>82</v>
      </c>
      <c r="AN1042" t="s">
        <v>82</v>
      </c>
      <c r="AO1042" t="s">
        <v>81</v>
      </c>
      <c r="AP1042" t="s">
        <v>81</v>
      </c>
      <c r="AQ1042" t="s">
        <v>82</v>
      </c>
      <c r="AR1042" t="s">
        <v>82</v>
      </c>
      <c r="AS1042" t="s">
        <v>83</v>
      </c>
      <c r="AT1042" t="s">
        <v>83</v>
      </c>
      <c r="AU1042" t="s">
        <v>88</v>
      </c>
      <c r="AV1042" t="s">
        <v>89</v>
      </c>
      <c r="AW1042" t="s">
        <v>85</v>
      </c>
      <c r="AX1042" t="s">
        <v>146</v>
      </c>
      <c r="AZ1042" t="s">
        <v>107</v>
      </c>
      <c r="BA1042" t="s">
        <v>87</v>
      </c>
      <c r="BB1042" t="s">
        <v>87</v>
      </c>
      <c r="BC1042" t="s">
        <v>87</v>
      </c>
      <c r="BD1042" t="s">
        <v>87</v>
      </c>
      <c r="BE1042" t="s">
        <v>87</v>
      </c>
      <c r="BF1042" t="s">
        <v>75</v>
      </c>
      <c r="BG1042" t="s">
        <v>76</v>
      </c>
      <c r="BH1042" t="s">
        <v>77</v>
      </c>
      <c r="BI1042" t="s">
        <v>107</v>
      </c>
      <c r="BJ1042" t="s">
        <v>78</v>
      </c>
      <c r="BK1042">
        <v>0</v>
      </c>
      <c r="BL1042">
        <v>0</v>
      </c>
      <c r="BM1042">
        <v>0</v>
      </c>
      <c r="BN1042">
        <v>0</v>
      </c>
      <c r="BO1042">
        <v>0</v>
      </c>
      <c r="BP1042">
        <v>1</v>
      </c>
      <c r="BQ1042">
        <v>0</v>
      </c>
      <c r="BR1042">
        <v>0</v>
      </c>
    </row>
    <row r="1043" spans="1:72" x14ac:dyDescent="0.2">
      <c r="A1043" s="1">
        <v>44585.631249999999</v>
      </c>
      <c r="B1043" s="1">
        <v>44585.633333333331</v>
      </c>
      <c r="C1043">
        <v>1</v>
      </c>
      <c r="D1043">
        <v>0</v>
      </c>
      <c r="E1043">
        <v>0</v>
      </c>
      <c r="F1043">
        <v>0</v>
      </c>
      <c r="H1043">
        <v>0</v>
      </c>
      <c r="I1043">
        <v>1</v>
      </c>
      <c r="J1043">
        <v>1</v>
      </c>
      <c r="K1043">
        <v>1</v>
      </c>
      <c r="L1043">
        <v>0</v>
      </c>
      <c r="N1043" t="s">
        <v>88</v>
      </c>
      <c r="O1043" t="s">
        <v>89</v>
      </c>
      <c r="P1043">
        <v>0</v>
      </c>
      <c r="Q1043">
        <v>0</v>
      </c>
      <c r="R1043">
        <v>1</v>
      </c>
      <c r="S1043">
        <v>0</v>
      </c>
      <c r="T1043">
        <v>0</v>
      </c>
      <c r="U1043">
        <v>0</v>
      </c>
      <c r="V1043">
        <v>0</v>
      </c>
      <c r="W1043">
        <v>0</v>
      </c>
      <c r="X1043">
        <v>0</v>
      </c>
      <c r="Y1043">
        <v>0</v>
      </c>
      <c r="Z1043">
        <v>0</v>
      </c>
      <c r="AA1043">
        <v>0</v>
      </c>
      <c r="AM1043" t="s">
        <v>81</v>
      </c>
      <c r="AN1043" t="s">
        <v>81</v>
      </c>
      <c r="AO1043" t="s">
        <v>81</v>
      </c>
      <c r="AP1043" t="s">
        <v>81</v>
      </c>
      <c r="AQ1043" t="s">
        <v>82</v>
      </c>
      <c r="AR1043" t="s">
        <v>83</v>
      </c>
      <c r="AS1043" t="s">
        <v>83</v>
      </c>
      <c r="AT1043" t="s">
        <v>83</v>
      </c>
      <c r="AU1043" t="s">
        <v>88</v>
      </c>
      <c r="AV1043" t="s">
        <v>89</v>
      </c>
      <c r="AW1043" t="s">
        <v>85</v>
      </c>
      <c r="AX1043" t="s">
        <v>106</v>
      </c>
      <c r="AZ1043" t="s">
        <v>107</v>
      </c>
      <c r="BA1043" t="s">
        <v>87</v>
      </c>
      <c r="BB1043" t="s">
        <v>87</v>
      </c>
      <c r="BC1043" t="s">
        <v>87</v>
      </c>
      <c r="BD1043" t="s">
        <v>87</v>
      </c>
      <c r="BE1043" t="s">
        <v>74</v>
      </c>
      <c r="BF1043" t="s">
        <v>75</v>
      </c>
      <c r="BG1043" t="s">
        <v>76</v>
      </c>
      <c r="BH1043" t="s">
        <v>93</v>
      </c>
      <c r="BI1043" t="s">
        <v>107</v>
      </c>
      <c r="BJ1043" t="s">
        <v>114</v>
      </c>
      <c r="BK1043">
        <v>0</v>
      </c>
      <c r="BL1043">
        <v>0</v>
      </c>
      <c r="BM1043">
        <v>0</v>
      </c>
      <c r="BN1043">
        <v>0</v>
      </c>
      <c r="BO1043">
        <v>0</v>
      </c>
      <c r="BP1043">
        <v>1</v>
      </c>
      <c r="BQ1043">
        <v>0</v>
      </c>
      <c r="BR1043">
        <v>0</v>
      </c>
    </row>
    <row r="1044" spans="1:72" x14ac:dyDescent="0.2">
      <c r="A1044" s="1">
        <v>44582.800694444442</v>
      </c>
      <c r="B1044" s="1">
        <v>44582.802777777775</v>
      </c>
      <c r="C1044">
        <v>1</v>
      </c>
      <c r="D1044">
        <v>0</v>
      </c>
      <c r="E1044">
        <v>0</v>
      </c>
      <c r="F1044">
        <v>0</v>
      </c>
      <c r="H1044">
        <v>1</v>
      </c>
      <c r="I1044">
        <v>0</v>
      </c>
      <c r="J1044">
        <v>0</v>
      </c>
      <c r="K1044">
        <v>0</v>
      </c>
      <c r="L1044">
        <v>0</v>
      </c>
      <c r="P1044">
        <v>0</v>
      </c>
      <c r="Q1044">
        <v>0</v>
      </c>
      <c r="R1044">
        <v>1</v>
      </c>
      <c r="S1044">
        <v>0</v>
      </c>
      <c r="T1044">
        <v>0</v>
      </c>
      <c r="U1044">
        <v>0</v>
      </c>
      <c r="V1044">
        <v>0</v>
      </c>
      <c r="W1044">
        <v>0</v>
      </c>
      <c r="X1044">
        <v>0</v>
      </c>
      <c r="Y1044">
        <v>0</v>
      </c>
      <c r="Z1044">
        <v>0</v>
      </c>
      <c r="AA1044">
        <v>0</v>
      </c>
      <c r="AM1044" t="s">
        <v>82</v>
      </c>
      <c r="AN1044" t="s">
        <v>83</v>
      </c>
      <c r="AO1044" t="s">
        <v>83</v>
      </c>
      <c r="AP1044" t="s">
        <v>83</v>
      </c>
      <c r="AQ1044" t="s">
        <v>82</v>
      </c>
      <c r="AR1044" t="s">
        <v>81</v>
      </c>
      <c r="AS1044" t="s">
        <v>83</v>
      </c>
      <c r="AT1044" t="s">
        <v>81</v>
      </c>
      <c r="AU1044" t="s">
        <v>135</v>
      </c>
      <c r="AV1044" t="s">
        <v>80</v>
      </c>
      <c r="AW1044" t="s">
        <v>85</v>
      </c>
      <c r="AX1044" t="s">
        <v>146</v>
      </c>
      <c r="AZ1044" t="s">
        <v>73</v>
      </c>
      <c r="BA1044" t="s">
        <v>74</v>
      </c>
      <c r="BF1044" t="s">
        <v>75</v>
      </c>
      <c r="BG1044" t="s">
        <v>76</v>
      </c>
      <c r="BH1044" t="s">
        <v>93</v>
      </c>
      <c r="BI1044" t="s">
        <v>73</v>
      </c>
      <c r="BJ1044" t="s">
        <v>78</v>
      </c>
      <c r="BK1044">
        <v>0</v>
      </c>
      <c r="BL1044">
        <v>0</v>
      </c>
      <c r="BM1044">
        <v>0</v>
      </c>
      <c r="BN1044">
        <v>0</v>
      </c>
      <c r="BO1044">
        <v>0</v>
      </c>
      <c r="BP1044">
        <v>1</v>
      </c>
      <c r="BQ1044">
        <v>0</v>
      </c>
      <c r="BR1044">
        <v>0</v>
      </c>
    </row>
    <row r="1045" spans="1:72" x14ac:dyDescent="0.2">
      <c r="A1045" s="1">
        <v>44588.908333333333</v>
      </c>
      <c r="B1045" s="1">
        <v>44590.666666666664</v>
      </c>
      <c r="C1045">
        <v>1</v>
      </c>
      <c r="D1045">
        <v>0</v>
      </c>
      <c r="E1045">
        <v>0</v>
      </c>
      <c r="F1045">
        <v>0</v>
      </c>
      <c r="H1045">
        <v>0</v>
      </c>
      <c r="I1045">
        <v>1</v>
      </c>
      <c r="J1045">
        <v>1</v>
      </c>
      <c r="K1045">
        <v>1</v>
      </c>
      <c r="L1045">
        <v>1</v>
      </c>
      <c r="M1045" t="s">
        <v>461</v>
      </c>
      <c r="N1045" t="s">
        <v>88</v>
      </c>
      <c r="O1045" t="s">
        <v>89</v>
      </c>
      <c r="P1045">
        <v>0</v>
      </c>
      <c r="Q1045">
        <v>0</v>
      </c>
      <c r="R1045">
        <v>0</v>
      </c>
      <c r="S1045">
        <v>1</v>
      </c>
      <c r="T1045">
        <v>0</v>
      </c>
      <c r="U1045">
        <v>0</v>
      </c>
      <c r="V1045">
        <v>0</v>
      </c>
      <c r="W1045">
        <v>0</v>
      </c>
      <c r="X1045">
        <v>0</v>
      </c>
      <c r="Y1045">
        <v>1</v>
      </c>
      <c r="Z1045">
        <v>0</v>
      </c>
      <c r="AA1045">
        <v>0</v>
      </c>
      <c r="AM1045" t="s">
        <v>83</v>
      </c>
      <c r="AN1045" t="s">
        <v>82</v>
      </c>
      <c r="AO1045" t="s">
        <v>82</v>
      </c>
      <c r="AP1045" t="s">
        <v>82</v>
      </c>
      <c r="AQ1045" t="s">
        <v>81</v>
      </c>
      <c r="AR1045" t="s">
        <v>81</v>
      </c>
      <c r="AS1045" t="s">
        <v>81</v>
      </c>
      <c r="AT1045" t="s">
        <v>83</v>
      </c>
      <c r="AU1045" t="s">
        <v>88</v>
      </c>
      <c r="AV1045" t="s">
        <v>89</v>
      </c>
      <c r="AW1045" t="s">
        <v>100</v>
      </c>
      <c r="AX1045" t="s">
        <v>110</v>
      </c>
      <c r="AY1045" t="s">
        <v>462</v>
      </c>
      <c r="AZ1045" t="s">
        <v>73</v>
      </c>
      <c r="BA1045" t="s">
        <v>87</v>
      </c>
      <c r="BB1045" t="s">
        <v>87</v>
      </c>
      <c r="BC1045" t="s">
        <v>87</v>
      </c>
      <c r="BD1045" t="s">
        <v>87</v>
      </c>
      <c r="BE1045" t="s">
        <v>87</v>
      </c>
      <c r="BF1045" t="s">
        <v>108</v>
      </c>
      <c r="BG1045" t="s">
        <v>92</v>
      </c>
      <c r="BH1045" t="s">
        <v>77</v>
      </c>
      <c r="BI1045" t="s">
        <v>73</v>
      </c>
      <c r="BJ1045" t="s">
        <v>94</v>
      </c>
      <c r="BK1045">
        <v>0</v>
      </c>
      <c r="BL1045">
        <v>0</v>
      </c>
      <c r="BM1045">
        <v>0</v>
      </c>
      <c r="BN1045">
        <v>0</v>
      </c>
      <c r="BO1045">
        <v>0</v>
      </c>
      <c r="BP1045">
        <v>1</v>
      </c>
      <c r="BQ1045">
        <v>0</v>
      </c>
      <c r="BR1045">
        <v>0</v>
      </c>
    </row>
    <row r="1046" spans="1:72" x14ac:dyDescent="0.2">
      <c r="A1046" s="1">
        <v>44588.879861111112</v>
      </c>
      <c r="B1046" s="1">
        <v>44588.884027777778</v>
      </c>
      <c r="C1046">
        <v>0</v>
      </c>
      <c r="D1046">
        <v>1</v>
      </c>
      <c r="E1046">
        <v>0</v>
      </c>
      <c r="F1046">
        <v>0</v>
      </c>
      <c r="H1046">
        <v>0</v>
      </c>
      <c r="I1046">
        <v>1</v>
      </c>
      <c r="J1046">
        <v>0</v>
      </c>
      <c r="K1046">
        <v>0</v>
      </c>
      <c r="L1046">
        <v>0</v>
      </c>
      <c r="N1046" t="s">
        <v>88</v>
      </c>
      <c r="O1046" t="s">
        <v>89</v>
      </c>
      <c r="P1046">
        <v>0</v>
      </c>
      <c r="Q1046">
        <v>1</v>
      </c>
      <c r="R1046">
        <v>0</v>
      </c>
      <c r="S1046">
        <v>0</v>
      </c>
      <c r="T1046">
        <v>0</v>
      </c>
      <c r="U1046">
        <v>0</v>
      </c>
      <c r="V1046">
        <v>0</v>
      </c>
      <c r="W1046">
        <v>0</v>
      </c>
      <c r="X1046">
        <v>0</v>
      </c>
      <c r="Y1046">
        <v>0</v>
      </c>
      <c r="Z1046">
        <v>0</v>
      </c>
      <c r="AA1046">
        <v>0</v>
      </c>
      <c r="AM1046" t="s">
        <v>83</v>
      </c>
      <c r="AN1046" t="s">
        <v>82</v>
      </c>
      <c r="AO1046" t="s">
        <v>81</v>
      </c>
      <c r="AP1046" t="s">
        <v>83</v>
      </c>
      <c r="AQ1046" t="s">
        <v>83</v>
      </c>
      <c r="AR1046" t="s">
        <v>83</v>
      </c>
      <c r="AS1046" t="s">
        <v>83</v>
      </c>
      <c r="AT1046" t="s">
        <v>83</v>
      </c>
      <c r="AU1046" t="s">
        <v>88</v>
      </c>
      <c r="AV1046" t="s">
        <v>89</v>
      </c>
      <c r="AW1046" t="s">
        <v>100</v>
      </c>
      <c r="AX1046" t="s">
        <v>91</v>
      </c>
      <c r="AZ1046" t="s">
        <v>107</v>
      </c>
      <c r="BA1046" t="s">
        <v>87</v>
      </c>
      <c r="BB1046" t="s">
        <v>74</v>
      </c>
      <c r="BC1046" t="s">
        <v>87</v>
      </c>
      <c r="BD1046" t="s">
        <v>87</v>
      </c>
      <c r="BE1046" t="s">
        <v>74</v>
      </c>
      <c r="BF1046" t="s">
        <v>75</v>
      </c>
      <c r="BG1046" t="s">
        <v>76</v>
      </c>
      <c r="BH1046" t="s">
        <v>77</v>
      </c>
      <c r="BI1046" t="s">
        <v>107</v>
      </c>
      <c r="BJ1046" t="s">
        <v>78</v>
      </c>
      <c r="BK1046">
        <v>0</v>
      </c>
      <c r="BL1046">
        <v>0</v>
      </c>
      <c r="BM1046">
        <v>0</v>
      </c>
      <c r="BN1046">
        <v>0</v>
      </c>
      <c r="BO1046">
        <v>0</v>
      </c>
      <c r="BP1046">
        <v>1</v>
      </c>
      <c r="BQ1046">
        <v>0</v>
      </c>
      <c r="BR1046">
        <v>0</v>
      </c>
    </row>
    <row r="1047" spans="1:72" x14ac:dyDescent="0.2">
      <c r="A1047" s="1">
        <v>44579.888888888891</v>
      </c>
      <c r="B1047" s="1">
        <v>44579.890277777777</v>
      </c>
      <c r="C1047">
        <v>1</v>
      </c>
      <c r="D1047">
        <v>0</v>
      </c>
      <c r="E1047">
        <v>0</v>
      </c>
      <c r="F1047">
        <v>0</v>
      </c>
      <c r="H1047">
        <v>0</v>
      </c>
      <c r="I1047">
        <v>1</v>
      </c>
      <c r="J1047">
        <v>0</v>
      </c>
      <c r="K1047">
        <v>0</v>
      </c>
      <c r="L1047">
        <v>1</v>
      </c>
      <c r="M1047" t="s">
        <v>463</v>
      </c>
      <c r="N1047" t="s">
        <v>88</v>
      </c>
      <c r="O1047" t="s">
        <v>80</v>
      </c>
      <c r="P1047">
        <v>0</v>
      </c>
      <c r="Q1047">
        <v>0</v>
      </c>
      <c r="R1047">
        <v>1</v>
      </c>
      <c r="S1047">
        <v>0</v>
      </c>
      <c r="T1047">
        <v>0</v>
      </c>
      <c r="U1047">
        <v>0</v>
      </c>
      <c r="V1047">
        <v>0</v>
      </c>
      <c r="W1047">
        <v>0</v>
      </c>
      <c r="X1047">
        <v>0</v>
      </c>
      <c r="Y1047">
        <v>0</v>
      </c>
      <c r="Z1047">
        <v>0</v>
      </c>
      <c r="AA1047">
        <v>0</v>
      </c>
      <c r="AM1047" t="s">
        <v>83</v>
      </c>
      <c r="AN1047" t="s">
        <v>82</v>
      </c>
      <c r="AO1047" t="s">
        <v>83</v>
      </c>
      <c r="AP1047" t="s">
        <v>83</v>
      </c>
      <c r="AQ1047" t="s">
        <v>81</v>
      </c>
      <c r="AR1047" t="s">
        <v>81</v>
      </c>
      <c r="AS1047" t="s">
        <v>83</v>
      </c>
      <c r="AT1047" t="s">
        <v>83</v>
      </c>
      <c r="AU1047" t="s">
        <v>88</v>
      </c>
      <c r="AV1047" t="s">
        <v>89</v>
      </c>
      <c r="AW1047" t="s">
        <v>85</v>
      </c>
      <c r="AZ1047" t="s">
        <v>107</v>
      </c>
      <c r="BA1047" t="s">
        <v>87</v>
      </c>
      <c r="BB1047" t="s">
        <v>87</v>
      </c>
      <c r="BC1047" t="s">
        <v>87</v>
      </c>
      <c r="BD1047" t="s">
        <v>74</v>
      </c>
      <c r="BE1047" t="s">
        <v>87</v>
      </c>
      <c r="BF1047" t="s">
        <v>159</v>
      </c>
      <c r="BG1047" t="s">
        <v>76</v>
      </c>
      <c r="BH1047" t="s">
        <v>93</v>
      </c>
      <c r="BI1047" t="s">
        <v>107</v>
      </c>
      <c r="BJ1047" t="s">
        <v>78</v>
      </c>
      <c r="BK1047">
        <v>0</v>
      </c>
      <c r="BL1047">
        <v>0</v>
      </c>
      <c r="BM1047">
        <v>0</v>
      </c>
      <c r="BN1047">
        <v>0</v>
      </c>
      <c r="BO1047">
        <v>0</v>
      </c>
      <c r="BP1047">
        <v>1</v>
      </c>
      <c r="BQ1047">
        <v>0</v>
      </c>
      <c r="BR1047">
        <v>0</v>
      </c>
    </row>
    <row r="1048" spans="1:72" x14ac:dyDescent="0.2">
      <c r="A1048" s="1">
        <v>44583.690972222219</v>
      </c>
      <c r="B1048" s="1">
        <v>44583.692361111112</v>
      </c>
      <c r="C1048">
        <v>1</v>
      </c>
      <c r="D1048">
        <v>0</v>
      </c>
      <c r="E1048">
        <v>0</v>
      </c>
      <c r="F1048">
        <v>0</v>
      </c>
      <c r="H1048">
        <v>0</v>
      </c>
      <c r="I1048">
        <v>1</v>
      </c>
      <c r="J1048">
        <v>1</v>
      </c>
      <c r="K1048">
        <v>1</v>
      </c>
      <c r="L1048">
        <v>0</v>
      </c>
      <c r="N1048" t="s">
        <v>127</v>
      </c>
      <c r="O1048" t="s">
        <v>127</v>
      </c>
      <c r="P1048">
        <v>0</v>
      </c>
      <c r="Q1048">
        <v>0</v>
      </c>
      <c r="R1048">
        <v>1</v>
      </c>
      <c r="S1048">
        <v>0</v>
      </c>
      <c r="T1048">
        <v>0</v>
      </c>
      <c r="U1048">
        <v>0</v>
      </c>
      <c r="V1048">
        <v>0</v>
      </c>
      <c r="W1048">
        <v>0</v>
      </c>
      <c r="X1048">
        <v>0</v>
      </c>
      <c r="Y1048">
        <v>0</v>
      </c>
      <c r="Z1048">
        <v>0</v>
      </c>
      <c r="AA1048">
        <v>0</v>
      </c>
      <c r="AM1048" t="s">
        <v>83</v>
      </c>
      <c r="AN1048" t="s">
        <v>82</v>
      </c>
      <c r="AO1048" t="s">
        <v>82</v>
      </c>
      <c r="AP1048" t="s">
        <v>82</v>
      </c>
      <c r="AQ1048" t="s">
        <v>81</v>
      </c>
      <c r="AR1048" t="s">
        <v>81</v>
      </c>
      <c r="AS1048" t="s">
        <v>81</v>
      </c>
      <c r="AT1048" t="s">
        <v>83</v>
      </c>
      <c r="AU1048" t="s">
        <v>88</v>
      </c>
      <c r="AV1048" t="s">
        <v>89</v>
      </c>
      <c r="AW1048" t="s">
        <v>100</v>
      </c>
      <c r="AX1048" t="s">
        <v>72</v>
      </c>
      <c r="AZ1048" t="s">
        <v>73</v>
      </c>
      <c r="BA1048" t="s">
        <v>87</v>
      </c>
      <c r="BB1048" t="s">
        <v>87</v>
      </c>
      <c r="BC1048" t="s">
        <v>87</v>
      </c>
      <c r="BD1048" t="s">
        <v>87</v>
      </c>
      <c r="BE1048" t="s">
        <v>86</v>
      </c>
      <c r="BF1048" t="s">
        <v>75</v>
      </c>
      <c r="BG1048" t="s">
        <v>76</v>
      </c>
      <c r="BH1048" t="s">
        <v>77</v>
      </c>
      <c r="BI1048" t="s">
        <v>73</v>
      </c>
      <c r="BJ1048" t="s">
        <v>78</v>
      </c>
      <c r="BK1048">
        <v>0</v>
      </c>
      <c r="BL1048">
        <v>0</v>
      </c>
      <c r="BM1048">
        <v>0</v>
      </c>
      <c r="BN1048">
        <v>0</v>
      </c>
      <c r="BO1048">
        <v>0</v>
      </c>
      <c r="BP1048">
        <v>1</v>
      </c>
      <c r="BQ1048">
        <v>0</v>
      </c>
      <c r="BR1048">
        <v>0</v>
      </c>
    </row>
    <row r="1049" spans="1:72" x14ac:dyDescent="0.2">
      <c r="A1049" s="1">
        <v>44580.030555555553</v>
      </c>
      <c r="B1049" s="1">
        <v>44580.031944444447</v>
      </c>
      <c r="C1049">
        <v>1</v>
      </c>
      <c r="D1049">
        <v>0</v>
      </c>
      <c r="E1049">
        <v>0</v>
      </c>
      <c r="F1049">
        <v>0</v>
      </c>
      <c r="H1049">
        <v>1</v>
      </c>
      <c r="I1049">
        <v>0</v>
      </c>
      <c r="J1049">
        <v>0</v>
      </c>
      <c r="K1049">
        <v>0</v>
      </c>
      <c r="L1049">
        <v>0</v>
      </c>
      <c r="P1049">
        <v>0</v>
      </c>
      <c r="Q1049">
        <v>1</v>
      </c>
      <c r="R1049">
        <v>0</v>
      </c>
      <c r="S1049">
        <v>0</v>
      </c>
      <c r="T1049">
        <v>0</v>
      </c>
      <c r="U1049">
        <v>0</v>
      </c>
      <c r="V1049">
        <v>0</v>
      </c>
      <c r="W1049">
        <v>0</v>
      </c>
      <c r="X1049">
        <v>0</v>
      </c>
      <c r="Y1049">
        <v>0</v>
      </c>
      <c r="Z1049">
        <v>0</v>
      </c>
      <c r="AA1049">
        <v>0</v>
      </c>
      <c r="AM1049" t="s">
        <v>83</v>
      </c>
      <c r="AN1049" t="s">
        <v>82</v>
      </c>
      <c r="AO1049" t="s">
        <v>81</v>
      </c>
      <c r="AP1049" t="s">
        <v>81</v>
      </c>
      <c r="AQ1049" t="s">
        <v>81</v>
      </c>
      <c r="AR1049" t="s">
        <v>81</v>
      </c>
      <c r="AS1049" t="s">
        <v>81</v>
      </c>
      <c r="AT1049" t="s">
        <v>83</v>
      </c>
      <c r="AU1049" t="s">
        <v>88</v>
      </c>
      <c r="AV1049" t="s">
        <v>89</v>
      </c>
      <c r="AW1049" t="s">
        <v>100</v>
      </c>
      <c r="AX1049" t="s">
        <v>122</v>
      </c>
      <c r="AZ1049" t="s">
        <v>73</v>
      </c>
      <c r="BA1049" t="s">
        <v>87</v>
      </c>
      <c r="BB1049" t="s">
        <v>87</v>
      </c>
      <c r="BC1049" t="s">
        <v>87</v>
      </c>
      <c r="BD1049" t="s">
        <v>87</v>
      </c>
      <c r="BE1049" t="s">
        <v>87</v>
      </c>
      <c r="BF1049" t="s">
        <v>75</v>
      </c>
      <c r="BG1049" t="s">
        <v>76</v>
      </c>
      <c r="BH1049" t="s">
        <v>77</v>
      </c>
      <c r="BI1049" t="s">
        <v>73</v>
      </c>
      <c r="BJ1049" t="s">
        <v>147</v>
      </c>
      <c r="BK1049">
        <v>0</v>
      </c>
      <c r="BL1049">
        <v>0</v>
      </c>
      <c r="BM1049">
        <v>0</v>
      </c>
      <c r="BN1049">
        <v>0</v>
      </c>
      <c r="BO1049">
        <v>0</v>
      </c>
      <c r="BP1049">
        <v>1</v>
      </c>
      <c r="BQ1049">
        <v>1</v>
      </c>
      <c r="BR1049">
        <v>0</v>
      </c>
    </row>
    <row r="1050" spans="1:72" x14ac:dyDescent="0.2">
      <c r="A1050" s="1">
        <v>44585.517361111109</v>
      </c>
      <c r="B1050" s="1">
        <v>44585.518055555556</v>
      </c>
      <c r="C1050">
        <v>1</v>
      </c>
      <c r="D1050">
        <v>0</v>
      </c>
      <c r="E1050">
        <v>0</v>
      </c>
      <c r="F1050">
        <v>0</v>
      </c>
      <c r="H1050">
        <v>1</v>
      </c>
      <c r="I1050">
        <v>0</v>
      </c>
      <c r="J1050">
        <v>0</v>
      </c>
      <c r="K1050">
        <v>0</v>
      </c>
      <c r="L1050">
        <v>0</v>
      </c>
      <c r="P1050">
        <v>1</v>
      </c>
      <c r="Q1050">
        <v>0</v>
      </c>
      <c r="R1050">
        <v>0</v>
      </c>
      <c r="S1050">
        <v>0</v>
      </c>
      <c r="T1050">
        <v>0</v>
      </c>
      <c r="U1050">
        <v>0</v>
      </c>
      <c r="V1050">
        <v>0</v>
      </c>
      <c r="W1050">
        <v>0</v>
      </c>
      <c r="X1050">
        <v>0</v>
      </c>
      <c r="Y1050">
        <v>0</v>
      </c>
      <c r="Z1050">
        <v>0</v>
      </c>
      <c r="AA1050">
        <v>0</v>
      </c>
      <c r="AC1050">
        <v>0</v>
      </c>
      <c r="AD1050">
        <v>0</v>
      </c>
      <c r="AE1050">
        <v>0</v>
      </c>
      <c r="AF1050">
        <v>0</v>
      </c>
      <c r="AG1050">
        <v>0</v>
      </c>
      <c r="AH1050">
        <v>0</v>
      </c>
      <c r="AI1050">
        <v>0</v>
      </c>
      <c r="AJ1050">
        <v>1</v>
      </c>
      <c r="AK1050">
        <v>0</v>
      </c>
      <c r="AX1050" t="s">
        <v>118</v>
      </c>
      <c r="AZ1050" t="s">
        <v>107</v>
      </c>
      <c r="BA1050" t="s">
        <v>74</v>
      </c>
      <c r="BF1050" t="s">
        <v>75</v>
      </c>
      <c r="BG1050" t="s">
        <v>76</v>
      </c>
      <c r="BH1050" t="s">
        <v>77</v>
      </c>
      <c r="BI1050" t="s">
        <v>107</v>
      </c>
      <c r="BJ1050" t="s">
        <v>114</v>
      </c>
      <c r="BK1050">
        <v>0</v>
      </c>
      <c r="BL1050">
        <v>0</v>
      </c>
      <c r="BM1050">
        <v>0</v>
      </c>
      <c r="BN1050">
        <v>0</v>
      </c>
      <c r="BO1050">
        <v>0</v>
      </c>
      <c r="BP1050">
        <v>1</v>
      </c>
      <c r="BQ1050">
        <v>0</v>
      </c>
      <c r="BR1050">
        <v>0</v>
      </c>
    </row>
    <row r="1051" spans="1:72" x14ac:dyDescent="0.2">
      <c r="A1051" s="1">
        <v>44579.972916666666</v>
      </c>
      <c r="B1051" s="1">
        <v>44579.976388888892</v>
      </c>
      <c r="C1051">
        <v>0</v>
      </c>
      <c r="D1051">
        <v>1</v>
      </c>
      <c r="E1051">
        <v>0</v>
      </c>
      <c r="F1051">
        <v>0</v>
      </c>
      <c r="H1051">
        <v>0</v>
      </c>
      <c r="I1051">
        <v>1</v>
      </c>
      <c r="J1051">
        <v>0</v>
      </c>
      <c r="K1051">
        <v>0</v>
      </c>
      <c r="L1051">
        <v>0</v>
      </c>
      <c r="N1051" t="s">
        <v>79</v>
      </c>
      <c r="O1051" t="s">
        <v>80</v>
      </c>
      <c r="P1051">
        <v>0</v>
      </c>
      <c r="Q1051">
        <v>1</v>
      </c>
      <c r="R1051">
        <v>0</v>
      </c>
      <c r="S1051">
        <v>0</v>
      </c>
      <c r="T1051">
        <v>0</v>
      </c>
      <c r="U1051">
        <v>0</v>
      </c>
      <c r="V1051">
        <v>0</v>
      </c>
      <c r="W1051">
        <v>0</v>
      </c>
      <c r="X1051">
        <v>0</v>
      </c>
      <c r="Y1051">
        <v>0</v>
      </c>
      <c r="Z1051">
        <v>0</v>
      </c>
      <c r="AA1051">
        <v>0</v>
      </c>
      <c r="AM1051" t="s">
        <v>83</v>
      </c>
      <c r="AN1051" t="s">
        <v>82</v>
      </c>
      <c r="AO1051" t="s">
        <v>83</v>
      </c>
      <c r="AP1051" t="s">
        <v>82</v>
      </c>
      <c r="AQ1051" t="s">
        <v>81</v>
      </c>
      <c r="AR1051" t="s">
        <v>83</v>
      </c>
      <c r="AS1051" t="s">
        <v>83</v>
      </c>
      <c r="AT1051" t="s">
        <v>83</v>
      </c>
      <c r="AU1051" t="s">
        <v>84</v>
      </c>
      <c r="AV1051" t="s">
        <v>80</v>
      </c>
      <c r="AW1051" t="s">
        <v>85</v>
      </c>
      <c r="AX1051" t="s">
        <v>119</v>
      </c>
      <c r="AZ1051" t="s">
        <v>120</v>
      </c>
      <c r="BA1051" t="s">
        <v>87</v>
      </c>
      <c r="BB1051" t="s">
        <v>87</v>
      </c>
      <c r="BC1051" t="s">
        <v>87</v>
      </c>
      <c r="BD1051" t="s">
        <v>74</v>
      </c>
      <c r="BE1051" t="s">
        <v>74</v>
      </c>
      <c r="BF1051" t="s">
        <v>75</v>
      </c>
      <c r="BG1051" t="s">
        <v>76</v>
      </c>
      <c r="BH1051" t="s">
        <v>77</v>
      </c>
      <c r="BI1051" t="s">
        <v>120</v>
      </c>
      <c r="BJ1051" t="s">
        <v>151</v>
      </c>
      <c r="BK1051">
        <v>0</v>
      </c>
      <c r="BL1051">
        <v>1</v>
      </c>
      <c r="BM1051">
        <v>0</v>
      </c>
      <c r="BN1051">
        <v>0</v>
      </c>
      <c r="BO1051">
        <v>0</v>
      </c>
      <c r="BP1051">
        <v>0</v>
      </c>
      <c r="BQ1051">
        <v>0</v>
      </c>
      <c r="BR1051">
        <v>0</v>
      </c>
    </row>
    <row r="1052" spans="1:72" x14ac:dyDescent="0.2">
      <c r="A1052" s="1">
        <v>44585.526388888888</v>
      </c>
      <c r="B1052" s="1">
        <v>44585.527777777781</v>
      </c>
      <c r="C1052">
        <v>1</v>
      </c>
      <c r="D1052">
        <v>0</v>
      </c>
      <c r="E1052">
        <v>0</v>
      </c>
      <c r="F1052">
        <v>0</v>
      </c>
      <c r="H1052">
        <v>1</v>
      </c>
      <c r="I1052">
        <v>0</v>
      </c>
      <c r="J1052">
        <v>0</v>
      </c>
      <c r="K1052">
        <v>0</v>
      </c>
      <c r="L1052">
        <v>0</v>
      </c>
      <c r="P1052">
        <v>0</v>
      </c>
      <c r="Q1052">
        <v>0</v>
      </c>
      <c r="R1052">
        <v>0</v>
      </c>
      <c r="S1052">
        <v>1</v>
      </c>
      <c r="T1052">
        <v>0</v>
      </c>
      <c r="U1052">
        <v>0</v>
      </c>
      <c r="V1052">
        <v>0</v>
      </c>
      <c r="W1052">
        <v>0</v>
      </c>
      <c r="X1052">
        <v>0</v>
      </c>
      <c r="Y1052">
        <v>0</v>
      </c>
      <c r="Z1052">
        <v>0</v>
      </c>
      <c r="AA1052">
        <v>0</v>
      </c>
      <c r="AM1052" t="s">
        <v>90</v>
      </c>
      <c r="AN1052" t="s">
        <v>82</v>
      </c>
      <c r="AO1052" t="s">
        <v>90</v>
      </c>
      <c r="AP1052" t="s">
        <v>83</v>
      </c>
      <c r="AQ1052" t="s">
        <v>83</v>
      </c>
      <c r="AR1052" t="s">
        <v>90</v>
      </c>
      <c r="AS1052" t="s">
        <v>90</v>
      </c>
      <c r="AT1052" t="s">
        <v>83</v>
      </c>
      <c r="AU1052" t="s">
        <v>135</v>
      </c>
      <c r="AV1052" t="s">
        <v>80</v>
      </c>
      <c r="AW1052" t="s">
        <v>153</v>
      </c>
      <c r="AX1052" t="s">
        <v>110</v>
      </c>
      <c r="AY1052" t="s">
        <v>464</v>
      </c>
      <c r="AZ1052" t="s">
        <v>107</v>
      </c>
      <c r="BA1052" t="s">
        <v>86</v>
      </c>
      <c r="BB1052" t="s">
        <v>86</v>
      </c>
      <c r="BC1052" t="s">
        <v>87</v>
      </c>
      <c r="BD1052" t="s">
        <v>87</v>
      </c>
      <c r="BE1052" t="s">
        <v>86</v>
      </c>
      <c r="BF1052" t="s">
        <v>75</v>
      </c>
      <c r="BG1052" t="s">
        <v>76</v>
      </c>
      <c r="BH1052" t="s">
        <v>77</v>
      </c>
      <c r="BI1052" t="s">
        <v>107</v>
      </c>
      <c r="BJ1052" t="s">
        <v>94</v>
      </c>
      <c r="BK1052">
        <v>0</v>
      </c>
      <c r="BL1052">
        <v>0</v>
      </c>
      <c r="BM1052">
        <v>0</v>
      </c>
      <c r="BN1052">
        <v>0</v>
      </c>
      <c r="BO1052">
        <v>0</v>
      </c>
      <c r="BP1052">
        <v>1</v>
      </c>
      <c r="BQ1052">
        <v>0</v>
      </c>
      <c r="BR1052">
        <v>0</v>
      </c>
    </row>
    <row r="1053" spans="1:72" x14ac:dyDescent="0.2">
      <c r="A1053" s="1">
        <v>44588.927083333336</v>
      </c>
      <c r="B1053" s="1">
        <v>44588.929166666669</v>
      </c>
      <c r="C1053">
        <v>0</v>
      </c>
      <c r="D1053">
        <v>1</v>
      </c>
      <c r="E1053">
        <v>0</v>
      </c>
      <c r="F1053">
        <v>0</v>
      </c>
      <c r="H1053">
        <v>0</v>
      </c>
      <c r="I1053">
        <v>0</v>
      </c>
      <c r="J1053">
        <v>1</v>
      </c>
      <c r="K1053">
        <v>0</v>
      </c>
      <c r="L1053">
        <v>0</v>
      </c>
      <c r="N1053" t="s">
        <v>88</v>
      </c>
      <c r="O1053" t="s">
        <v>89</v>
      </c>
      <c r="P1053">
        <v>0</v>
      </c>
      <c r="Q1053">
        <v>1</v>
      </c>
      <c r="R1053">
        <v>0</v>
      </c>
      <c r="S1053">
        <v>0</v>
      </c>
      <c r="T1053">
        <v>0</v>
      </c>
      <c r="U1053">
        <v>0</v>
      </c>
      <c r="V1053">
        <v>0</v>
      </c>
      <c r="W1053">
        <v>0</v>
      </c>
      <c r="X1053">
        <v>0</v>
      </c>
      <c r="Y1053">
        <v>0</v>
      </c>
      <c r="Z1053">
        <v>0</v>
      </c>
      <c r="AA1053">
        <v>0</v>
      </c>
      <c r="AM1053" t="s">
        <v>90</v>
      </c>
      <c r="AN1053" t="s">
        <v>82</v>
      </c>
      <c r="AO1053" t="s">
        <v>81</v>
      </c>
      <c r="AP1053" t="s">
        <v>83</v>
      </c>
      <c r="AQ1053" t="s">
        <v>81</v>
      </c>
      <c r="AR1053" t="s">
        <v>90</v>
      </c>
      <c r="AS1053" t="s">
        <v>90</v>
      </c>
      <c r="AT1053" t="s">
        <v>83</v>
      </c>
      <c r="AU1053" t="s">
        <v>88</v>
      </c>
      <c r="AV1053" t="s">
        <v>89</v>
      </c>
      <c r="AW1053" t="s">
        <v>100</v>
      </c>
      <c r="AZ1053" t="s">
        <v>73</v>
      </c>
      <c r="BA1053" t="s">
        <v>86</v>
      </c>
      <c r="BB1053" t="s">
        <v>74</v>
      </c>
      <c r="BC1053" t="s">
        <v>86</v>
      </c>
      <c r="BD1053" t="s">
        <v>86</v>
      </c>
      <c r="BE1053" t="s">
        <v>86</v>
      </c>
      <c r="BF1053" t="s">
        <v>101</v>
      </c>
      <c r="BG1053" t="s">
        <v>76</v>
      </c>
      <c r="BH1053" t="s">
        <v>93</v>
      </c>
      <c r="BI1053" t="s">
        <v>73</v>
      </c>
      <c r="BK1053">
        <v>0</v>
      </c>
      <c r="BL1053">
        <v>0</v>
      </c>
      <c r="BM1053">
        <v>0</v>
      </c>
      <c r="BN1053">
        <v>0</v>
      </c>
      <c r="BO1053">
        <v>0</v>
      </c>
      <c r="BP1053">
        <v>1</v>
      </c>
      <c r="BQ1053">
        <v>0</v>
      </c>
      <c r="BR1053">
        <v>0</v>
      </c>
    </row>
    <row r="1054" spans="1:72" x14ac:dyDescent="0.2">
      <c r="A1054" s="1">
        <v>44585.536111111112</v>
      </c>
      <c r="B1054" s="1">
        <v>44585.536805555559</v>
      </c>
      <c r="C1054">
        <v>1</v>
      </c>
      <c r="D1054">
        <v>0</v>
      </c>
      <c r="E1054">
        <v>0</v>
      </c>
      <c r="F1054">
        <v>0</v>
      </c>
      <c r="H1054">
        <v>1</v>
      </c>
      <c r="I1054">
        <v>0</v>
      </c>
      <c r="J1054">
        <v>0</v>
      </c>
      <c r="K1054">
        <v>0</v>
      </c>
      <c r="L1054">
        <v>0</v>
      </c>
      <c r="P1054">
        <v>1</v>
      </c>
      <c r="Q1054">
        <v>0</v>
      </c>
      <c r="R1054">
        <v>0</v>
      </c>
      <c r="S1054">
        <v>0</v>
      </c>
      <c r="T1054">
        <v>0</v>
      </c>
      <c r="U1054">
        <v>0</v>
      </c>
      <c r="V1054">
        <v>0</v>
      </c>
      <c r="W1054">
        <v>0</v>
      </c>
      <c r="X1054">
        <v>0</v>
      </c>
      <c r="Y1054">
        <v>0</v>
      </c>
      <c r="Z1054">
        <v>0</v>
      </c>
      <c r="AA1054">
        <v>0</v>
      </c>
      <c r="AC1054">
        <v>0</v>
      </c>
      <c r="AD1054">
        <v>0</v>
      </c>
      <c r="AE1054">
        <v>1</v>
      </c>
      <c r="AF1054">
        <v>0</v>
      </c>
      <c r="AG1054">
        <v>0</v>
      </c>
      <c r="AH1054">
        <v>0</v>
      </c>
      <c r="AI1054">
        <v>0</v>
      </c>
      <c r="AJ1054">
        <v>0</v>
      </c>
      <c r="AK1054">
        <v>0</v>
      </c>
      <c r="AX1054" t="s">
        <v>110</v>
      </c>
      <c r="AY1054" t="s">
        <v>465</v>
      </c>
      <c r="AZ1054" t="s">
        <v>73</v>
      </c>
      <c r="BA1054" t="s">
        <v>87</v>
      </c>
      <c r="BB1054" t="s">
        <v>87</v>
      </c>
      <c r="BC1054" t="s">
        <v>87</v>
      </c>
      <c r="BD1054" t="s">
        <v>87</v>
      </c>
      <c r="BE1054" t="s">
        <v>87</v>
      </c>
      <c r="BF1054" t="s">
        <v>75</v>
      </c>
      <c r="BG1054" t="s">
        <v>76</v>
      </c>
      <c r="BH1054" t="s">
        <v>93</v>
      </c>
      <c r="BI1054" t="s">
        <v>73</v>
      </c>
      <c r="BJ1054" t="s">
        <v>114</v>
      </c>
      <c r="BK1054">
        <v>0</v>
      </c>
      <c r="BL1054">
        <v>0</v>
      </c>
      <c r="BM1054">
        <v>0</v>
      </c>
      <c r="BN1054">
        <v>0</v>
      </c>
      <c r="BO1054">
        <v>0</v>
      </c>
      <c r="BP1054">
        <v>1</v>
      </c>
      <c r="BQ1054">
        <v>0</v>
      </c>
      <c r="BR1054">
        <v>0</v>
      </c>
    </row>
    <row r="1055" spans="1:72" x14ac:dyDescent="0.2">
      <c r="A1055" s="1">
        <v>44579.894444444442</v>
      </c>
      <c r="B1055" s="1">
        <v>44579.896527777775</v>
      </c>
      <c r="C1055">
        <v>1</v>
      </c>
      <c r="D1055">
        <v>0</v>
      </c>
      <c r="E1055">
        <v>0</v>
      </c>
      <c r="F1055">
        <v>0</v>
      </c>
      <c r="H1055">
        <v>0</v>
      </c>
      <c r="I1055">
        <v>1</v>
      </c>
      <c r="J1055">
        <v>1</v>
      </c>
      <c r="K1055">
        <v>1</v>
      </c>
      <c r="L1055">
        <v>0</v>
      </c>
      <c r="N1055" t="s">
        <v>88</v>
      </c>
      <c r="O1055" t="s">
        <v>89</v>
      </c>
      <c r="P1055">
        <v>0</v>
      </c>
      <c r="Q1055">
        <v>1</v>
      </c>
      <c r="R1055">
        <v>0</v>
      </c>
      <c r="S1055">
        <v>1</v>
      </c>
      <c r="T1055">
        <v>0</v>
      </c>
      <c r="U1055">
        <v>0</v>
      </c>
      <c r="V1055">
        <v>0</v>
      </c>
      <c r="W1055">
        <v>0</v>
      </c>
      <c r="X1055">
        <v>0</v>
      </c>
      <c r="Y1055">
        <v>0</v>
      </c>
      <c r="Z1055">
        <v>0</v>
      </c>
      <c r="AA1055">
        <v>0</v>
      </c>
      <c r="AM1055" t="s">
        <v>83</v>
      </c>
      <c r="AN1055" t="s">
        <v>82</v>
      </c>
      <c r="AO1055" t="s">
        <v>81</v>
      </c>
      <c r="AP1055" t="s">
        <v>81</v>
      </c>
      <c r="AQ1055" t="s">
        <v>82</v>
      </c>
      <c r="AR1055" t="s">
        <v>83</v>
      </c>
      <c r="AS1055" t="s">
        <v>82</v>
      </c>
      <c r="AT1055" t="s">
        <v>83</v>
      </c>
      <c r="AU1055" t="s">
        <v>88</v>
      </c>
      <c r="AV1055" t="s">
        <v>89</v>
      </c>
      <c r="AW1055" t="s">
        <v>100</v>
      </c>
      <c r="AX1055" t="s">
        <v>128</v>
      </c>
      <c r="AZ1055" t="s">
        <v>73</v>
      </c>
      <c r="BA1055" t="s">
        <v>87</v>
      </c>
      <c r="BB1055" t="s">
        <v>87</v>
      </c>
      <c r="BC1055" t="s">
        <v>87</v>
      </c>
      <c r="BD1055" t="s">
        <v>87</v>
      </c>
      <c r="BE1055" t="s">
        <v>87</v>
      </c>
      <c r="BF1055" t="s">
        <v>108</v>
      </c>
      <c r="BG1055" t="s">
        <v>171</v>
      </c>
      <c r="BH1055" t="s">
        <v>77</v>
      </c>
      <c r="BI1055" t="s">
        <v>73</v>
      </c>
      <c r="BK1055">
        <v>0</v>
      </c>
      <c r="BL1055">
        <v>0</v>
      </c>
      <c r="BM1055">
        <v>0</v>
      </c>
      <c r="BN1055">
        <v>0</v>
      </c>
      <c r="BO1055">
        <v>0</v>
      </c>
      <c r="BP1055">
        <v>1</v>
      </c>
      <c r="BQ1055">
        <v>0</v>
      </c>
      <c r="BR1055">
        <v>0</v>
      </c>
      <c r="BT1055" t="s">
        <v>109</v>
      </c>
    </row>
    <row r="1056" spans="1:72" x14ac:dyDescent="0.2">
      <c r="A1056" s="1">
        <v>44579.924305555556</v>
      </c>
      <c r="B1056" s="1">
        <v>44579.943749999999</v>
      </c>
      <c r="C1056">
        <v>1</v>
      </c>
      <c r="D1056">
        <v>0</v>
      </c>
      <c r="E1056">
        <v>0</v>
      </c>
      <c r="F1056">
        <v>0</v>
      </c>
      <c r="H1056">
        <v>1</v>
      </c>
      <c r="I1056">
        <v>0</v>
      </c>
      <c r="J1056">
        <v>0</v>
      </c>
      <c r="K1056">
        <v>0</v>
      </c>
      <c r="L1056">
        <v>0</v>
      </c>
      <c r="P1056">
        <v>0</v>
      </c>
      <c r="Q1056">
        <v>1</v>
      </c>
      <c r="R1056">
        <v>0</v>
      </c>
      <c r="S1056">
        <v>0</v>
      </c>
      <c r="T1056">
        <v>0</v>
      </c>
      <c r="U1056">
        <v>0</v>
      </c>
      <c r="V1056">
        <v>0</v>
      </c>
      <c r="W1056">
        <v>0</v>
      </c>
      <c r="X1056">
        <v>0</v>
      </c>
      <c r="Y1056">
        <v>0</v>
      </c>
      <c r="Z1056">
        <v>0</v>
      </c>
      <c r="AA1056">
        <v>0</v>
      </c>
      <c r="AM1056" t="s">
        <v>90</v>
      </c>
      <c r="AN1056" t="s">
        <v>82</v>
      </c>
      <c r="AO1056" t="s">
        <v>81</v>
      </c>
      <c r="AP1056" t="s">
        <v>90</v>
      </c>
      <c r="AQ1056" t="s">
        <v>90</v>
      </c>
      <c r="AR1056" t="s">
        <v>90</v>
      </c>
      <c r="AS1056" t="s">
        <v>90</v>
      </c>
      <c r="AT1056" t="s">
        <v>90</v>
      </c>
      <c r="AU1056" t="s">
        <v>127</v>
      </c>
      <c r="AV1056" t="s">
        <v>127</v>
      </c>
      <c r="AX1056" t="s">
        <v>256</v>
      </c>
      <c r="AZ1056" t="s">
        <v>73</v>
      </c>
      <c r="BA1056" t="s">
        <v>74</v>
      </c>
      <c r="BF1056" t="s">
        <v>75</v>
      </c>
      <c r="BG1056" t="s">
        <v>76</v>
      </c>
      <c r="BH1056" t="s">
        <v>77</v>
      </c>
      <c r="BI1056" t="s">
        <v>73</v>
      </c>
      <c r="BJ1056" t="s">
        <v>78</v>
      </c>
      <c r="BK1056">
        <v>0</v>
      </c>
      <c r="BL1056">
        <v>0</v>
      </c>
      <c r="BM1056">
        <v>0</v>
      </c>
      <c r="BN1056">
        <v>0</v>
      </c>
      <c r="BO1056">
        <v>0</v>
      </c>
      <c r="BP1056">
        <v>1</v>
      </c>
      <c r="BQ1056">
        <v>0</v>
      </c>
      <c r="BR1056">
        <v>0</v>
      </c>
    </row>
    <row r="1057" spans="1:72" x14ac:dyDescent="0.2">
      <c r="A1057" s="1">
        <v>44585.540277777778</v>
      </c>
      <c r="B1057" s="1">
        <v>44585.542361111111</v>
      </c>
      <c r="C1057">
        <v>1</v>
      </c>
      <c r="D1057">
        <v>0</v>
      </c>
      <c r="E1057">
        <v>0</v>
      </c>
      <c r="F1057">
        <v>0</v>
      </c>
      <c r="H1057">
        <v>0</v>
      </c>
      <c r="I1057">
        <v>1</v>
      </c>
      <c r="J1057">
        <v>1</v>
      </c>
      <c r="K1057">
        <v>0</v>
      </c>
      <c r="L1057">
        <v>0</v>
      </c>
      <c r="N1057" t="s">
        <v>88</v>
      </c>
      <c r="O1057" t="s">
        <v>89</v>
      </c>
      <c r="P1057">
        <v>0</v>
      </c>
      <c r="Q1057">
        <v>0</v>
      </c>
      <c r="R1057">
        <v>1</v>
      </c>
      <c r="S1057">
        <v>0</v>
      </c>
      <c r="T1057">
        <v>0</v>
      </c>
      <c r="U1057">
        <v>0</v>
      </c>
      <c r="V1057">
        <v>0</v>
      </c>
      <c r="W1057">
        <v>0</v>
      </c>
      <c r="X1057">
        <v>0</v>
      </c>
      <c r="Y1057">
        <v>0</v>
      </c>
      <c r="Z1057">
        <v>0</v>
      </c>
      <c r="AA1057">
        <v>0</v>
      </c>
      <c r="AM1057" t="s">
        <v>81</v>
      </c>
      <c r="AN1057" t="s">
        <v>81</v>
      </c>
      <c r="AO1057" t="s">
        <v>83</v>
      </c>
      <c r="AP1057" t="s">
        <v>81</v>
      </c>
      <c r="AQ1057" t="s">
        <v>82</v>
      </c>
      <c r="AR1057" t="s">
        <v>81</v>
      </c>
      <c r="AS1057" t="s">
        <v>82</v>
      </c>
      <c r="AT1057" t="s">
        <v>83</v>
      </c>
      <c r="AU1057" t="s">
        <v>88</v>
      </c>
      <c r="AV1057" t="s">
        <v>89</v>
      </c>
      <c r="AW1057" t="s">
        <v>85</v>
      </c>
      <c r="AX1057" t="s">
        <v>191</v>
      </c>
      <c r="AZ1057" t="s">
        <v>107</v>
      </c>
      <c r="BA1057" t="s">
        <v>86</v>
      </c>
      <c r="BB1057" t="s">
        <v>74</v>
      </c>
      <c r="BC1057" t="s">
        <v>74</v>
      </c>
      <c r="BD1057" t="s">
        <v>74</v>
      </c>
      <c r="BE1057" t="s">
        <v>74</v>
      </c>
      <c r="BF1057" t="s">
        <v>75</v>
      </c>
      <c r="BG1057" t="s">
        <v>76</v>
      </c>
      <c r="BH1057" t="s">
        <v>77</v>
      </c>
      <c r="BI1057" t="s">
        <v>107</v>
      </c>
      <c r="BJ1057" t="s">
        <v>165</v>
      </c>
      <c r="BK1057">
        <v>0</v>
      </c>
      <c r="BL1057">
        <v>0</v>
      </c>
      <c r="BM1057">
        <v>0</v>
      </c>
      <c r="BN1057">
        <v>0</v>
      </c>
      <c r="BO1057">
        <v>0</v>
      </c>
      <c r="BP1057">
        <v>1</v>
      </c>
      <c r="BQ1057">
        <v>0</v>
      </c>
      <c r="BR1057">
        <v>0</v>
      </c>
    </row>
    <row r="1058" spans="1:72" x14ac:dyDescent="0.2">
      <c r="A1058" s="1">
        <v>44585.537499999999</v>
      </c>
      <c r="B1058" s="1">
        <v>44585.538194444445</v>
      </c>
      <c r="C1058">
        <v>1</v>
      </c>
      <c r="D1058">
        <v>0</v>
      </c>
      <c r="E1058">
        <v>0</v>
      </c>
      <c r="F1058">
        <v>0</v>
      </c>
      <c r="H1058">
        <v>0</v>
      </c>
      <c r="I1058">
        <v>1</v>
      </c>
      <c r="J1058">
        <v>0</v>
      </c>
      <c r="K1058">
        <v>0</v>
      </c>
      <c r="L1058">
        <v>0</v>
      </c>
      <c r="N1058" t="s">
        <v>135</v>
      </c>
      <c r="O1058" t="s">
        <v>80</v>
      </c>
      <c r="P1058">
        <v>1</v>
      </c>
      <c r="Q1058">
        <v>0</v>
      </c>
      <c r="R1058">
        <v>0</v>
      </c>
      <c r="S1058">
        <v>0</v>
      </c>
      <c r="T1058">
        <v>0</v>
      </c>
      <c r="U1058">
        <v>0</v>
      </c>
      <c r="V1058">
        <v>0</v>
      </c>
      <c r="W1058">
        <v>0</v>
      </c>
      <c r="X1058">
        <v>0</v>
      </c>
      <c r="Y1058">
        <v>0</v>
      </c>
      <c r="Z1058">
        <v>0</v>
      </c>
      <c r="AA1058">
        <v>0</v>
      </c>
      <c r="AC1058">
        <v>0</v>
      </c>
      <c r="AD1058">
        <v>1</v>
      </c>
      <c r="AE1058">
        <v>0</v>
      </c>
      <c r="AF1058">
        <v>0</v>
      </c>
      <c r="AG1058">
        <v>0</v>
      </c>
      <c r="AH1058">
        <v>0</v>
      </c>
      <c r="AI1058">
        <v>0</v>
      </c>
      <c r="AJ1058">
        <v>0</v>
      </c>
      <c r="AK1058">
        <v>0</v>
      </c>
      <c r="AX1058" t="s">
        <v>146</v>
      </c>
      <c r="AZ1058" t="s">
        <v>107</v>
      </c>
      <c r="BA1058" t="s">
        <v>87</v>
      </c>
      <c r="BB1058" t="s">
        <v>74</v>
      </c>
      <c r="BC1058" t="s">
        <v>87</v>
      </c>
      <c r="BD1058" t="s">
        <v>74</v>
      </c>
      <c r="BE1058" t="s">
        <v>74</v>
      </c>
      <c r="BF1058" t="s">
        <v>75</v>
      </c>
      <c r="BG1058" t="s">
        <v>76</v>
      </c>
      <c r="BH1058" t="s">
        <v>77</v>
      </c>
      <c r="BI1058" t="s">
        <v>107</v>
      </c>
      <c r="BJ1058" t="s">
        <v>109</v>
      </c>
      <c r="BK1058">
        <v>0</v>
      </c>
      <c r="BL1058">
        <v>0</v>
      </c>
      <c r="BM1058">
        <v>0</v>
      </c>
      <c r="BN1058">
        <v>0</v>
      </c>
      <c r="BO1058">
        <v>0</v>
      </c>
      <c r="BP1058">
        <v>1</v>
      </c>
      <c r="BQ1058">
        <v>0</v>
      </c>
      <c r="BR1058">
        <v>0</v>
      </c>
    </row>
    <row r="1059" spans="1:72" x14ac:dyDescent="0.2">
      <c r="A1059" s="1">
        <v>44585.663888888892</v>
      </c>
      <c r="B1059" s="1">
        <v>44585.665277777778</v>
      </c>
      <c r="C1059">
        <v>1</v>
      </c>
      <c r="D1059">
        <v>0</v>
      </c>
      <c r="E1059">
        <v>0</v>
      </c>
      <c r="F1059">
        <v>0</v>
      </c>
      <c r="H1059">
        <v>0</v>
      </c>
      <c r="I1059">
        <v>0</v>
      </c>
      <c r="J1059">
        <v>0</v>
      </c>
      <c r="K1059">
        <v>0</v>
      </c>
      <c r="L1059">
        <v>1</v>
      </c>
      <c r="M1059" t="s">
        <v>284</v>
      </c>
      <c r="N1059" t="s">
        <v>135</v>
      </c>
      <c r="O1059" t="s">
        <v>80</v>
      </c>
      <c r="P1059">
        <v>0</v>
      </c>
      <c r="Q1059">
        <v>1</v>
      </c>
      <c r="R1059">
        <v>0</v>
      </c>
      <c r="S1059">
        <v>0</v>
      </c>
      <c r="T1059">
        <v>0</v>
      </c>
      <c r="U1059">
        <v>0</v>
      </c>
      <c r="V1059">
        <v>0</v>
      </c>
      <c r="W1059">
        <v>0</v>
      </c>
      <c r="X1059">
        <v>0</v>
      </c>
      <c r="Y1059">
        <v>0</v>
      </c>
      <c r="Z1059">
        <v>0</v>
      </c>
      <c r="AA1059">
        <v>0</v>
      </c>
      <c r="AM1059" t="s">
        <v>90</v>
      </c>
      <c r="AN1059" t="s">
        <v>82</v>
      </c>
      <c r="AO1059" t="s">
        <v>90</v>
      </c>
      <c r="AP1059" t="s">
        <v>90</v>
      </c>
      <c r="AQ1059" t="s">
        <v>90</v>
      </c>
      <c r="AR1059" t="s">
        <v>90</v>
      </c>
      <c r="AS1059" t="s">
        <v>90</v>
      </c>
      <c r="AT1059" t="s">
        <v>90</v>
      </c>
      <c r="AU1059" t="s">
        <v>135</v>
      </c>
      <c r="AV1059" t="s">
        <v>80</v>
      </c>
      <c r="AW1059" t="s">
        <v>85</v>
      </c>
      <c r="AZ1059" t="s">
        <v>107</v>
      </c>
      <c r="BA1059" t="s">
        <v>87</v>
      </c>
      <c r="BB1059" t="s">
        <v>87</v>
      </c>
      <c r="BC1059" t="s">
        <v>87</v>
      </c>
      <c r="BD1059" t="s">
        <v>87</v>
      </c>
      <c r="BE1059" t="s">
        <v>86</v>
      </c>
      <c r="BF1059" t="s">
        <v>101</v>
      </c>
      <c r="BG1059" t="s">
        <v>76</v>
      </c>
      <c r="BH1059" t="s">
        <v>77</v>
      </c>
      <c r="BI1059" t="s">
        <v>107</v>
      </c>
      <c r="BJ1059" t="s">
        <v>99</v>
      </c>
      <c r="BK1059">
        <v>0</v>
      </c>
      <c r="BL1059">
        <v>0</v>
      </c>
      <c r="BM1059">
        <v>0</v>
      </c>
      <c r="BN1059">
        <v>0</v>
      </c>
      <c r="BO1059">
        <v>0</v>
      </c>
      <c r="BP1059">
        <v>1</v>
      </c>
      <c r="BQ1059">
        <v>0</v>
      </c>
      <c r="BR1059">
        <v>0</v>
      </c>
    </row>
    <row r="1060" spans="1:72" x14ac:dyDescent="0.2">
      <c r="A1060" s="1">
        <v>44579.880555555559</v>
      </c>
      <c r="B1060" s="1">
        <v>44579.882638888892</v>
      </c>
      <c r="C1060">
        <v>1</v>
      </c>
      <c r="D1060">
        <v>0</v>
      </c>
      <c r="E1060">
        <v>0</v>
      </c>
      <c r="F1060">
        <v>0</v>
      </c>
      <c r="H1060">
        <v>1</v>
      </c>
      <c r="I1060">
        <v>0</v>
      </c>
      <c r="J1060">
        <v>0</v>
      </c>
      <c r="K1060">
        <v>0</v>
      </c>
      <c r="L1060">
        <v>0</v>
      </c>
      <c r="P1060">
        <v>0</v>
      </c>
      <c r="Q1060">
        <v>1</v>
      </c>
      <c r="R1060">
        <v>1</v>
      </c>
      <c r="S1060">
        <v>0</v>
      </c>
      <c r="T1060">
        <v>0</v>
      </c>
      <c r="U1060">
        <v>0</v>
      </c>
      <c r="V1060">
        <v>0</v>
      </c>
      <c r="W1060">
        <v>0</v>
      </c>
      <c r="X1060">
        <v>0</v>
      </c>
      <c r="Y1060">
        <v>0</v>
      </c>
      <c r="Z1060">
        <v>0</v>
      </c>
      <c r="AA1060">
        <v>0</v>
      </c>
      <c r="AM1060" t="s">
        <v>81</v>
      </c>
      <c r="AN1060" t="s">
        <v>83</v>
      </c>
      <c r="AO1060" t="s">
        <v>83</v>
      </c>
      <c r="AP1060" t="s">
        <v>83</v>
      </c>
      <c r="AQ1060" t="s">
        <v>82</v>
      </c>
      <c r="AR1060" t="s">
        <v>83</v>
      </c>
      <c r="AS1060" t="s">
        <v>81</v>
      </c>
      <c r="AT1060" t="s">
        <v>81</v>
      </c>
      <c r="AU1060" t="s">
        <v>135</v>
      </c>
      <c r="AV1060" t="s">
        <v>127</v>
      </c>
      <c r="AW1060" t="s">
        <v>85</v>
      </c>
      <c r="AX1060" t="s">
        <v>91</v>
      </c>
      <c r="AZ1060" t="s">
        <v>107</v>
      </c>
      <c r="BA1060" t="s">
        <v>87</v>
      </c>
      <c r="BB1060" t="s">
        <v>87</v>
      </c>
      <c r="BC1060" t="s">
        <v>87</v>
      </c>
      <c r="BD1060" t="s">
        <v>87</v>
      </c>
      <c r="BE1060" t="s">
        <v>87</v>
      </c>
      <c r="BF1060" t="s">
        <v>75</v>
      </c>
      <c r="BG1060" t="s">
        <v>92</v>
      </c>
      <c r="BH1060" t="s">
        <v>77</v>
      </c>
      <c r="BI1060" t="s">
        <v>107</v>
      </c>
      <c r="BJ1060" t="s">
        <v>78</v>
      </c>
      <c r="BK1060">
        <v>0</v>
      </c>
      <c r="BL1060">
        <v>0</v>
      </c>
      <c r="BM1060">
        <v>0</v>
      </c>
      <c r="BN1060">
        <v>0</v>
      </c>
      <c r="BO1060">
        <v>0</v>
      </c>
      <c r="BP1060">
        <v>1</v>
      </c>
      <c r="BQ1060">
        <v>0</v>
      </c>
      <c r="BR1060">
        <v>0</v>
      </c>
    </row>
    <row r="1061" spans="1:72" x14ac:dyDescent="0.2">
      <c r="A1061" s="1">
        <v>44579.90902777778</v>
      </c>
      <c r="B1061" s="1">
        <v>44579.910416666666</v>
      </c>
      <c r="C1061">
        <v>1</v>
      </c>
      <c r="D1061">
        <v>0</v>
      </c>
      <c r="E1061">
        <v>0</v>
      </c>
      <c r="F1061">
        <v>0</v>
      </c>
      <c r="H1061">
        <v>0</v>
      </c>
      <c r="I1061">
        <v>1</v>
      </c>
      <c r="J1061">
        <v>0</v>
      </c>
      <c r="K1061">
        <v>0</v>
      </c>
      <c r="L1061">
        <v>0</v>
      </c>
      <c r="N1061" t="s">
        <v>88</v>
      </c>
      <c r="O1061" t="s">
        <v>89</v>
      </c>
      <c r="P1061">
        <v>0</v>
      </c>
      <c r="Q1061">
        <v>0</v>
      </c>
      <c r="R1061">
        <v>1</v>
      </c>
      <c r="S1061">
        <v>0</v>
      </c>
      <c r="T1061">
        <v>0</v>
      </c>
      <c r="U1061">
        <v>0</v>
      </c>
      <c r="V1061">
        <v>0</v>
      </c>
      <c r="W1061">
        <v>0</v>
      </c>
      <c r="X1061">
        <v>0</v>
      </c>
      <c r="Y1061">
        <v>0</v>
      </c>
      <c r="Z1061">
        <v>0</v>
      </c>
      <c r="AA1061">
        <v>0</v>
      </c>
      <c r="AM1061" t="s">
        <v>83</v>
      </c>
      <c r="AN1061" t="s">
        <v>82</v>
      </c>
      <c r="AO1061" t="s">
        <v>90</v>
      </c>
      <c r="AP1061" t="s">
        <v>83</v>
      </c>
      <c r="AQ1061" t="s">
        <v>83</v>
      </c>
      <c r="AR1061" t="s">
        <v>83</v>
      </c>
      <c r="AS1061" t="s">
        <v>90</v>
      </c>
      <c r="AT1061" t="s">
        <v>83</v>
      </c>
      <c r="AU1061" t="s">
        <v>88</v>
      </c>
      <c r="AV1061" t="s">
        <v>89</v>
      </c>
      <c r="AW1061" t="s">
        <v>85</v>
      </c>
      <c r="AZ1061" t="s">
        <v>107</v>
      </c>
      <c r="BA1061" t="s">
        <v>86</v>
      </c>
      <c r="BB1061" t="s">
        <v>74</v>
      </c>
      <c r="BC1061" t="s">
        <v>87</v>
      </c>
      <c r="BD1061" t="s">
        <v>74</v>
      </c>
      <c r="BE1061" t="s">
        <v>86</v>
      </c>
      <c r="BF1061" t="s">
        <v>101</v>
      </c>
      <c r="BG1061" t="s">
        <v>76</v>
      </c>
      <c r="BH1061" t="s">
        <v>77</v>
      </c>
      <c r="BI1061" t="s">
        <v>107</v>
      </c>
      <c r="BK1061">
        <v>0</v>
      </c>
      <c r="BL1061">
        <v>0</v>
      </c>
      <c r="BM1061">
        <v>0</v>
      </c>
      <c r="BN1061">
        <v>0</v>
      </c>
      <c r="BO1061">
        <v>0</v>
      </c>
      <c r="BP1061">
        <v>1</v>
      </c>
      <c r="BQ1061">
        <v>0</v>
      </c>
      <c r="BR1061">
        <v>0</v>
      </c>
    </row>
    <row r="1062" spans="1:72" x14ac:dyDescent="0.2">
      <c r="A1062" s="1">
        <v>44579.96875</v>
      </c>
      <c r="B1062" s="1">
        <v>44579.970138888886</v>
      </c>
      <c r="C1062">
        <v>1</v>
      </c>
      <c r="D1062">
        <v>0</v>
      </c>
      <c r="E1062">
        <v>0</v>
      </c>
      <c r="F1062">
        <v>0</v>
      </c>
      <c r="H1062">
        <v>0</v>
      </c>
      <c r="I1062">
        <v>0</v>
      </c>
      <c r="J1062">
        <v>0</v>
      </c>
      <c r="K1062">
        <v>0</v>
      </c>
      <c r="L1062">
        <v>1</v>
      </c>
      <c r="M1062" t="s">
        <v>466</v>
      </c>
      <c r="N1062" t="s">
        <v>88</v>
      </c>
      <c r="O1062" t="s">
        <v>89</v>
      </c>
      <c r="P1062">
        <v>1</v>
      </c>
      <c r="Q1062">
        <v>0</v>
      </c>
      <c r="R1062">
        <v>0</v>
      </c>
      <c r="S1062">
        <v>0</v>
      </c>
      <c r="T1062">
        <v>0</v>
      </c>
      <c r="U1062">
        <v>0</v>
      </c>
      <c r="V1062">
        <v>0</v>
      </c>
      <c r="W1062">
        <v>0</v>
      </c>
      <c r="X1062">
        <v>0</v>
      </c>
      <c r="Y1062">
        <v>0</v>
      </c>
      <c r="Z1062">
        <v>0</v>
      </c>
      <c r="AA1062">
        <v>0</v>
      </c>
      <c r="AC1062">
        <v>0</v>
      </c>
      <c r="AD1062">
        <v>0</v>
      </c>
      <c r="AE1062">
        <v>0</v>
      </c>
      <c r="AF1062">
        <v>0</v>
      </c>
      <c r="AG1062">
        <v>0</v>
      </c>
      <c r="AH1062">
        <v>0</v>
      </c>
      <c r="AI1062">
        <v>0</v>
      </c>
      <c r="AJ1062">
        <v>0</v>
      </c>
      <c r="AK1062">
        <v>1</v>
      </c>
      <c r="AL1062" t="s">
        <v>467</v>
      </c>
      <c r="AX1062" t="s">
        <v>110</v>
      </c>
      <c r="AY1062" t="s">
        <v>468</v>
      </c>
      <c r="AZ1062" t="s">
        <v>107</v>
      </c>
      <c r="BA1062" t="s">
        <v>87</v>
      </c>
      <c r="BB1062" t="s">
        <v>87</v>
      </c>
      <c r="BC1062" t="s">
        <v>87</v>
      </c>
      <c r="BD1062" t="s">
        <v>87</v>
      </c>
      <c r="BE1062" t="s">
        <v>87</v>
      </c>
      <c r="BF1062" t="s">
        <v>108</v>
      </c>
      <c r="BG1062" t="s">
        <v>76</v>
      </c>
      <c r="BH1062" t="s">
        <v>77</v>
      </c>
      <c r="BI1062" t="s">
        <v>107</v>
      </c>
      <c r="BJ1062" t="s">
        <v>114</v>
      </c>
      <c r="BK1062">
        <v>0</v>
      </c>
      <c r="BL1062">
        <v>0</v>
      </c>
      <c r="BM1062">
        <v>0</v>
      </c>
      <c r="BN1062">
        <v>0</v>
      </c>
      <c r="BO1062">
        <v>0</v>
      </c>
      <c r="BP1062">
        <v>1</v>
      </c>
      <c r="BQ1062">
        <v>0</v>
      </c>
      <c r="BR1062">
        <v>0</v>
      </c>
    </row>
    <row r="1063" spans="1:72" x14ac:dyDescent="0.2">
      <c r="A1063" s="1">
        <v>44580.04791666667</v>
      </c>
      <c r="B1063" s="1">
        <v>44580.05</v>
      </c>
      <c r="C1063">
        <v>1</v>
      </c>
      <c r="D1063">
        <v>0</v>
      </c>
      <c r="E1063">
        <v>0</v>
      </c>
      <c r="F1063">
        <v>0</v>
      </c>
      <c r="H1063">
        <v>0</v>
      </c>
      <c r="I1063">
        <v>1</v>
      </c>
      <c r="J1063">
        <v>1</v>
      </c>
      <c r="K1063">
        <v>1</v>
      </c>
      <c r="L1063">
        <v>0</v>
      </c>
      <c r="N1063" t="s">
        <v>88</v>
      </c>
      <c r="O1063" t="s">
        <v>89</v>
      </c>
      <c r="P1063">
        <v>0</v>
      </c>
      <c r="Q1063">
        <v>1</v>
      </c>
      <c r="R1063">
        <v>1</v>
      </c>
      <c r="S1063">
        <v>0</v>
      </c>
      <c r="T1063">
        <v>0</v>
      </c>
      <c r="U1063">
        <v>0</v>
      </c>
      <c r="V1063">
        <v>0</v>
      </c>
      <c r="W1063">
        <v>0</v>
      </c>
      <c r="X1063">
        <v>0</v>
      </c>
      <c r="Y1063">
        <v>0</v>
      </c>
      <c r="Z1063">
        <v>0</v>
      </c>
      <c r="AA1063">
        <v>0</v>
      </c>
      <c r="AM1063" t="s">
        <v>81</v>
      </c>
      <c r="AN1063" t="s">
        <v>82</v>
      </c>
      <c r="AO1063" t="s">
        <v>82</v>
      </c>
      <c r="AP1063" t="s">
        <v>82</v>
      </c>
      <c r="AQ1063" t="s">
        <v>81</v>
      </c>
      <c r="AR1063" t="s">
        <v>83</v>
      </c>
      <c r="AS1063" t="s">
        <v>83</v>
      </c>
      <c r="AT1063" t="s">
        <v>83</v>
      </c>
      <c r="AU1063" t="s">
        <v>88</v>
      </c>
      <c r="AV1063" t="s">
        <v>89</v>
      </c>
      <c r="AW1063" t="s">
        <v>100</v>
      </c>
      <c r="AZ1063" t="s">
        <v>107</v>
      </c>
      <c r="BA1063" t="s">
        <v>87</v>
      </c>
      <c r="BB1063" t="s">
        <v>87</v>
      </c>
      <c r="BC1063" t="s">
        <v>87</v>
      </c>
      <c r="BD1063" t="s">
        <v>87</v>
      </c>
      <c r="BE1063" t="s">
        <v>87</v>
      </c>
      <c r="BF1063" t="s">
        <v>159</v>
      </c>
      <c r="BG1063" t="s">
        <v>92</v>
      </c>
      <c r="BH1063" t="s">
        <v>77</v>
      </c>
      <c r="BI1063" t="s">
        <v>107</v>
      </c>
      <c r="BJ1063" t="s">
        <v>129</v>
      </c>
      <c r="BK1063">
        <v>0</v>
      </c>
      <c r="BL1063">
        <v>0</v>
      </c>
      <c r="BM1063">
        <v>0</v>
      </c>
      <c r="BN1063">
        <v>0</v>
      </c>
      <c r="BO1063">
        <v>0</v>
      </c>
      <c r="BP1063">
        <v>1</v>
      </c>
      <c r="BQ1063">
        <v>0</v>
      </c>
      <c r="BR1063">
        <v>0</v>
      </c>
    </row>
    <row r="1064" spans="1:72" x14ac:dyDescent="0.2">
      <c r="A1064" s="1">
        <v>44580.509722222225</v>
      </c>
      <c r="B1064" s="1">
        <v>44580.511805555558</v>
      </c>
      <c r="C1064">
        <v>1</v>
      </c>
      <c r="D1064">
        <v>0</v>
      </c>
      <c r="E1064">
        <v>0</v>
      </c>
      <c r="F1064">
        <v>0</v>
      </c>
      <c r="H1064">
        <v>0</v>
      </c>
      <c r="I1064">
        <v>1</v>
      </c>
      <c r="J1064">
        <v>0</v>
      </c>
      <c r="K1064">
        <v>0</v>
      </c>
      <c r="L1064">
        <v>0</v>
      </c>
      <c r="N1064" t="s">
        <v>135</v>
      </c>
      <c r="O1064" t="s">
        <v>80</v>
      </c>
      <c r="P1064">
        <v>0</v>
      </c>
      <c r="Q1064">
        <v>0</v>
      </c>
      <c r="R1064">
        <v>1</v>
      </c>
      <c r="S1064">
        <v>0</v>
      </c>
      <c r="T1064">
        <v>0</v>
      </c>
      <c r="U1064">
        <v>0</v>
      </c>
      <c r="V1064">
        <v>0</v>
      </c>
      <c r="W1064">
        <v>0</v>
      </c>
      <c r="X1064">
        <v>0</v>
      </c>
      <c r="Y1064">
        <v>0</v>
      </c>
      <c r="Z1064">
        <v>0</v>
      </c>
      <c r="AA1064">
        <v>0</v>
      </c>
      <c r="AM1064" t="s">
        <v>82</v>
      </c>
      <c r="AN1064" t="s">
        <v>81</v>
      </c>
      <c r="AO1064" t="s">
        <v>83</v>
      </c>
      <c r="AP1064" t="s">
        <v>81</v>
      </c>
      <c r="AQ1064" t="s">
        <v>82</v>
      </c>
      <c r="AR1064" t="s">
        <v>81</v>
      </c>
      <c r="AS1064" t="s">
        <v>81</v>
      </c>
      <c r="AT1064" t="s">
        <v>83</v>
      </c>
      <c r="AU1064" t="s">
        <v>88</v>
      </c>
      <c r="AV1064" t="s">
        <v>89</v>
      </c>
      <c r="AW1064" t="s">
        <v>85</v>
      </c>
      <c r="AX1064" t="s">
        <v>122</v>
      </c>
      <c r="AZ1064" t="s">
        <v>73</v>
      </c>
      <c r="BA1064" t="s">
        <v>87</v>
      </c>
      <c r="BB1064" t="s">
        <v>87</v>
      </c>
      <c r="BC1064" t="s">
        <v>87</v>
      </c>
      <c r="BD1064" t="s">
        <v>87</v>
      </c>
      <c r="BE1064" t="s">
        <v>87</v>
      </c>
      <c r="BF1064" t="s">
        <v>75</v>
      </c>
      <c r="BG1064" t="s">
        <v>76</v>
      </c>
      <c r="BH1064" t="s">
        <v>77</v>
      </c>
      <c r="BI1064" t="s">
        <v>73</v>
      </c>
      <c r="BJ1064" t="s">
        <v>114</v>
      </c>
      <c r="BK1064">
        <v>0</v>
      </c>
      <c r="BL1064">
        <v>0</v>
      </c>
      <c r="BM1064">
        <v>0</v>
      </c>
      <c r="BN1064">
        <v>0</v>
      </c>
      <c r="BO1064">
        <v>0</v>
      </c>
      <c r="BP1064">
        <v>1</v>
      </c>
      <c r="BQ1064">
        <v>0</v>
      </c>
      <c r="BR1064">
        <v>0</v>
      </c>
    </row>
    <row r="1065" spans="1:72" x14ac:dyDescent="0.2">
      <c r="A1065" s="1">
        <v>44580.535416666666</v>
      </c>
      <c r="B1065" s="1">
        <v>44580.537499999999</v>
      </c>
      <c r="C1065">
        <v>0</v>
      </c>
      <c r="D1065">
        <v>1</v>
      </c>
      <c r="E1065">
        <v>0</v>
      </c>
      <c r="F1065">
        <v>0</v>
      </c>
      <c r="H1065">
        <v>0</v>
      </c>
      <c r="I1065">
        <v>0</v>
      </c>
      <c r="J1065">
        <v>0</v>
      </c>
      <c r="K1065">
        <v>0</v>
      </c>
      <c r="L1065">
        <v>1</v>
      </c>
      <c r="M1065" t="s">
        <v>469</v>
      </c>
      <c r="N1065" t="s">
        <v>88</v>
      </c>
      <c r="O1065" t="s">
        <v>89</v>
      </c>
      <c r="P1065">
        <v>1</v>
      </c>
      <c r="Q1065">
        <v>0</v>
      </c>
      <c r="R1065">
        <v>0</v>
      </c>
      <c r="S1065">
        <v>0</v>
      </c>
      <c r="T1065">
        <v>0</v>
      </c>
      <c r="U1065">
        <v>0</v>
      </c>
      <c r="V1065">
        <v>0</v>
      </c>
      <c r="W1065">
        <v>0</v>
      </c>
      <c r="X1065">
        <v>0</v>
      </c>
      <c r="Y1065">
        <v>0</v>
      </c>
      <c r="Z1065">
        <v>0</v>
      </c>
      <c r="AA1065">
        <v>0</v>
      </c>
      <c r="AC1065">
        <v>0</v>
      </c>
      <c r="AD1065">
        <v>0</v>
      </c>
      <c r="AE1065">
        <v>0</v>
      </c>
      <c r="AF1065">
        <v>1</v>
      </c>
      <c r="AG1065">
        <v>1</v>
      </c>
      <c r="AH1065">
        <v>0</v>
      </c>
      <c r="AI1065">
        <v>0</v>
      </c>
      <c r="AJ1065">
        <v>0</v>
      </c>
      <c r="AK1065">
        <v>0</v>
      </c>
      <c r="AX1065" t="s">
        <v>199</v>
      </c>
      <c r="AZ1065" t="s">
        <v>107</v>
      </c>
      <c r="BA1065" t="s">
        <v>86</v>
      </c>
      <c r="BB1065" t="s">
        <v>86</v>
      </c>
      <c r="BC1065" t="s">
        <v>86</v>
      </c>
      <c r="BD1065" t="s">
        <v>86</v>
      </c>
      <c r="BE1065" t="s">
        <v>86</v>
      </c>
      <c r="BF1065" t="s">
        <v>75</v>
      </c>
      <c r="BG1065" t="s">
        <v>76</v>
      </c>
      <c r="BH1065" t="s">
        <v>77</v>
      </c>
      <c r="BI1065" t="s">
        <v>107</v>
      </c>
      <c r="BJ1065" t="s">
        <v>129</v>
      </c>
      <c r="BK1065">
        <v>0</v>
      </c>
      <c r="BL1065">
        <v>0</v>
      </c>
      <c r="BM1065">
        <v>0</v>
      </c>
      <c r="BN1065">
        <v>0</v>
      </c>
      <c r="BO1065">
        <v>0</v>
      </c>
      <c r="BP1065">
        <v>1</v>
      </c>
      <c r="BQ1065">
        <v>0</v>
      </c>
      <c r="BR1065">
        <v>0</v>
      </c>
    </row>
    <row r="1066" spans="1:72" x14ac:dyDescent="0.2">
      <c r="A1066" s="1">
        <v>44579.897222222222</v>
      </c>
      <c r="B1066" s="1">
        <v>44579.899305555555</v>
      </c>
      <c r="C1066">
        <v>1</v>
      </c>
      <c r="D1066">
        <v>0</v>
      </c>
      <c r="E1066">
        <v>0</v>
      </c>
      <c r="F1066">
        <v>0</v>
      </c>
      <c r="H1066">
        <v>0</v>
      </c>
      <c r="I1066">
        <v>1</v>
      </c>
      <c r="J1066">
        <v>1</v>
      </c>
      <c r="K1066">
        <v>1</v>
      </c>
      <c r="L1066">
        <v>0</v>
      </c>
      <c r="N1066" t="s">
        <v>88</v>
      </c>
      <c r="O1066" t="s">
        <v>89</v>
      </c>
      <c r="P1066">
        <v>0</v>
      </c>
      <c r="Q1066">
        <v>1</v>
      </c>
      <c r="R1066">
        <v>1</v>
      </c>
      <c r="S1066">
        <v>0</v>
      </c>
      <c r="T1066">
        <v>0</v>
      </c>
      <c r="U1066">
        <v>0</v>
      </c>
      <c r="V1066">
        <v>0</v>
      </c>
      <c r="W1066">
        <v>0</v>
      </c>
      <c r="X1066">
        <v>0</v>
      </c>
      <c r="Y1066">
        <v>0</v>
      </c>
      <c r="Z1066">
        <v>0</v>
      </c>
      <c r="AA1066">
        <v>0</v>
      </c>
      <c r="AM1066" t="s">
        <v>83</v>
      </c>
      <c r="AN1066" t="s">
        <v>81</v>
      </c>
      <c r="AO1066" t="s">
        <v>83</v>
      </c>
      <c r="AP1066" t="s">
        <v>81</v>
      </c>
      <c r="AQ1066" t="s">
        <v>82</v>
      </c>
      <c r="AR1066" t="s">
        <v>83</v>
      </c>
      <c r="AS1066" t="s">
        <v>81</v>
      </c>
      <c r="AT1066" t="s">
        <v>83</v>
      </c>
      <c r="AU1066" t="s">
        <v>88</v>
      </c>
      <c r="AV1066" t="s">
        <v>89</v>
      </c>
      <c r="AW1066" t="s">
        <v>85</v>
      </c>
      <c r="AX1066" t="s">
        <v>72</v>
      </c>
      <c r="AZ1066" t="s">
        <v>107</v>
      </c>
      <c r="BA1066" t="s">
        <v>86</v>
      </c>
      <c r="BB1066" t="s">
        <v>86</v>
      </c>
      <c r="BC1066" t="s">
        <v>86</v>
      </c>
      <c r="BD1066" t="s">
        <v>86</v>
      </c>
      <c r="BE1066" t="s">
        <v>86</v>
      </c>
      <c r="BF1066" t="s">
        <v>75</v>
      </c>
      <c r="BG1066" t="s">
        <v>76</v>
      </c>
      <c r="BH1066" t="s">
        <v>93</v>
      </c>
      <c r="BI1066" t="s">
        <v>107</v>
      </c>
      <c r="BJ1066" t="s">
        <v>114</v>
      </c>
      <c r="BK1066">
        <v>0</v>
      </c>
      <c r="BL1066">
        <v>0</v>
      </c>
      <c r="BM1066">
        <v>0</v>
      </c>
      <c r="BN1066">
        <v>0</v>
      </c>
      <c r="BO1066">
        <v>0</v>
      </c>
      <c r="BP1066">
        <v>1</v>
      </c>
      <c r="BQ1066">
        <v>0</v>
      </c>
      <c r="BR1066">
        <v>0</v>
      </c>
    </row>
    <row r="1067" spans="1:72" x14ac:dyDescent="0.2">
      <c r="A1067" s="1">
        <v>44588.948611111111</v>
      </c>
      <c r="B1067" s="1">
        <v>44588.950694444444</v>
      </c>
      <c r="C1067">
        <v>1</v>
      </c>
      <c r="D1067">
        <v>0</v>
      </c>
      <c r="E1067">
        <v>0</v>
      </c>
      <c r="F1067">
        <v>0</v>
      </c>
      <c r="H1067">
        <v>0</v>
      </c>
      <c r="I1067">
        <v>1</v>
      </c>
      <c r="J1067">
        <v>1</v>
      </c>
      <c r="K1067">
        <v>0</v>
      </c>
      <c r="L1067">
        <v>0</v>
      </c>
      <c r="N1067" t="s">
        <v>88</v>
      </c>
      <c r="O1067" t="s">
        <v>89</v>
      </c>
      <c r="P1067">
        <v>0</v>
      </c>
      <c r="Q1067">
        <v>0</v>
      </c>
      <c r="R1067">
        <v>1</v>
      </c>
      <c r="S1067">
        <v>0</v>
      </c>
      <c r="T1067">
        <v>0</v>
      </c>
      <c r="U1067">
        <v>0</v>
      </c>
      <c r="V1067">
        <v>0</v>
      </c>
      <c r="W1067">
        <v>0</v>
      </c>
      <c r="X1067">
        <v>0</v>
      </c>
      <c r="Y1067">
        <v>0</v>
      </c>
      <c r="Z1067">
        <v>0</v>
      </c>
      <c r="AA1067">
        <v>0</v>
      </c>
      <c r="AM1067" t="s">
        <v>81</v>
      </c>
      <c r="AN1067" t="s">
        <v>82</v>
      </c>
      <c r="AO1067" t="s">
        <v>83</v>
      </c>
      <c r="AP1067" t="s">
        <v>81</v>
      </c>
      <c r="AQ1067" t="s">
        <v>82</v>
      </c>
      <c r="AR1067" t="s">
        <v>81</v>
      </c>
      <c r="AS1067" t="s">
        <v>81</v>
      </c>
      <c r="AT1067" t="s">
        <v>83</v>
      </c>
      <c r="AU1067" t="s">
        <v>88</v>
      </c>
      <c r="AV1067" t="s">
        <v>89</v>
      </c>
      <c r="AW1067" t="s">
        <v>85</v>
      </c>
      <c r="AZ1067" t="s">
        <v>107</v>
      </c>
      <c r="BA1067" t="s">
        <v>87</v>
      </c>
      <c r="BB1067" t="s">
        <v>87</v>
      </c>
      <c r="BC1067" t="s">
        <v>87</v>
      </c>
      <c r="BD1067" t="s">
        <v>74</v>
      </c>
      <c r="BE1067" t="s">
        <v>87</v>
      </c>
      <c r="BF1067" t="s">
        <v>159</v>
      </c>
      <c r="BG1067" t="s">
        <v>76</v>
      </c>
      <c r="BH1067" t="s">
        <v>77</v>
      </c>
      <c r="BI1067" t="s">
        <v>107</v>
      </c>
      <c r="BJ1067" t="s">
        <v>176</v>
      </c>
      <c r="BK1067">
        <v>0</v>
      </c>
      <c r="BL1067">
        <v>0</v>
      </c>
      <c r="BM1067">
        <v>0</v>
      </c>
      <c r="BN1067">
        <v>0</v>
      </c>
      <c r="BO1067">
        <v>0</v>
      </c>
      <c r="BP1067">
        <v>1</v>
      </c>
      <c r="BQ1067">
        <v>0</v>
      </c>
      <c r="BR1067">
        <v>0</v>
      </c>
    </row>
    <row r="1068" spans="1:72" x14ac:dyDescent="0.2">
      <c r="A1068" s="1">
        <v>44588.890277777777</v>
      </c>
      <c r="B1068" s="1">
        <v>44588.89166666667</v>
      </c>
      <c r="C1068">
        <v>1</v>
      </c>
      <c r="D1068">
        <v>0</v>
      </c>
      <c r="E1068">
        <v>0</v>
      </c>
      <c r="F1068">
        <v>0</v>
      </c>
      <c r="H1068">
        <v>1</v>
      </c>
      <c r="I1068">
        <v>0</v>
      </c>
      <c r="J1068">
        <v>0</v>
      </c>
      <c r="K1068">
        <v>0</v>
      </c>
      <c r="L1068">
        <v>0</v>
      </c>
      <c r="P1068">
        <v>1</v>
      </c>
      <c r="Q1068">
        <v>0</v>
      </c>
      <c r="R1068">
        <v>0</v>
      </c>
      <c r="S1068">
        <v>0</v>
      </c>
      <c r="T1068">
        <v>0</v>
      </c>
      <c r="U1068">
        <v>0</v>
      </c>
      <c r="V1068">
        <v>0</v>
      </c>
      <c r="W1068">
        <v>0</v>
      </c>
      <c r="X1068">
        <v>0</v>
      </c>
      <c r="Y1068">
        <v>0</v>
      </c>
      <c r="Z1068">
        <v>0</v>
      </c>
      <c r="AA1068">
        <v>0</v>
      </c>
      <c r="AC1068">
        <v>0</v>
      </c>
      <c r="AD1068">
        <v>0</v>
      </c>
      <c r="AE1068">
        <v>1</v>
      </c>
      <c r="AF1068">
        <v>0</v>
      </c>
      <c r="AG1068">
        <v>0</v>
      </c>
      <c r="AH1068">
        <v>0</v>
      </c>
      <c r="AI1068">
        <v>0</v>
      </c>
      <c r="AJ1068">
        <v>0</v>
      </c>
      <c r="AK1068">
        <v>0</v>
      </c>
      <c r="AZ1068" t="s">
        <v>107</v>
      </c>
      <c r="BA1068" t="s">
        <v>86</v>
      </c>
      <c r="BB1068" t="s">
        <v>87</v>
      </c>
      <c r="BC1068" t="s">
        <v>87</v>
      </c>
      <c r="BD1068" t="s">
        <v>87</v>
      </c>
      <c r="BE1068" t="s">
        <v>87</v>
      </c>
      <c r="BF1068" t="s">
        <v>159</v>
      </c>
      <c r="BG1068" t="s">
        <v>76</v>
      </c>
      <c r="BH1068" t="s">
        <v>77</v>
      </c>
      <c r="BI1068" t="s">
        <v>107</v>
      </c>
      <c r="BJ1068" t="s">
        <v>78</v>
      </c>
      <c r="BK1068">
        <v>0</v>
      </c>
      <c r="BL1068">
        <v>0</v>
      </c>
      <c r="BM1068">
        <v>0</v>
      </c>
      <c r="BN1068">
        <v>0</v>
      </c>
      <c r="BO1068">
        <v>0</v>
      </c>
      <c r="BP1068">
        <v>1</v>
      </c>
      <c r="BQ1068">
        <v>0</v>
      </c>
      <c r="BR1068">
        <v>0</v>
      </c>
    </row>
    <row r="1069" spans="1:72" x14ac:dyDescent="0.2">
      <c r="A1069" s="1">
        <v>44585.505555555559</v>
      </c>
      <c r="B1069" s="1">
        <v>44585.506944444445</v>
      </c>
      <c r="C1069">
        <v>1</v>
      </c>
      <c r="D1069">
        <v>0</v>
      </c>
      <c r="E1069">
        <v>0</v>
      </c>
      <c r="F1069">
        <v>0</v>
      </c>
      <c r="H1069">
        <v>1</v>
      </c>
      <c r="I1069">
        <v>0</v>
      </c>
      <c r="J1069">
        <v>0</v>
      </c>
      <c r="K1069">
        <v>0</v>
      </c>
      <c r="L1069">
        <v>0</v>
      </c>
      <c r="P1069">
        <v>1</v>
      </c>
      <c r="Q1069">
        <v>0</v>
      </c>
      <c r="R1069">
        <v>0</v>
      </c>
      <c r="S1069">
        <v>0</v>
      </c>
      <c r="T1069">
        <v>0</v>
      </c>
      <c r="U1069">
        <v>0</v>
      </c>
      <c r="V1069">
        <v>0</v>
      </c>
      <c r="W1069">
        <v>0</v>
      </c>
      <c r="X1069">
        <v>0</v>
      </c>
      <c r="Y1069">
        <v>0</v>
      </c>
      <c r="Z1069">
        <v>0</v>
      </c>
      <c r="AA1069">
        <v>0</v>
      </c>
      <c r="AC1069">
        <v>0</v>
      </c>
      <c r="AD1069">
        <v>0</v>
      </c>
      <c r="AE1069">
        <v>0</v>
      </c>
      <c r="AF1069">
        <v>0</v>
      </c>
      <c r="AG1069">
        <v>0</v>
      </c>
      <c r="AH1069">
        <v>0</v>
      </c>
      <c r="AI1069">
        <v>1</v>
      </c>
      <c r="AJ1069">
        <v>0</v>
      </c>
      <c r="AK1069">
        <v>0</v>
      </c>
      <c r="AX1069" t="s">
        <v>110</v>
      </c>
      <c r="AY1069" t="s">
        <v>470</v>
      </c>
      <c r="AZ1069" t="s">
        <v>107</v>
      </c>
      <c r="BA1069" t="s">
        <v>74</v>
      </c>
      <c r="BF1069" t="s">
        <v>75</v>
      </c>
      <c r="BG1069" t="s">
        <v>76</v>
      </c>
      <c r="BH1069" t="s">
        <v>77</v>
      </c>
      <c r="BI1069" t="s">
        <v>107</v>
      </c>
      <c r="BK1069">
        <v>0</v>
      </c>
      <c r="BL1069">
        <v>0</v>
      </c>
      <c r="BM1069">
        <v>0</v>
      </c>
      <c r="BN1069">
        <v>0</v>
      </c>
      <c r="BO1069">
        <v>0</v>
      </c>
      <c r="BP1069">
        <v>1</v>
      </c>
      <c r="BQ1069">
        <v>0</v>
      </c>
      <c r="BR1069">
        <v>0</v>
      </c>
      <c r="BT1069" t="s">
        <v>163</v>
      </c>
    </row>
    <row r="1070" spans="1:72" x14ac:dyDescent="0.2">
      <c r="A1070" s="1">
        <v>44588.881249999999</v>
      </c>
      <c r="B1070" s="1">
        <v>44588.881944444445</v>
      </c>
      <c r="C1070">
        <v>1</v>
      </c>
      <c r="D1070">
        <v>0</v>
      </c>
      <c r="E1070">
        <v>0</v>
      </c>
      <c r="F1070">
        <v>0</v>
      </c>
      <c r="H1070">
        <v>1</v>
      </c>
      <c r="I1070">
        <v>0</v>
      </c>
      <c r="J1070">
        <v>0</v>
      </c>
      <c r="K1070">
        <v>0</v>
      </c>
      <c r="L1070">
        <v>0</v>
      </c>
      <c r="P1070">
        <v>1</v>
      </c>
      <c r="Q1070">
        <v>0</v>
      </c>
      <c r="R1070">
        <v>0</v>
      </c>
      <c r="S1070">
        <v>0</v>
      </c>
      <c r="T1070">
        <v>0</v>
      </c>
      <c r="U1070">
        <v>0</v>
      </c>
      <c r="V1070">
        <v>0</v>
      </c>
      <c r="W1070">
        <v>0</v>
      </c>
      <c r="X1070">
        <v>0</v>
      </c>
      <c r="Y1070">
        <v>0</v>
      </c>
      <c r="Z1070">
        <v>0</v>
      </c>
      <c r="AA1070">
        <v>0</v>
      </c>
      <c r="AC1070">
        <v>0</v>
      </c>
      <c r="AD1070">
        <v>1</v>
      </c>
      <c r="AE1070">
        <v>0</v>
      </c>
      <c r="AF1070">
        <v>0</v>
      </c>
      <c r="AG1070">
        <v>0</v>
      </c>
      <c r="AH1070">
        <v>0</v>
      </c>
      <c r="AI1070">
        <v>0</v>
      </c>
      <c r="AJ1070">
        <v>0</v>
      </c>
      <c r="AK1070">
        <v>0</v>
      </c>
      <c r="AX1070" t="s">
        <v>191</v>
      </c>
      <c r="AZ1070" t="s">
        <v>107</v>
      </c>
      <c r="BA1070" t="s">
        <v>74</v>
      </c>
      <c r="BF1070" t="s">
        <v>75</v>
      </c>
      <c r="BG1070" t="s">
        <v>92</v>
      </c>
      <c r="BH1070" t="s">
        <v>77</v>
      </c>
      <c r="BI1070" t="s">
        <v>107</v>
      </c>
      <c r="BJ1070" t="s">
        <v>114</v>
      </c>
      <c r="BK1070">
        <v>0</v>
      </c>
      <c r="BL1070">
        <v>0</v>
      </c>
      <c r="BM1070">
        <v>0</v>
      </c>
      <c r="BN1070">
        <v>0</v>
      </c>
      <c r="BO1070">
        <v>0</v>
      </c>
      <c r="BP1070">
        <v>1</v>
      </c>
      <c r="BQ1070">
        <v>0</v>
      </c>
      <c r="BR1070">
        <v>0</v>
      </c>
    </row>
    <row r="1071" spans="1:72" x14ac:dyDescent="0.2">
      <c r="A1071" s="1">
        <v>44579.939583333333</v>
      </c>
      <c r="B1071" s="1">
        <v>44579.941666666666</v>
      </c>
      <c r="C1071">
        <v>1</v>
      </c>
      <c r="D1071">
        <v>0</v>
      </c>
      <c r="E1071">
        <v>0</v>
      </c>
      <c r="F1071">
        <v>0</v>
      </c>
      <c r="H1071">
        <v>0</v>
      </c>
      <c r="I1071">
        <v>1</v>
      </c>
      <c r="J1071">
        <v>0</v>
      </c>
      <c r="K1071">
        <v>0</v>
      </c>
      <c r="L1071">
        <v>0</v>
      </c>
      <c r="N1071" t="s">
        <v>79</v>
      </c>
      <c r="O1071" t="s">
        <v>142</v>
      </c>
      <c r="P1071">
        <v>0</v>
      </c>
      <c r="Q1071">
        <v>0</v>
      </c>
      <c r="R1071">
        <v>1</v>
      </c>
      <c r="S1071">
        <v>0</v>
      </c>
      <c r="T1071">
        <v>0</v>
      </c>
      <c r="U1071">
        <v>0</v>
      </c>
      <c r="V1071">
        <v>0</v>
      </c>
      <c r="W1071">
        <v>0</v>
      </c>
      <c r="X1071">
        <v>0</v>
      </c>
      <c r="Y1071">
        <v>0</v>
      </c>
      <c r="Z1071">
        <v>0</v>
      </c>
      <c r="AA1071">
        <v>0</v>
      </c>
      <c r="AM1071" t="s">
        <v>83</v>
      </c>
      <c r="AN1071" t="s">
        <v>81</v>
      </c>
      <c r="AO1071" t="s">
        <v>83</v>
      </c>
      <c r="AP1071" t="s">
        <v>81</v>
      </c>
      <c r="AQ1071" t="s">
        <v>82</v>
      </c>
      <c r="AR1071" t="s">
        <v>83</v>
      </c>
      <c r="AS1071" t="s">
        <v>83</v>
      </c>
      <c r="AT1071" t="s">
        <v>82</v>
      </c>
      <c r="AU1071" t="s">
        <v>88</v>
      </c>
      <c r="AV1071" t="s">
        <v>89</v>
      </c>
      <c r="AW1071" t="s">
        <v>85</v>
      </c>
      <c r="AX1071" t="s">
        <v>146</v>
      </c>
      <c r="AZ1071" t="s">
        <v>96</v>
      </c>
      <c r="BA1071" t="s">
        <v>86</v>
      </c>
      <c r="BB1071" t="s">
        <v>74</v>
      </c>
      <c r="BC1071" t="s">
        <v>87</v>
      </c>
      <c r="BD1071" t="s">
        <v>86</v>
      </c>
      <c r="BE1071" t="s">
        <v>86</v>
      </c>
      <c r="BF1071" t="s">
        <v>75</v>
      </c>
      <c r="BG1071" t="s">
        <v>76</v>
      </c>
      <c r="BH1071" t="s">
        <v>77</v>
      </c>
      <c r="BI1071" t="s">
        <v>96</v>
      </c>
      <c r="BJ1071" t="s">
        <v>147</v>
      </c>
      <c r="BK1071">
        <v>0</v>
      </c>
      <c r="BL1071">
        <v>0</v>
      </c>
      <c r="BM1071">
        <v>0</v>
      </c>
      <c r="BN1071">
        <v>0</v>
      </c>
      <c r="BO1071">
        <v>0</v>
      </c>
      <c r="BP1071">
        <v>1</v>
      </c>
      <c r="BQ1071">
        <v>0</v>
      </c>
      <c r="BR1071">
        <v>0</v>
      </c>
    </row>
    <row r="1072" spans="1:72" x14ac:dyDescent="0.2">
      <c r="A1072" s="1">
        <v>44580.388194444444</v>
      </c>
      <c r="B1072" s="1">
        <v>44580.390972222223</v>
      </c>
      <c r="C1072">
        <v>1</v>
      </c>
      <c r="D1072">
        <v>0</v>
      </c>
      <c r="E1072">
        <v>0</v>
      </c>
      <c r="F1072">
        <v>0</v>
      </c>
      <c r="H1072">
        <v>0</v>
      </c>
      <c r="I1072">
        <v>0</v>
      </c>
      <c r="J1072">
        <v>0</v>
      </c>
      <c r="K1072">
        <v>0</v>
      </c>
      <c r="L1072">
        <v>1</v>
      </c>
      <c r="M1072" t="s">
        <v>471</v>
      </c>
      <c r="N1072" t="s">
        <v>127</v>
      </c>
      <c r="O1072" t="s">
        <v>127</v>
      </c>
      <c r="P1072">
        <v>0</v>
      </c>
      <c r="Q1072">
        <v>1</v>
      </c>
      <c r="R1072">
        <v>0</v>
      </c>
      <c r="S1072">
        <v>1</v>
      </c>
      <c r="T1072">
        <v>0</v>
      </c>
      <c r="U1072">
        <v>0</v>
      </c>
      <c r="V1072">
        <v>0</v>
      </c>
      <c r="W1072">
        <v>0</v>
      </c>
      <c r="X1072">
        <v>0</v>
      </c>
      <c r="Y1072">
        <v>0</v>
      </c>
      <c r="Z1072">
        <v>0</v>
      </c>
      <c r="AA1072">
        <v>1</v>
      </c>
      <c r="AB1072" t="s">
        <v>472</v>
      </c>
      <c r="AM1072" t="s">
        <v>83</v>
      </c>
      <c r="AN1072" t="s">
        <v>82</v>
      </c>
      <c r="AO1072" t="s">
        <v>81</v>
      </c>
      <c r="AP1072" t="s">
        <v>82</v>
      </c>
      <c r="AQ1072" t="s">
        <v>83</v>
      </c>
      <c r="AR1072" t="s">
        <v>83</v>
      </c>
      <c r="AS1072" t="s">
        <v>83</v>
      </c>
      <c r="AT1072" t="s">
        <v>83</v>
      </c>
      <c r="AU1072" t="s">
        <v>127</v>
      </c>
      <c r="AV1072" t="s">
        <v>127</v>
      </c>
      <c r="AZ1072" t="s">
        <v>73</v>
      </c>
      <c r="BA1072" t="s">
        <v>74</v>
      </c>
      <c r="BF1072" t="s">
        <v>101</v>
      </c>
      <c r="BG1072" t="s">
        <v>76</v>
      </c>
      <c r="BH1072" t="s">
        <v>77</v>
      </c>
      <c r="BI1072" t="s">
        <v>73</v>
      </c>
      <c r="BJ1072" t="s">
        <v>114</v>
      </c>
      <c r="BK1072">
        <v>0</v>
      </c>
      <c r="BL1072">
        <v>0</v>
      </c>
      <c r="BM1072">
        <v>0</v>
      </c>
      <c r="BN1072">
        <v>0</v>
      </c>
      <c r="BO1072">
        <v>0</v>
      </c>
      <c r="BP1072">
        <v>1</v>
      </c>
      <c r="BQ1072">
        <v>0</v>
      </c>
      <c r="BR1072">
        <v>0</v>
      </c>
    </row>
    <row r="1073" spans="1:72" x14ac:dyDescent="0.2">
      <c r="A1073" s="1">
        <v>44585.570833333331</v>
      </c>
      <c r="B1073" s="1">
        <v>44585.572916666664</v>
      </c>
      <c r="C1073">
        <v>1</v>
      </c>
      <c r="D1073">
        <v>0</v>
      </c>
      <c r="E1073">
        <v>0</v>
      </c>
      <c r="F1073">
        <v>0</v>
      </c>
      <c r="H1073">
        <v>1</v>
      </c>
      <c r="I1073">
        <v>0</v>
      </c>
      <c r="J1073">
        <v>0</v>
      </c>
      <c r="K1073">
        <v>0</v>
      </c>
      <c r="L1073">
        <v>0</v>
      </c>
      <c r="P1073">
        <v>1</v>
      </c>
      <c r="Q1073">
        <v>0</v>
      </c>
      <c r="R1073">
        <v>0</v>
      </c>
      <c r="S1073">
        <v>0</v>
      </c>
      <c r="T1073">
        <v>0</v>
      </c>
      <c r="U1073">
        <v>0</v>
      </c>
      <c r="V1073">
        <v>0</v>
      </c>
      <c r="W1073">
        <v>0</v>
      </c>
      <c r="X1073">
        <v>0</v>
      </c>
      <c r="Y1073">
        <v>0</v>
      </c>
      <c r="Z1073">
        <v>0</v>
      </c>
      <c r="AA1073">
        <v>0</v>
      </c>
      <c r="AC1073">
        <v>0</v>
      </c>
      <c r="AD1073">
        <v>0</v>
      </c>
      <c r="AE1073">
        <v>0</v>
      </c>
      <c r="AF1073">
        <v>0</v>
      </c>
      <c r="AG1073">
        <v>0</v>
      </c>
      <c r="AH1073">
        <v>0</v>
      </c>
      <c r="AI1073">
        <v>0</v>
      </c>
      <c r="AJ1073">
        <v>0</v>
      </c>
      <c r="AK1073">
        <v>1</v>
      </c>
      <c r="AL1073" t="s">
        <v>473</v>
      </c>
      <c r="AZ1073" t="s">
        <v>96</v>
      </c>
      <c r="BA1073" t="s">
        <v>87</v>
      </c>
      <c r="BB1073" t="s">
        <v>87</v>
      </c>
      <c r="BC1073" t="s">
        <v>87</v>
      </c>
      <c r="BD1073" t="s">
        <v>87</v>
      </c>
      <c r="BE1073" t="s">
        <v>87</v>
      </c>
      <c r="BF1073" t="s">
        <v>159</v>
      </c>
      <c r="BG1073" t="s">
        <v>76</v>
      </c>
      <c r="BH1073" t="s">
        <v>77</v>
      </c>
      <c r="BI1073" t="s">
        <v>96</v>
      </c>
      <c r="BJ1073" t="s">
        <v>129</v>
      </c>
      <c r="BK1073">
        <v>0</v>
      </c>
      <c r="BL1073">
        <v>0</v>
      </c>
      <c r="BM1073">
        <v>0</v>
      </c>
      <c r="BN1073">
        <v>0</v>
      </c>
      <c r="BO1073">
        <v>0</v>
      </c>
      <c r="BP1073">
        <v>1</v>
      </c>
      <c r="BQ1073">
        <v>0</v>
      </c>
      <c r="BR1073">
        <v>0</v>
      </c>
    </row>
    <row r="1074" spans="1:72" x14ac:dyDescent="0.2">
      <c r="A1074" s="1">
        <v>44579.95208333333</v>
      </c>
      <c r="B1074" s="1">
        <v>44579.952777777777</v>
      </c>
      <c r="C1074">
        <v>0</v>
      </c>
      <c r="D1074">
        <v>1</v>
      </c>
      <c r="E1074">
        <v>0</v>
      </c>
      <c r="F1074">
        <v>0</v>
      </c>
      <c r="H1074">
        <v>1</v>
      </c>
      <c r="I1074">
        <v>0</v>
      </c>
      <c r="J1074">
        <v>0</v>
      </c>
      <c r="K1074">
        <v>0</v>
      </c>
      <c r="L1074">
        <v>0</v>
      </c>
      <c r="P1074">
        <v>1</v>
      </c>
      <c r="Q1074">
        <v>0</v>
      </c>
      <c r="R1074">
        <v>0</v>
      </c>
      <c r="S1074">
        <v>0</v>
      </c>
      <c r="T1074">
        <v>0</v>
      </c>
      <c r="U1074">
        <v>0</v>
      </c>
      <c r="V1074">
        <v>0</v>
      </c>
      <c r="W1074">
        <v>0</v>
      </c>
      <c r="X1074">
        <v>0</v>
      </c>
      <c r="Y1074">
        <v>0</v>
      </c>
      <c r="Z1074">
        <v>0</v>
      </c>
      <c r="AA1074">
        <v>0</v>
      </c>
      <c r="AC1074">
        <v>1</v>
      </c>
      <c r="AD1074">
        <v>0</v>
      </c>
      <c r="AE1074">
        <v>0</v>
      </c>
      <c r="AF1074">
        <v>0</v>
      </c>
      <c r="AG1074">
        <v>0</v>
      </c>
      <c r="AH1074">
        <v>0</v>
      </c>
      <c r="AI1074">
        <v>0</v>
      </c>
      <c r="AJ1074">
        <v>0</v>
      </c>
      <c r="AK1074">
        <v>0</v>
      </c>
      <c r="AZ1074" t="s">
        <v>96</v>
      </c>
      <c r="BA1074" t="s">
        <v>87</v>
      </c>
      <c r="BB1074" t="s">
        <v>87</v>
      </c>
      <c r="BC1074" t="s">
        <v>87</v>
      </c>
      <c r="BD1074" t="s">
        <v>87</v>
      </c>
      <c r="BE1074" t="s">
        <v>87</v>
      </c>
      <c r="BF1074" t="s">
        <v>101</v>
      </c>
      <c r="BG1074" t="s">
        <v>76</v>
      </c>
      <c r="BH1074" t="s">
        <v>77</v>
      </c>
      <c r="BI1074" t="s">
        <v>96</v>
      </c>
      <c r="BJ1074" t="s">
        <v>109</v>
      </c>
      <c r="BK1074">
        <v>0</v>
      </c>
      <c r="BL1074">
        <v>0</v>
      </c>
      <c r="BM1074">
        <v>0</v>
      </c>
      <c r="BN1074">
        <v>0</v>
      </c>
      <c r="BO1074">
        <v>0</v>
      </c>
      <c r="BP1074">
        <v>1</v>
      </c>
      <c r="BQ1074">
        <v>0</v>
      </c>
      <c r="BR1074">
        <v>0</v>
      </c>
    </row>
    <row r="1075" spans="1:72" x14ac:dyDescent="0.2">
      <c r="A1075" s="1">
        <v>44589.088888888888</v>
      </c>
      <c r="B1075" s="1">
        <v>44589.09097222222</v>
      </c>
      <c r="C1075">
        <v>1</v>
      </c>
      <c r="D1075">
        <v>0</v>
      </c>
      <c r="E1075">
        <v>0</v>
      </c>
      <c r="F1075">
        <v>0</v>
      </c>
      <c r="H1075">
        <v>0</v>
      </c>
      <c r="I1075">
        <v>1</v>
      </c>
      <c r="J1075">
        <v>0</v>
      </c>
      <c r="K1075">
        <v>1</v>
      </c>
      <c r="L1075">
        <v>0</v>
      </c>
      <c r="N1075" t="s">
        <v>88</v>
      </c>
      <c r="O1075" t="s">
        <v>89</v>
      </c>
      <c r="P1075">
        <v>0</v>
      </c>
      <c r="Q1075">
        <v>0</v>
      </c>
      <c r="R1075">
        <v>0</v>
      </c>
      <c r="S1075">
        <v>1</v>
      </c>
      <c r="T1075">
        <v>0</v>
      </c>
      <c r="U1075">
        <v>0</v>
      </c>
      <c r="V1075">
        <v>0</v>
      </c>
      <c r="W1075">
        <v>0</v>
      </c>
      <c r="X1075">
        <v>0</v>
      </c>
      <c r="Y1075">
        <v>0</v>
      </c>
      <c r="Z1075">
        <v>0</v>
      </c>
      <c r="AA1075">
        <v>0</v>
      </c>
      <c r="AM1075" t="s">
        <v>83</v>
      </c>
      <c r="AN1075" t="s">
        <v>82</v>
      </c>
      <c r="AO1075" t="s">
        <v>81</v>
      </c>
      <c r="AP1075" t="s">
        <v>83</v>
      </c>
      <c r="AQ1075" t="s">
        <v>83</v>
      </c>
      <c r="AR1075" t="s">
        <v>83</v>
      </c>
      <c r="AS1075" t="s">
        <v>83</v>
      </c>
      <c r="AT1075" t="s">
        <v>83</v>
      </c>
      <c r="AU1075" t="s">
        <v>88</v>
      </c>
      <c r="AV1075" t="s">
        <v>89</v>
      </c>
      <c r="AW1075" t="s">
        <v>85</v>
      </c>
      <c r="AX1075" t="s">
        <v>118</v>
      </c>
      <c r="AZ1075" t="s">
        <v>73</v>
      </c>
      <c r="BA1075" t="s">
        <v>87</v>
      </c>
      <c r="BB1075" t="s">
        <v>87</v>
      </c>
      <c r="BC1075" t="s">
        <v>87</v>
      </c>
      <c r="BD1075" t="s">
        <v>87</v>
      </c>
      <c r="BE1075" t="s">
        <v>87</v>
      </c>
      <c r="BF1075" t="s">
        <v>75</v>
      </c>
      <c r="BG1075" t="s">
        <v>92</v>
      </c>
      <c r="BH1075" t="s">
        <v>98</v>
      </c>
      <c r="BI1075" t="s">
        <v>73</v>
      </c>
      <c r="BJ1075" t="s">
        <v>78</v>
      </c>
      <c r="BK1075">
        <v>0</v>
      </c>
      <c r="BL1075">
        <v>0</v>
      </c>
      <c r="BM1075">
        <v>0</v>
      </c>
      <c r="BN1075">
        <v>0</v>
      </c>
      <c r="BO1075">
        <v>0</v>
      </c>
      <c r="BP1075">
        <v>1</v>
      </c>
      <c r="BQ1075">
        <v>0</v>
      </c>
      <c r="BR1075">
        <v>0</v>
      </c>
    </row>
    <row r="1076" spans="1:72" x14ac:dyDescent="0.2">
      <c r="A1076" s="1">
        <v>44580.119444444441</v>
      </c>
      <c r="B1076" s="1">
        <v>44580.120833333334</v>
      </c>
      <c r="C1076">
        <v>1</v>
      </c>
      <c r="D1076">
        <v>0</v>
      </c>
      <c r="E1076">
        <v>0</v>
      </c>
      <c r="F1076">
        <v>0</v>
      </c>
      <c r="H1076">
        <v>1</v>
      </c>
      <c r="I1076">
        <v>0</v>
      </c>
      <c r="J1076">
        <v>0</v>
      </c>
      <c r="K1076">
        <v>0</v>
      </c>
      <c r="L1076">
        <v>0</v>
      </c>
      <c r="P1076">
        <v>1</v>
      </c>
      <c r="Q1076">
        <v>0</v>
      </c>
      <c r="R1076">
        <v>0</v>
      </c>
      <c r="S1076">
        <v>0</v>
      </c>
      <c r="T1076">
        <v>0</v>
      </c>
      <c r="U1076">
        <v>0</v>
      </c>
      <c r="V1076">
        <v>0</v>
      </c>
      <c r="W1076">
        <v>0</v>
      </c>
      <c r="X1076">
        <v>0</v>
      </c>
      <c r="Y1076">
        <v>0</v>
      </c>
      <c r="Z1076">
        <v>0</v>
      </c>
      <c r="AA1076">
        <v>0</v>
      </c>
      <c r="AC1076">
        <v>1</v>
      </c>
      <c r="AD1076">
        <v>0</v>
      </c>
      <c r="AE1076">
        <v>0</v>
      </c>
      <c r="AF1076">
        <v>0</v>
      </c>
      <c r="AG1076">
        <v>0</v>
      </c>
      <c r="AH1076">
        <v>0</v>
      </c>
      <c r="AI1076">
        <v>0</v>
      </c>
      <c r="AJ1076">
        <v>0</v>
      </c>
      <c r="AK1076">
        <v>0</v>
      </c>
      <c r="AX1076" t="s">
        <v>106</v>
      </c>
      <c r="AZ1076" t="s">
        <v>107</v>
      </c>
      <c r="BA1076" t="s">
        <v>74</v>
      </c>
      <c r="BF1076" t="s">
        <v>75</v>
      </c>
      <c r="BG1076" t="s">
        <v>92</v>
      </c>
      <c r="BH1076" t="s">
        <v>77</v>
      </c>
      <c r="BI1076" t="s">
        <v>107</v>
      </c>
      <c r="BJ1076" t="s">
        <v>78</v>
      </c>
      <c r="BK1076">
        <v>0</v>
      </c>
      <c r="BL1076">
        <v>0</v>
      </c>
      <c r="BM1076">
        <v>0</v>
      </c>
      <c r="BN1076">
        <v>0</v>
      </c>
      <c r="BO1076">
        <v>0</v>
      </c>
      <c r="BP1076">
        <v>1</v>
      </c>
      <c r="BQ1076">
        <v>0</v>
      </c>
      <c r="BR1076">
        <v>0</v>
      </c>
    </row>
    <row r="1077" spans="1:72" x14ac:dyDescent="0.2">
      <c r="A1077" s="1">
        <v>44585.536111111112</v>
      </c>
      <c r="B1077" s="1">
        <v>44585.538194444445</v>
      </c>
      <c r="C1077">
        <v>0</v>
      </c>
      <c r="D1077">
        <v>1</v>
      </c>
      <c r="E1077">
        <v>0</v>
      </c>
      <c r="F1077">
        <v>0</v>
      </c>
      <c r="H1077">
        <v>0</v>
      </c>
      <c r="I1077">
        <v>1</v>
      </c>
      <c r="J1077">
        <v>1</v>
      </c>
      <c r="K1077">
        <v>1</v>
      </c>
      <c r="L1077">
        <v>0</v>
      </c>
      <c r="N1077" t="s">
        <v>88</v>
      </c>
      <c r="O1077" t="s">
        <v>89</v>
      </c>
      <c r="P1077">
        <v>0</v>
      </c>
      <c r="Q1077">
        <v>0</v>
      </c>
      <c r="R1077">
        <v>0</v>
      </c>
      <c r="S1077">
        <v>1</v>
      </c>
      <c r="T1077">
        <v>0</v>
      </c>
      <c r="U1077">
        <v>0</v>
      </c>
      <c r="V1077">
        <v>0</v>
      </c>
      <c r="W1077">
        <v>0</v>
      </c>
      <c r="X1077">
        <v>0</v>
      </c>
      <c r="Y1077">
        <v>0</v>
      </c>
      <c r="Z1077">
        <v>0</v>
      </c>
      <c r="AA1077">
        <v>0</v>
      </c>
      <c r="AM1077" t="s">
        <v>83</v>
      </c>
      <c r="AN1077" t="s">
        <v>82</v>
      </c>
      <c r="AO1077" t="s">
        <v>82</v>
      </c>
      <c r="AP1077" t="s">
        <v>82</v>
      </c>
      <c r="AQ1077" t="s">
        <v>81</v>
      </c>
      <c r="AR1077" t="s">
        <v>81</v>
      </c>
      <c r="AS1077" t="s">
        <v>81</v>
      </c>
      <c r="AT1077" t="s">
        <v>83</v>
      </c>
      <c r="AU1077" t="s">
        <v>88</v>
      </c>
      <c r="AV1077" t="s">
        <v>89</v>
      </c>
      <c r="AW1077" t="s">
        <v>100</v>
      </c>
      <c r="AX1077" t="s">
        <v>146</v>
      </c>
      <c r="AZ1077" t="s">
        <v>73</v>
      </c>
      <c r="BA1077" t="s">
        <v>87</v>
      </c>
      <c r="BB1077" t="s">
        <v>87</v>
      </c>
      <c r="BC1077" t="s">
        <v>87</v>
      </c>
      <c r="BD1077" t="s">
        <v>87</v>
      </c>
      <c r="BE1077" t="s">
        <v>74</v>
      </c>
      <c r="BF1077" t="s">
        <v>75</v>
      </c>
      <c r="BG1077" t="s">
        <v>92</v>
      </c>
      <c r="BH1077" t="s">
        <v>98</v>
      </c>
      <c r="BI1077" t="s">
        <v>73</v>
      </c>
      <c r="BJ1077" t="s">
        <v>78</v>
      </c>
      <c r="BK1077">
        <v>0</v>
      </c>
      <c r="BL1077">
        <v>0</v>
      </c>
      <c r="BM1077">
        <v>0</v>
      </c>
      <c r="BN1077">
        <v>0</v>
      </c>
      <c r="BO1077">
        <v>0</v>
      </c>
      <c r="BP1077">
        <v>1</v>
      </c>
      <c r="BQ1077">
        <v>0</v>
      </c>
      <c r="BR1077">
        <v>0</v>
      </c>
    </row>
    <row r="1078" spans="1:72" x14ac:dyDescent="0.2">
      <c r="A1078" s="1">
        <v>44580.021527777775</v>
      </c>
      <c r="B1078" s="1">
        <v>44580.022916666669</v>
      </c>
      <c r="C1078">
        <v>1</v>
      </c>
      <c r="D1078">
        <v>0</v>
      </c>
      <c r="E1078">
        <v>0</v>
      </c>
      <c r="F1078">
        <v>0</v>
      </c>
      <c r="H1078">
        <v>0</v>
      </c>
      <c r="I1078">
        <v>1</v>
      </c>
      <c r="J1078">
        <v>1</v>
      </c>
      <c r="K1078">
        <v>0</v>
      </c>
      <c r="L1078">
        <v>0</v>
      </c>
      <c r="N1078" t="s">
        <v>88</v>
      </c>
      <c r="O1078" t="s">
        <v>80</v>
      </c>
      <c r="P1078">
        <v>0</v>
      </c>
      <c r="Q1078">
        <v>0</v>
      </c>
      <c r="R1078">
        <v>1</v>
      </c>
      <c r="S1078">
        <v>0</v>
      </c>
      <c r="T1078">
        <v>0</v>
      </c>
      <c r="U1078">
        <v>0</v>
      </c>
      <c r="V1078">
        <v>0</v>
      </c>
      <c r="W1078">
        <v>0</v>
      </c>
      <c r="X1078">
        <v>0</v>
      </c>
      <c r="Y1078">
        <v>0</v>
      </c>
      <c r="Z1078">
        <v>0</v>
      </c>
      <c r="AA1078">
        <v>0</v>
      </c>
      <c r="AM1078" t="s">
        <v>83</v>
      </c>
      <c r="AN1078" t="s">
        <v>81</v>
      </c>
      <c r="AO1078" t="s">
        <v>90</v>
      </c>
      <c r="AP1078" t="s">
        <v>83</v>
      </c>
      <c r="AQ1078" t="s">
        <v>82</v>
      </c>
      <c r="AR1078" t="s">
        <v>83</v>
      </c>
      <c r="AS1078" t="s">
        <v>81</v>
      </c>
      <c r="AT1078" t="s">
        <v>83</v>
      </c>
      <c r="AU1078" t="s">
        <v>88</v>
      </c>
      <c r="AV1078" t="s">
        <v>89</v>
      </c>
      <c r="AW1078" t="s">
        <v>85</v>
      </c>
      <c r="AX1078" t="s">
        <v>110</v>
      </c>
      <c r="AY1078" t="s">
        <v>474</v>
      </c>
      <c r="AZ1078" t="s">
        <v>96</v>
      </c>
      <c r="BA1078" t="s">
        <v>87</v>
      </c>
      <c r="BB1078" t="s">
        <v>87</v>
      </c>
      <c r="BC1078" t="s">
        <v>87</v>
      </c>
      <c r="BD1078" t="s">
        <v>86</v>
      </c>
      <c r="BE1078" t="s">
        <v>87</v>
      </c>
      <c r="BF1078" t="s">
        <v>75</v>
      </c>
      <c r="BG1078" t="s">
        <v>76</v>
      </c>
      <c r="BH1078" t="s">
        <v>93</v>
      </c>
      <c r="BI1078" t="s">
        <v>96</v>
      </c>
      <c r="BK1078">
        <v>0</v>
      </c>
      <c r="BL1078">
        <v>0</v>
      </c>
      <c r="BM1078">
        <v>0</v>
      </c>
      <c r="BN1078">
        <v>0</v>
      </c>
      <c r="BO1078">
        <v>0</v>
      </c>
      <c r="BP1078">
        <v>1</v>
      </c>
      <c r="BQ1078">
        <v>0</v>
      </c>
      <c r="BR1078">
        <v>0</v>
      </c>
      <c r="BT1078" t="s">
        <v>109</v>
      </c>
    </row>
    <row r="1079" spans="1:72" x14ac:dyDescent="0.2">
      <c r="A1079" s="1">
        <v>44588.999305555553</v>
      </c>
      <c r="B1079" s="1">
        <v>44589.000694444447</v>
      </c>
      <c r="C1079">
        <v>1</v>
      </c>
      <c r="D1079">
        <v>0</v>
      </c>
      <c r="E1079">
        <v>0</v>
      </c>
      <c r="F1079">
        <v>0</v>
      </c>
      <c r="H1079">
        <v>1</v>
      </c>
      <c r="I1079">
        <v>0</v>
      </c>
      <c r="J1079">
        <v>0</v>
      </c>
      <c r="K1079">
        <v>0</v>
      </c>
      <c r="L1079">
        <v>0</v>
      </c>
      <c r="P1079">
        <v>1</v>
      </c>
      <c r="Q1079">
        <v>0</v>
      </c>
      <c r="R1079">
        <v>0</v>
      </c>
      <c r="S1079">
        <v>0</v>
      </c>
      <c r="T1079">
        <v>0</v>
      </c>
      <c r="U1079">
        <v>0</v>
      </c>
      <c r="V1079">
        <v>0</v>
      </c>
      <c r="W1079">
        <v>0</v>
      </c>
      <c r="X1079">
        <v>0</v>
      </c>
      <c r="Y1079">
        <v>0</v>
      </c>
      <c r="Z1079">
        <v>0</v>
      </c>
      <c r="AA1079">
        <v>0</v>
      </c>
      <c r="AC1079">
        <v>0</v>
      </c>
      <c r="AD1079">
        <v>1</v>
      </c>
      <c r="AE1079">
        <v>0</v>
      </c>
      <c r="AF1079">
        <v>0</v>
      </c>
      <c r="AG1079">
        <v>0</v>
      </c>
      <c r="AH1079">
        <v>0</v>
      </c>
      <c r="AI1079">
        <v>0</v>
      </c>
      <c r="AJ1079">
        <v>0</v>
      </c>
      <c r="AK1079">
        <v>0</v>
      </c>
      <c r="AX1079" t="s">
        <v>72</v>
      </c>
      <c r="AZ1079" t="s">
        <v>96</v>
      </c>
      <c r="BA1079" t="s">
        <v>87</v>
      </c>
      <c r="BB1079" t="s">
        <v>87</v>
      </c>
      <c r="BC1079" t="s">
        <v>74</v>
      </c>
      <c r="BD1079" t="s">
        <v>87</v>
      </c>
      <c r="BE1079" t="s">
        <v>87</v>
      </c>
      <c r="BF1079" t="s">
        <v>108</v>
      </c>
      <c r="BG1079" t="s">
        <v>76</v>
      </c>
      <c r="BH1079" t="s">
        <v>77</v>
      </c>
      <c r="BI1079" t="s">
        <v>96</v>
      </c>
      <c r="BJ1079" t="s">
        <v>99</v>
      </c>
      <c r="BK1079">
        <v>0</v>
      </c>
      <c r="BL1079">
        <v>0</v>
      </c>
      <c r="BM1079">
        <v>0</v>
      </c>
      <c r="BN1079">
        <v>0</v>
      </c>
      <c r="BO1079">
        <v>0</v>
      </c>
      <c r="BP1079">
        <v>1</v>
      </c>
      <c r="BQ1079">
        <v>0</v>
      </c>
      <c r="BR1079">
        <v>0</v>
      </c>
    </row>
    <row r="1080" spans="1:72" x14ac:dyDescent="0.2">
      <c r="A1080" s="1">
        <v>44579.890277777777</v>
      </c>
      <c r="B1080" s="1">
        <v>44579.89166666667</v>
      </c>
      <c r="C1080">
        <v>0</v>
      </c>
      <c r="D1080">
        <v>1</v>
      </c>
      <c r="E1080">
        <v>0</v>
      </c>
      <c r="F1080">
        <v>0</v>
      </c>
      <c r="H1080">
        <v>1</v>
      </c>
      <c r="I1080">
        <v>0</v>
      </c>
      <c r="J1080">
        <v>0</v>
      </c>
      <c r="K1080">
        <v>0</v>
      </c>
      <c r="L1080">
        <v>0</v>
      </c>
      <c r="P1080">
        <v>1</v>
      </c>
      <c r="Q1080">
        <v>0</v>
      </c>
      <c r="R1080">
        <v>0</v>
      </c>
      <c r="S1080">
        <v>0</v>
      </c>
      <c r="T1080">
        <v>0</v>
      </c>
      <c r="U1080">
        <v>0</v>
      </c>
      <c r="V1080">
        <v>0</v>
      </c>
      <c r="W1080">
        <v>0</v>
      </c>
      <c r="X1080">
        <v>0</v>
      </c>
      <c r="Y1080">
        <v>0</v>
      </c>
      <c r="Z1080">
        <v>0</v>
      </c>
      <c r="AA1080">
        <v>0</v>
      </c>
      <c r="AC1080">
        <v>0</v>
      </c>
      <c r="AD1080">
        <v>0</v>
      </c>
      <c r="AE1080">
        <v>0</v>
      </c>
      <c r="AF1080">
        <v>1</v>
      </c>
      <c r="AG1080">
        <v>0</v>
      </c>
      <c r="AH1080">
        <v>0</v>
      </c>
      <c r="AI1080">
        <v>1</v>
      </c>
      <c r="AJ1080">
        <v>1</v>
      </c>
      <c r="AK1080">
        <v>0</v>
      </c>
      <c r="AX1080" t="s">
        <v>236</v>
      </c>
      <c r="AZ1080" t="s">
        <v>73</v>
      </c>
      <c r="BA1080" t="s">
        <v>87</v>
      </c>
      <c r="BB1080" t="s">
        <v>87</v>
      </c>
      <c r="BC1080" t="s">
        <v>87</v>
      </c>
      <c r="BD1080" t="s">
        <v>87</v>
      </c>
      <c r="BE1080" t="s">
        <v>87</v>
      </c>
      <c r="BF1080" t="s">
        <v>75</v>
      </c>
      <c r="BG1080" t="s">
        <v>92</v>
      </c>
      <c r="BH1080" t="s">
        <v>77</v>
      </c>
      <c r="BI1080" t="s">
        <v>73</v>
      </c>
      <c r="BJ1080" t="s">
        <v>114</v>
      </c>
      <c r="BK1080">
        <v>0</v>
      </c>
      <c r="BL1080">
        <v>0</v>
      </c>
      <c r="BM1080">
        <v>0</v>
      </c>
      <c r="BN1080">
        <v>0</v>
      </c>
      <c r="BO1080">
        <v>0</v>
      </c>
      <c r="BP1080">
        <v>1</v>
      </c>
      <c r="BQ1080">
        <v>0</v>
      </c>
      <c r="BR1080">
        <v>0</v>
      </c>
    </row>
    <row r="1081" spans="1:72" x14ac:dyDescent="0.2">
      <c r="A1081" s="1">
        <v>44579.918749999997</v>
      </c>
      <c r="B1081" s="1">
        <v>44579.92083333333</v>
      </c>
      <c r="C1081">
        <v>0</v>
      </c>
      <c r="D1081">
        <v>1</v>
      </c>
      <c r="E1081">
        <v>0</v>
      </c>
      <c r="F1081">
        <v>0</v>
      </c>
      <c r="H1081">
        <v>0</v>
      </c>
      <c r="I1081">
        <v>1</v>
      </c>
      <c r="J1081">
        <v>1</v>
      </c>
      <c r="K1081">
        <v>0</v>
      </c>
      <c r="L1081">
        <v>0</v>
      </c>
      <c r="N1081" t="s">
        <v>135</v>
      </c>
      <c r="O1081" t="s">
        <v>80</v>
      </c>
      <c r="P1081">
        <v>0</v>
      </c>
      <c r="Q1081">
        <v>0</v>
      </c>
      <c r="R1081">
        <v>0</v>
      </c>
      <c r="S1081">
        <v>1</v>
      </c>
      <c r="T1081">
        <v>0</v>
      </c>
      <c r="U1081">
        <v>0</v>
      </c>
      <c r="V1081">
        <v>0</v>
      </c>
      <c r="W1081">
        <v>0</v>
      </c>
      <c r="X1081">
        <v>0</v>
      </c>
      <c r="Y1081">
        <v>0</v>
      </c>
      <c r="Z1081">
        <v>0</v>
      </c>
      <c r="AA1081">
        <v>0</v>
      </c>
      <c r="AM1081" t="s">
        <v>81</v>
      </c>
      <c r="AN1081" t="s">
        <v>81</v>
      </c>
      <c r="AO1081" t="s">
        <v>83</v>
      </c>
      <c r="AP1081" t="s">
        <v>82</v>
      </c>
      <c r="AQ1081" t="s">
        <v>81</v>
      </c>
      <c r="AR1081" t="s">
        <v>90</v>
      </c>
      <c r="AS1081" t="s">
        <v>83</v>
      </c>
      <c r="AT1081" t="s">
        <v>83</v>
      </c>
      <c r="AU1081" t="s">
        <v>88</v>
      </c>
      <c r="AV1081" t="s">
        <v>89</v>
      </c>
      <c r="AW1081" t="s">
        <v>85</v>
      </c>
      <c r="AX1081" t="s">
        <v>122</v>
      </c>
      <c r="AZ1081" t="s">
        <v>107</v>
      </c>
      <c r="BA1081" t="s">
        <v>87</v>
      </c>
      <c r="BB1081" t="s">
        <v>87</v>
      </c>
      <c r="BC1081" t="s">
        <v>87</v>
      </c>
      <c r="BD1081" t="s">
        <v>86</v>
      </c>
      <c r="BE1081" t="s">
        <v>87</v>
      </c>
      <c r="BF1081" t="s">
        <v>75</v>
      </c>
      <c r="BG1081" t="s">
        <v>76</v>
      </c>
      <c r="BH1081" t="s">
        <v>77</v>
      </c>
      <c r="BI1081" t="s">
        <v>107</v>
      </c>
      <c r="BJ1081" t="s">
        <v>109</v>
      </c>
      <c r="BK1081">
        <v>0</v>
      </c>
      <c r="BL1081">
        <v>0</v>
      </c>
      <c r="BM1081">
        <v>0</v>
      </c>
      <c r="BN1081">
        <v>0</v>
      </c>
      <c r="BO1081">
        <v>0</v>
      </c>
      <c r="BP1081">
        <v>1</v>
      </c>
      <c r="BQ1081">
        <v>0</v>
      </c>
      <c r="BR1081">
        <v>0</v>
      </c>
    </row>
    <row r="1082" spans="1:72" x14ac:dyDescent="0.2">
      <c r="A1082" s="1">
        <v>44585.655555555553</v>
      </c>
      <c r="B1082" s="1">
        <v>44585.656944444447</v>
      </c>
      <c r="C1082">
        <v>1</v>
      </c>
      <c r="D1082">
        <v>0</v>
      </c>
      <c r="E1082">
        <v>0</v>
      </c>
      <c r="F1082">
        <v>0</v>
      </c>
      <c r="H1082">
        <v>1</v>
      </c>
      <c r="I1082">
        <v>0</v>
      </c>
      <c r="J1082">
        <v>0</v>
      </c>
      <c r="K1082">
        <v>0</v>
      </c>
      <c r="L1082">
        <v>0</v>
      </c>
      <c r="P1082">
        <v>1</v>
      </c>
      <c r="Q1082">
        <v>0</v>
      </c>
      <c r="R1082">
        <v>0</v>
      </c>
      <c r="S1082">
        <v>0</v>
      </c>
      <c r="T1082">
        <v>0</v>
      </c>
      <c r="U1082">
        <v>0</v>
      </c>
      <c r="V1082">
        <v>0</v>
      </c>
      <c r="W1082">
        <v>0</v>
      </c>
      <c r="X1082">
        <v>0</v>
      </c>
      <c r="Y1082">
        <v>0</v>
      </c>
      <c r="Z1082">
        <v>0</v>
      </c>
      <c r="AA1082">
        <v>0</v>
      </c>
      <c r="AC1082">
        <v>0</v>
      </c>
      <c r="AD1082">
        <v>1</v>
      </c>
      <c r="AE1082">
        <v>0</v>
      </c>
      <c r="AF1082">
        <v>0</v>
      </c>
      <c r="AG1082">
        <v>0</v>
      </c>
      <c r="AH1082">
        <v>0</v>
      </c>
      <c r="AI1082">
        <v>0</v>
      </c>
      <c r="AJ1082">
        <v>0</v>
      </c>
      <c r="AK1082">
        <v>0</v>
      </c>
      <c r="AZ1082" t="s">
        <v>73</v>
      </c>
      <c r="BA1082" t="s">
        <v>86</v>
      </c>
      <c r="BB1082" t="s">
        <v>86</v>
      </c>
      <c r="BC1082" t="s">
        <v>86</v>
      </c>
      <c r="BD1082" t="s">
        <v>86</v>
      </c>
      <c r="BE1082" t="s">
        <v>86</v>
      </c>
      <c r="BF1082" t="s">
        <v>159</v>
      </c>
      <c r="BG1082" t="s">
        <v>76</v>
      </c>
      <c r="BH1082" t="s">
        <v>93</v>
      </c>
      <c r="BI1082" t="s">
        <v>73</v>
      </c>
      <c r="BJ1082" t="s">
        <v>78</v>
      </c>
      <c r="BK1082">
        <v>0</v>
      </c>
      <c r="BL1082">
        <v>0</v>
      </c>
      <c r="BM1082">
        <v>0</v>
      </c>
      <c r="BN1082">
        <v>0</v>
      </c>
      <c r="BO1082">
        <v>0</v>
      </c>
      <c r="BP1082">
        <v>1</v>
      </c>
      <c r="BQ1082">
        <v>0</v>
      </c>
      <c r="BR1082">
        <v>0</v>
      </c>
    </row>
    <row r="1083" spans="1:72" x14ac:dyDescent="0.2">
      <c r="A1083" s="1">
        <v>44580.002083333333</v>
      </c>
      <c r="B1083" s="1">
        <v>44580.003472222219</v>
      </c>
      <c r="C1083">
        <v>1</v>
      </c>
      <c r="D1083">
        <v>0</v>
      </c>
      <c r="E1083">
        <v>0</v>
      </c>
      <c r="F1083">
        <v>0</v>
      </c>
      <c r="H1083">
        <v>0</v>
      </c>
      <c r="I1083">
        <v>0</v>
      </c>
      <c r="J1083">
        <v>0</v>
      </c>
      <c r="K1083">
        <v>1</v>
      </c>
      <c r="L1083">
        <v>0</v>
      </c>
      <c r="N1083" t="s">
        <v>135</v>
      </c>
      <c r="O1083" t="s">
        <v>127</v>
      </c>
      <c r="P1083">
        <v>0</v>
      </c>
      <c r="Q1083">
        <v>0</v>
      </c>
      <c r="R1083">
        <v>1</v>
      </c>
      <c r="S1083">
        <v>0</v>
      </c>
      <c r="T1083">
        <v>0</v>
      </c>
      <c r="U1083">
        <v>0</v>
      </c>
      <c r="V1083">
        <v>0</v>
      </c>
      <c r="W1083">
        <v>0</v>
      </c>
      <c r="X1083">
        <v>0</v>
      </c>
      <c r="Y1083">
        <v>0</v>
      </c>
      <c r="Z1083">
        <v>0</v>
      </c>
      <c r="AA1083">
        <v>0</v>
      </c>
      <c r="AM1083" t="s">
        <v>83</v>
      </c>
      <c r="AN1083" t="s">
        <v>81</v>
      </c>
      <c r="AO1083" t="s">
        <v>82</v>
      </c>
      <c r="AP1083" t="s">
        <v>81</v>
      </c>
      <c r="AQ1083" t="s">
        <v>81</v>
      </c>
      <c r="AR1083" t="s">
        <v>83</v>
      </c>
      <c r="AS1083" t="s">
        <v>83</v>
      </c>
      <c r="AT1083" t="s">
        <v>83</v>
      </c>
      <c r="AU1083" t="s">
        <v>88</v>
      </c>
      <c r="AV1083" t="s">
        <v>80</v>
      </c>
      <c r="AW1083" t="s">
        <v>100</v>
      </c>
      <c r="AX1083" t="s">
        <v>118</v>
      </c>
      <c r="AZ1083" t="s">
        <v>107</v>
      </c>
      <c r="BA1083" t="s">
        <v>74</v>
      </c>
      <c r="BF1083" t="s">
        <v>75</v>
      </c>
      <c r="BG1083" t="s">
        <v>76</v>
      </c>
      <c r="BH1083" t="s">
        <v>77</v>
      </c>
      <c r="BI1083" t="s">
        <v>107</v>
      </c>
      <c r="BJ1083" t="s">
        <v>154</v>
      </c>
      <c r="BK1083">
        <v>0</v>
      </c>
      <c r="BL1083">
        <v>0</v>
      </c>
      <c r="BM1083">
        <v>0</v>
      </c>
      <c r="BN1083">
        <v>0</v>
      </c>
      <c r="BO1083">
        <v>0</v>
      </c>
      <c r="BP1083">
        <v>1</v>
      </c>
      <c r="BQ1083">
        <v>0</v>
      </c>
      <c r="BR1083">
        <v>0</v>
      </c>
    </row>
    <row r="1084" spans="1:72" x14ac:dyDescent="0.2">
      <c r="A1084" s="1">
        <v>44585.700694444444</v>
      </c>
      <c r="B1084" s="1">
        <v>44585.702777777777</v>
      </c>
      <c r="C1084">
        <v>0</v>
      </c>
      <c r="D1084">
        <v>1</v>
      </c>
      <c r="E1084">
        <v>0</v>
      </c>
      <c r="F1084">
        <v>0</v>
      </c>
      <c r="H1084">
        <v>0</v>
      </c>
      <c r="I1084">
        <v>1</v>
      </c>
      <c r="J1084">
        <v>0</v>
      </c>
      <c r="K1084">
        <v>1</v>
      </c>
      <c r="L1084">
        <v>0</v>
      </c>
      <c r="N1084" t="s">
        <v>88</v>
      </c>
      <c r="O1084" t="s">
        <v>80</v>
      </c>
      <c r="P1084">
        <v>0</v>
      </c>
      <c r="Q1084">
        <v>1</v>
      </c>
      <c r="R1084">
        <v>0</v>
      </c>
      <c r="S1084">
        <v>0</v>
      </c>
      <c r="T1084">
        <v>0</v>
      </c>
      <c r="U1084">
        <v>0</v>
      </c>
      <c r="V1084">
        <v>0</v>
      </c>
      <c r="W1084">
        <v>0</v>
      </c>
      <c r="X1084">
        <v>0</v>
      </c>
      <c r="Y1084">
        <v>0</v>
      </c>
      <c r="Z1084">
        <v>0</v>
      </c>
      <c r="AA1084">
        <v>0</v>
      </c>
      <c r="AM1084" t="s">
        <v>90</v>
      </c>
      <c r="AN1084" t="s">
        <v>82</v>
      </c>
      <c r="AO1084" t="s">
        <v>81</v>
      </c>
      <c r="AP1084" t="s">
        <v>81</v>
      </c>
      <c r="AQ1084" t="s">
        <v>83</v>
      </c>
      <c r="AR1084" t="s">
        <v>90</v>
      </c>
      <c r="AS1084" t="s">
        <v>90</v>
      </c>
      <c r="AT1084" t="s">
        <v>83</v>
      </c>
      <c r="AU1084" t="s">
        <v>88</v>
      </c>
      <c r="AV1084" t="s">
        <v>89</v>
      </c>
      <c r="AW1084" t="s">
        <v>100</v>
      </c>
      <c r="AX1084" t="s">
        <v>242</v>
      </c>
      <c r="AZ1084" t="s">
        <v>107</v>
      </c>
      <c r="BA1084" t="s">
        <v>87</v>
      </c>
      <c r="BB1084" t="s">
        <v>86</v>
      </c>
      <c r="BC1084" t="s">
        <v>87</v>
      </c>
      <c r="BD1084" t="s">
        <v>87</v>
      </c>
      <c r="BE1084" t="s">
        <v>86</v>
      </c>
      <c r="BF1084" t="s">
        <v>75</v>
      </c>
      <c r="BG1084" t="s">
        <v>76</v>
      </c>
      <c r="BH1084" t="s">
        <v>77</v>
      </c>
      <c r="BI1084" t="s">
        <v>107</v>
      </c>
      <c r="BJ1084" t="s">
        <v>78</v>
      </c>
      <c r="BK1084">
        <v>0</v>
      </c>
      <c r="BL1084">
        <v>0</v>
      </c>
      <c r="BM1084">
        <v>0</v>
      </c>
      <c r="BN1084">
        <v>0</v>
      </c>
      <c r="BO1084">
        <v>0</v>
      </c>
      <c r="BP1084">
        <v>1</v>
      </c>
      <c r="BQ1084">
        <v>0</v>
      </c>
      <c r="BR1084">
        <v>0</v>
      </c>
    </row>
    <row r="1085" spans="1:72" x14ac:dyDescent="0.2">
      <c r="A1085" s="1">
        <v>44580.004166666666</v>
      </c>
      <c r="B1085" s="1">
        <v>44580.006944444445</v>
      </c>
      <c r="C1085">
        <v>1</v>
      </c>
      <c r="D1085">
        <v>0</v>
      </c>
      <c r="E1085">
        <v>0</v>
      </c>
      <c r="F1085">
        <v>0</v>
      </c>
      <c r="H1085">
        <v>0</v>
      </c>
      <c r="I1085">
        <v>1</v>
      </c>
      <c r="J1085">
        <v>0</v>
      </c>
      <c r="K1085">
        <v>0</v>
      </c>
      <c r="L1085">
        <v>1</v>
      </c>
      <c r="M1085" t="s">
        <v>475</v>
      </c>
      <c r="N1085" t="s">
        <v>88</v>
      </c>
      <c r="O1085" t="s">
        <v>89</v>
      </c>
      <c r="P1085">
        <v>0</v>
      </c>
      <c r="Q1085">
        <v>0</v>
      </c>
      <c r="R1085">
        <v>1</v>
      </c>
      <c r="S1085">
        <v>0</v>
      </c>
      <c r="T1085">
        <v>0</v>
      </c>
      <c r="U1085">
        <v>0</v>
      </c>
      <c r="V1085">
        <v>0</v>
      </c>
      <c r="W1085">
        <v>0</v>
      </c>
      <c r="X1085">
        <v>0</v>
      </c>
      <c r="Y1085">
        <v>0</v>
      </c>
      <c r="Z1085">
        <v>0</v>
      </c>
      <c r="AA1085">
        <v>0</v>
      </c>
      <c r="AM1085" t="s">
        <v>83</v>
      </c>
      <c r="AN1085" t="s">
        <v>82</v>
      </c>
      <c r="AO1085" t="s">
        <v>90</v>
      </c>
      <c r="AP1085" t="s">
        <v>82</v>
      </c>
      <c r="AQ1085" t="s">
        <v>83</v>
      </c>
      <c r="AR1085" t="s">
        <v>83</v>
      </c>
      <c r="AS1085" t="s">
        <v>83</v>
      </c>
      <c r="AT1085" t="s">
        <v>83</v>
      </c>
      <c r="AU1085" t="s">
        <v>88</v>
      </c>
      <c r="AV1085" t="s">
        <v>89</v>
      </c>
      <c r="AW1085" t="s">
        <v>85</v>
      </c>
      <c r="AX1085" t="s">
        <v>106</v>
      </c>
      <c r="AZ1085" t="s">
        <v>107</v>
      </c>
      <c r="BA1085" t="s">
        <v>87</v>
      </c>
      <c r="BB1085" t="s">
        <v>87</v>
      </c>
      <c r="BC1085" t="s">
        <v>87</v>
      </c>
      <c r="BD1085" t="s">
        <v>87</v>
      </c>
      <c r="BE1085" t="s">
        <v>87</v>
      </c>
      <c r="BF1085" t="s">
        <v>75</v>
      </c>
      <c r="BG1085" t="s">
        <v>76</v>
      </c>
      <c r="BH1085" t="s">
        <v>77</v>
      </c>
      <c r="BI1085" t="s">
        <v>107</v>
      </c>
      <c r="BK1085">
        <v>0</v>
      </c>
      <c r="BL1085">
        <v>0</v>
      </c>
      <c r="BM1085">
        <v>0</v>
      </c>
      <c r="BN1085">
        <v>0</v>
      </c>
      <c r="BO1085">
        <v>0</v>
      </c>
      <c r="BP1085">
        <v>1</v>
      </c>
      <c r="BQ1085">
        <v>0</v>
      </c>
      <c r="BR1085">
        <v>0</v>
      </c>
    </row>
    <row r="1086" spans="1:72" x14ac:dyDescent="0.2">
      <c r="A1086" s="1">
        <v>44579.934027777781</v>
      </c>
      <c r="B1086" s="1">
        <v>44579.936805555553</v>
      </c>
      <c r="C1086">
        <v>0</v>
      </c>
      <c r="D1086">
        <v>1</v>
      </c>
      <c r="E1086">
        <v>0</v>
      </c>
      <c r="F1086">
        <v>0</v>
      </c>
      <c r="H1086">
        <v>0</v>
      </c>
      <c r="I1086">
        <v>1</v>
      </c>
      <c r="J1086">
        <v>0</v>
      </c>
      <c r="K1086">
        <v>0</v>
      </c>
      <c r="L1086">
        <v>0</v>
      </c>
      <c r="N1086" t="s">
        <v>88</v>
      </c>
      <c r="O1086" t="s">
        <v>89</v>
      </c>
      <c r="P1086">
        <v>0</v>
      </c>
      <c r="Q1086">
        <v>0</v>
      </c>
      <c r="R1086">
        <v>0</v>
      </c>
      <c r="S1086">
        <v>0</v>
      </c>
      <c r="T1086">
        <v>0</v>
      </c>
      <c r="U1086">
        <v>0</v>
      </c>
      <c r="V1086">
        <v>0</v>
      </c>
      <c r="W1086">
        <v>0</v>
      </c>
      <c r="X1086">
        <v>0</v>
      </c>
      <c r="Y1086">
        <v>0</v>
      </c>
      <c r="Z1086">
        <v>0</v>
      </c>
      <c r="AA1086">
        <v>1</v>
      </c>
      <c r="AB1086" t="s">
        <v>476</v>
      </c>
      <c r="AM1086" t="s">
        <v>83</v>
      </c>
      <c r="AN1086" t="s">
        <v>82</v>
      </c>
      <c r="AO1086" t="s">
        <v>83</v>
      </c>
      <c r="AP1086" t="s">
        <v>81</v>
      </c>
      <c r="AQ1086" t="s">
        <v>83</v>
      </c>
      <c r="AR1086" t="s">
        <v>83</v>
      </c>
      <c r="AS1086" t="s">
        <v>83</v>
      </c>
      <c r="AT1086" t="s">
        <v>83</v>
      </c>
      <c r="AU1086" t="s">
        <v>88</v>
      </c>
      <c r="AV1086" t="s">
        <v>89</v>
      </c>
      <c r="AW1086" t="s">
        <v>85</v>
      </c>
      <c r="AX1086" t="s">
        <v>128</v>
      </c>
      <c r="AZ1086" t="s">
        <v>73</v>
      </c>
      <c r="BA1086" t="s">
        <v>86</v>
      </c>
      <c r="BB1086" t="s">
        <v>74</v>
      </c>
      <c r="BC1086" t="s">
        <v>87</v>
      </c>
      <c r="BD1086" t="s">
        <v>74</v>
      </c>
      <c r="BE1086" t="s">
        <v>74</v>
      </c>
      <c r="BF1086" t="s">
        <v>75</v>
      </c>
      <c r="BG1086" t="s">
        <v>92</v>
      </c>
      <c r="BH1086" t="s">
        <v>77</v>
      </c>
      <c r="BI1086" t="s">
        <v>73</v>
      </c>
      <c r="BJ1086" t="s">
        <v>78</v>
      </c>
      <c r="BK1086">
        <v>0</v>
      </c>
      <c r="BL1086">
        <v>0</v>
      </c>
      <c r="BM1086">
        <v>0</v>
      </c>
      <c r="BN1086">
        <v>0</v>
      </c>
      <c r="BO1086">
        <v>0</v>
      </c>
      <c r="BP1086">
        <v>1</v>
      </c>
      <c r="BQ1086">
        <v>0</v>
      </c>
      <c r="BR1086">
        <v>0</v>
      </c>
    </row>
    <row r="1087" spans="1:72" x14ac:dyDescent="0.2">
      <c r="A1087" s="1">
        <v>44579.917361111111</v>
      </c>
      <c r="B1087" s="1">
        <v>44579.918749999997</v>
      </c>
      <c r="C1087">
        <v>1</v>
      </c>
      <c r="D1087">
        <v>0</v>
      </c>
      <c r="E1087">
        <v>0</v>
      </c>
      <c r="F1087">
        <v>0</v>
      </c>
      <c r="H1087">
        <v>0</v>
      </c>
      <c r="I1087">
        <v>1</v>
      </c>
      <c r="J1087">
        <v>1</v>
      </c>
      <c r="K1087">
        <v>1</v>
      </c>
      <c r="L1087">
        <v>0</v>
      </c>
      <c r="N1087" t="s">
        <v>88</v>
      </c>
      <c r="O1087" t="s">
        <v>89</v>
      </c>
      <c r="P1087">
        <v>0</v>
      </c>
      <c r="Q1087">
        <v>0</v>
      </c>
      <c r="R1087">
        <v>1</v>
      </c>
      <c r="S1087">
        <v>0</v>
      </c>
      <c r="T1087">
        <v>0</v>
      </c>
      <c r="U1087">
        <v>0</v>
      </c>
      <c r="V1087">
        <v>0</v>
      </c>
      <c r="W1087">
        <v>0</v>
      </c>
      <c r="X1087">
        <v>0</v>
      </c>
      <c r="Y1087">
        <v>0</v>
      </c>
      <c r="Z1087">
        <v>0</v>
      </c>
      <c r="AA1087">
        <v>0</v>
      </c>
      <c r="AM1087" t="s">
        <v>83</v>
      </c>
      <c r="AN1087" t="s">
        <v>81</v>
      </c>
      <c r="AO1087" t="s">
        <v>81</v>
      </c>
      <c r="AP1087" t="s">
        <v>81</v>
      </c>
      <c r="AQ1087" t="s">
        <v>82</v>
      </c>
      <c r="AR1087" t="s">
        <v>83</v>
      </c>
      <c r="AS1087" t="s">
        <v>83</v>
      </c>
      <c r="AT1087" t="s">
        <v>81</v>
      </c>
      <c r="AU1087" t="s">
        <v>88</v>
      </c>
      <c r="AV1087" t="s">
        <v>89</v>
      </c>
      <c r="AW1087" t="s">
        <v>100</v>
      </c>
      <c r="AX1087" t="s">
        <v>91</v>
      </c>
      <c r="AZ1087" t="s">
        <v>73</v>
      </c>
      <c r="BA1087" t="s">
        <v>87</v>
      </c>
      <c r="BB1087" t="s">
        <v>87</v>
      </c>
      <c r="BC1087" t="s">
        <v>87</v>
      </c>
      <c r="BD1087" t="s">
        <v>87</v>
      </c>
      <c r="BE1087" t="s">
        <v>87</v>
      </c>
      <c r="BF1087" t="s">
        <v>75</v>
      </c>
      <c r="BG1087" t="s">
        <v>92</v>
      </c>
      <c r="BH1087" t="s">
        <v>77</v>
      </c>
      <c r="BI1087" t="s">
        <v>73</v>
      </c>
      <c r="BJ1087" t="s">
        <v>78</v>
      </c>
      <c r="BK1087">
        <v>0</v>
      </c>
      <c r="BL1087">
        <v>0</v>
      </c>
      <c r="BM1087">
        <v>0</v>
      </c>
      <c r="BN1087">
        <v>0</v>
      </c>
      <c r="BO1087">
        <v>0</v>
      </c>
      <c r="BP1087">
        <v>1</v>
      </c>
      <c r="BQ1087">
        <v>0</v>
      </c>
      <c r="BR1087">
        <v>0</v>
      </c>
    </row>
    <row r="1088" spans="1:72" x14ac:dyDescent="0.2">
      <c r="A1088" s="1">
        <v>44579.881944444445</v>
      </c>
      <c r="B1088" s="1">
        <v>44579.884027777778</v>
      </c>
      <c r="C1088">
        <v>1</v>
      </c>
      <c r="D1088">
        <v>0</v>
      </c>
      <c r="E1088">
        <v>0</v>
      </c>
      <c r="F1088">
        <v>0</v>
      </c>
      <c r="H1088">
        <v>0</v>
      </c>
      <c r="I1088">
        <v>1</v>
      </c>
      <c r="J1088">
        <v>0</v>
      </c>
      <c r="K1088">
        <v>0</v>
      </c>
      <c r="L1088">
        <v>0</v>
      </c>
      <c r="N1088" t="s">
        <v>135</v>
      </c>
      <c r="O1088" t="s">
        <v>80</v>
      </c>
      <c r="P1088">
        <v>0</v>
      </c>
      <c r="Q1088">
        <v>0</v>
      </c>
      <c r="R1088">
        <v>1</v>
      </c>
      <c r="S1088">
        <v>0</v>
      </c>
      <c r="T1088">
        <v>0</v>
      </c>
      <c r="U1088">
        <v>0</v>
      </c>
      <c r="V1088">
        <v>0</v>
      </c>
      <c r="W1088">
        <v>0</v>
      </c>
      <c r="X1088">
        <v>0</v>
      </c>
      <c r="Y1088">
        <v>0</v>
      </c>
      <c r="Z1088">
        <v>0</v>
      </c>
      <c r="AA1088">
        <v>0</v>
      </c>
      <c r="AM1088" t="s">
        <v>83</v>
      </c>
      <c r="AN1088" t="s">
        <v>82</v>
      </c>
      <c r="AO1088" t="s">
        <v>83</v>
      </c>
      <c r="AP1088" t="s">
        <v>82</v>
      </c>
      <c r="AQ1088" t="s">
        <v>82</v>
      </c>
      <c r="AR1088" t="s">
        <v>81</v>
      </c>
      <c r="AS1088" t="s">
        <v>83</v>
      </c>
      <c r="AT1088" t="s">
        <v>83</v>
      </c>
      <c r="AU1088" t="s">
        <v>84</v>
      </c>
      <c r="AV1088" t="s">
        <v>80</v>
      </c>
      <c r="AW1088" t="s">
        <v>153</v>
      </c>
      <c r="AZ1088" t="s">
        <v>96</v>
      </c>
      <c r="BA1088" t="s">
        <v>87</v>
      </c>
      <c r="BB1088" t="s">
        <v>74</v>
      </c>
      <c r="BC1088" t="s">
        <v>87</v>
      </c>
      <c r="BD1088" t="s">
        <v>74</v>
      </c>
      <c r="BE1088" t="s">
        <v>87</v>
      </c>
      <c r="BF1088" t="s">
        <v>159</v>
      </c>
      <c r="BG1088" t="s">
        <v>76</v>
      </c>
      <c r="BH1088" t="s">
        <v>77</v>
      </c>
      <c r="BI1088" t="s">
        <v>96</v>
      </c>
      <c r="BJ1088" t="s">
        <v>114</v>
      </c>
      <c r="BK1088">
        <v>0</v>
      </c>
      <c r="BL1088">
        <v>0</v>
      </c>
      <c r="BM1088">
        <v>0</v>
      </c>
      <c r="BN1088">
        <v>0</v>
      </c>
      <c r="BO1088">
        <v>0</v>
      </c>
      <c r="BP1088">
        <v>1</v>
      </c>
      <c r="BQ1088">
        <v>0</v>
      </c>
      <c r="BR1088">
        <v>0</v>
      </c>
    </row>
    <row r="1089" spans="1:70" x14ac:dyDescent="0.2">
      <c r="A1089" s="1">
        <v>44579.906944444447</v>
      </c>
      <c r="B1089" s="1">
        <v>44579.908333333333</v>
      </c>
      <c r="C1089">
        <v>1</v>
      </c>
      <c r="D1089">
        <v>0</v>
      </c>
      <c r="E1089">
        <v>0</v>
      </c>
      <c r="F1089">
        <v>0</v>
      </c>
      <c r="H1089">
        <v>1</v>
      </c>
      <c r="I1089">
        <v>0</v>
      </c>
      <c r="J1089">
        <v>0</v>
      </c>
      <c r="K1089">
        <v>0</v>
      </c>
      <c r="L1089">
        <v>0</v>
      </c>
      <c r="P1089">
        <v>0</v>
      </c>
      <c r="Q1089">
        <v>1</v>
      </c>
      <c r="R1089">
        <v>0</v>
      </c>
      <c r="S1089">
        <v>0</v>
      </c>
      <c r="T1089">
        <v>0</v>
      </c>
      <c r="U1089">
        <v>0</v>
      </c>
      <c r="V1089">
        <v>0</v>
      </c>
      <c r="W1089">
        <v>0</v>
      </c>
      <c r="X1089">
        <v>0</v>
      </c>
      <c r="Y1089">
        <v>0</v>
      </c>
      <c r="Z1089">
        <v>0</v>
      </c>
      <c r="AA1089">
        <v>0</v>
      </c>
      <c r="AM1089" t="s">
        <v>90</v>
      </c>
      <c r="AN1089" t="s">
        <v>82</v>
      </c>
      <c r="AO1089" t="s">
        <v>81</v>
      </c>
      <c r="AP1089" t="s">
        <v>90</v>
      </c>
      <c r="AQ1089" t="s">
        <v>90</v>
      </c>
      <c r="AR1089" t="s">
        <v>90</v>
      </c>
      <c r="AS1089" t="s">
        <v>90</v>
      </c>
      <c r="AT1089" t="s">
        <v>83</v>
      </c>
      <c r="AU1089" t="s">
        <v>127</v>
      </c>
      <c r="AV1089" t="s">
        <v>127</v>
      </c>
      <c r="AX1089" t="s">
        <v>118</v>
      </c>
      <c r="AZ1089" t="s">
        <v>73</v>
      </c>
      <c r="BA1089" t="s">
        <v>74</v>
      </c>
      <c r="BF1089" t="s">
        <v>75</v>
      </c>
      <c r="BG1089" t="s">
        <v>76</v>
      </c>
      <c r="BH1089" t="s">
        <v>93</v>
      </c>
      <c r="BI1089" t="s">
        <v>73</v>
      </c>
      <c r="BJ1089" t="s">
        <v>114</v>
      </c>
      <c r="BK1089">
        <v>0</v>
      </c>
      <c r="BL1089">
        <v>0</v>
      </c>
      <c r="BM1089">
        <v>0</v>
      </c>
      <c r="BN1089">
        <v>0</v>
      </c>
      <c r="BO1089">
        <v>0</v>
      </c>
      <c r="BP1089">
        <v>1</v>
      </c>
      <c r="BQ1089">
        <v>0</v>
      </c>
      <c r="BR1089">
        <v>0</v>
      </c>
    </row>
    <row r="1090" spans="1:70" x14ac:dyDescent="0.2">
      <c r="A1090" s="1">
        <v>44579.875694444447</v>
      </c>
      <c r="B1090" s="1">
        <v>44579.950694444444</v>
      </c>
      <c r="C1090">
        <v>1</v>
      </c>
      <c r="D1090">
        <v>0</v>
      </c>
      <c r="E1090">
        <v>0</v>
      </c>
      <c r="F1090">
        <v>0</v>
      </c>
      <c r="H1090">
        <v>1</v>
      </c>
      <c r="I1090">
        <v>0</v>
      </c>
      <c r="J1090">
        <v>0</v>
      </c>
      <c r="K1090">
        <v>0</v>
      </c>
      <c r="L1090">
        <v>0</v>
      </c>
      <c r="P1090">
        <v>0</v>
      </c>
      <c r="Q1090">
        <v>0</v>
      </c>
      <c r="R1090">
        <v>1</v>
      </c>
      <c r="S1090">
        <v>0</v>
      </c>
      <c r="T1090">
        <v>0</v>
      </c>
      <c r="U1090">
        <v>0</v>
      </c>
      <c r="V1090">
        <v>0</v>
      </c>
      <c r="W1090">
        <v>0</v>
      </c>
      <c r="X1090">
        <v>0</v>
      </c>
      <c r="Y1090">
        <v>0</v>
      </c>
      <c r="Z1090">
        <v>0</v>
      </c>
      <c r="AA1090">
        <v>0</v>
      </c>
      <c r="AM1090" t="s">
        <v>83</v>
      </c>
      <c r="AN1090" t="s">
        <v>82</v>
      </c>
      <c r="AO1090" t="s">
        <v>83</v>
      </c>
      <c r="AP1090" t="s">
        <v>83</v>
      </c>
      <c r="AQ1090" t="s">
        <v>81</v>
      </c>
      <c r="AR1090" t="s">
        <v>83</v>
      </c>
      <c r="AS1090" t="s">
        <v>83</v>
      </c>
      <c r="AT1090" t="s">
        <v>83</v>
      </c>
      <c r="AU1090" t="s">
        <v>88</v>
      </c>
      <c r="AV1090" t="s">
        <v>80</v>
      </c>
      <c r="AW1090" t="s">
        <v>85</v>
      </c>
      <c r="AX1090" t="s">
        <v>146</v>
      </c>
      <c r="AZ1090" t="s">
        <v>73</v>
      </c>
      <c r="BA1090" t="s">
        <v>86</v>
      </c>
      <c r="BB1090" t="s">
        <v>86</v>
      </c>
      <c r="BC1090" t="s">
        <v>86</v>
      </c>
      <c r="BD1090" t="s">
        <v>74</v>
      </c>
      <c r="BE1090" t="s">
        <v>86</v>
      </c>
      <c r="BF1090" t="s">
        <v>75</v>
      </c>
      <c r="BG1090" t="s">
        <v>76</v>
      </c>
      <c r="BH1090" t="s">
        <v>77</v>
      </c>
      <c r="BI1090" t="s">
        <v>73</v>
      </c>
      <c r="BJ1090" t="s">
        <v>78</v>
      </c>
      <c r="BK1090">
        <v>0</v>
      </c>
      <c r="BL1090">
        <v>0</v>
      </c>
      <c r="BM1090">
        <v>0</v>
      </c>
      <c r="BN1090">
        <v>0</v>
      </c>
      <c r="BO1090">
        <v>0</v>
      </c>
      <c r="BP1090">
        <v>1</v>
      </c>
      <c r="BQ1090">
        <v>0</v>
      </c>
      <c r="BR1090">
        <v>0</v>
      </c>
    </row>
    <row r="1091" spans="1:70" x14ac:dyDescent="0.2">
      <c r="A1091" s="1">
        <v>44580.609027777777</v>
      </c>
      <c r="B1091" s="1">
        <v>44580.611805555556</v>
      </c>
      <c r="C1091">
        <v>1</v>
      </c>
      <c r="D1091">
        <v>0</v>
      </c>
      <c r="E1091">
        <v>0</v>
      </c>
      <c r="F1091">
        <v>0</v>
      </c>
      <c r="H1091">
        <v>1</v>
      </c>
      <c r="I1091">
        <v>0</v>
      </c>
      <c r="J1091">
        <v>0</v>
      </c>
      <c r="K1091">
        <v>0</v>
      </c>
      <c r="L1091">
        <v>0</v>
      </c>
      <c r="P1091">
        <v>1</v>
      </c>
      <c r="Q1091">
        <v>0</v>
      </c>
      <c r="R1091">
        <v>0</v>
      </c>
      <c r="S1091">
        <v>0</v>
      </c>
      <c r="T1091">
        <v>0</v>
      </c>
      <c r="U1091">
        <v>0</v>
      </c>
      <c r="V1091">
        <v>0</v>
      </c>
      <c r="W1091">
        <v>0</v>
      </c>
      <c r="X1091">
        <v>0</v>
      </c>
      <c r="Y1091">
        <v>0</v>
      </c>
      <c r="Z1091">
        <v>0</v>
      </c>
      <c r="AA1091">
        <v>0</v>
      </c>
      <c r="AC1091">
        <v>0</v>
      </c>
      <c r="AD1091">
        <v>1</v>
      </c>
      <c r="AE1091">
        <v>0</v>
      </c>
      <c r="AF1091">
        <v>0</v>
      </c>
      <c r="AG1091">
        <v>0</v>
      </c>
      <c r="AH1091">
        <v>0</v>
      </c>
      <c r="AI1091">
        <v>0</v>
      </c>
      <c r="AJ1091">
        <v>0</v>
      </c>
      <c r="AK1091">
        <v>0</v>
      </c>
      <c r="AX1091" t="s">
        <v>110</v>
      </c>
      <c r="AY1091" t="s">
        <v>477</v>
      </c>
      <c r="AZ1091" t="s">
        <v>107</v>
      </c>
      <c r="BA1091" t="s">
        <v>87</v>
      </c>
      <c r="BB1091" t="s">
        <v>87</v>
      </c>
      <c r="BC1091" t="s">
        <v>87</v>
      </c>
      <c r="BD1091" t="s">
        <v>87</v>
      </c>
      <c r="BE1091" t="s">
        <v>87</v>
      </c>
      <c r="BF1091" t="s">
        <v>108</v>
      </c>
      <c r="BG1091" t="s">
        <v>92</v>
      </c>
      <c r="BH1091" t="s">
        <v>93</v>
      </c>
      <c r="BI1091" t="s">
        <v>107</v>
      </c>
      <c r="BK1091">
        <v>0</v>
      </c>
      <c r="BL1091">
        <v>1</v>
      </c>
      <c r="BM1091">
        <v>0</v>
      </c>
      <c r="BN1091">
        <v>0</v>
      </c>
      <c r="BO1091">
        <v>0</v>
      </c>
      <c r="BP1091">
        <v>1</v>
      </c>
      <c r="BQ1091">
        <v>0</v>
      </c>
      <c r="BR1091">
        <v>0</v>
      </c>
    </row>
    <row r="1092" spans="1:70" x14ac:dyDescent="0.2">
      <c r="A1092" s="1">
        <v>44585.615277777775</v>
      </c>
      <c r="B1092" s="1">
        <v>44585.618055555555</v>
      </c>
      <c r="C1092">
        <v>0</v>
      </c>
      <c r="D1092">
        <v>1</v>
      </c>
      <c r="E1092">
        <v>0</v>
      </c>
      <c r="F1092">
        <v>0</v>
      </c>
      <c r="H1092">
        <v>0</v>
      </c>
      <c r="I1092">
        <v>1</v>
      </c>
      <c r="J1092">
        <v>1</v>
      </c>
      <c r="K1092">
        <v>1</v>
      </c>
      <c r="L1092">
        <v>0</v>
      </c>
      <c r="N1092" t="s">
        <v>79</v>
      </c>
      <c r="O1092" t="s">
        <v>89</v>
      </c>
      <c r="P1092">
        <v>0</v>
      </c>
      <c r="Q1092">
        <v>0</v>
      </c>
      <c r="R1092">
        <v>0</v>
      </c>
      <c r="S1092">
        <v>0</v>
      </c>
      <c r="T1092">
        <v>1</v>
      </c>
      <c r="U1092">
        <v>0</v>
      </c>
      <c r="V1092">
        <v>0</v>
      </c>
      <c r="W1092">
        <v>0</v>
      </c>
      <c r="X1092">
        <v>0</v>
      </c>
      <c r="Y1092">
        <v>0</v>
      </c>
      <c r="Z1092">
        <v>0</v>
      </c>
      <c r="AA1092">
        <v>0</v>
      </c>
      <c r="AM1092" t="s">
        <v>81</v>
      </c>
      <c r="AN1092" t="s">
        <v>82</v>
      </c>
      <c r="AO1092" t="s">
        <v>81</v>
      </c>
      <c r="AP1092" t="s">
        <v>82</v>
      </c>
      <c r="AQ1092" t="s">
        <v>81</v>
      </c>
      <c r="AR1092" t="s">
        <v>83</v>
      </c>
      <c r="AS1092" t="s">
        <v>90</v>
      </c>
      <c r="AT1092" t="s">
        <v>83</v>
      </c>
      <c r="AU1092" t="s">
        <v>88</v>
      </c>
      <c r="AV1092" t="s">
        <v>89</v>
      </c>
      <c r="AW1092" t="s">
        <v>100</v>
      </c>
      <c r="AX1092" t="s">
        <v>118</v>
      </c>
      <c r="AZ1092" t="s">
        <v>73</v>
      </c>
      <c r="BA1092" t="s">
        <v>87</v>
      </c>
      <c r="BB1092" t="s">
        <v>87</v>
      </c>
      <c r="BC1092" t="s">
        <v>86</v>
      </c>
      <c r="BD1092" t="s">
        <v>87</v>
      </c>
      <c r="BE1092" t="s">
        <v>87</v>
      </c>
      <c r="BF1092" t="s">
        <v>75</v>
      </c>
      <c r="BG1092" t="s">
        <v>76</v>
      </c>
      <c r="BH1092" t="s">
        <v>77</v>
      </c>
      <c r="BI1092" t="s">
        <v>73</v>
      </c>
      <c r="BJ1092" t="s">
        <v>109</v>
      </c>
      <c r="BK1092">
        <v>0</v>
      </c>
      <c r="BL1092">
        <v>0</v>
      </c>
      <c r="BM1092">
        <v>0</v>
      </c>
      <c r="BN1092">
        <v>0</v>
      </c>
      <c r="BO1092">
        <v>0</v>
      </c>
      <c r="BP1092">
        <v>1</v>
      </c>
      <c r="BQ1092">
        <v>0</v>
      </c>
      <c r="BR1092">
        <v>0</v>
      </c>
    </row>
    <row r="1093" spans="1:70" x14ac:dyDescent="0.2">
      <c r="A1093" s="1">
        <v>44579.753472222219</v>
      </c>
      <c r="B1093" s="1">
        <v>44579.754861111112</v>
      </c>
      <c r="C1093">
        <v>1</v>
      </c>
      <c r="D1093">
        <v>0</v>
      </c>
      <c r="E1093">
        <v>0</v>
      </c>
      <c r="F1093">
        <v>0</v>
      </c>
      <c r="H1093">
        <v>1</v>
      </c>
      <c r="I1093">
        <v>0</v>
      </c>
      <c r="J1093">
        <v>0</v>
      </c>
      <c r="K1093">
        <v>0</v>
      </c>
      <c r="L1093">
        <v>0</v>
      </c>
      <c r="P1093">
        <v>1</v>
      </c>
      <c r="Q1093">
        <v>0</v>
      </c>
      <c r="R1093">
        <v>0</v>
      </c>
      <c r="S1093">
        <v>0</v>
      </c>
      <c r="T1093">
        <v>0</v>
      </c>
      <c r="U1093">
        <v>0</v>
      </c>
      <c r="V1093">
        <v>0</v>
      </c>
      <c r="W1093">
        <v>0</v>
      </c>
      <c r="X1093">
        <v>0</v>
      </c>
      <c r="Y1093">
        <v>0</v>
      </c>
      <c r="Z1093">
        <v>0</v>
      </c>
      <c r="AA1093">
        <v>0</v>
      </c>
      <c r="AC1093">
        <v>0</v>
      </c>
      <c r="AD1093">
        <v>0</v>
      </c>
      <c r="AE1093">
        <v>0</v>
      </c>
      <c r="AF1093">
        <v>0</v>
      </c>
      <c r="AG1093">
        <v>0</v>
      </c>
      <c r="AH1093">
        <v>0</v>
      </c>
      <c r="AI1093">
        <v>0</v>
      </c>
      <c r="AJ1093">
        <v>0</v>
      </c>
      <c r="AK1093">
        <v>1</v>
      </c>
      <c r="AL1093" t="s">
        <v>478</v>
      </c>
      <c r="AX1093" t="s">
        <v>119</v>
      </c>
      <c r="AZ1093" t="s">
        <v>107</v>
      </c>
      <c r="BA1093" t="s">
        <v>87</v>
      </c>
      <c r="BB1093" t="s">
        <v>87</v>
      </c>
      <c r="BC1093" t="s">
        <v>87</v>
      </c>
      <c r="BD1093" t="s">
        <v>87</v>
      </c>
      <c r="BE1093" t="s">
        <v>87</v>
      </c>
      <c r="BF1093" t="s">
        <v>75</v>
      </c>
      <c r="BG1093" t="s">
        <v>92</v>
      </c>
      <c r="BH1093" t="s">
        <v>93</v>
      </c>
      <c r="BI1093" t="s">
        <v>107</v>
      </c>
      <c r="BJ1093" t="s">
        <v>78</v>
      </c>
      <c r="BK1093">
        <v>0</v>
      </c>
      <c r="BL1093">
        <v>0</v>
      </c>
      <c r="BM1093">
        <v>0</v>
      </c>
      <c r="BN1093">
        <v>0</v>
      </c>
      <c r="BO1093">
        <v>0</v>
      </c>
      <c r="BP1093">
        <v>1</v>
      </c>
      <c r="BQ1093">
        <v>0</v>
      </c>
      <c r="BR1093">
        <v>0</v>
      </c>
    </row>
    <row r="1094" spans="1:70" x14ac:dyDescent="0.2">
      <c r="A1094" s="1">
        <v>44589.006944444445</v>
      </c>
      <c r="B1094" s="1">
        <v>44589.009027777778</v>
      </c>
      <c r="C1094">
        <v>1</v>
      </c>
      <c r="D1094">
        <v>0</v>
      </c>
      <c r="E1094">
        <v>0</v>
      </c>
      <c r="F1094">
        <v>0</v>
      </c>
      <c r="H1094">
        <v>1</v>
      </c>
      <c r="I1094">
        <v>0</v>
      </c>
      <c r="J1094">
        <v>0</v>
      </c>
      <c r="K1094">
        <v>0</v>
      </c>
      <c r="L1094">
        <v>0</v>
      </c>
      <c r="P1094">
        <v>0</v>
      </c>
      <c r="Q1094">
        <v>0</v>
      </c>
      <c r="R1094">
        <v>1</v>
      </c>
      <c r="S1094">
        <v>1</v>
      </c>
      <c r="T1094">
        <v>0</v>
      </c>
      <c r="U1094">
        <v>0</v>
      </c>
      <c r="V1094">
        <v>0</v>
      </c>
      <c r="W1094">
        <v>0</v>
      </c>
      <c r="X1094">
        <v>0</v>
      </c>
      <c r="Y1094">
        <v>0</v>
      </c>
      <c r="Z1094">
        <v>0</v>
      </c>
      <c r="AA1094">
        <v>0</v>
      </c>
      <c r="AM1094" t="s">
        <v>83</v>
      </c>
      <c r="AN1094" t="s">
        <v>82</v>
      </c>
      <c r="AO1094" t="s">
        <v>83</v>
      </c>
      <c r="AP1094" t="s">
        <v>82</v>
      </c>
      <c r="AQ1094" t="s">
        <v>81</v>
      </c>
      <c r="AR1094" t="s">
        <v>83</v>
      </c>
      <c r="AS1094" t="s">
        <v>81</v>
      </c>
      <c r="AT1094" t="s">
        <v>81</v>
      </c>
      <c r="AU1094" t="s">
        <v>88</v>
      </c>
      <c r="AV1094" t="s">
        <v>89</v>
      </c>
      <c r="AW1094" t="s">
        <v>85</v>
      </c>
      <c r="AX1094" t="s">
        <v>146</v>
      </c>
      <c r="AZ1094" t="s">
        <v>96</v>
      </c>
      <c r="BA1094" t="s">
        <v>87</v>
      </c>
      <c r="BB1094" t="s">
        <v>87</v>
      </c>
      <c r="BC1094" t="s">
        <v>87</v>
      </c>
      <c r="BD1094" t="s">
        <v>86</v>
      </c>
      <c r="BE1094" t="s">
        <v>87</v>
      </c>
      <c r="BF1094" t="s">
        <v>75</v>
      </c>
      <c r="BG1094" t="s">
        <v>76</v>
      </c>
      <c r="BH1094" t="s">
        <v>77</v>
      </c>
      <c r="BI1094" t="s">
        <v>96</v>
      </c>
      <c r="BJ1094" t="s">
        <v>102</v>
      </c>
      <c r="BK1094">
        <v>0</v>
      </c>
      <c r="BL1094">
        <v>0</v>
      </c>
      <c r="BM1094">
        <v>0</v>
      </c>
      <c r="BN1094">
        <v>0</v>
      </c>
      <c r="BO1094">
        <v>0</v>
      </c>
      <c r="BP1094">
        <v>1</v>
      </c>
      <c r="BQ1094">
        <v>0</v>
      </c>
      <c r="BR1094">
        <v>0</v>
      </c>
    </row>
    <row r="1095" spans="1:70" x14ac:dyDescent="0.2">
      <c r="A1095" s="1">
        <v>44579.87777777778</v>
      </c>
      <c r="B1095" s="1">
        <v>44579.879166666666</v>
      </c>
      <c r="C1095">
        <v>0</v>
      </c>
      <c r="D1095">
        <v>1</v>
      </c>
      <c r="E1095">
        <v>0</v>
      </c>
      <c r="F1095">
        <v>0</v>
      </c>
      <c r="H1095">
        <v>0</v>
      </c>
      <c r="I1095">
        <v>1</v>
      </c>
      <c r="J1095">
        <v>1</v>
      </c>
      <c r="K1095">
        <v>1</v>
      </c>
      <c r="L1095">
        <v>0</v>
      </c>
      <c r="N1095" t="s">
        <v>88</v>
      </c>
      <c r="O1095" t="s">
        <v>89</v>
      </c>
      <c r="P1095">
        <v>0</v>
      </c>
      <c r="Q1095">
        <v>1</v>
      </c>
      <c r="R1095">
        <v>0</v>
      </c>
      <c r="S1095">
        <v>0</v>
      </c>
      <c r="T1095">
        <v>0</v>
      </c>
      <c r="U1095">
        <v>0</v>
      </c>
      <c r="V1095">
        <v>0</v>
      </c>
      <c r="W1095">
        <v>0</v>
      </c>
      <c r="X1095">
        <v>0</v>
      </c>
      <c r="Y1095">
        <v>0</v>
      </c>
      <c r="Z1095">
        <v>0</v>
      </c>
      <c r="AA1095">
        <v>0</v>
      </c>
      <c r="AM1095" t="s">
        <v>83</v>
      </c>
      <c r="AN1095" t="s">
        <v>82</v>
      </c>
      <c r="AO1095" t="s">
        <v>82</v>
      </c>
      <c r="AP1095" t="s">
        <v>81</v>
      </c>
      <c r="AQ1095" t="s">
        <v>81</v>
      </c>
      <c r="AR1095" t="s">
        <v>90</v>
      </c>
      <c r="AS1095" t="s">
        <v>90</v>
      </c>
      <c r="AT1095" t="s">
        <v>83</v>
      </c>
      <c r="AU1095" t="s">
        <v>88</v>
      </c>
      <c r="AV1095" t="s">
        <v>89</v>
      </c>
      <c r="AW1095" t="s">
        <v>100</v>
      </c>
      <c r="AX1095" t="s">
        <v>199</v>
      </c>
      <c r="AZ1095" t="s">
        <v>107</v>
      </c>
      <c r="BA1095" t="s">
        <v>87</v>
      </c>
      <c r="BB1095" t="s">
        <v>87</v>
      </c>
      <c r="BC1095" t="s">
        <v>87</v>
      </c>
      <c r="BD1095" t="s">
        <v>87</v>
      </c>
      <c r="BE1095" t="s">
        <v>87</v>
      </c>
      <c r="BF1095" t="s">
        <v>75</v>
      </c>
      <c r="BG1095" t="s">
        <v>76</v>
      </c>
      <c r="BH1095" t="s">
        <v>93</v>
      </c>
      <c r="BI1095" t="s">
        <v>107</v>
      </c>
      <c r="BJ1095" t="s">
        <v>147</v>
      </c>
      <c r="BK1095">
        <v>0</v>
      </c>
      <c r="BL1095">
        <v>0</v>
      </c>
      <c r="BM1095">
        <v>0</v>
      </c>
      <c r="BN1095">
        <v>0</v>
      </c>
      <c r="BO1095">
        <v>0</v>
      </c>
      <c r="BP1095">
        <v>1</v>
      </c>
      <c r="BQ1095">
        <v>0</v>
      </c>
      <c r="BR1095">
        <v>0</v>
      </c>
    </row>
    <row r="1096" spans="1:70" x14ac:dyDescent="0.2">
      <c r="A1096" s="1">
        <v>44580.046527777777</v>
      </c>
      <c r="B1096" s="1">
        <v>44580.048611111109</v>
      </c>
      <c r="C1096">
        <v>0</v>
      </c>
      <c r="D1096">
        <v>1</v>
      </c>
      <c r="E1096">
        <v>0</v>
      </c>
      <c r="F1096">
        <v>0</v>
      </c>
      <c r="H1096">
        <v>0</v>
      </c>
      <c r="I1096">
        <v>1</v>
      </c>
      <c r="J1096">
        <v>0</v>
      </c>
      <c r="K1096">
        <v>1</v>
      </c>
      <c r="L1096">
        <v>0</v>
      </c>
      <c r="N1096" t="s">
        <v>79</v>
      </c>
      <c r="O1096" t="s">
        <v>80</v>
      </c>
      <c r="P1096">
        <v>0</v>
      </c>
      <c r="Q1096">
        <v>1</v>
      </c>
      <c r="R1096">
        <v>0</v>
      </c>
      <c r="S1096">
        <v>0</v>
      </c>
      <c r="T1096">
        <v>1</v>
      </c>
      <c r="U1096">
        <v>0</v>
      </c>
      <c r="V1096">
        <v>0</v>
      </c>
      <c r="W1096">
        <v>0</v>
      </c>
      <c r="X1096">
        <v>0</v>
      </c>
      <c r="Y1096">
        <v>0</v>
      </c>
      <c r="Z1096">
        <v>0</v>
      </c>
      <c r="AA1096">
        <v>0</v>
      </c>
      <c r="AM1096" t="s">
        <v>83</v>
      </c>
      <c r="AN1096" t="s">
        <v>81</v>
      </c>
      <c r="AO1096" t="s">
        <v>81</v>
      </c>
      <c r="AP1096" t="s">
        <v>81</v>
      </c>
      <c r="AQ1096" t="s">
        <v>82</v>
      </c>
      <c r="AR1096" t="s">
        <v>83</v>
      </c>
      <c r="AS1096" t="s">
        <v>83</v>
      </c>
      <c r="AT1096" t="s">
        <v>83</v>
      </c>
      <c r="AU1096" t="s">
        <v>88</v>
      </c>
      <c r="AV1096" t="s">
        <v>89</v>
      </c>
      <c r="AW1096" t="s">
        <v>100</v>
      </c>
      <c r="AX1096" t="s">
        <v>199</v>
      </c>
      <c r="AZ1096" t="s">
        <v>73</v>
      </c>
      <c r="BA1096" t="s">
        <v>74</v>
      </c>
      <c r="BF1096" t="s">
        <v>75</v>
      </c>
      <c r="BG1096" t="s">
        <v>76</v>
      </c>
      <c r="BH1096" t="s">
        <v>77</v>
      </c>
      <c r="BI1096" t="s">
        <v>73</v>
      </c>
      <c r="BJ1096" t="s">
        <v>102</v>
      </c>
      <c r="BK1096">
        <v>0</v>
      </c>
      <c r="BL1096">
        <v>0</v>
      </c>
      <c r="BM1096">
        <v>0</v>
      </c>
      <c r="BN1096">
        <v>0</v>
      </c>
      <c r="BO1096">
        <v>0</v>
      </c>
      <c r="BP1096">
        <v>1</v>
      </c>
      <c r="BQ1096">
        <v>0</v>
      </c>
      <c r="BR1096">
        <v>0</v>
      </c>
    </row>
    <row r="1097" spans="1:70" x14ac:dyDescent="0.2">
      <c r="A1097" s="1">
        <v>44579.902083333334</v>
      </c>
      <c r="B1097" s="1">
        <v>44579.904166666667</v>
      </c>
      <c r="C1097">
        <v>1</v>
      </c>
      <c r="D1097">
        <v>0</v>
      </c>
      <c r="E1097">
        <v>0</v>
      </c>
      <c r="F1097">
        <v>0</v>
      </c>
      <c r="H1097">
        <v>0</v>
      </c>
      <c r="I1097">
        <v>1</v>
      </c>
      <c r="J1097">
        <v>0</v>
      </c>
      <c r="K1097">
        <v>1</v>
      </c>
      <c r="L1097">
        <v>0</v>
      </c>
      <c r="N1097" t="s">
        <v>88</v>
      </c>
      <c r="O1097" t="s">
        <v>80</v>
      </c>
      <c r="P1097">
        <v>0</v>
      </c>
      <c r="Q1097">
        <v>0</v>
      </c>
      <c r="R1097">
        <v>0</v>
      </c>
      <c r="S1097">
        <v>1</v>
      </c>
      <c r="T1097">
        <v>0</v>
      </c>
      <c r="U1097">
        <v>0</v>
      </c>
      <c r="V1097">
        <v>0</v>
      </c>
      <c r="W1097">
        <v>0</v>
      </c>
      <c r="X1097">
        <v>0</v>
      </c>
      <c r="Y1097">
        <v>0</v>
      </c>
      <c r="Z1097">
        <v>0</v>
      </c>
      <c r="AA1097">
        <v>0</v>
      </c>
      <c r="AM1097" t="s">
        <v>90</v>
      </c>
      <c r="AN1097" t="s">
        <v>82</v>
      </c>
      <c r="AO1097" t="s">
        <v>90</v>
      </c>
      <c r="AP1097" t="s">
        <v>90</v>
      </c>
      <c r="AQ1097" t="s">
        <v>90</v>
      </c>
      <c r="AR1097" t="s">
        <v>90</v>
      </c>
      <c r="AS1097" t="s">
        <v>81</v>
      </c>
      <c r="AT1097" t="s">
        <v>90</v>
      </c>
      <c r="AU1097" t="s">
        <v>84</v>
      </c>
      <c r="AV1097" t="s">
        <v>80</v>
      </c>
      <c r="AW1097" t="s">
        <v>153</v>
      </c>
      <c r="AX1097" t="s">
        <v>118</v>
      </c>
      <c r="AZ1097" t="s">
        <v>107</v>
      </c>
      <c r="BA1097" t="s">
        <v>87</v>
      </c>
      <c r="BB1097" t="s">
        <v>87</v>
      </c>
      <c r="BC1097" t="s">
        <v>87</v>
      </c>
      <c r="BD1097" t="s">
        <v>87</v>
      </c>
      <c r="BE1097" t="s">
        <v>87</v>
      </c>
      <c r="BF1097" t="s">
        <v>75</v>
      </c>
      <c r="BG1097" t="s">
        <v>76</v>
      </c>
      <c r="BH1097" t="s">
        <v>77</v>
      </c>
      <c r="BI1097" t="s">
        <v>107</v>
      </c>
      <c r="BJ1097" t="s">
        <v>78</v>
      </c>
      <c r="BK1097">
        <v>0</v>
      </c>
      <c r="BL1097">
        <v>0</v>
      </c>
      <c r="BM1097">
        <v>0</v>
      </c>
      <c r="BN1097">
        <v>0</v>
      </c>
      <c r="BO1097">
        <v>0</v>
      </c>
      <c r="BP1097">
        <v>1</v>
      </c>
      <c r="BQ1097">
        <v>0</v>
      </c>
      <c r="BR1097">
        <v>0</v>
      </c>
    </row>
    <row r="1098" spans="1:70" x14ac:dyDescent="0.2">
      <c r="A1098" s="1">
        <v>44579.770138888889</v>
      </c>
      <c r="B1098" s="1">
        <v>44579.836805555555</v>
      </c>
      <c r="C1098">
        <v>0</v>
      </c>
      <c r="D1098">
        <v>1</v>
      </c>
      <c r="E1098">
        <v>0</v>
      </c>
      <c r="F1098">
        <v>0</v>
      </c>
      <c r="H1098">
        <v>0</v>
      </c>
      <c r="I1098">
        <v>1</v>
      </c>
      <c r="J1098">
        <v>0</v>
      </c>
      <c r="K1098">
        <v>1</v>
      </c>
      <c r="L1098">
        <v>0</v>
      </c>
      <c r="N1098" t="s">
        <v>88</v>
      </c>
      <c r="O1098" t="s">
        <v>89</v>
      </c>
      <c r="P1098">
        <v>0</v>
      </c>
      <c r="Q1098">
        <v>0</v>
      </c>
      <c r="R1098">
        <v>0</v>
      </c>
      <c r="S1098">
        <v>0</v>
      </c>
      <c r="T1098">
        <v>0</v>
      </c>
      <c r="U1098">
        <v>0</v>
      </c>
      <c r="V1098">
        <v>0</v>
      </c>
      <c r="W1098">
        <v>0</v>
      </c>
      <c r="X1098">
        <v>0</v>
      </c>
      <c r="Y1098">
        <v>0</v>
      </c>
      <c r="Z1098">
        <v>0</v>
      </c>
      <c r="AA1098">
        <v>1</v>
      </c>
      <c r="AB1098" t="s">
        <v>479</v>
      </c>
      <c r="AM1098" t="s">
        <v>83</v>
      </c>
      <c r="AN1098" t="s">
        <v>82</v>
      </c>
      <c r="AO1098" t="s">
        <v>81</v>
      </c>
      <c r="AP1098" t="s">
        <v>83</v>
      </c>
      <c r="AQ1098" t="s">
        <v>83</v>
      </c>
      <c r="AR1098" t="s">
        <v>83</v>
      </c>
      <c r="AS1098" t="s">
        <v>83</v>
      </c>
      <c r="AT1098" t="s">
        <v>83</v>
      </c>
      <c r="AU1098" t="s">
        <v>88</v>
      </c>
      <c r="AV1098" t="s">
        <v>89</v>
      </c>
      <c r="AW1098" t="s">
        <v>100</v>
      </c>
      <c r="AX1098" t="s">
        <v>175</v>
      </c>
      <c r="AZ1098" t="s">
        <v>73</v>
      </c>
      <c r="BA1098" t="s">
        <v>74</v>
      </c>
      <c r="BF1098" t="s">
        <v>75</v>
      </c>
      <c r="BG1098" t="s">
        <v>76</v>
      </c>
      <c r="BH1098" t="s">
        <v>77</v>
      </c>
      <c r="BI1098" t="s">
        <v>73</v>
      </c>
      <c r="BJ1098" t="s">
        <v>114</v>
      </c>
      <c r="BK1098">
        <v>0</v>
      </c>
      <c r="BL1098">
        <v>0</v>
      </c>
      <c r="BM1098">
        <v>0</v>
      </c>
      <c r="BN1098">
        <v>0</v>
      </c>
      <c r="BO1098">
        <v>0</v>
      </c>
      <c r="BP1098">
        <v>1</v>
      </c>
      <c r="BQ1098">
        <v>0</v>
      </c>
      <c r="BR1098">
        <v>0</v>
      </c>
    </row>
    <row r="1099" spans="1:70" x14ac:dyDescent="0.2">
      <c r="A1099" s="1">
        <v>44588.929166666669</v>
      </c>
      <c r="B1099" s="1">
        <v>44588.929861111108</v>
      </c>
      <c r="C1099">
        <v>0</v>
      </c>
      <c r="D1099">
        <v>1</v>
      </c>
      <c r="E1099">
        <v>0</v>
      </c>
      <c r="F1099">
        <v>0</v>
      </c>
      <c r="H1099">
        <v>0</v>
      </c>
      <c r="I1099">
        <v>0</v>
      </c>
      <c r="J1099">
        <v>0</v>
      </c>
      <c r="K1099">
        <v>1</v>
      </c>
      <c r="L1099">
        <v>0</v>
      </c>
      <c r="N1099" t="s">
        <v>79</v>
      </c>
      <c r="O1099" t="s">
        <v>80</v>
      </c>
      <c r="P1099">
        <v>1</v>
      </c>
      <c r="Q1099">
        <v>0</v>
      </c>
      <c r="R1099">
        <v>0</v>
      </c>
      <c r="S1099">
        <v>0</v>
      </c>
      <c r="T1099">
        <v>0</v>
      </c>
      <c r="U1099">
        <v>0</v>
      </c>
      <c r="V1099">
        <v>0</v>
      </c>
      <c r="W1099">
        <v>0</v>
      </c>
      <c r="X1099">
        <v>0</v>
      </c>
      <c r="Y1099">
        <v>0</v>
      </c>
      <c r="Z1099">
        <v>0</v>
      </c>
      <c r="AA1099">
        <v>0</v>
      </c>
      <c r="AC1099">
        <v>0</v>
      </c>
      <c r="AD1099">
        <v>0</v>
      </c>
      <c r="AE1099">
        <v>0</v>
      </c>
      <c r="AF1099">
        <v>0</v>
      </c>
      <c r="AG1099">
        <v>0</v>
      </c>
      <c r="AH1099">
        <v>0</v>
      </c>
      <c r="AI1099">
        <v>0</v>
      </c>
      <c r="AJ1099">
        <v>0</v>
      </c>
      <c r="AK1099">
        <v>1</v>
      </c>
      <c r="AL1099" t="s">
        <v>480</v>
      </c>
      <c r="AZ1099" t="s">
        <v>107</v>
      </c>
      <c r="BA1099" t="s">
        <v>74</v>
      </c>
      <c r="BF1099" t="s">
        <v>97</v>
      </c>
      <c r="BG1099" t="s">
        <v>76</v>
      </c>
      <c r="BH1099" t="s">
        <v>77</v>
      </c>
      <c r="BI1099" t="s">
        <v>107</v>
      </c>
      <c r="BJ1099" t="s">
        <v>94</v>
      </c>
      <c r="BK1099">
        <v>0</v>
      </c>
      <c r="BL1099">
        <v>0</v>
      </c>
      <c r="BM1099">
        <v>0</v>
      </c>
      <c r="BN1099">
        <v>0</v>
      </c>
      <c r="BO1099">
        <v>0</v>
      </c>
      <c r="BP1099">
        <v>1</v>
      </c>
      <c r="BQ1099">
        <v>0</v>
      </c>
      <c r="BR1099">
        <v>0</v>
      </c>
    </row>
    <row r="1100" spans="1:70" x14ac:dyDescent="0.2">
      <c r="A1100" s="1">
        <v>44579.898611111108</v>
      </c>
      <c r="B1100" s="1">
        <v>44579.9</v>
      </c>
      <c r="C1100">
        <v>1</v>
      </c>
      <c r="D1100">
        <v>0</v>
      </c>
      <c r="E1100">
        <v>0</v>
      </c>
      <c r="F1100">
        <v>0</v>
      </c>
      <c r="H1100">
        <v>1</v>
      </c>
      <c r="I1100">
        <v>0</v>
      </c>
      <c r="J1100">
        <v>0</v>
      </c>
      <c r="K1100">
        <v>0</v>
      </c>
      <c r="L1100">
        <v>0</v>
      </c>
      <c r="P1100">
        <v>1</v>
      </c>
      <c r="Q1100">
        <v>0</v>
      </c>
      <c r="R1100">
        <v>0</v>
      </c>
      <c r="S1100">
        <v>0</v>
      </c>
      <c r="T1100">
        <v>0</v>
      </c>
      <c r="U1100">
        <v>0</v>
      </c>
      <c r="V1100">
        <v>0</v>
      </c>
      <c r="W1100">
        <v>0</v>
      </c>
      <c r="X1100">
        <v>0</v>
      </c>
      <c r="Y1100">
        <v>0</v>
      </c>
      <c r="Z1100">
        <v>0</v>
      </c>
      <c r="AA1100">
        <v>0</v>
      </c>
      <c r="AC1100">
        <v>0</v>
      </c>
      <c r="AD1100">
        <v>0</v>
      </c>
      <c r="AE1100">
        <v>0</v>
      </c>
      <c r="AF1100">
        <v>0</v>
      </c>
      <c r="AG1100">
        <v>1</v>
      </c>
      <c r="AH1100">
        <v>0</v>
      </c>
      <c r="AI1100">
        <v>1</v>
      </c>
      <c r="AJ1100">
        <v>1</v>
      </c>
      <c r="AK1100">
        <v>0</v>
      </c>
      <c r="AX1100" t="s">
        <v>110</v>
      </c>
      <c r="AY1100" t="s">
        <v>481</v>
      </c>
      <c r="AZ1100" t="s">
        <v>107</v>
      </c>
      <c r="BA1100" t="s">
        <v>86</v>
      </c>
      <c r="BB1100" t="s">
        <v>86</v>
      </c>
      <c r="BC1100" t="s">
        <v>86</v>
      </c>
      <c r="BD1100" t="s">
        <v>86</v>
      </c>
      <c r="BE1100" t="s">
        <v>86</v>
      </c>
      <c r="BF1100" t="s">
        <v>75</v>
      </c>
      <c r="BG1100" t="s">
        <v>92</v>
      </c>
      <c r="BH1100" t="s">
        <v>77</v>
      </c>
      <c r="BI1100" t="s">
        <v>107</v>
      </c>
      <c r="BJ1100" t="s">
        <v>78</v>
      </c>
      <c r="BK1100">
        <v>0</v>
      </c>
      <c r="BL1100">
        <v>0</v>
      </c>
      <c r="BM1100">
        <v>0</v>
      </c>
      <c r="BN1100">
        <v>0</v>
      </c>
      <c r="BO1100">
        <v>0</v>
      </c>
      <c r="BP1100">
        <v>1</v>
      </c>
      <c r="BQ1100">
        <v>0</v>
      </c>
      <c r="BR1100">
        <v>0</v>
      </c>
    </row>
    <row r="1101" spans="1:70" x14ac:dyDescent="0.2">
      <c r="A1101" s="1">
        <v>44579.920138888891</v>
      </c>
      <c r="B1101" s="1">
        <v>44579.921527777777</v>
      </c>
      <c r="C1101">
        <v>1</v>
      </c>
      <c r="D1101">
        <v>0</v>
      </c>
      <c r="E1101">
        <v>0</v>
      </c>
      <c r="F1101">
        <v>0</v>
      </c>
      <c r="H1101">
        <v>0</v>
      </c>
      <c r="I1101">
        <v>1</v>
      </c>
      <c r="J1101">
        <v>0</v>
      </c>
      <c r="K1101">
        <v>1</v>
      </c>
      <c r="L1101">
        <v>0</v>
      </c>
      <c r="N1101" t="s">
        <v>88</v>
      </c>
      <c r="O1101" t="s">
        <v>89</v>
      </c>
      <c r="P1101">
        <v>0</v>
      </c>
      <c r="Q1101">
        <v>1</v>
      </c>
      <c r="R1101">
        <v>0</v>
      </c>
      <c r="S1101">
        <v>0</v>
      </c>
      <c r="T1101">
        <v>0</v>
      </c>
      <c r="U1101">
        <v>0</v>
      </c>
      <c r="V1101">
        <v>0</v>
      </c>
      <c r="W1101">
        <v>0</v>
      </c>
      <c r="X1101">
        <v>0</v>
      </c>
      <c r="Y1101">
        <v>0</v>
      </c>
      <c r="Z1101">
        <v>0</v>
      </c>
      <c r="AA1101">
        <v>0</v>
      </c>
      <c r="AM1101" t="s">
        <v>90</v>
      </c>
      <c r="AN1101" t="s">
        <v>81</v>
      </c>
      <c r="AO1101" t="s">
        <v>81</v>
      </c>
      <c r="AP1101" t="s">
        <v>90</v>
      </c>
      <c r="AQ1101" t="s">
        <v>90</v>
      </c>
      <c r="AR1101" t="s">
        <v>90</v>
      </c>
      <c r="AS1101" t="s">
        <v>90</v>
      </c>
      <c r="AT1101" t="s">
        <v>90</v>
      </c>
      <c r="AU1101" t="s">
        <v>88</v>
      </c>
      <c r="AV1101" t="s">
        <v>89</v>
      </c>
      <c r="AW1101" t="s">
        <v>100</v>
      </c>
      <c r="AZ1101" t="s">
        <v>107</v>
      </c>
      <c r="BA1101" t="s">
        <v>87</v>
      </c>
      <c r="BB1101" t="s">
        <v>74</v>
      </c>
      <c r="BC1101" t="s">
        <v>87</v>
      </c>
      <c r="BD1101" t="s">
        <v>87</v>
      </c>
      <c r="BE1101" t="s">
        <v>74</v>
      </c>
      <c r="BF1101" t="s">
        <v>101</v>
      </c>
      <c r="BG1101" t="s">
        <v>92</v>
      </c>
      <c r="BH1101" t="s">
        <v>77</v>
      </c>
      <c r="BI1101" t="s">
        <v>107</v>
      </c>
      <c r="BJ1101" t="s">
        <v>78</v>
      </c>
      <c r="BK1101">
        <v>0</v>
      </c>
      <c r="BL1101">
        <v>0</v>
      </c>
      <c r="BM1101">
        <v>0</v>
      </c>
      <c r="BN1101">
        <v>0</v>
      </c>
      <c r="BO1101">
        <v>0</v>
      </c>
      <c r="BP1101">
        <v>1</v>
      </c>
      <c r="BQ1101">
        <v>0</v>
      </c>
      <c r="BR1101">
        <v>0</v>
      </c>
    </row>
    <row r="1102" spans="1:70" x14ac:dyDescent="0.2">
      <c r="A1102" s="1">
        <v>44580.662499999999</v>
      </c>
      <c r="B1102" s="1">
        <v>44580.665277777778</v>
      </c>
      <c r="C1102">
        <v>1</v>
      </c>
      <c r="D1102">
        <v>0</v>
      </c>
      <c r="E1102">
        <v>0</v>
      </c>
      <c r="F1102">
        <v>0</v>
      </c>
      <c r="H1102">
        <v>0</v>
      </c>
      <c r="I1102">
        <v>1</v>
      </c>
      <c r="J1102">
        <v>0</v>
      </c>
      <c r="K1102">
        <v>0</v>
      </c>
      <c r="L1102">
        <v>0</v>
      </c>
      <c r="N1102" t="s">
        <v>135</v>
      </c>
      <c r="O1102" t="s">
        <v>80</v>
      </c>
      <c r="P1102">
        <v>0</v>
      </c>
      <c r="Q1102">
        <v>0</v>
      </c>
      <c r="R1102">
        <v>1</v>
      </c>
      <c r="S1102">
        <v>0</v>
      </c>
      <c r="T1102">
        <v>0</v>
      </c>
      <c r="U1102">
        <v>0</v>
      </c>
      <c r="V1102">
        <v>0</v>
      </c>
      <c r="W1102">
        <v>0</v>
      </c>
      <c r="X1102">
        <v>0</v>
      </c>
      <c r="Y1102">
        <v>0</v>
      </c>
      <c r="Z1102">
        <v>0</v>
      </c>
      <c r="AA1102">
        <v>0</v>
      </c>
      <c r="AM1102" t="s">
        <v>83</v>
      </c>
      <c r="AN1102" t="s">
        <v>81</v>
      </c>
      <c r="AO1102" t="s">
        <v>83</v>
      </c>
      <c r="AP1102" t="s">
        <v>83</v>
      </c>
      <c r="AQ1102" t="s">
        <v>82</v>
      </c>
      <c r="AR1102" t="s">
        <v>81</v>
      </c>
      <c r="AS1102" t="s">
        <v>83</v>
      </c>
      <c r="AT1102" t="s">
        <v>82</v>
      </c>
      <c r="AU1102" t="s">
        <v>88</v>
      </c>
      <c r="AV1102" t="s">
        <v>80</v>
      </c>
      <c r="AW1102" t="s">
        <v>85</v>
      </c>
      <c r="AX1102" t="s">
        <v>118</v>
      </c>
      <c r="AZ1102" t="s">
        <v>73</v>
      </c>
      <c r="BA1102" t="s">
        <v>87</v>
      </c>
      <c r="BB1102" t="s">
        <v>86</v>
      </c>
      <c r="BC1102" t="s">
        <v>87</v>
      </c>
      <c r="BD1102" t="s">
        <v>74</v>
      </c>
      <c r="BE1102" t="s">
        <v>86</v>
      </c>
      <c r="BF1102" t="s">
        <v>75</v>
      </c>
      <c r="BG1102" t="s">
        <v>76</v>
      </c>
      <c r="BH1102" t="s">
        <v>93</v>
      </c>
      <c r="BI1102" t="s">
        <v>73</v>
      </c>
      <c r="BJ1102" t="s">
        <v>78</v>
      </c>
      <c r="BK1102">
        <v>0</v>
      </c>
      <c r="BL1102">
        <v>0</v>
      </c>
      <c r="BM1102">
        <v>0</v>
      </c>
      <c r="BN1102">
        <v>0</v>
      </c>
      <c r="BO1102">
        <v>0</v>
      </c>
      <c r="BP1102">
        <v>1</v>
      </c>
      <c r="BQ1102">
        <v>0</v>
      </c>
      <c r="BR1102">
        <v>0</v>
      </c>
    </row>
    <row r="1103" spans="1:70" x14ac:dyDescent="0.2">
      <c r="A1103" s="1">
        <v>44579.994444444441</v>
      </c>
      <c r="B1103" s="1">
        <v>44579.99722222222</v>
      </c>
      <c r="C1103">
        <v>0</v>
      </c>
      <c r="D1103">
        <v>1</v>
      </c>
      <c r="E1103">
        <v>0</v>
      </c>
      <c r="F1103">
        <v>0</v>
      </c>
      <c r="H1103">
        <v>1</v>
      </c>
      <c r="I1103">
        <v>0</v>
      </c>
      <c r="J1103">
        <v>0</v>
      </c>
      <c r="K1103">
        <v>0</v>
      </c>
      <c r="L1103">
        <v>0</v>
      </c>
      <c r="P1103">
        <v>0</v>
      </c>
      <c r="Q1103">
        <v>0</v>
      </c>
      <c r="R1103">
        <v>0</v>
      </c>
      <c r="S1103">
        <v>1</v>
      </c>
      <c r="T1103">
        <v>0</v>
      </c>
      <c r="U1103">
        <v>0</v>
      </c>
      <c r="V1103">
        <v>0</v>
      </c>
      <c r="W1103">
        <v>0</v>
      </c>
      <c r="X1103">
        <v>0</v>
      </c>
      <c r="Y1103">
        <v>0</v>
      </c>
      <c r="Z1103">
        <v>0</v>
      </c>
      <c r="AA1103">
        <v>0</v>
      </c>
      <c r="AM1103" t="s">
        <v>83</v>
      </c>
      <c r="AN1103" t="s">
        <v>82</v>
      </c>
      <c r="AO1103" t="s">
        <v>82</v>
      </c>
      <c r="AP1103" t="s">
        <v>82</v>
      </c>
      <c r="AQ1103" t="s">
        <v>83</v>
      </c>
      <c r="AR1103" t="s">
        <v>81</v>
      </c>
      <c r="AS1103" t="s">
        <v>83</v>
      </c>
      <c r="AT1103" t="s">
        <v>83</v>
      </c>
      <c r="AU1103" t="s">
        <v>88</v>
      </c>
      <c r="AV1103" t="s">
        <v>89</v>
      </c>
      <c r="AW1103" t="s">
        <v>100</v>
      </c>
      <c r="AX1103" t="s">
        <v>175</v>
      </c>
      <c r="AZ1103" t="s">
        <v>73</v>
      </c>
      <c r="BA1103" t="s">
        <v>86</v>
      </c>
      <c r="BB1103" t="s">
        <v>86</v>
      </c>
      <c r="BC1103" t="s">
        <v>87</v>
      </c>
      <c r="BD1103" t="s">
        <v>87</v>
      </c>
      <c r="BE1103" t="s">
        <v>86</v>
      </c>
      <c r="BF1103" t="s">
        <v>75</v>
      </c>
      <c r="BG1103" t="s">
        <v>76</v>
      </c>
      <c r="BH1103" t="s">
        <v>77</v>
      </c>
      <c r="BI1103" t="s">
        <v>73</v>
      </c>
      <c r="BJ1103" t="s">
        <v>114</v>
      </c>
      <c r="BK1103">
        <v>0</v>
      </c>
      <c r="BL1103">
        <v>0</v>
      </c>
      <c r="BM1103">
        <v>0</v>
      </c>
      <c r="BN1103">
        <v>0</v>
      </c>
      <c r="BO1103">
        <v>0</v>
      </c>
      <c r="BP1103">
        <v>1</v>
      </c>
      <c r="BQ1103">
        <v>0</v>
      </c>
      <c r="BR1103">
        <v>0</v>
      </c>
    </row>
    <row r="1104" spans="1:70" x14ac:dyDescent="0.2">
      <c r="A1104" s="1">
        <v>44588.880555555559</v>
      </c>
      <c r="B1104" s="1">
        <v>44588.882638888892</v>
      </c>
      <c r="C1104">
        <v>1</v>
      </c>
      <c r="D1104">
        <v>0</v>
      </c>
      <c r="E1104">
        <v>0</v>
      </c>
      <c r="F1104">
        <v>0</v>
      </c>
      <c r="H1104">
        <v>0</v>
      </c>
      <c r="I1104">
        <v>1</v>
      </c>
      <c r="J1104">
        <v>0</v>
      </c>
      <c r="K1104">
        <v>0</v>
      </c>
      <c r="L1104">
        <v>0</v>
      </c>
      <c r="N1104" t="s">
        <v>88</v>
      </c>
      <c r="O1104" t="s">
        <v>89</v>
      </c>
      <c r="P1104">
        <v>0</v>
      </c>
      <c r="Q1104">
        <v>1</v>
      </c>
      <c r="R1104">
        <v>0</v>
      </c>
      <c r="S1104">
        <v>0</v>
      </c>
      <c r="T1104">
        <v>0</v>
      </c>
      <c r="U1104">
        <v>0</v>
      </c>
      <c r="V1104">
        <v>0</v>
      </c>
      <c r="W1104">
        <v>0</v>
      </c>
      <c r="X1104">
        <v>0</v>
      </c>
      <c r="Y1104">
        <v>0</v>
      </c>
      <c r="Z1104">
        <v>0</v>
      </c>
      <c r="AA1104">
        <v>0</v>
      </c>
      <c r="AM1104" t="s">
        <v>83</v>
      </c>
      <c r="AN1104" t="s">
        <v>82</v>
      </c>
      <c r="AO1104" t="s">
        <v>83</v>
      </c>
      <c r="AP1104" t="s">
        <v>82</v>
      </c>
      <c r="AQ1104" t="s">
        <v>83</v>
      </c>
      <c r="AR1104" t="s">
        <v>83</v>
      </c>
      <c r="AS1104" t="s">
        <v>90</v>
      </c>
      <c r="AT1104" t="s">
        <v>81</v>
      </c>
      <c r="AU1104" t="s">
        <v>88</v>
      </c>
      <c r="AV1104" t="s">
        <v>89</v>
      </c>
      <c r="AW1104" t="s">
        <v>85</v>
      </c>
      <c r="AZ1104" t="s">
        <v>96</v>
      </c>
      <c r="BA1104" t="s">
        <v>87</v>
      </c>
      <c r="BB1104" t="s">
        <v>87</v>
      </c>
      <c r="BC1104" t="s">
        <v>87</v>
      </c>
      <c r="BD1104" t="s">
        <v>87</v>
      </c>
      <c r="BE1104" t="s">
        <v>87</v>
      </c>
      <c r="BF1104" t="s">
        <v>101</v>
      </c>
      <c r="BG1104" t="s">
        <v>76</v>
      </c>
      <c r="BH1104" t="s">
        <v>77</v>
      </c>
      <c r="BI1104" t="s">
        <v>96</v>
      </c>
      <c r="BK1104">
        <v>0</v>
      </c>
      <c r="BL1104">
        <v>0</v>
      </c>
      <c r="BM1104">
        <v>0</v>
      </c>
      <c r="BN1104">
        <v>0</v>
      </c>
      <c r="BO1104">
        <v>0</v>
      </c>
      <c r="BP1104">
        <v>1</v>
      </c>
      <c r="BQ1104">
        <v>0</v>
      </c>
      <c r="BR1104">
        <v>0</v>
      </c>
    </row>
    <row r="1105" spans="1:70" x14ac:dyDescent="0.2">
      <c r="A1105" s="1">
        <v>44580.956250000003</v>
      </c>
      <c r="B1105" s="1">
        <v>44580.959027777775</v>
      </c>
      <c r="C1105">
        <v>1</v>
      </c>
      <c r="D1105">
        <v>0</v>
      </c>
      <c r="E1105">
        <v>0</v>
      </c>
      <c r="F1105">
        <v>0</v>
      </c>
      <c r="H1105">
        <v>0</v>
      </c>
      <c r="I1105">
        <v>0</v>
      </c>
      <c r="J1105">
        <v>1</v>
      </c>
      <c r="K1105">
        <v>0</v>
      </c>
      <c r="L1105">
        <v>1</v>
      </c>
      <c r="M1105" t="s">
        <v>482</v>
      </c>
      <c r="N1105" t="s">
        <v>88</v>
      </c>
      <c r="O1105" t="s">
        <v>89</v>
      </c>
      <c r="P1105">
        <v>0</v>
      </c>
      <c r="Q1105">
        <v>0</v>
      </c>
      <c r="R1105">
        <v>1</v>
      </c>
      <c r="S1105">
        <v>0</v>
      </c>
      <c r="T1105">
        <v>0</v>
      </c>
      <c r="U1105">
        <v>0</v>
      </c>
      <c r="V1105">
        <v>0</v>
      </c>
      <c r="W1105">
        <v>0</v>
      </c>
      <c r="X1105">
        <v>0</v>
      </c>
      <c r="Y1105">
        <v>0</v>
      </c>
      <c r="Z1105">
        <v>0</v>
      </c>
      <c r="AA1105">
        <v>0</v>
      </c>
      <c r="AM1105" t="s">
        <v>83</v>
      </c>
      <c r="AN1105" t="s">
        <v>83</v>
      </c>
      <c r="AO1105" t="s">
        <v>83</v>
      </c>
      <c r="AP1105" t="s">
        <v>83</v>
      </c>
      <c r="AQ1105" t="s">
        <v>82</v>
      </c>
      <c r="AR1105" t="s">
        <v>83</v>
      </c>
      <c r="AS1105" t="s">
        <v>81</v>
      </c>
      <c r="AT1105" t="s">
        <v>83</v>
      </c>
      <c r="AU1105" t="s">
        <v>88</v>
      </c>
      <c r="AV1105" t="s">
        <v>89</v>
      </c>
      <c r="AW1105" t="s">
        <v>85</v>
      </c>
      <c r="AX1105" t="s">
        <v>110</v>
      </c>
      <c r="AY1105" t="s">
        <v>483</v>
      </c>
      <c r="AZ1105" t="s">
        <v>107</v>
      </c>
      <c r="BA1105" t="s">
        <v>74</v>
      </c>
      <c r="BF1105" t="s">
        <v>75</v>
      </c>
      <c r="BG1105" t="s">
        <v>92</v>
      </c>
      <c r="BH1105" t="s">
        <v>77</v>
      </c>
      <c r="BI1105" t="s">
        <v>107</v>
      </c>
      <c r="BJ1105" t="s">
        <v>212</v>
      </c>
      <c r="BK1105">
        <v>0</v>
      </c>
      <c r="BL1105">
        <v>0</v>
      </c>
      <c r="BM1105">
        <v>0</v>
      </c>
      <c r="BN1105">
        <v>0</v>
      </c>
      <c r="BO1105">
        <v>0</v>
      </c>
      <c r="BP1105">
        <v>1</v>
      </c>
      <c r="BQ1105">
        <v>0</v>
      </c>
      <c r="BR1105">
        <v>0</v>
      </c>
    </row>
    <row r="1106" spans="1:70" x14ac:dyDescent="0.2">
      <c r="A1106" s="1">
        <v>44579.881944444445</v>
      </c>
      <c r="B1106" s="1">
        <v>44579.883333333331</v>
      </c>
      <c r="C1106">
        <v>1</v>
      </c>
      <c r="D1106">
        <v>0</v>
      </c>
      <c r="E1106">
        <v>0</v>
      </c>
      <c r="F1106">
        <v>0</v>
      </c>
      <c r="H1106">
        <v>1</v>
      </c>
      <c r="I1106">
        <v>0</v>
      </c>
      <c r="J1106">
        <v>0</v>
      </c>
      <c r="K1106">
        <v>0</v>
      </c>
      <c r="L1106">
        <v>0</v>
      </c>
      <c r="P1106">
        <v>0</v>
      </c>
      <c r="Q1106">
        <v>1</v>
      </c>
      <c r="R1106">
        <v>0</v>
      </c>
      <c r="S1106">
        <v>0</v>
      </c>
      <c r="T1106">
        <v>0</v>
      </c>
      <c r="U1106">
        <v>0</v>
      </c>
      <c r="V1106">
        <v>0</v>
      </c>
      <c r="W1106">
        <v>0</v>
      </c>
      <c r="X1106">
        <v>0</v>
      </c>
      <c r="Y1106">
        <v>0</v>
      </c>
      <c r="Z1106">
        <v>0</v>
      </c>
      <c r="AA1106">
        <v>0</v>
      </c>
      <c r="AM1106" t="s">
        <v>83</v>
      </c>
      <c r="AN1106" t="s">
        <v>82</v>
      </c>
      <c r="AO1106" t="s">
        <v>81</v>
      </c>
      <c r="AP1106" t="s">
        <v>81</v>
      </c>
      <c r="AQ1106" t="s">
        <v>83</v>
      </c>
      <c r="AR1106" t="s">
        <v>83</v>
      </c>
      <c r="AS1106" t="s">
        <v>83</v>
      </c>
      <c r="AT1106" t="s">
        <v>83</v>
      </c>
      <c r="AU1106" t="s">
        <v>88</v>
      </c>
      <c r="AV1106" t="s">
        <v>89</v>
      </c>
      <c r="AW1106" t="s">
        <v>100</v>
      </c>
      <c r="AZ1106" t="s">
        <v>107</v>
      </c>
      <c r="BA1106" t="s">
        <v>86</v>
      </c>
      <c r="BB1106" t="s">
        <v>86</v>
      </c>
      <c r="BC1106" t="s">
        <v>86</v>
      </c>
      <c r="BD1106" t="s">
        <v>86</v>
      </c>
      <c r="BE1106" t="s">
        <v>74</v>
      </c>
      <c r="BF1106" t="s">
        <v>159</v>
      </c>
      <c r="BG1106" t="s">
        <v>76</v>
      </c>
      <c r="BH1106" t="s">
        <v>93</v>
      </c>
      <c r="BI1106" t="s">
        <v>107</v>
      </c>
      <c r="BJ1106" t="s">
        <v>94</v>
      </c>
      <c r="BK1106">
        <v>0</v>
      </c>
      <c r="BL1106">
        <v>0</v>
      </c>
      <c r="BM1106">
        <v>0</v>
      </c>
      <c r="BN1106">
        <v>0</v>
      </c>
      <c r="BO1106">
        <v>0</v>
      </c>
      <c r="BP1106">
        <v>1</v>
      </c>
      <c r="BQ1106">
        <v>0</v>
      </c>
      <c r="BR1106">
        <v>0</v>
      </c>
    </row>
    <row r="1107" spans="1:70" x14ac:dyDescent="0.2">
      <c r="A1107" s="1">
        <v>44589.07916666667</v>
      </c>
      <c r="B1107" s="1">
        <v>44589.081250000003</v>
      </c>
      <c r="C1107">
        <v>1</v>
      </c>
      <c r="D1107">
        <v>0</v>
      </c>
      <c r="E1107">
        <v>0</v>
      </c>
      <c r="F1107">
        <v>0</v>
      </c>
      <c r="H1107">
        <v>0</v>
      </c>
      <c r="I1107">
        <v>1</v>
      </c>
      <c r="J1107">
        <v>0</v>
      </c>
      <c r="K1107">
        <v>0</v>
      </c>
      <c r="L1107">
        <v>0</v>
      </c>
      <c r="N1107" t="s">
        <v>88</v>
      </c>
      <c r="O1107" t="s">
        <v>80</v>
      </c>
      <c r="P1107">
        <v>1</v>
      </c>
      <c r="Q1107">
        <v>0</v>
      </c>
      <c r="R1107">
        <v>0</v>
      </c>
      <c r="S1107">
        <v>0</v>
      </c>
      <c r="T1107">
        <v>0</v>
      </c>
      <c r="U1107">
        <v>0</v>
      </c>
      <c r="V1107">
        <v>0</v>
      </c>
      <c r="W1107">
        <v>0</v>
      </c>
      <c r="X1107">
        <v>0</v>
      </c>
      <c r="Y1107">
        <v>0</v>
      </c>
      <c r="Z1107">
        <v>0</v>
      </c>
      <c r="AA1107">
        <v>0</v>
      </c>
      <c r="AC1107">
        <v>0</v>
      </c>
      <c r="AD1107">
        <v>0</v>
      </c>
      <c r="AE1107">
        <v>1</v>
      </c>
      <c r="AF1107">
        <v>0</v>
      </c>
      <c r="AG1107">
        <v>0</v>
      </c>
      <c r="AH1107">
        <v>0</v>
      </c>
      <c r="AI1107">
        <v>0</v>
      </c>
      <c r="AJ1107">
        <v>0</v>
      </c>
      <c r="AK1107">
        <v>0</v>
      </c>
      <c r="AZ1107" t="s">
        <v>107</v>
      </c>
      <c r="BA1107" t="s">
        <v>87</v>
      </c>
      <c r="BB1107" t="s">
        <v>74</v>
      </c>
      <c r="BC1107" t="s">
        <v>87</v>
      </c>
      <c r="BD1107" t="s">
        <v>74</v>
      </c>
      <c r="BE1107" t="s">
        <v>87</v>
      </c>
      <c r="BF1107" t="s">
        <v>159</v>
      </c>
      <c r="BG1107" t="s">
        <v>76</v>
      </c>
      <c r="BH1107" t="s">
        <v>77</v>
      </c>
      <c r="BI1107" t="s">
        <v>107</v>
      </c>
      <c r="BJ1107" t="s">
        <v>114</v>
      </c>
      <c r="BK1107">
        <v>0</v>
      </c>
      <c r="BL1107">
        <v>0</v>
      </c>
      <c r="BM1107">
        <v>0</v>
      </c>
      <c r="BN1107">
        <v>0</v>
      </c>
      <c r="BO1107">
        <v>0</v>
      </c>
      <c r="BP1107">
        <v>0</v>
      </c>
      <c r="BQ1107">
        <v>0</v>
      </c>
      <c r="BR1107">
        <v>1</v>
      </c>
    </row>
    <row r="1108" spans="1:70" x14ac:dyDescent="0.2">
      <c r="A1108" s="1">
        <v>44587.111805555556</v>
      </c>
      <c r="B1108" s="1">
        <v>44587.114583333336</v>
      </c>
      <c r="C1108">
        <v>1</v>
      </c>
      <c r="D1108">
        <v>0</v>
      </c>
      <c r="E1108">
        <v>0</v>
      </c>
      <c r="F1108">
        <v>0</v>
      </c>
      <c r="H1108">
        <v>0</v>
      </c>
      <c r="I1108">
        <v>1</v>
      </c>
      <c r="J1108">
        <v>0</v>
      </c>
      <c r="K1108">
        <v>0</v>
      </c>
      <c r="L1108">
        <v>0</v>
      </c>
      <c r="N1108" t="s">
        <v>88</v>
      </c>
      <c r="O1108" t="s">
        <v>89</v>
      </c>
      <c r="P1108">
        <v>0</v>
      </c>
      <c r="Q1108">
        <v>0</v>
      </c>
      <c r="R1108">
        <v>1</v>
      </c>
      <c r="S1108">
        <v>0</v>
      </c>
      <c r="T1108">
        <v>0</v>
      </c>
      <c r="U1108">
        <v>0</v>
      </c>
      <c r="V1108">
        <v>0</v>
      </c>
      <c r="W1108">
        <v>0</v>
      </c>
      <c r="X1108">
        <v>0</v>
      </c>
      <c r="Y1108">
        <v>0</v>
      </c>
      <c r="Z1108">
        <v>0</v>
      </c>
      <c r="AA1108">
        <v>0</v>
      </c>
      <c r="AM1108" t="s">
        <v>81</v>
      </c>
      <c r="AN1108" t="s">
        <v>82</v>
      </c>
      <c r="AO1108" t="s">
        <v>83</v>
      </c>
      <c r="AP1108" t="s">
        <v>83</v>
      </c>
      <c r="AQ1108" t="s">
        <v>82</v>
      </c>
      <c r="AR1108" t="s">
        <v>81</v>
      </c>
      <c r="AS1108" t="s">
        <v>81</v>
      </c>
      <c r="AT1108" t="s">
        <v>83</v>
      </c>
      <c r="AU1108" t="s">
        <v>88</v>
      </c>
      <c r="AV1108" t="s">
        <v>89</v>
      </c>
      <c r="AW1108" t="s">
        <v>85</v>
      </c>
      <c r="AX1108" t="s">
        <v>110</v>
      </c>
      <c r="AY1108" t="s">
        <v>484</v>
      </c>
      <c r="AZ1108" t="s">
        <v>107</v>
      </c>
      <c r="BA1108" t="s">
        <v>87</v>
      </c>
      <c r="BB1108" t="s">
        <v>86</v>
      </c>
      <c r="BC1108" t="s">
        <v>87</v>
      </c>
      <c r="BD1108" t="s">
        <v>86</v>
      </c>
      <c r="BE1108" t="s">
        <v>87</v>
      </c>
      <c r="BF1108" t="s">
        <v>108</v>
      </c>
      <c r="BG1108" t="s">
        <v>76</v>
      </c>
      <c r="BH1108" t="s">
        <v>77</v>
      </c>
      <c r="BI1108" t="s">
        <v>107</v>
      </c>
      <c r="BJ1108" t="s">
        <v>78</v>
      </c>
      <c r="BK1108">
        <v>0</v>
      </c>
      <c r="BL1108">
        <v>0</v>
      </c>
      <c r="BM1108">
        <v>0</v>
      </c>
      <c r="BN1108">
        <v>0</v>
      </c>
      <c r="BO1108">
        <v>0</v>
      </c>
      <c r="BP1108">
        <v>1</v>
      </c>
      <c r="BQ1108">
        <v>0</v>
      </c>
      <c r="BR1108">
        <v>0</v>
      </c>
    </row>
    <row r="1109" spans="1:70" x14ac:dyDescent="0.2">
      <c r="A1109" s="1">
        <v>44585.507638888892</v>
      </c>
      <c r="B1109" s="1">
        <v>44585.509027777778</v>
      </c>
      <c r="C1109">
        <v>1</v>
      </c>
      <c r="D1109">
        <v>0</v>
      </c>
      <c r="E1109">
        <v>0</v>
      </c>
      <c r="F1109">
        <v>0</v>
      </c>
      <c r="H1109">
        <v>0</v>
      </c>
      <c r="I1109">
        <v>1</v>
      </c>
      <c r="J1109">
        <v>0</v>
      </c>
      <c r="K1109">
        <v>0</v>
      </c>
      <c r="L1109">
        <v>0</v>
      </c>
      <c r="N1109" t="s">
        <v>135</v>
      </c>
      <c r="O1109" t="s">
        <v>80</v>
      </c>
      <c r="P1109">
        <v>0</v>
      </c>
      <c r="Q1109">
        <v>0</v>
      </c>
      <c r="R1109">
        <v>1</v>
      </c>
      <c r="S1109">
        <v>0</v>
      </c>
      <c r="T1109">
        <v>0</v>
      </c>
      <c r="U1109">
        <v>0</v>
      </c>
      <c r="V1109">
        <v>0</v>
      </c>
      <c r="W1109">
        <v>0</v>
      </c>
      <c r="X1109">
        <v>0</v>
      </c>
      <c r="Y1109">
        <v>0</v>
      </c>
      <c r="Z1109">
        <v>0</v>
      </c>
      <c r="AA1109">
        <v>0</v>
      </c>
      <c r="AM1109" t="s">
        <v>83</v>
      </c>
      <c r="AN1109" t="s">
        <v>82</v>
      </c>
      <c r="AO1109" t="s">
        <v>83</v>
      </c>
      <c r="AP1109" t="s">
        <v>82</v>
      </c>
      <c r="AQ1109" t="s">
        <v>82</v>
      </c>
      <c r="AR1109" t="s">
        <v>81</v>
      </c>
      <c r="AS1109" t="s">
        <v>81</v>
      </c>
      <c r="AT1109" t="s">
        <v>83</v>
      </c>
      <c r="AU1109" t="s">
        <v>88</v>
      </c>
      <c r="AV1109" t="s">
        <v>89</v>
      </c>
      <c r="AW1109" t="s">
        <v>85</v>
      </c>
      <c r="AX1109" t="s">
        <v>106</v>
      </c>
      <c r="AZ1109" t="s">
        <v>96</v>
      </c>
      <c r="BA1109" t="s">
        <v>87</v>
      </c>
      <c r="BB1109" t="s">
        <v>87</v>
      </c>
      <c r="BC1109" t="s">
        <v>87</v>
      </c>
      <c r="BD1109" t="s">
        <v>87</v>
      </c>
      <c r="BE1109" t="s">
        <v>87</v>
      </c>
      <c r="BF1109" t="s">
        <v>75</v>
      </c>
      <c r="BG1109" t="s">
        <v>76</v>
      </c>
      <c r="BH1109" t="s">
        <v>77</v>
      </c>
      <c r="BI1109" t="s">
        <v>96</v>
      </c>
      <c r="BJ1109" t="s">
        <v>114</v>
      </c>
      <c r="BK1109">
        <v>0</v>
      </c>
      <c r="BL1109">
        <v>0</v>
      </c>
      <c r="BM1109">
        <v>0</v>
      </c>
      <c r="BN1109">
        <v>0</v>
      </c>
      <c r="BO1109">
        <v>0</v>
      </c>
      <c r="BP1109">
        <v>1</v>
      </c>
      <c r="BQ1109">
        <v>0</v>
      </c>
      <c r="BR1109">
        <v>0</v>
      </c>
    </row>
    <row r="1110" spans="1:70" x14ac:dyDescent="0.2">
      <c r="A1110" s="1">
        <v>44579.882638888892</v>
      </c>
      <c r="B1110" s="1">
        <v>44579.886111111111</v>
      </c>
      <c r="C1110">
        <v>1</v>
      </c>
      <c r="D1110">
        <v>0</v>
      </c>
      <c r="E1110">
        <v>0</v>
      </c>
      <c r="F1110">
        <v>0</v>
      </c>
      <c r="H1110">
        <v>0</v>
      </c>
      <c r="I1110">
        <v>1</v>
      </c>
      <c r="J1110">
        <v>0</v>
      </c>
      <c r="K1110">
        <v>0</v>
      </c>
      <c r="L1110">
        <v>0</v>
      </c>
      <c r="N1110" t="s">
        <v>135</v>
      </c>
      <c r="O1110" t="s">
        <v>80</v>
      </c>
      <c r="P1110">
        <v>0</v>
      </c>
      <c r="Q1110">
        <v>0</v>
      </c>
      <c r="R1110">
        <v>1</v>
      </c>
      <c r="S1110">
        <v>0</v>
      </c>
      <c r="T1110">
        <v>0</v>
      </c>
      <c r="U1110">
        <v>0</v>
      </c>
      <c r="V1110">
        <v>0</v>
      </c>
      <c r="W1110">
        <v>1</v>
      </c>
      <c r="X1110">
        <v>0</v>
      </c>
      <c r="Y1110">
        <v>0</v>
      </c>
      <c r="Z1110">
        <v>0</v>
      </c>
      <c r="AA1110">
        <v>0</v>
      </c>
      <c r="AM1110" t="s">
        <v>83</v>
      </c>
      <c r="AN1110" t="s">
        <v>82</v>
      </c>
      <c r="AO1110" t="s">
        <v>83</v>
      </c>
      <c r="AP1110" t="s">
        <v>81</v>
      </c>
      <c r="AQ1110" t="s">
        <v>83</v>
      </c>
      <c r="AR1110" t="s">
        <v>83</v>
      </c>
      <c r="AS1110" t="s">
        <v>83</v>
      </c>
      <c r="AT1110" t="s">
        <v>83</v>
      </c>
      <c r="AU1110" t="s">
        <v>84</v>
      </c>
      <c r="AV1110" t="s">
        <v>80</v>
      </c>
      <c r="AW1110" t="s">
        <v>85</v>
      </c>
      <c r="AZ1110" t="s">
        <v>107</v>
      </c>
      <c r="BA1110" t="s">
        <v>86</v>
      </c>
      <c r="BB1110" t="s">
        <v>87</v>
      </c>
      <c r="BC1110" t="s">
        <v>87</v>
      </c>
      <c r="BD1110" t="s">
        <v>86</v>
      </c>
      <c r="BE1110" t="s">
        <v>86</v>
      </c>
      <c r="BF1110" t="s">
        <v>159</v>
      </c>
      <c r="BG1110" t="s">
        <v>76</v>
      </c>
      <c r="BH1110" t="s">
        <v>93</v>
      </c>
      <c r="BI1110" t="s">
        <v>107</v>
      </c>
      <c r="BJ1110" t="s">
        <v>109</v>
      </c>
      <c r="BK1110">
        <v>0</v>
      </c>
      <c r="BL1110">
        <v>0</v>
      </c>
      <c r="BM1110">
        <v>0</v>
      </c>
      <c r="BN1110">
        <v>0</v>
      </c>
      <c r="BO1110">
        <v>0</v>
      </c>
      <c r="BP1110">
        <v>1</v>
      </c>
      <c r="BQ1110">
        <v>0</v>
      </c>
      <c r="BR1110">
        <v>0</v>
      </c>
    </row>
    <row r="1111" spans="1:70" x14ac:dyDescent="0.2">
      <c r="A1111" s="1">
        <v>44588.875</v>
      </c>
      <c r="B1111" s="1">
        <v>44588.87777777778</v>
      </c>
      <c r="C1111">
        <v>1</v>
      </c>
      <c r="D1111">
        <v>0</v>
      </c>
      <c r="E1111">
        <v>0</v>
      </c>
      <c r="F1111">
        <v>0</v>
      </c>
      <c r="H1111">
        <v>0</v>
      </c>
      <c r="I1111">
        <v>1</v>
      </c>
      <c r="J1111">
        <v>1</v>
      </c>
      <c r="K1111">
        <v>0</v>
      </c>
      <c r="L1111">
        <v>0</v>
      </c>
      <c r="N1111" t="s">
        <v>79</v>
      </c>
      <c r="O1111" t="s">
        <v>80</v>
      </c>
      <c r="P1111">
        <v>0</v>
      </c>
      <c r="Q1111">
        <v>0</v>
      </c>
      <c r="R1111">
        <v>1</v>
      </c>
      <c r="S1111">
        <v>0</v>
      </c>
      <c r="T1111">
        <v>0</v>
      </c>
      <c r="U1111">
        <v>0</v>
      </c>
      <c r="V1111">
        <v>0</v>
      </c>
      <c r="W1111">
        <v>0</v>
      </c>
      <c r="X1111">
        <v>0</v>
      </c>
      <c r="Y1111">
        <v>0</v>
      </c>
      <c r="Z1111">
        <v>0</v>
      </c>
      <c r="AA1111">
        <v>0</v>
      </c>
      <c r="AM1111" t="s">
        <v>82</v>
      </c>
      <c r="AN1111" t="s">
        <v>81</v>
      </c>
      <c r="AO1111" t="s">
        <v>83</v>
      </c>
      <c r="AP1111" t="s">
        <v>82</v>
      </c>
      <c r="AQ1111" t="s">
        <v>82</v>
      </c>
      <c r="AR1111" t="s">
        <v>82</v>
      </c>
      <c r="AS1111" t="s">
        <v>81</v>
      </c>
      <c r="AT1111" t="s">
        <v>83</v>
      </c>
      <c r="AU1111" t="s">
        <v>88</v>
      </c>
      <c r="AV1111" t="s">
        <v>89</v>
      </c>
      <c r="AW1111" t="s">
        <v>85</v>
      </c>
      <c r="AX1111" t="s">
        <v>119</v>
      </c>
      <c r="AZ1111" t="s">
        <v>73</v>
      </c>
      <c r="BA1111" t="s">
        <v>86</v>
      </c>
      <c r="BB1111" t="s">
        <v>87</v>
      </c>
      <c r="BC1111" t="s">
        <v>86</v>
      </c>
      <c r="BD1111" t="s">
        <v>86</v>
      </c>
      <c r="BE1111" t="s">
        <v>87</v>
      </c>
      <c r="BF1111" t="s">
        <v>75</v>
      </c>
      <c r="BG1111" t="s">
        <v>76</v>
      </c>
      <c r="BH1111" t="s">
        <v>77</v>
      </c>
      <c r="BI1111" t="s">
        <v>73</v>
      </c>
      <c r="BJ1111" t="s">
        <v>147</v>
      </c>
      <c r="BK1111">
        <v>0</v>
      </c>
      <c r="BL1111">
        <v>0</v>
      </c>
      <c r="BM1111">
        <v>0</v>
      </c>
      <c r="BN1111">
        <v>0</v>
      </c>
      <c r="BO1111">
        <v>0</v>
      </c>
      <c r="BP1111">
        <v>1</v>
      </c>
      <c r="BQ1111">
        <v>0</v>
      </c>
      <c r="BR1111">
        <v>0</v>
      </c>
    </row>
    <row r="1112" spans="1:70" x14ac:dyDescent="0.2">
      <c r="A1112" s="1">
        <v>44579.915972222225</v>
      </c>
      <c r="B1112" s="1">
        <v>44579.92291666667</v>
      </c>
      <c r="C1112">
        <v>1</v>
      </c>
      <c r="D1112">
        <v>0</v>
      </c>
      <c r="E1112">
        <v>0</v>
      </c>
      <c r="F1112">
        <v>0</v>
      </c>
      <c r="H1112">
        <v>0</v>
      </c>
      <c r="I1112">
        <v>1</v>
      </c>
      <c r="J1112">
        <v>1</v>
      </c>
      <c r="K1112">
        <v>0</v>
      </c>
      <c r="L1112">
        <v>0</v>
      </c>
      <c r="N1112" t="s">
        <v>79</v>
      </c>
      <c r="O1112" t="s">
        <v>80</v>
      </c>
      <c r="P1112">
        <v>0</v>
      </c>
      <c r="Q1112">
        <v>0</v>
      </c>
      <c r="R1112">
        <v>1</v>
      </c>
      <c r="S1112">
        <v>0</v>
      </c>
      <c r="T1112">
        <v>0</v>
      </c>
      <c r="U1112">
        <v>0</v>
      </c>
      <c r="V1112">
        <v>0</v>
      </c>
      <c r="W1112">
        <v>0</v>
      </c>
      <c r="X1112">
        <v>0</v>
      </c>
      <c r="Y1112">
        <v>0</v>
      </c>
      <c r="Z1112">
        <v>0</v>
      </c>
      <c r="AA1112">
        <v>0</v>
      </c>
      <c r="AM1112" t="s">
        <v>82</v>
      </c>
      <c r="AN1112" t="s">
        <v>81</v>
      </c>
      <c r="AO1112" t="s">
        <v>81</v>
      </c>
      <c r="AP1112" t="s">
        <v>82</v>
      </c>
      <c r="AQ1112" t="s">
        <v>82</v>
      </c>
      <c r="AR1112" t="s">
        <v>82</v>
      </c>
      <c r="AS1112" t="s">
        <v>81</v>
      </c>
      <c r="AT1112" t="s">
        <v>81</v>
      </c>
      <c r="AU1112" t="s">
        <v>88</v>
      </c>
      <c r="AV1112" t="s">
        <v>89</v>
      </c>
      <c r="AW1112" t="s">
        <v>100</v>
      </c>
      <c r="AX1112" t="s">
        <v>72</v>
      </c>
      <c r="AZ1112" t="s">
        <v>120</v>
      </c>
      <c r="BA1112" t="s">
        <v>74</v>
      </c>
      <c r="BF1112" t="s">
        <v>75</v>
      </c>
      <c r="BG1112" t="s">
        <v>76</v>
      </c>
      <c r="BH1112" t="s">
        <v>93</v>
      </c>
      <c r="BI1112" t="s">
        <v>120</v>
      </c>
      <c r="BJ1112" t="s">
        <v>147</v>
      </c>
      <c r="BK1112">
        <v>1</v>
      </c>
      <c r="BL1112">
        <v>0</v>
      </c>
      <c r="BM1112">
        <v>0</v>
      </c>
      <c r="BN1112">
        <v>0</v>
      </c>
      <c r="BO1112">
        <v>0</v>
      </c>
      <c r="BP1112">
        <v>0</v>
      </c>
      <c r="BQ1112">
        <v>0</v>
      </c>
      <c r="BR1112">
        <v>0</v>
      </c>
    </row>
    <row r="1113" spans="1:70" x14ac:dyDescent="0.2">
      <c r="A1113" s="1">
        <v>44585.515277777777</v>
      </c>
      <c r="B1113" s="1">
        <v>44585.51666666667</v>
      </c>
      <c r="C1113">
        <v>1</v>
      </c>
      <c r="D1113">
        <v>0</v>
      </c>
      <c r="E1113">
        <v>0</v>
      </c>
      <c r="F1113">
        <v>0</v>
      </c>
      <c r="H1113">
        <v>0</v>
      </c>
      <c r="I1113">
        <v>1</v>
      </c>
      <c r="J1113">
        <v>1</v>
      </c>
      <c r="K1113">
        <v>0</v>
      </c>
      <c r="L1113">
        <v>0</v>
      </c>
      <c r="N1113" t="s">
        <v>88</v>
      </c>
      <c r="O1113" t="s">
        <v>89</v>
      </c>
      <c r="P1113">
        <v>0</v>
      </c>
      <c r="Q1113">
        <v>0</v>
      </c>
      <c r="R1113">
        <v>1</v>
      </c>
      <c r="S1113">
        <v>0</v>
      </c>
      <c r="T1113">
        <v>0</v>
      </c>
      <c r="U1113">
        <v>0</v>
      </c>
      <c r="V1113">
        <v>0</v>
      </c>
      <c r="W1113">
        <v>0</v>
      </c>
      <c r="X1113">
        <v>0</v>
      </c>
      <c r="Y1113">
        <v>0</v>
      </c>
      <c r="Z1113">
        <v>0</v>
      </c>
      <c r="AA1113">
        <v>0</v>
      </c>
      <c r="AM1113" t="s">
        <v>81</v>
      </c>
      <c r="AN1113" t="s">
        <v>82</v>
      </c>
      <c r="AO1113" t="s">
        <v>83</v>
      </c>
      <c r="AP1113" t="s">
        <v>82</v>
      </c>
      <c r="AQ1113" t="s">
        <v>83</v>
      </c>
      <c r="AR1113" t="s">
        <v>83</v>
      </c>
      <c r="AS1113" t="s">
        <v>83</v>
      </c>
      <c r="AT1113" t="s">
        <v>83</v>
      </c>
      <c r="AU1113" t="s">
        <v>88</v>
      </c>
      <c r="AV1113" t="s">
        <v>89</v>
      </c>
      <c r="AW1113" t="s">
        <v>85</v>
      </c>
      <c r="AX1113" t="s">
        <v>118</v>
      </c>
      <c r="AZ1113" t="s">
        <v>107</v>
      </c>
      <c r="BA1113" t="s">
        <v>87</v>
      </c>
      <c r="BB1113" t="s">
        <v>87</v>
      </c>
      <c r="BC1113" t="s">
        <v>87</v>
      </c>
      <c r="BD1113" t="s">
        <v>87</v>
      </c>
      <c r="BE1113" t="s">
        <v>87</v>
      </c>
      <c r="BF1113" t="s">
        <v>75</v>
      </c>
      <c r="BG1113" t="s">
        <v>76</v>
      </c>
      <c r="BH1113" t="s">
        <v>93</v>
      </c>
      <c r="BI1113" t="s">
        <v>107</v>
      </c>
      <c r="BJ1113" t="s">
        <v>78</v>
      </c>
      <c r="BK1113">
        <v>0</v>
      </c>
      <c r="BL1113">
        <v>0</v>
      </c>
      <c r="BM1113">
        <v>0</v>
      </c>
      <c r="BN1113">
        <v>0</v>
      </c>
      <c r="BO1113">
        <v>0</v>
      </c>
      <c r="BP1113">
        <v>1</v>
      </c>
      <c r="BQ1113">
        <v>0</v>
      </c>
      <c r="BR1113">
        <v>0</v>
      </c>
    </row>
    <row r="1114" spans="1:70" x14ac:dyDescent="0.2">
      <c r="A1114" s="1">
        <v>44587.853472222225</v>
      </c>
      <c r="B1114" s="1">
        <v>44587.855555555558</v>
      </c>
      <c r="C1114">
        <v>1</v>
      </c>
      <c r="D1114">
        <v>0</v>
      </c>
      <c r="E1114">
        <v>0</v>
      </c>
      <c r="F1114">
        <v>0</v>
      </c>
      <c r="H1114">
        <v>0</v>
      </c>
      <c r="I1114">
        <v>1</v>
      </c>
      <c r="J1114">
        <v>0</v>
      </c>
      <c r="K1114">
        <v>0</v>
      </c>
      <c r="L1114">
        <v>1</v>
      </c>
      <c r="M1114" t="s">
        <v>485</v>
      </c>
      <c r="N1114" t="s">
        <v>79</v>
      </c>
      <c r="O1114" t="s">
        <v>80</v>
      </c>
      <c r="P1114">
        <v>0</v>
      </c>
      <c r="Q1114">
        <v>0</v>
      </c>
      <c r="R1114">
        <v>1</v>
      </c>
      <c r="S1114">
        <v>0</v>
      </c>
      <c r="T1114">
        <v>0</v>
      </c>
      <c r="U1114">
        <v>0</v>
      </c>
      <c r="V1114">
        <v>0</v>
      </c>
      <c r="W1114">
        <v>0</v>
      </c>
      <c r="X1114">
        <v>0</v>
      </c>
      <c r="Y1114">
        <v>0</v>
      </c>
      <c r="Z1114">
        <v>0</v>
      </c>
      <c r="AA1114">
        <v>0</v>
      </c>
      <c r="AM1114" t="s">
        <v>83</v>
      </c>
      <c r="AN1114" t="s">
        <v>81</v>
      </c>
      <c r="AO1114" t="s">
        <v>83</v>
      </c>
      <c r="AP1114" t="s">
        <v>81</v>
      </c>
      <c r="AQ1114" t="s">
        <v>82</v>
      </c>
      <c r="AR1114" t="s">
        <v>83</v>
      </c>
      <c r="AS1114" t="s">
        <v>83</v>
      </c>
      <c r="AT1114" t="s">
        <v>83</v>
      </c>
      <c r="AU1114" t="s">
        <v>84</v>
      </c>
      <c r="AV1114" t="s">
        <v>80</v>
      </c>
      <c r="AW1114" t="s">
        <v>85</v>
      </c>
      <c r="AX1114" t="s">
        <v>118</v>
      </c>
      <c r="AZ1114" t="s">
        <v>73</v>
      </c>
      <c r="BA1114" t="s">
        <v>87</v>
      </c>
      <c r="BB1114" t="s">
        <v>87</v>
      </c>
      <c r="BC1114" t="s">
        <v>87</v>
      </c>
      <c r="BD1114" t="s">
        <v>87</v>
      </c>
      <c r="BE1114" t="s">
        <v>87</v>
      </c>
      <c r="BF1114" t="s">
        <v>75</v>
      </c>
      <c r="BG1114" t="s">
        <v>76</v>
      </c>
      <c r="BH1114" t="s">
        <v>77</v>
      </c>
      <c r="BI1114" t="s">
        <v>73</v>
      </c>
      <c r="BJ1114" t="s">
        <v>114</v>
      </c>
      <c r="BK1114">
        <v>0</v>
      </c>
      <c r="BL1114">
        <v>0</v>
      </c>
      <c r="BM1114">
        <v>0</v>
      </c>
      <c r="BN1114">
        <v>0</v>
      </c>
      <c r="BO1114">
        <v>0</v>
      </c>
      <c r="BP1114">
        <v>1</v>
      </c>
      <c r="BQ1114">
        <v>0</v>
      </c>
      <c r="BR1114">
        <v>0</v>
      </c>
    </row>
    <row r="1115" spans="1:70" x14ac:dyDescent="0.2">
      <c r="A1115" s="1">
        <v>44579.881249999999</v>
      </c>
      <c r="B1115" s="1">
        <v>44579.882638888892</v>
      </c>
      <c r="C1115">
        <v>1</v>
      </c>
      <c r="D1115">
        <v>0</v>
      </c>
      <c r="E1115">
        <v>0</v>
      </c>
      <c r="F1115">
        <v>0</v>
      </c>
      <c r="H1115">
        <v>0</v>
      </c>
      <c r="I1115">
        <v>1</v>
      </c>
      <c r="J1115">
        <v>0</v>
      </c>
      <c r="K1115">
        <v>0</v>
      </c>
      <c r="L1115">
        <v>0</v>
      </c>
      <c r="N1115" t="s">
        <v>88</v>
      </c>
      <c r="O1115" t="s">
        <v>89</v>
      </c>
      <c r="P1115">
        <v>1</v>
      </c>
      <c r="Q1115">
        <v>0</v>
      </c>
      <c r="R1115">
        <v>0</v>
      </c>
      <c r="S1115">
        <v>0</v>
      </c>
      <c r="T1115">
        <v>0</v>
      </c>
      <c r="U1115">
        <v>0</v>
      </c>
      <c r="V1115">
        <v>0</v>
      </c>
      <c r="W1115">
        <v>0</v>
      </c>
      <c r="X1115">
        <v>0</v>
      </c>
      <c r="Y1115">
        <v>0</v>
      </c>
      <c r="Z1115">
        <v>0</v>
      </c>
      <c r="AA1115">
        <v>0</v>
      </c>
      <c r="AC1115">
        <v>0</v>
      </c>
      <c r="AD1115">
        <v>1</v>
      </c>
      <c r="AE1115">
        <v>0</v>
      </c>
      <c r="AF1115">
        <v>0</v>
      </c>
      <c r="AG1115">
        <v>0</v>
      </c>
      <c r="AH1115">
        <v>0</v>
      </c>
      <c r="AI1115">
        <v>0</v>
      </c>
      <c r="AJ1115">
        <v>0</v>
      </c>
      <c r="AK1115">
        <v>0</v>
      </c>
      <c r="AX1115" t="s">
        <v>486</v>
      </c>
      <c r="AZ1115" t="s">
        <v>96</v>
      </c>
      <c r="BA1115" t="s">
        <v>86</v>
      </c>
      <c r="BB1115" t="s">
        <v>74</v>
      </c>
      <c r="BC1115" t="s">
        <v>87</v>
      </c>
      <c r="BD1115" t="s">
        <v>74</v>
      </c>
      <c r="BE1115" t="s">
        <v>74</v>
      </c>
      <c r="BF1115" t="s">
        <v>75</v>
      </c>
      <c r="BG1115" t="s">
        <v>92</v>
      </c>
      <c r="BH1115" t="s">
        <v>77</v>
      </c>
      <c r="BI1115" t="s">
        <v>96</v>
      </c>
      <c r="BJ1115" t="s">
        <v>109</v>
      </c>
      <c r="BK1115">
        <v>0</v>
      </c>
      <c r="BL1115">
        <v>0</v>
      </c>
      <c r="BM1115">
        <v>0</v>
      </c>
      <c r="BN1115">
        <v>0</v>
      </c>
      <c r="BO1115">
        <v>0</v>
      </c>
      <c r="BP1115">
        <v>1</v>
      </c>
      <c r="BQ1115">
        <v>0</v>
      </c>
      <c r="BR1115">
        <v>0</v>
      </c>
    </row>
    <row r="1116" spans="1:70" x14ac:dyDescent="0.2">
      <c r="A1116" s="1">
        <v>44588.886111111111</v>
      </c>
      <c r="B1116" s="1">
        <v>44588.888194444444</v>
      </c>
      <c r="C1116">
        <v>0</v>
      </c>
      <c r="D1116">
        <v>1</v>
      </c>
      <c r="E1116">
        <v>0</v>
      </c>
      <c r="F1116">
        <v>0</v>
      </c>
      <c r="H1116">
        <v>0</v>
      </c>
      <c r="I1116">
        <v>0</v>
      </c>
      <c r="J1116">
        <v>0</v>
      </c>
      <c r="K1116">
        <v>0</v>
      </c>
      <c r="L1116">
        <v>1</v>
      </c>
      <c r="M1116" t="s">
        <v>487</v>
      </c>
      <c r="N1116" t="s">
        <v>88</v>
      </c>
      <c r="O1116" t="s">
        <v>89</v>
      </c>
      <c r="P1116">
        <v>0</v>
      </c>
      <c r="Q1116">
        <v>1</v>
      </c>
      <c r="R1116">
        <v>0</v>
      </c>
      <c r="S1116">
        <v>0</v>
      </c>
      <c r="T1116">
        <v>0</v>
      </c>
      <c r="U1116">
        <v>0</v>
      </c>
      <c r="V1116">
        <v>0</v>
      </c>
      <c r="W1116">
        <v>0</v>
      </c>
      <c r="X1116">
        <v>0</v>
      </c>
      <c r="Y1116">
        <v>0</v>
      </c>
      <c r="Z1116">
        <v>0</v>
      </c>
      <c r="AA1116">
        <v>0</v>
      </c>
      <c r="AM1116" t="s">
        <v>90</v>
      </c>
      <c r="AN1116" t="s">
        <v>82</v>
      </c>
      <c r="AO1116" t="s">
        <v>81</v>
      </c>
      <c r="AP1116" t="s">
        <v>81</v>
      </c>
      <c r="AQ1116" t="s">
        <v>83</v>
      </c>
      <c r="AR1116" t="s">
        <v>83</v>
      </c>
      <c r="AS1116" t="s">
        <v>83</v>
      </c>
      <c r="AT1116" t="s">
        <v>83</v>
      </c>
      <c r="AU1116" t="s">
        <v>88</v>
      </c>
      <c r="AV1116" t="s">
        <v>89</v>
      </c>
      <c r="AW1116" t="s">
        <v>100</v>
      </c>
      <c r="AZ1116" t="s">
        <v>107</v>
      </c>
      <c r="BA1116" t="s">
        <v>87</v>
      </c>
      <c r="BB1116" t="s">
        <v>86</v>
      </c>
      <c r="BC1116" t="s">
        <v>87</v>
      </c>
      <c r="BD1116" t="s">
        <v>87</v>
      </c>
      <c r="BE1116" t="s">
        <v>86</v>
      </c>
      <c r="BF1116" t="s">
        <v>101</v>
      </c>
      <c r="BG1116" t="s">
        <v>76</v>
      </c>
      <c r="BH1116" t="s">
        <v>77</v>
      </c>
      <c r="BI1116" t="s">
        <v>107</v>
      </c>
      <c r="BK1116">
        <v>0</v>
      </c>
      <c r="BL1116">
        <v>0</v>
      </c>
      <c r="BM1116">
        <v>0</v>
      </c>
      <c r="BN1116">
        <v>0</v>
      </c>
      <c r="BO1116">
        <v>0</v>
      </c>
      <c r="BP1116">
        <v>1</v>
      </c>
      <c r="BQ1116">
        <v>0</v>
      </c>
      <c r="BR1116">
        <v>0</v>
      </c>
    </row>
    <row r="1117" spans="1:70" x14ac:dyDescent="0.2">
      <c r="A1117" s="1">
        <v>44579.936111111114</v>
      </c>
      <c r="B1117" s="1">
        <v>44579.9375</v>
      </c>
      <c r="C1117">
        <v>1</v>
      </c>
      <c r="D1117">
        <v>0</v>
      </c>
      <c r="E1117">
        <v>0</v>
      </c>
      <c r="F1117">
        <v>0</v>
      </c>
      <c r="H1117">
        <v>0</v>
      </c>
      <c r="I1117">
        <v>1</v>
      </c>
      <c r="J1117">
        <v>0</v>
      </c>
      <c r="K1117">
        <v>0</v>
      </c>
      <c r="L1117">
        <v>0</v>
      </c>
      <c r="N1117" t="s">
        <v>79</v>
      </c>
      <c r="O1117" t="s">
        <v>89</v>
      </c>
      <c r="P1117">
        <v>1</v>
      </c>
      <c r="Q1117">
        <v>0</v>
      </c>
      <c r="R1117">
        <v>0</v>
      </c>
      <c r="S1117">
        <v>0</v>
      </c>
      <c r="T1117">
        <v>0</v>
      </c>
      <c r="U1117">
        <v>0</v>
      </c>
      <c r="V1117">
        <v>0</v>
      </c>
      <c r="W1117">
        <v>0</v>
      </c>
      <c r="X1117">
        <v>0</v>
      </c>
      <c r="Y1117">
        <v>0</v>
      </c>
      <c r="Z1117">
        <v>0</v>
      </c>
      <c r="AA1117">
        <v>0</v>
      </c>
      <c r="AC1117">
        <v>0</v>
      </c>
      <c r="AD1117">
        <v>1</v>
      </c>
      <c r="AE1117">
        <v>0</v>
      </c>
      <c r="AF1117">
        <v>0</v>
      </c>
      <c r="AG1117">
        <v>0</v>
      </c>
      <c r="AH1117">
        <v>0</v>
      </c>
      <c r="AI1117">
        <v>0</v>
      </c>
      <c r="AJ1117">
        <v>0</v>
      </c>
      <c r="AK1117">
        <v>0</v>
      </c>
      <c r="AX1117" t="s">
        <v>110</v>
      </c>
      <c r="AY1117" t="s">
        <v>488</v>
      </c>
      <c r="AZ1117" t="s">
        <v>107</v>
      </c>
      <c r="BA1117" t="s">
        <v>86</v>
      </c>
      <c r="BB1117" t="s">
        <v>86</v>
      </c>
      <c r="BC1117" t="s">
        <v>86</v>
      </c>
      <c r="BD1117" t="s">
        <v>86</v>
      </c>
      <c r="BE1117" t="s">
        <v>86</v>
      </c>
      <c r="BF1117" t="s">
        <v>75</v>
      </c>
      <c r="BG1117" t="s">
        <v>76</v>
      </c>
      <c r="BH1117" t="s">
        <v>98</v>
      </c>
      <c r="BI1117" t="s">
        <v>107</v>
      </c>
      <c r="BJ1117" t="s">
        <v>78</v>
      </c>
      <c r="BK1117">
        <v>0</v>
      </c>
      <c r="BL1117">
        <v>0</v>
      </c>
      <c r="BM1117">
        <v>0</v>
      </c>
      <c r="BN1117">
        <v>0</v>
      </c>
      <c r="BO1117">
        <v>0</v>
      </c>
      <c r="BP1117">
        <v>1</v>
      </c>
      <c r="BQ1117">
        <v>0</v>
      </c>
      <c r="BR1117">
        <v>0</v>
      </c>
    </row>
    <row r="1118" spans="1:70" x14ac:dyDescent="0.2">
      <c r="A1118" s="1">
        <v>44588.953472222223</v>
      </c>
      <c r="B1118" s="1">
        <v>44588.95416666667</v>
      </c>
      <c r="C1118">
        <v>1</v>
      </c>
      <c r="D1118">
        <v>0</v>
      </c>
      <c r="E1118">
        <v>0</v>
      </c>
      <c r="F1118">
        <v>0</v>
      </c>
      <c r="H1118">
        <v>1</v>
      </c>
      <c r="I1118">
        <v>0</v>
      </c>
      <c r="J1118">
        <v>0</v>
      </c>
      <c r="K1118">
        <v>0</v>
      </c>
      <c r="L1118">
        <v>0</v>
      </c>
      <c r="P1118">
        <v>1</v>
      </c>
      <c r="Q1118">
        <v>0</v>
      </c>
      <c r="R1118">
        <v>0</v>
      </c>
      <c r="S1118">
        <v>0</v>
      </c>
      <c r="T1118">
        <v>0</v>
      </c>
      <c r="U1118">
        <v>0</v>
      </c>
      <c r="V1118">
        <v>0</v>
      </c>
      <c r="W1118">
        <v>0</v>
      </c>
      <c r="X1118">
        <v>0</v>
      </c>
      <c r="Y1118">
        <v>0</v>
      </c>
      <c r="Z1118">
        <v>0</v>
      </c>
      <c r="AA1118">
        <v>0</v>
      </c>
      <c r="AC1118">
        <v>0</v>
      </c>
      <c r="AD1118">
        <v>0</v>
      </c>
      <c r="AE1118">
        <v>0</v>
      </c>
      <c r="AF1118">
        <v>0</v>
      </c>
      <c r="AG1118">
        <v>0</v>
      </c>
      <c r="AH1118">
        <v>0</v>
      </c>
      <c r="AI1118">
        <v>1</v>
      </c>
      <c r="AJ1118">
        <v>0</v>
      </c>
      <c r="AK1118">
        <v>0</v>
      </c>
      <c r="AX1118" t="s">
        <v>126</v>
      </c>
      <c r="AZ1118" t="s">
        <v>120</v>
      </c>
      <c r="BA1118" t="s">
        <v>74</v>
      </c>
      <c r="BF1118" t="s">
        <v>75</v>
      </c>
      <c r="BG1118" t="s">
        <v>92</v>
      </c>
      <c r="BH1118" t="s">
        <v>77</v>
      </c>
      <c r="BI1118" t="s">
        <v>120</v>
      </c>
      <c r="BJ1118" t="s">
        <v>151</v>
      </c>
      <c r="BK1118">
        <v>0</v>
      </c>
      <c r="BL1118">
        <v>0</v>
      </c>
      <c r="BM1118">
        <v>0</v>
      </c>
      <c r="BN1118">
        <v>0</v>
      </c>
      <c r="BO1118">
        <v>0</v>
      </c>
      <c r="BP1118">
        <v>1</v>
      </c>
      <c r="BQ1118">
        <v>0</v>
      </c>
      <c r="BR1118">
        <v>0</v>
      </c>
    </row>
    <row r="1119" spans="1:70" x14ac:dyDescent="0.2">
      <c r="A1119" s="1">
        <v>44580.659722222219</v>
      </c>
      <c r="B1119" s="1">
        <v>44580.666666666664</v>
      </c>
      <c r="C1119">
        <v>1</v>
      </c>
      <c r="D1119">
        <v>0</v>
      </c>
      <c r="E1119">
        <v>1</v>
      </c>
      <c r="F1119">
        <v>0</v>
      </c>
      <c r="G1119" t="s">
        <v>335</v>
      </c>
      <c r="H1119">
        <v>0</v>
      </c>
      <c r="I1119">
        <v>0</v>
      </c>
      <c r="J1119">
        <v>0</v>
      </c>
      <c r="K1119">
        <v>0</v>
      </c>
      <c r="L1119">
        <v>1</v>
      </c>
      <c r="M1119" t="s">
        <v>489</v>
      </c>
      <c r="N1119" t="s">
        <v>88</v>
      </c>
      <c r="O1119" t="s">
        <v>89</v>
      </c>
      <c r="P1119">
        <v>0</v>
      </c>
      <c r="Q1119">
        <v>1</v>
      </c>
      <c r="R1119">
        <v>0</v>
      </c>
      <c r="S1119">
        <v>0</v>
      </c>
      <c r="T1119">
        <v>0</v>
      </c>
      <c r="U1119">
        <v>0</v>
      </c>
      <c r="V1119">
        <v>0</v>
      </c>
      <c r="W1119">
        <v>0</v>
      </c>
      <c r="X1119">
        <v>0</v>
      </c>
      <c r="Y1119">
        <v>0</v>
      </c>
      <c r="Z1119">
        <v>0</v>
      </c>
      <c r="AA1119">
        <v>0</v>
      </c>
      <c r="AM1119" t="s">
        <v>82</v>
      </c>
      <c r="AN1119" t="s">
        <v>82</v>
      </c>
      <c r="AO1119" t="s">
        <v>83</v>
      </c>
      <c r="AP1119" t="s">
        <v>82</v>
      </c>
      <c r="AQ1119" t="s">
        <v>82</v>
      </c>
      <c r="AR1119" t="s">
        <v>82</v>
      </c>
      <c r="AS1119" t="s">
        <v>82</v>
      </c>
      <c r="AT1119" t="s">
        <v>82</v>
      </c>
      <c r="AU1119" t="s">
        <v>88</v>
      </c>
      <c r="AV1119" t="s">
        <v>89</v>
      </c>
      <c r="AW1119" t="s">
        <v>85</v>
      </c>
      <c r="AX1119" t="s">
        <v>146</v>
      </c>
      <c r="AZ1119" t="s">
        <v>96</v>
      </c>
      <c r="BA1119" t="s">
        <v>74</v>
      </c>
      <c r="BF1119" t="s">
        <v>75</v>
      </c>
      <c r="BG1119" t="s">
        <v>76</v>
      </c>
      <c r="BH1119" t="s">
        <v>77</v>
      </c>
      <c r="BI1119" t="s">
        <v>96</v>
      </c>
      <c r="BK1119">
        <v>0</v>
      </c>
      <c r="BL1119">
        <v>0</v>
      </c>
      <c r="BM1119">
        <v>0</v>
      </c>
      <c r="BN1119">
        <v>0</v>
      </c>
      <c r="BO1119">
        <v>0</v>
      </c>
      <c r="BP1119">
        <v>1</v>
      </c>
      <c r="BQ1119">
        <v>0</v>
      </c>
      <c r="BR1119">
        <v>0</v>
      </c>
    </row>
    <row r="1120" spans="1:70" x14ac:dyDescent="0.2">
      <c r="A1120" s="1">
        <v>44585.504166666666</v>
      </c>
      <c r="B1120" s="1">
        <v>44585.505555555559</v>
      </c>
      <c r="C1120">
        <v>0</v>
      </c>
      <c r="D1120">
        <v>1</v>
      </c>
      <c r="E1120">
        <v>0</v>
      </c>
      <c r="F1120">
        <v>0</v>
      </c>
      <c r="H1120">
        <v>0</v>
      </c>
      <c r="I1120">
        <v>0</v>
      </c>
      <c r="J1120">
        <v>1</v>
      </c>
      <c r="K1120">
        <v>0</v>
      </c>
      <c r="L1120">
        <v>0</v>
      </c>
      <c r="N1120" t="s">
        <v>135</v>
      </c>
      <c r="O1120" t="s">
        <v>89</v>
      </c>
      <c r="P1120">
        <v>1</v>
      </c>
      <c r="Q1120">
        <v>0</v>
      </c>
      <c r="R1120">
        <v>0</v>
      </c>
      <c r="S1120">
        <v>0</v>
      </c>
      <c r="T1120">
        <v>0</v>
      </c>
      <c r="U1120">
        <v>0</v>
      </c>
      <c r="V1120">
        <v>0</v>
      </c>
      <c r="W1120">
        <v>0</v>
      </c>
      <c r="X1120">
        <v>0</v>
      </c>
      <c r="Y1120">
        <v>0</v>
      </c>
      <c r="Z1120">
        <v>0</v>
      </c>
      <c r="AA1120">
        <v>0</v>
      </c>
      <c r="AC1120">
        <v>0</v>
      </c>
      <c r="AD1120">
        <v>1</v>
      </c>
      <c r="AE1120">
        <v>0</v>
      </c>
      <c r="AF1120">
        <v>0</v>
      </c>
      <c r="AG1120">
        <v>0</v>
      </c>
      <c r="AH1120">
        <v>0</v>
      </c>
      <c r="AI1120">
        <v>0</v>
      </c>
      <c r="AJ1120">
        <v>0</v>
      </c>
      <c r="AK1120">
        <v>0</v>
      </c>
      <c r="AX1120" t="s">
        <v>118</v>
      </c>
      <c r="AZ1120" t="s">
        <v>107</v>
      </c>
      <c r="BA1120" t="s">
        <v>74</v>
      </c>
      <c r="BF1120" t="s">
        <v>75</v>
      </c>
      <c r="BG1120" t="s">
        <v>76</v>
      </c>
      <c r="BH1120" t="s">
        <v>77</v>
      </c>
      <c r="BI1120" t="s">
        <v>107</v>
      </c>
      <c r="BJ1120" t="s">
        <v>114</v>
      </c>
      <c r="BK1120">
        <v>0</v>
      </c>
      <c r="BL1120">
        <v>0</v>
      </c>
      <c r="BM1120">
        <v>0</v>
      </c>
      <c r="BN1120">
        <v>0</v>
      </c>
      <c r="BO1120">
        <v>0</v>
      </c>
      <c r="BP1120">
        <v>1</v>
      </c>
      <c r="BQ1120">
        <v>0</v>
      </c>
      <c r="BR1120">
        <v>0</v>
      </c>
    </row>
    <row r="1121" spans="1:70" x14ac:dyDescent="0.2">
      <c r="A1121" s="1">
        <v>44580.715277777781</v>
      </c>
      <c r="B1121" s="1">
        <v>44580.718055555553</v>
      </c>
      <c r="C1121">
        <v>1</v>
      </c>
      <c r="D1121">
        <v>0</v>
      </c>
      <c r="E1121">
        <v>0</v>
      </c>
      <c r="F1121">
        <v>0</v>
      </c>
      <c r="H1121">
        <v>0</v>
      </c>
      <c r="I1121">
        <v>1</v>
      </c>
      <c r="J1121">
        <v>1</v>
      </c>
      <c r="K1121">
        <v>0</v>
      </c>
      <c r="L1121">
        <v>0</v>
      </c>
      <c r="N1121" t="s">
        <v>135</v>
      </c>
      <c r="O1121" t="s">
        <v>80</v>
      </c>
      <c r="P1121">
        <v>0</v>
      </c>
      <c r="Q1121">
        <v>0</v>
      </c>
      <c r="R1121">
        <v>1</v>
      </c>
      <c r="S1121">
        <v>0</v>
      </c>
      <c r="T1121">
        <v>0</v>
      </c>
      <c r="U1121">
        <v>0</v>
      </c>
      <c r="V1121">
        <v>0</v>
      </c>
      <c r="W1121">
        <v>0</v>
      </c>
      <c r="X1121">
        <v>0</v>
      </c>
      <c r="Y1121">
        <v>0</v>
      </c>
      <c r="Z1121">
        <v>0</v>
      </c>
      <c r="AA1121">
        <v>0</v>
      </c>
      <c r="AM1121" t="s">
        <v>82</v>
      </c>
      <c r="AN1121" t="s">
        <v>81</v>
      </c>
      <c r="AO1121" t="s">
        <v>81</v>
      </c>
      <c r="AP1121" t="s">
        <v>81</v>
      </c>
      <c r="AQ1121" t="s">
        <v>82</v>
      </c>
      <c r="AR1121" t="s">
        <v>83</v>
      </c>
      <c r="AS1121" t="s">
        <v>83</v>
      </c>
      <c r="AT1121" t="s">
        <v>83</v>
      </c>
      <c r="AU1121" t="s">
        <v>84</v>
      </c>
      <c r="AV1121" t="s">
        <v>80</v>
      </c>
      <c r="AW1121" t="s">
        <v>117</v>
      </c>
      <c r="AX1121" t="s">
        <v>122</v>
      </c>
      <c r="AZ1121" t="s">
        <v>107</v>
      </c>
      <c r="BA1121" t="s">
        <v>87</v>
      </c>
      <c r="BB1121" t="s">
        <v>87</v>
      </c>
      <c r="BC1121" t="s">
        <v>87</v>
      </c>
      <c r="BD1121" t="s">
        <v>87</v>
      </c>
      <c r="BE1121" t="s">
        <v>86</v>
      </c>
      <c r="BF1121" t="s">
        <v>113</v>
      </c>
      <c r="BG1121" t="s">
        <v>76</v>
      </c>
      <c r="BH1121" t="s">
        <v>77</v>
      </c>
      <c r="BI1121" t="s">
        <v>107</v>
      </c>
      <c r="BJ1121" t="s">
        <v>109</v>
      </c>
      <c r="BK1121">
        <v>0</v>
      </c>
      <c r="BL1121">
        <v>0</v>
      </c>
      <c r="BM1121">
        <v>0</v>
      </c>
      <c r="BN1121">
        <v>0</v>
      </c>
      <c r="BO1121">
        <v>0</v>
      </c>
      <c r="BP1121">
        <v>1</v>
      </c>
      <c r="BQ1121">
        <v>0</v>
      </c>
      <c r="BR1121">
        <v>0</v>
      </c>
    </row>
    <row r="1122" spans="1:70" x14ac:dyDescent="0.2">
      <c r="A1122" s="1">
        <v>44585.760416666664</v>
      </c>
      <c r="B1122" s="1">
        <v>44585.761805555558</v>
      </c>
      <c r="C1122">
        <v>0</v>
      </c>
      <c r="D1122">
        <v>1</v>
      </c>
      <c r="E1122">
        <v>0</v>
      </c>
      <c r="F1122">
        <v>0</v>
      </c>
      <c r="H1122">
        <v>0</v>
      </c>
      <c r="I1122">
        <v>1</v>
      </c>
      <c r="J1122">
        <v>0</v>
      </c>
      <c r="K1122">
        <v>0</v>
      </c>
      <c r="L1122">
        <v>0</v>
      </c>
      <c r="N1122" t="s">
        <v>135</v>
      </c>
      <c r="O1122" t="s">
        <v>127</v>
      </c>
      <c r="P1122">
        <v>0</v>
      </c>
      <c r="Q1122">
        <v>0</v>
      </c>
      <c r="R1122">
        <v>0</v>
      </c>
      <c r="S1122">
        <v>0</v>
      </c>
      <c r="T1122">
        <v>1</v>
      </c>
      <c r="U1122">
        <v>0</v>
      </c>
      <c r="V1122">
        <v>0</v>
      </c>
      <c r="W1122">
        <v>0</v>
      </c>
      <c r="X1122">
        <v>0</v>
      </c>
      <c r="Y1122">
        <v>0</v>
      </c>
      <c r="Z1122">
        <v>0</v>
      </c>
      <c r="AA1122">
        <v>0</v>
      </c>
      <c r="AM1122" t="s">
        <v>83</v>
      </c>
      <c r="AN1122" t="s">
        <v>83</v>
      </c>
      <c r="AO1122" t="s">
        <v>83</v>
      </c>
      <c r="AP1122" t="s">
        <v>83</v>
      </c>
      <c r="AQ1122" t="s">
        <v>82</v>
      </c>
      <c r="AR1122" t="s">
        <v>83</v>
      </c>
      <c r="AS1122" t="s">
        <v>83</v>
      </c>
      <c r="AT1122" t="s">
        <v>83</v>
      </c>
      <c r="AU1122" t="s">
        <v>135</v>
      </c>
      <c r="AV1122" t="s">
        <v>127</v>
      </c>
      <c r="AW1122" t="s">
        <v>85</v>
      </c>
      <c r="AZ1122" t="s">
        <v>73</v>
      </c>
      <c r="BA1122" t="s">
        <v>87</v>
      </c>
      <c r="BB1122" t="s">
        <v>87</v>
      </c>
      <c r="BC1122" t="s">
        <v>87</v>
      </c>
      <c r="BD1122" t="s">
        <v>87</v>
      </c>
      <c r="BE1122" t="s">
        <v>74</v>
      </c>
      <c r="BF1122" t="s">
        <v>101</v>
      </c>
      <c r="BG1122" t="s">
        <v>76</v>
      </c>
      <c r="BH1122" t="s">
        <v>77</v>
      </c>
      <c r="BI1122" t="s">
        <v>73</v>
      </c>
      <c r="BJ1122" t="s">
        <v>109</v>
      </c>
      <c r="BK1122">
        <v>0</v>
      </c>
      <c r="BL1122">
        <v>0</v>
      </c>
      <c r="BM1122">
        <v>0</v>
      </c>
      <c r="BN1122">
        <v>0</v>
      </c>
      <c r="BO1122">
        <v>0</v>
      </c>
      <c r="BP1122">
        <v>1</v>
      </c>
      <c r="BQ1122">
        <v>0</v>
      </c>
      <c r="BR1122">
        <v>0</v>
      </c>
    </row>
    <row r="1123" spans="1:70" x14ac:dyDescent="0.2">
      <c r="A1123" s="1">
        <v>44585.519444444442</v>
      </c>
      <c r="B1123" s="1">
        <v>44585.523611111108</v>
      </c>
      <c r="C1123">
        <v>1</v>
      </c>
      <c r="D1123">
        <v>0</v>
      </c>
      <c r="E1123">
        <v>0</v>
      </c>
      <c r="F1123">
        <v>0</v>
      </c>
      <c r="H1123">
        <v>0</v>
      </c>
      <c r="I1123">
        <v>1</v>
      </c>
      <c r="J1123">
        <v>0</v>
      </c>
      <c r="K1123">
        <v>1</v>
      </c>
      <c r="L1123">
        <v>0</v>
      </c>
      <c r="N1123" t="s">
        <v>79</v>
      </c>
      <c r="O1123" t="s">
        <v>80</v>
      </c>
      <c r="P1123">
        <v>1</v>
      </c>
      <c r="Q1123">
        <v>0</v>
      </c>
      <c r="R1123">
        <v>0</v>
      </c>
      <c r="S1123">
        <v>0</v>
      </c>
      <c r="T1123">
        <v>0</v>
      </c>
      <c r="U1123">
        <v>0</v>
      </c>
      <c r="V1123">
        <v>0</v>
      </c>
      <c r="W1123">
        <v>0</v>
      </c>
      <c r="X1123">
        <v>0</v>
      </c>
      <c r="Y1123">
        <v>0</v>
      </c>
      <c r="Z1123">
        <v>0</v>
      </c>
      <c r="AA1123">
        <v>0</v>
      </c>
      <c r="AC1123">
        <v>0</v>
      </c>
      <c r="AD1123">
        <v>0</v>
      </c>
      <c r="AE1123">
        <v>0</v>
      </c>
      <c r="AF1123">
        <v>0</v>
      </c>
      <c r="AG1123">
        <v>0</v>
      </c>
      <c r="AH1123">
        <v>0</v>
      </c>
      <c r="AI1123">
        <v>0</v>
      </c>
      <c r="AJ1123">
        <v>0</v>
      </c>
      <c r="AK1123">
        <v>1</v>
      </c>
      <c r="AL1123" t="s">
        <v>490</v>
      </c>
      <c r="AX1123" t="s">
        <v>122</v>
      </c>
      <c r="AZ1123" t="s">
        <v>73</v>
      </c>
      <c r="BA1123" t="s">
        <v>86</v>
      </c>
      <c r="BB1123" t="s">
        <v>87</v>
      </c>
      <c r="BC1123" t="s">
        <v>86</v>
      </c>
      <c r="BD1123" t="s">
        <v>87</v>
      </c>
      <c r="BE1123" t="s">
        <v>86</v>
      </c>
      <c r="BF1123" t="s">
        <v>75</v>
      </c>
      <c r="BG1123" t="s">
        <v>76</v>
      </c>
      <c r="BH1123" t="s">
        <v>77</v>
      </c>
      <c r="BI1123" t="s">
        <v>73</v>
      </c>
      <c r="BJ1123" t="s">
        <v>114</v>
      </c>
      <c r="BK1123">
        <v>0</v>
      </c>
      <c r="BL1123">
        <v>0</v>
      </c>
      <c r="BM1123">
        <v>0</v>
      </c>
      <c r="BN1123">
        <v>0</v>
      </c>
      <c r="BO1123">
        <v>0</v>
      </c>
      <c r="BP1123">
        <v>1</v>
      </c>
      <c r="BQ1123">
        <v>0</v>
      </c>
      <c r="BR1123">
        <v>0</v>
      </c>
    </row>
    <row r="1124" spans="1:70" x14ac:dyDescent="0.2">
      <c r="A1124" s="1">
        <v>44579.882638888892</v>
      </c>
      <c r="B1124" s="1">
        <v>44579.886111111111</v>
      </c>
      <c r="C1124">
        <v>1</v>
      </c>
      <c r="D1124">
        <v>0</v>
      </c>
      <c r="E1124">
        <v>0</v>
      </c>
      <c r="F1124">
        <v>0</v>
      </c>
      <c r="H1124">
        <v>0</v>
      </c>
      <c r="I1124">
        <v>1</v>
      </c>
      <c r="J1124">
        <v>0</v>
      </c>
      <c r="K1124">
        <v>0</v>
      </c>
      <c r="L1124">
        <v>1</v>
      </c>
      <c r="M1124" t="s">
        <v>491</v>
      </c>
      <c r="N1124" t="s">
        <v>79</v>
      </c>
      <c r="O1124" t="s">
        <v>89</v>
      </c>
      <c r="P1124">
        <v>0</v>
      </c>
      <c r="Q1124">
        <v>1</v>
      </c>
      <c r="R1124">
        <v>1</v>
      </c>
      <c r="S1124">
        <v>0</v>
      </c>
      <c r="T1124">
        <v>0</v>
      </c>
      <c r="U1124">
        <v>0</v>
      </c>
      <c r="V1124">
        <v>0</v>
      </c>
      <c r="W1124">
        <v>0</v>
      </c>
      <c r="X1124">
        <v>0</v>
      </c>
      <c r="Y1124">
        <v>0</v>
      </c>
      <c r="Z1124">
        <v>0</v>
      </c>
      <c r="AA1124">
        <v>0</v>
      </c>
      <c r="AM1124" t="s">
        <v>83</v>
      </c>
      <c r="AN1124" t="s">
        <v>82</v>
      </c>
      <c r="AO1124" t="s">
        <v>83</v>
      </c>
      <c r="AP1124" t="s">
        <v>90</v>
      </c>
      <c r="AQ1124" t="s">
        <v>81</v>
      </c>
      <c r="AR1124" t="s">
        <v>83</v>
      </c>
      <c r="AS1124" t="s">
        <v>81</v>
      </c>
      <c r="AT1124" t="s">
        <v>83</v>
      </c>
      <c r="AU1124" t="s">
        <v>88</v>
      </c>
      <c r="AV1124" t="s">
        <v>89</v>
      </c>
      <c r="AW1124" t="s">
        <v>85</v>
      </c>
      <c r="AX1124" t="s">
        <v>118</v>
      </c>
      <c r="AZ1124" t="s">
        <v>107</v>
      </c>
      <c r="BA1124" t="s">
        <v>86</v>
      </c>
      <c r="BB1124" t="s">
        <v>74</v>
      </c>
      <c r="BC1124" t="s">
        <v>87</v>
      </c>
      <c r="BD1124" t="s">
        <v>86</v>
      </c>
      <c r="BE1124" t="s">
        <v>87</v>
      </c>
      <c r="BF1124" t="s">
        <v>75</v>
      </c>
      <c r="BG1124" t="s">
        <v>76</v>
      </c>
      <c r="BH1124" t="s">
        <v>77</v>
      </c>
      <c r="BI1124" t="s">
        <v>107</v>
      </c>
      <c r="BJ1124" t="s">
        <v>147</v>
      </c>
      <c r="BK1124">
        <v>0</v>
      </c>
      <c r="BL1124">
        <v>0</v>
      </c>
      <c r="BM1124">
        <v>0</v>
      </c>
      <c r="BN1124">
        <v>0</v>
      </c>
      <c r="BO1124">
        <v>0</v>
      </c>
      <c r="BP1124">
        <v>1</v>
      </c>
      <c r="BQ1124">
        <v>0</v>
      </c>
      <c r="BR1124">
        <v>0</v>
      </c>
    </row>
    <row r="1125" spans="1:70" x14ac:dyDescent="0.2">
      <c r="A1125" s="1">
        <v>44585.504166666666</v>
      </c>
      <c r="B1125" s="1">
        <v>44585.506249999999</v>
      </c>
      <c r="C1125">
        <v>0</v>
      </c>
      <c r="D1125">
        <v>1</v>
      </c>
      <c r="E1125">
        <v>0</v>
      </c>
      <c r="F1125">
        <v>0</v>
      </c>
      <c r="H1125">
        <v>0</v>
      </c>
      <c r="I1125">
        <v>1</v>
      </c>
      <c r="J1125">
        <v>1</v>
      </c>
      <c r="K1125">
        <v>1</v>
      </c>
      <c r="L1125">
        <v>0</v>
      </c>
      <c r="N1125" t="s">
        <v>88</v>
      </c>
      <c r="O1125" t="s">
        <v>89</v>
      </c>
      <c r="P1125">
        <v>0</v>
      </c>
      <c r="Q1125">
        <v>0</v>
      </c>
      <c r="R1125">
        <v>0</v>
      </c>
      <c r="S1125">
        <v>0</v>
      </c>
      <c r="T1125">
        <v>1</v>
      </c>
      <c r="U1125">
        <v>0</v>
      </c>
      <c r="V1125">
        <v>0</v>
      </c>
      <c r="W1125">
        <v>0</v>
      </c>
      <c r="X1125">
        <v>0</v>
      </c>
      <c r="Y1125">
        <v>0</v>
      </c>
      <c r="Z1125">
        <v>0</v>
      </c>
      <c r="AA1125">
        <v>0</v>
      </c>
      <c r="AM1125" t="s">
        <v>83</v>
      </c>
      <c r="AN1125" t="s">
        <v>82</v>
      </c>
      <c r="AO1125" t="s">
        <v>81</v>
      </c>
      <c r="AP1125" t="s">
        <v>82</v>
      </c>
      <c r="AQ1125" t="s">
        <v>81</v>
      </c>
      <c r="AR1125" t="s">
        <v>83</v>
      </c>
      <c r="AS1125" t="s">
        <v>83</v>
      </c>
      <c r="AT1125" t="s">
        <v>83</v>
      </c>
      <c r="AU1125" t="s">
        <v>88</v>
      </c>
      <c r="AV1125" t="s">
        <v>89</v>
      </c>
      <c r="AW1125" t="s">
        <v>100</v>
      </c>
      <c r="AZ1125" t="s">
        <v>96</v>
      </c>
      <c r="BA1125" t="s">
        <v>87</v>
      </c>
      <c r="BB1125" t="s">
        <v>87</v>
      </c>
      <c r="BC1125" t="s">
        <v>87</v>
      </c>
      <c r="BD1125" t="s">
        <v>87</v>
      </c>
      <c r="BE1125" t="s">
        <v>87</v>
      </c>
      <c r="BF1125" t="s">
        <v>101</v>
      </c>
      <c r="BG1125" t="s">
        <v>76</v>
      </c>
      <c r="BH1125" t="s">
        <v>77</v>
      </c>
      <c r="BI1125" t="s">
        <v>96</v>
      </c>
      <c r="BK1125">
        <v>0</v>
      </c>
      <c r="BL1125">
        <v>0</v>
      </c>
      <c r="BM1125">
        <v>0</v>
      </c>
      <c r="BN1125">
        <v>0</v>
      </c>
      <c r="BO1125">
        <v>0</v>
      </c>
      <c r="BP1125">
        <v>1</v>
      </c>
      <c r="BQ1125">
        <v>0</v>
      </c>
      <c r="BR1125">
        <v>0</v>
      </c>
    </row>
    <row r="1126" spans="1:70" x14ac:dyDescent="0.2">
      <c r="A1126" s="1">
        <v>44585.638194444444</v>
      </c>
      <c r="B1126" s="1">
        <v>44585.63958333333</v>
      </c>
      <c r="C1126">
        <v>1</v>
      </c>
      <c r="D1126">
        <v>0</v>
      </c>
      <c r="E1126">
        <v>0</v>
      </c>
      <c r="F1126">
        <v>0</v>
      </c>
      <c r="H1126">
        <v>0</v>
      </c>
      <c r="I1126">
        <v>1</v>
      </c>
      <c r="J1126">
        <v>1</v>
      </c>
      <c r="K1126">
        <v>0</v>
      </c>
      <c r="L1126">
        <v>0</v>
      </c>
      <c r="N1126" t="s">
        <v>135</v>
      </c>
      <c r="O1126" t="s">
        <v>80</v>
      </c>
      <c r="P1126">
        <v>0</v>
      </c>
      <c r="Q1126">
        <v>0</v>
      </c>
      <c r="R1126">
        <v>1</v>
      </c>
      <c r="S1126">
        <v>0</v>
      </c>
      <c r="T1126">
        <v>0</v>
      </c>
      <c r="U1126">
        <v>0</v>
      </c>
      <c r="V1126">
        <v>0</v>
      </c>
      <c r="W1126">
        <v>0</v>
      </c>
      <c r="X1126">
        <v>0</v>
      </c>
      <c r="Y1126">
        <v>0</v>
      </c>
      <c r="Z1126">
        <v>0</v>
      </c>
      <c r="AA1126">
        <v>0</v>
      </c>
      <c r="AM1126" t="s">
        <v>83</v>
      </c>
      <c r="AN1126" t="s">
        <v>81</v>
      </c>
      <c r="AO1126" t="s">
        <v>83</v>
      </c>
      <c r="AP1126" t="s">
        <v>81</v>
      </c>
      <c r="AQ1126" t="s">
        <v>82</v>
      </c>
      <c r="AR1126" t="s">
        <v>83</v>
      </c>
      <c r="AS1126" t="s">
        <v>83</v>
      </c>
      <c r="AT1126" t="s">
        <v>83</v>
      </c>
      <c r="AU1126" t="s">
        <v>88</v>
      </c>
      <c r="AV1126" t="s">
        <v>89</v>
      </c>
      <c r="AW1126" t="s">
        <v>85</v>
      </c>
      <c r="AX1126" t="s">
        <v>118</v>
      </c>
      <c r="AZ1126" t="s">
        <v>107</v>
      </c>
      <c r="BA1126" t="s">
        <v>87</v>
      </c>
      <c r="BB1126" t="s">
        <v>87</v>
      </c>
      <c r="BC1126" t="s">
        <v>87</v>
      </c>
      <c r="BD1126" t="s">
        <v>86</v>
      </c>
      <c r="BE1126" t="s">
        <v>86</v>
      </c>
      <c r="BF1126" t="s">
        <v>75</v>
      </c>
      <c r="BG1126" t="s">
        <v>92</v>
      </c>
      <c r="BH1126" t="s">
        <v>77</v>
      </c>
      <c r="BI1126" t="s">
        <v>107</v>
      </c>
      <c r="BJ1126" t="s">
        <v>109</v>
      </c>
      <c r="BK1126">
        <v>0</v>
      </c>
      <c r="BL1126">
        <v>0</v>
      </c>
      <c r="BM1126">
        <v>0</v>
      </c>
      <c r="BN1126">
        <v>0</v>
      </c>
      <c r="BO1126">
        <v>0</v>
      </c>
      <c r="BP1126">
        <v>1</v>
      </c>
      <c r="BQ1126">
        <v>0</v>
      </c>
      <c r="BR1126">
        <v>0</v>
      </c>
    </row>
    <row r="1127" spans="1:70" x14ac:dyDescent="0.2">
      <c r="A1127" s="1">
        <v>44579.90902777778</v>
      </c>
      <c r="B1127" s="1">
        <v>44579.911111111112</v>
      </c>
      <c r="C1127">
        <v>1</v>
      </c>
      <c r="D1127">
        <v>0</v>
      </c>
      <c r="E1127">
        <v>0</v>
      </c>
      <c r="F1127">
        <v>0</v>
      </c>
      <c r="H1127">
        <v>0</v>
      </c>
      <c r="I1127">
        <v>1</v>
      </c>
      <c r="J1127">
        <v>0</v>
      </c>
      <c r="K1127">
        <v>1</v>
      </c>
      <c r="L1127">
        <v>0</v>
      </c>
      <c r="N1127" t="s">
        <v>88</v>
      </c>
      <c r="O1127" t="s">
        <v>89</v>
      </c>
      <c r="P1127">
        <v>0</v>
      </c>
      <c r="Q1127">
        <v>0</v>
      </c>
      <c r="R1127">
        <v>0</v>
      </c>
      <c r="S1127">
        <v>1</v>
      </c>
      <c r="T1127">
        <v>0</v>
      </c>
      <c r="U1127">
        <v>0</v>
      </c>
      <c r="V1127">
        <v>0</v>
      </c>
      <c r="W1127">
        <v>0</v>
      </c>
      <c r="X1127">
        <v>0</v>
      </c>
      <c r="Y1127">
        <v>1</v>
      </c>
      <c r="Z1127">
        <v>0</v>
      </c>
      <c r="AA1127">
        <v>0</v>
      </c>
      <c r="AM1127" t="s">
        <v>81</v>
      </c>
      <c r="AN1127" t="s">
        <v>82</v>
      </c>
      <c r="AO1127" t="s">
        <v>82</v>
      </c>
      <c r="AP1127" t="s">
        <v>83</v>
      </c>
      <c r="AQ1127" t="s">
        <v>82</v>
      </c>
      <c r="AR1127" t="s">
        <v>81</v>
      </c>
      <c r="AS1127" t="s">
        <v>82</v>
      </c>
      <c r="AT1127" t="s">
        <v>83</v>
      </c>
      <c r="AU1127" t="s">
        <v>88</v>
      </c>
      <c r="AV1127" t="s">
        <v>89</v>
      </c>
      <c r="AW1127" t="s">
        <v>100</v>
      </c>
      <c r="AX1127" t="s">
        <v>128</v>
      </c>
      <c r="AZ1127" t="s">
        <v>107</v>
      </c>
      <c r="BA1127" t="s">
        <v>87</v>
      </c>
      <c r="BB1127" t="s">
        <v>86</v>
      </c>
      <c r="BC1127" t="s">
        <v>87</v>
      </c>
      <c r="BD1127" t="s">
        <v>87</v>
      </c>
      <c r="BE1127" t="s">
        <v>86</v>
      </c>
      <c r="BF1127" t="s">
        <v>75</v>
      </c>
      <c r="BG1127" t="s">
        <v>92</v>
      </c>
      <c r="BH1127" t="s">
        <v>77</v>
      </c>
      <c r="BI1127" t="s">
        <v>107</v>
      </c>
      <c r="BJ1127" t="s">
        <v>78</v>
      </c>
      <c r="BK1127">
        <v>0</v>
      </c>
      <c r="BL1127">
        <v>0</v>
      </c>
      <c r="BM1127">
        <v>0</v>
      </c>
      <c r="BN1127">
        <v>0</v>
      </c>
      <c r="BO1127">
        <v>0</v>
      </c>
      <c r="BP1127">
        <v>1</v>
      </c>
      <c r="BQ1127">
        <v>0</v>
      </c>
      <c r="BR1127">
        <v>0</v>
      </c>
    </row>
    <row r="1128" spans="1:70" x14ac:dyDescent="0.2">
      <c r="A1128" s="1">
        <v>44580.701388888891</v>
      </c>
      <c r="B1128" s="1">
        <v>44580.703472222223</v>
      </c>
      <c r="C1128">
        <v>1</v>
      </c>
      <c r="D1128">
        <v>0</v>
      </c>
      <c r="E1128">
        <v>0</v>
      </c>
      <c r="F1128">
        <v>0</v>
      </c>
      <c r="H1128">
        <v>0</v>
      </c>
      <c r="I1128">
        <v>1</v>
      </c>
      <c r="J1128">
        <v>1</v>
      </c>
      <c r="K1128">
        <v>1</v>
      </c>
      <c r="L1128">
        <v>0</v>
      </c>
      <c r="N1128" t="s">
        <v>88</v>
      </c>
      <c r="O1128" t="s">
        <v>89</v>
      </c>
      <c r="P1128">
        <v>0</v>
      </c>
      <c r="Q1128">
        <v>0</v>
      </c>
      <c r="R1128">
        <v>1</v>
      </c>
      <c r="S1128">
        <v>0</v>
      </c>
      <c r="T1128">
        <v>0</v>
      </c>
      <c r="U1128">
        <v>0</v>
      </c>
      <c r="V1128">
        <v>0</v>
      </c>
      <c r="W1128">
        <v>0</v>
      </c>
      <c r="X1128">
        <v>0</v>
      </c>
      <c r="Y1128">
        <v>0</v>
      </c>
      <c r="Z1128">
        <v>0</v>
      </c>
      <c r="AA1128">
        <v>0</v>
      </c>
      <c r="AM1128" t="s">
        <v>83</v>
      </c>
      <c r="AN1128" t="s">
        <v>81</v>
      </c>
      <c r="AO1128" t="s">
        <v>81</v>
      </c>
      <c r="AP1128" t="s">
        <v>82</v>
      </c>
      <c r="AQ1128" t="s">
        <v>81</v>
      </c>
      <c r="AR1128" t="s">
        <v>83</v>
      </c>
      <c r="AS1128" t="s">
        <v>83</v>
      </c>
      <c r="AT1128" t="s">
        <v>83</v>
      </c>
      <c r="AU1128" t="s">
        <v>88</v>
      </c>
      <c r="AV1128" t="s">
        <v>89</v>
      </c>
      <c r="AW1128" t="s">
        <v>100</v>
      </c>
      <c r="AX1128" t="s">
        <v>128</v>
      </c>
      <c r="AZ1128" t="s">
        <v>73</v>
      </c>
      <c r="BA1128" t="s">
        <v>86</v>
      </c>
      <c r="BB1128" t="s">
        <v>86</v>
      </c>
      <c r="BC1128" t="s">
        <v>87</v>
      </c>
      <c r="BD1128" t="s">
        <v>86</v>
      </c>
      <c r="BE1128" t="s">
        <v>87</v>
      </c>
      <c r="BF1128" t="s">
        <v>75</v>
      </c>
      <c r="BG1128" t="s">
        <v>92</v>
      </c>
      <c r="BH1128" t="s">
        <v>93</v>
      </c>
      <c r="BI1128" t="s">
        <v>73</v>
      </c>
      <c r="BJ1128" t="s">
        <v>114</v>
      </c>
      <c r="BK1128">
        <v>0</v>
      </c>
      <c r="BL1128">
        <v>0</v>
      </c>
      <c r="BM1128">
        <v>0</v>
      </c>
      <c r="BN1128">
        <v>0</v>
      </c>
      <c r="BO1128">
        <v>0</v>
      </c>
      <c r="BP1128">
        <v>1</v>
      </c>
      <c r="BQ1128">
        <v>0</v>
      </c>
      <c r="BR1128">
        <v>0</v>
      </c>
    </row>
    <row r="1129" spans="1:70" x14ac:dyDescent="0.2">
      <c r="A1129" s="1">
        <v>44579.879861111112</v>
      </c>
      <c r="B1129" s="1">
        <v>44579.881944444445</v>
      </c>
      <c r="C1129">
        <v>1</v>
      </c>
      <c r="D1129">
        <v>0</v>
      </c>
      <c r="E1129">
        <v>0</v>
      </c>
      <c r="F1129">
        <v>0</v>
      </c>
      <c r="H1129">
        <v>0</v>
      </c>
      <c r="I1129">
        <v>1</v>
      </c>
      <c r="J1129">
        <v>1</v>
      </c>
      <c r="K1129">
        <v>0</v>
      </c>
      <c r="L1129">
        <v>0</v>
      </c>
      <c r="N1129" t="s">
        <v>79</v>
      </c>
      <c r="O1129" t="s">
        <v>89</v>
      </c>
      <c r="P1129">
        <v>0</v>
      </c>
      <c r="Q1129">
        <v>0</v>
      </c>
      <c r="R1129">
        <v>1</v>
      </c>
      <c r="S1129">
        <v>0</v>
      </c>
      <c r="T1129">
        <v>0</v>
      </c>
      <c r="U1129">
        <v>0</v>
      </c>
      <c r="V1129">
        <v>0</v>
      </c>
      <c r="W1129">
        <v>0</v>
      </c>
      <c r="X1129">
        <v>0</v>
      </c>
      <c r="Y1129">
        <v>0</v>
      </c>
      <c r="Z1129">
        <v>0</v>
      </c>
      <c r="AA1129">
        <v>0</v>
      </c>
      <c r="AM1129" t="s">
        <v>83</v>
      </c>
      <c r="AN1129" t="s">
        <v>82</v>
      </c>
      <c r="AO1129" t="s">
        <v>83</v>
      </c>
      <c r="AP1129" t="s">
        <v>82</v>
      </c>
      <c r="AQ1129" t="s">
        <v>81</v>
      </c>
      <c r="AR1129" t="s">
        <v>81</v>
      </c>
      <c r="AS1129" t="s">
        <v>83</v>
      </c>
      <c r="AT1129" t="s">
        <v>83</v>
      </c>
      <c r="AU1129" t="s">
        <v>88</v>
      </c>
      <c r="AV1129" t="s">
        <v>89</v>
      </c>
      <c r="AW1129" t="s">
        <v>85</v>
      </c>
      <c r="AX1129" t="s">
        <v>146</v>
      </c>
      <c r="AZ1129" t="s">
        <v>73</v>
      </c>
      <c r="BA1129" t="s">
        <v>87</v>
      </c>
      <c r="BB1129" t="s">
        <v>87</v>
      </c>
      <c r="BC1129" t="s">
        <v>87</v>
      </c>
      <c r="BD1129" t="s">
        <v>74</v>
      </c>
      <c r="BE1129" t="s">
        <v>74</v>
      </c>
      <c r="BF1129" t="s">
        <v>75</v>
      </c>
      <c r="BG1129" t="s">
        <v>76</v>
      </c>
      <c r="BH1129" t="s">
        <v>77</v>
      </c>
      <c r="BI1129" t="s">
        <v>73</v>
      </c>
      <c r="BJ1129" t="s">
        <v>94</v>
      </c>
      <c r="BK1129">
        <v>1</v>
      </c>
      <c r="BL1129">
        <v>0</v>
      </c>
      <c r="BM1129">
        <v>0</v>
      </c>
      <c r="BN1129">
        <v>0</v>
      </c>
      <c r="BO1129">
        <v>0</v>
      </c>
      <c r="BP1129">
        <v>1</v>
      </c>
      <c r="BQ1129">
        <v>0</v>
      </c>
      <c r="BR1129">
        <v>0</v>
      </c>
    </row>
    <row r="1130" spans="1:70" x14ac:dyDescent="0.2">
      <c r="A1130" s="1">
        <v>44580.680555555555</v>
      </c>
      <c r="B1130" s="1">
        <v>44580.680555555555</v>
      </c>
      <c r="C1130">
        <v>0</v>
      </c>
      <c r="D1130">
        <v>0</v>
      </c>
      <c r="E1130">
        <v>0</v>
      </c>
      <c r="F1130">
        <v>1</v>
      </c>
      <c r="P1130">
        <v>1</v>
      </c>
      <c r="Q1130">
        <v>0</v>
      </c>
      <c r="R1130">
        <v>0</v>
      </c>
      <c r="S1130">
        <v>0</v>
      </c>
      <c r="T1130">
        <v>0</v>
      </c>
      <c r="U1130">
        <v>0</v>
      </c>
      <c r="V1130">
        <v>0</v>
      </c>
      <c r="W1130">
        <v>0</v>
      </c>
      <c r="X1130">
        <v>0</v>
      </c>
      <c r="Y1130">
        <v>0</v>
      </c>
      <c r="Z1130">
        <v>0</v>
      </c>
      <c r="AA1130">
        <v>0</v>
      </c>
      <c r="AC1130">
        <v>0</v>
      </c>
      <c r="AD1130">
        <v>0</v>
      </c>
      <c r="AE1130">
        <v>1</v>
      </c>
      <c r="AF1130">
        <v>0</v>
      </c>
      <c r="AG1130">
        <v>0</v>
      </c>
      <c r="AH1130">
        <v>0</v>
      </c>
      <c r="AI1130">
        <v>0</v>
      </c>
      <c r="AJ1130">
        <v>0</v>
      </c>
      <c r="AK1130">
        <v>0</v>
      </c>
      <c r="AZ1130" t="s">
        <v>120</v>
      </c>
      <c r="BF1130" t="s">
        <v>101</v>
      </c>
      <c r="BG1130" t="s">
        <v>76</v>
      </c>
      <c r="BH1130" t="s">
        <v>77</v>
      </c>
      <c r="BI1130" t="s">
        <v>120</v>
      </c>
      <c r="BJ1130" t="s">
        <v>109</v>
      </c>
      <c r="BK1130">
        <v>0</v>
      </c>
      <c r="BL1130">
        <v>0</v>
      </c>
      <c r="BM1130">
        <v>0</v>
      </c>
      <c r="BN1130">
        <v>0</v>
      </c>
      <c r="BO1130">
        <v>0</v>
      </c>
      <c r="BP1130">
        <v>1</v>
      </c>
      <c r="BQ1130">
        <v>0</v>
      </c>
      <c r="BR1130">
        <v>0</v>
      </c>
    </row>
    <row r="1131" spans="1:70" x14ac:dyDescent="0.2">
      <c r="A1131" s="1">
        <v>44587.606944444444</v>
      </c>
      <c r="B1131" s="1">
        <v>44587.609027777777</v>
      </c>
      <c r="C1131">
        <v>1</v>
      </c>
      <c r="D1131">
        <v>0</v>
      </c>
      <c r="E1131">
        <v>0</v>
      </c>
      <c r="F1131">
        <v>0</v>
      </c>
      <c r="H1131">
        <v>0</v>
      </c>
      <c r="I1131">
        <v>1</v>
      </c>
      <c r="J1131">
        <v>1</v>
      </c>
      <c r="K1131">
        <v>0</v>
      </c>
      <c r="L1131">
        <v>1</v>
      </c>
      <c r="M1131" t="s">
        <v>492</v>
      </c>
      <c r="N1131" t="s">
        <v>88</v>
      </c>
      <c r="O1131" t="s">
        <v>89</v>
      </c>
      <c r="P1131">
        <v>1</v>
      </c>
      <c r="Q1131">
        <v>0</v>
      </c>
      <c r="R1131">
        <v>0</v>
      </c>
      <c r="S1131">
        <v>0</v>
      </c>
      <c r="T1131">
        <v>0</v>
      </c>
      <c r="U1131">
        <v>0</v>
      </c>
      <c r="V1131">
        <v>0</v>
      </c>
      <c r="W1131">
        <v>0</v>
      </c>
      <c r="X1131">
        <v>0</v>
      </c>
      <c r="Y1131">
        <v>0</v>
      </c>
      <c r="Z1131">
        <v>0</v>
      </c>
      <c r="AA1131">
        <v>0</v>
      </c>
      <c r="AC1131">
        <v>0</v>
      </c>
      <c r="AD1131">
        <v>0</v>
      </c>
      <c r="AE1131">
        <v>0</v>
      </c>
      <c r="AF1131">
        <v>0</v>
      </c>
      <c r="AG1131">
        <v>0</v>
      </c>
      <c r="AH1131">
        <v>0</v>
      </c>
      <c r="AI1131">
        <v>0</v>
      </c>
      <c r="AJ1131">
        <v>0</v>
      </c>
      <c r="AK1131">
        <v>1</v>
      </c>
      <c r="AL1131" t="s">
        <v>493</v>
      </c>
      <c r="AX1131" t="s">
        <v>110</v>
      </c>
      <c r="AY1131" t="s">
        <v>494</v>
      </c>
      <c r="AZ1131" t="s">
        <v>73</v>
      </c>
      <c r="BA1131" t="s">
        <v>87</v>
      </c>
      <c r="BB1131" t="s">
        <v>74</v>
      </c>
      <c r="BC1131" t="s">
        <v>86</v>
      </c>
      <c r="BD1131" t="s">
        <v>74</v>
      </c>
      <c r="BE1131" t="s">
        <v>86</v>
      </c>
      <c r="BF1131" t="s">
        <v>75</v>
      </c>
      <c r="BG1131" t="s">
        <v>76</v>
      </c>
      <c r="BH1131" t="s">
        <v>77</v>
      </c>
      <c r="BI1131" t="s">
        <v>73</v>
      </c>
      <c r="BJ1131" t="s">
        <v>78</v>
      </c>
      <c r="BK1131">
        <v>0</v>
      </c>
      <c r="BL1131">
        <v>0</v>
      </c>
      <c r="BM1131">
        <v>0</v>
      </c>
      <c r="BN1131">
        <v>0</v>
      </c>
      <c r="BO1131">
        <v>0</v>
      </c>
      <c r="BP1131">
        <v>1</v>
      </c>
      <c r="BQ1131">
        <v>0</v>
      </c>
      <c r="BR1131">
        <v>0</v>
      </c>
    </row>
    <row r="1132" spans="1:70" x14ac:dyDescent="0.2">
      <c r="A1132" s="1">
        <v>44588.900694444441</v>
      </c>
      <c r="B1132" s="1">
        <v>44588.902083333334</v>
      </c>
      <c r="C1132">
        <v>1</v>
      </c>
      <c r="D1132">
        <v>0</v>
      </c>
      <c r="E1132">
        <v>0</v>
      </c>
      <c r="F1132">
        <v>0</v>
      </c>
      <c r="H1132">
        <v>0</v>
      </c>
      <c r="I1132">
        <v>0</v>
      </c>
      <c r="J1132">
        <v>0</v>
      </c>
      <c r="K1132">
        <v>0</v>
      </c>
      <c r="L1132">
        <v>1</v>
      </c>
      <c r="M1132" t="s">
        <v>434</v>
      </c>
      <c r="N1132" t="s">
        <v>127</v>
      </c>
      <c r="O1132" t="s">
        <v>223</v>
      </c>
      <c r="P1132">
        <v>1</v>
      </c>
      <c r="Q1132">
        <v>0</v>
      </c>
      <c r="R1132">
        <v>0</v>
      </c>
      <c r="S1132">
        <v>0</v>
      </c>
      <c r="T1132">
        <v>0</v>
      </c>
      <c r="U1132">
        <v>0</v>
      </c>
      <c r="V1132">
        <v>0</v>
      </c>
      <c r="W1132">
        <v>0</v>
      </c>
      <c r="X1132">
        <v>0</v>
      </c>
      <c r="Y1132">
        <v>0</v>
      </c>
      <c r="Z1132">
        <v>0</v>
      </c>
      <c r="AA1132">
        <v>0</v>
      </c>
      <c r="AC1132">
        <v>0</v>
      </c>
      <c r="AD1132">
        <v>0</v>
      </c>
      <c r="AE1132">
        <v>1</v>
      </c>
      <c r="AF1132">
        <v>0</v>
      </c>
      <c r="AG1132">
        <v>0</v>
      </c>
      <c r="AH1132">
        <v>0</v>
      </c>
      <c r="AI1132">
        <v>0</v>
      </c>
      <c r="AJ1132">
        <v>0</v>
      </c>
      <c r="AK1132">
        <v>0</v>
      </c>
      <c r="AX1132" t="s">
        <v>110</v>
      </c>
      <c r="AY1132" t="s">
        <v>215</v>
      </c>
      <c r="AZ1132" t="s">
        <v>73</v>
      </c>
      <c r="BA1132" t="s">
        <v>87</v>
      </c>
      <c r="BB1132" t="s">
        <v>87</v>
      </c>
      <c r="BC1132" t="s">
        <v>87</v>
      </c>
      <c r="BD1132" t="s">
        <v>87</v>
      </c>
      <c r="BE1132" t="s">
        <v>87</v>
      </c>
      <c r="BF1132" t="s">
        <v>75</v>
      </c>
      <c r="BG1132" t="s">
        <v>76</v>
      </c>
      <c r="BH1132" t="s">
        <v>77</v>
      </c>
      <c r="BI1132" t="s">
        <v>73</v>
      </c>
      <c r="BJ1132" t="s">
        <v>114</v>
      </c>
      <c r="BK1132">
        <v>0</v>
      </c>
      <c r="BL1132">
        <v>0</v>
      </c>
      <c r="BM1132">
        <v>0</v>
      </c>
      <c r="BN1132">
        <v>0</v>
      </c>
      <c r="BO1132">
        <v>0</v>
      </c>
      <c r="BP1132">
        <v>1</v>
      </c>
      <c r="BQ1132">
        <v>0</v>
      </c>
      <c r="BR1132">
        <v>0</v>
      </c>
    </row>
    <row r="1133" spans="1:70" x14ac:dyDescent="0.2">
      <c r="A1133" s="1">
        <v>44579.904861111114</v>
      </c>
      <c r="B1133" s="1">
        <v>44579.90625</v>
      </c>
      <c r="C1133">
        <v>0</v>
      </c>
      <c r="D1133">
        <v>1</v>
      </c>
      <c r="E1133">
        <v>0</v>
      </c>
      <c r="F1133">
        <v>0</v>
      </c>
      <c r="H1133">
        <v>1</v>
      </c>
      <c r="I1133">
        <v>0</v>
      </c>
      <c r="J1133">
        <v>0</v>
      </c>
      <c r="K1133">
        <v>0</v>
      </c>
      <c r="L1133">
        <v>0</v>
      </c>
      <c r="P1133">
        <v>1</v>
      </c>
      <c r="Q1133">
        <v>0</v>
      </c>
      <c r="R1133">
        <v>0</v>
      </c>
      <c r="S1133">
        <v>0</v>
      </c>
      <c r="T1133">
        <v>0</v>
      </c>
      <c r="U1133">
        <v>0</v>
      </c>
      <c r="V1133">
        <v>0</v>
      </c>
      <c r="W1133">
        <v>0</v>
      </c>
      <c r="X1133">
        <v>0</v>
      </c>
      <c r="Y1133">
        <v>0</v>
      </c>
      <c r="Z1133">
        <v>0</v>
      </c>
      <c r="AA1133">
        <v>0</v>
      </c>
      <c r="AC1133">
        <v>0</v>
      </c>
      <c r="AD1133">
        <v>0</v>
      </c>
      <c r="AE1133">
        <v>0</v>
      </c>
      <c r="AF1133">
        <v>0</v>
      </c>
      <c r="AG1133">
        <v>0</v>
      </c>
      <c r="AH1133">
        <v>1</v>
      </c>
      <c r="AI1133">
        <v>0</v>
      </c>
      <c r="AJ1133">
        <v>0</v>
      </c>
      <c r="AK1133">
        <v>0</v>
      </c>
      <c r="AX1133" t="s">
        <v>110</v>
      </c>
      <c r="AY1133" t="s">
        <v>495</v>
      </c>
      <c r="AZ1133" t="s">
        <v>107</v>
      </c>
      <c r="BA1133" t="s">
        <v>74</v>
      </c>
      <c r="BF1133" t="s">
        <v>75</v>
      </c>
      <c r="BG1133" t="s">
        <v>92</v>
      </c>
      <c r="BH1133" t="s">
        <v>77</v>
      </c>
      <c r="BI1133" t="s">
        <v>107</v>
      </c>
      <c r="BJ1133" t="s">
        <v>109</v>
      </c>
      <c r="BK1133">
        <v>0</v>
      </c>
      <c r="BL1133">
        <v>0</v>
      </c>
      <c r="BM1133">
        <v>0</v>
      </c>
      <c r="BN1133">
        <v>0</v>
      </c>
      <c r="BO1133">
        <v>0</v>
      </c>
      <c r="BP1133">
        <v>1</v>
      </c>
      <c r="BQ1133">
        <v>0</v>
      </c>
      <c r="BR1133">
        <v>0</v>
      </c>
    </row>
    <row r="1134" spans="1:70" x14ac:dyDescent="0.2">
      <c r="A1134" s="1">
        <v>44579.956944444442</v>
      </c>
      <c r="B1134" s="1">
        <v>44579.959027777775</v>
      </c>
      <c r="C1134">
        <v>1</v>
      </c>
      <c r="D1134">
        <v>0</v>
      </c>
      <c r="E1134">
        <v>0</v>
      </c>
      <c r="F1134">
        <v>0</v>
      </c>
      <c r="H1134">
        <v>0</v>
      </c>
      <c r="I1134">
        <v>1</v>
      </c>
      <c r="J1134">
        <v>1</v>
      </c>
      <c r="K1134">
        <v>0</v>
      </c>
      <c r="L1134">
        <v>0</v>
      </c>
      <c r="N1134" t="s">
        <v>88</v>
      </c>
      <c r="O1134" t="s">
        <v>89</v>
      </c>
      <c r="P1134">
        <v>0</v>
      </c>
      <c r="Q1134">
        <v>0</v>
      </c>
      <c r="R1134">
        <v>1</v>
      </c>
      <c r="S1134">
        <v>1</v>
      </c>
      <c r="T1134">
        <v>0</v>
      </c>
      <c r="U1134">
        <v>1</v>
      </c>
      <c r="V1134">
        <v>1</v>
      </c>
      <c r="W1134">
        <v>0</v>
      </c>
      <c r="X1134">
        <v>0</v>
      </c>
      <c r="Y1134">
        <v>0</v>
      </c>
      <c r="Z1134">
        <v>0</v>
      </c>
      <c r="AA1134">
        <v>0</v>
      </c>
      <c r="AM1134" t="s">
        <v>83</v>
      </c>
      <c r="AN1134" t="s">
        <v>82</v>
      </c>
      <c r="AO1134" t="s">
        <v>81</v>
      </c>
      <c r="AP1134" t="s">
        <v>81</v>
      </c>
      <c r="AQ1134" t="s">
        <v>81</v>
      </c>
      <c r="AR1134" t="s">
        <v>83</v>
      </c>
      <c r="AS1134" t="s">
        <v>83</v>
      </c>
      <c r="AT1134" t="s">
        <v>83</v>
      </c>
      <c r="AU1134" t="s">
        <v>88</v>
      </c>
      <c r="AV1134" t="s">
        <v>89</v>
      </c>
      <c r="AW1134" t="s">
        <v>100</v>
      </c>
      <c r="AX1134" t="s">
        <v>110</v>
      </c>
      <c r="AY1134" t="s">
        <v>496</v>
      </c>
      <c r="AZ1134" t="s">
        <v>73</v>
      </c>
      <c r="BA1134" t="s">
        <v>87</v>
      </c>
      <c r="BB1134" t="s">
        <v>86</v>
      </c>
      <c r="BC1134" t="s">
        <v>86</v>
      </c>
      <c r="BD1134" t="s">
        <v>86</v>
      </c>
      <c r="BE1134" t="s">
        <v>74</v>
      </c>
      <c r="BF1134" t="s">
        <v>75</v>
      </c>
      <c r="BG1134" t="s">
        <v>76</v>
      </c>
      <c r="BH1134" t="s">
        <v>77</v>
      </c>
      <c r="BI1134" t="s">
        <v>73</v>
      </c>
      <c r="BJ1134" t="s">
        <v>78</v>
      </c>
      <c r="BK1134">
        <v>0</v>
      </c>
      <c r="BL1134">
        <v>0</v>
      </c>
      <c r="BM1134">
        <v>0</v>
      </c>
      <c r="BN1134">
        <v>0</v>
      </c>
      <c r="BO1134">
        <v>0</v>
      </c>
      <c r="BP1134">
        <v>1</v>
      </c>
      <c r="BQ1134">
        <v>0</v>
      </c>
      <c r="BR1134">
        <v>0</v>
      </c>
    </row>
    <row r="1135" spans="1:70" x14ac:dyDescent="0.2">
      <c r="A1135" s="1">
        <v>44579.90902777778</v>
      </c>
      <c r="B1135" s="1">
        <v>44579.911805555559</v>
      </c>
      <c r="C1135">
        <v>1</v>
      </c>
      <c r="D1135">
        <v>0</v>
      </c>
      <c r="E1135">
        <v>0</v>
      </c>
      <c r="F1135">
        <v>0</v>
      </c>
      <c r="H1135">
        <v>0</v>
      </c>
      <c r="I1135">
        <v>1</v>
      </c>
      <c r="J1135">
        <v>1</v>
      </c>
      <c r="K1135">
        <v>0</v>
      </c>
      <c r="L1135">
        <v>1</v>
      </c>
      <c r="M1135" t="s">
        <v>497</v>
      </c>
      <c r="N1135" t="s">
        <v>88</v>
      </c>
      <c r="O1135" t="s">
        <v>89</v>
      </c>
      <c r="P1135">
        <v>0</v>
      </c>
      <c r="Q1135">
        <v>0</v>
      </c>
      <c r="R1135">
        <v>1</v>
      </c>
      <c r="S1135">
        <v>1</v>
      </c>
      <c r="T1135">
        <v>0</v>
      </c>
      <c r="U1135">
        <v>0</v>
      </c>
      <c r="V1135">
        <v>0</v>
      </c>
      <c r="W1135">
        <v>0</v>
      </c>
      <c r="X1135">
        <v>0</v>
      </c>
      <c r="Y1135">
        <v>0</v>
      </c>
      <c r="Z1135">
        <v>0</v>
      </c>
      <c r="AA1135">
        <v>0</v>
      </c>
      <c r="AM1135" t="s">
        <v>83</v>
      </c>
      <c r="AN1135" t="s">
        <v>82</v>
      </c>
      <c r="AO1135" t="s">
        <v>83</v>
      </c>
      <c r="AP1135" t="s">
        <v>81</v>
      </c>
      <c r="AQ1135" t="s">
        <v>82</v>
      </c>
      <c r="AR1135" t="s">
        <v>83</v>
      </c>
      <c r="AS1135" t="s">
        <v>83</v>
      </c>
      <c r="AT1135" t="s">
        <v>81</v>
      </c>
      <c r="AU1135" t="s">
        <v>88</v>
      </c>
      <c r="AV1135" t="s">
        <v>89</v>
      </c>
      <c r="AW1135" t="s">
        <v>85</v>
      </c>
      <c r="AX1135" t="s">
        <v>146</v>
      </c>
      <c r="AZ1135" t="s">
        <v>107</v>
      </c>
      <c r="BA1135" t="s">
        <v>86</v>
      </c>
      <c r="BB1135" t="s">
        <v>87</v>
      </c>
      <c r="BC1135" t="s">
        <v>87</v>
      </c>
      <c r="BD1135" t="s">
        <v>87</v>
      </c>
      <c r="BE1135" t="s">
        <v>87</v>
      </c>
      <c r="BF1135" t="s">
        <v>75</v>
      </c>
      <c r="BG1135" t="s">
        <v>76</v>
      </c>
      <c r="BH1135" t="s">
        <v>77</v>
      </c>
      <c r="BI1135" t="s">
        <v>107</v>
      </c>
      <c r="BJ1135" t="s">
        <v>78</v>
      </c>
      <c r="BK1135">
        <v>0</v>
      </c>
      <c r="BL1135">
        <v>0</v>
      </c>
      <c r="BM1135">
        <v>0</v>
      </c>
      <c r="BN1135">
        <v>0</v>
      </c>
      <c r="BO1135">
        <v>0</v>
      </c>
      <c r="BP1135">
        <v>1</v>
      </c>
      <c r="BQ1135">
        <v>0</v>
      </c>
      <c r="BR1135">
        <v>0</v>
      </c>
    </row>
    <row r="1136" spans="1:70" x14ac:dyDescent="0.2">
      <c r="A1136" s="1">
        <v>44579.956250000003</v>
      </c>
      <c r="B1136" s="1">
        <v>44579.958333333336</v>
      </c>
      <c r="C1136">
        <v>0</v>
      </c>
      <c r="D1136">
        <v>1</v>
      </c>
      <c r="E1136">
        <v>0</v>
      </c>
      <c r="F1136">
        <v>0</v>
      </c>
      <c r="H1136">
        <v>0</v>
      </c>
      <c r="I1136">
        <v>0</v>
      </c>
      <c r="J1136">
        <v>0</v>
      </c>
      <c r="K1136">
        <v>0</v>
      </c>
      <c r="L1136">
        <v>1</v>
      </c>
      <c r="M1136" t="s">
        <v>498</v>
      </c>
      <c r="N1136" t="s">
        <v>88</v>
      </c>
      <c r="O1136" t="s">
        <v>89</v>
      </c>
      <c r="P1136">
        <v>0</v>
      </c>
      <c r="Q1136">
        <v>0</v>
      </c>
      <c r="R1136">
        <v>0</v>
      </c>
      <c r="S1136">
        <v>1</v>
      </c>
      <c r="T1136">
        <v>0</v>
      </c>
      <c r="U1136">
        <v>0</v>
      </c>
      <c r="V1136">
        <v>0</v>
      </c>
      <c r="W1136">
        <v>0</v>
      </c>
      <c r="X1136">
        <v>0</v>
      </c>
      <c r="Y1136">
        <v>0</v>
      </c>
      <c r="Z1136">
        <v>0</v>
      </c>
      <c r="AA1136">
        <v>0</v>
      </c>
      <c r="AM1136" t="s">
        <v>83</v>
      </c>
      <c r="AN1136" t="s">
        <v>83</v>
      </c>
      <c r="AO1136" t="s">
        <v>82</v>
      </c>
      <c r="AP1136" t="s">
        <v>82</v>
      </c>
      <c r="AQ1136" t="s">
        <v>83</v>
      </c>
      <c r="AR1136" t="s">
        <v>83</v>
      </c>
      <c r="AS1136" t="s">
        <v>83</v>
      </c>
      <c r="AT1136" t="s">
        <v>83</v>
      </c>
      <c r="AU1136" t="s">
        <v>88</v>
      </c>
      <c r="AV1136" t="s">
        <v>89</v>
      </c>
      <c r="AW1136" t="s">
        <v>100</v>
      </c>
      <c r="AZ1136" t="s">
        <v>107</v>
      </c>
      <c r="BA1136" t="s">
        <v>87</v>
      </c>
      <c r="BB1136" t="s">
        <v>87</v>
      </c>
      <c r="BC1136" t="s">
        <v>87</v>
      </c>
      <c r="BD1136" t="s">
        <v>87</v>
      </c>
      <c r="BE1136" t="s">
        <v>86</v>
      </c>
      <c r="BF1136" t="s">
        <v>101</v>
      </c>
      <c r="BG1136" t="s">
        <v>92</v>
      </c>
      <c r="BH1136" t="s">
        <v>98</v>
      </c>
      <c r="BI1136" t="s">
        <v>107</v>
      </c>
      <c r="BK1136">
        <v>0</v>
      </c>
      <c r="BL1136">
        <v>0</v>
      </c>
      <c r="BM1136">
        <v>0</v>
      </c>
      <c r="BN1136">
        <v>0</v>
      </c>
      <c r="BO1136">
        <v>0</v>
      </c>
      <c r="BP1136">
        <v>1</v>
      </c>
      <c r="BQ1136">
        <v>0</v>
      </c>
      <c r="BR1136">
        <v>0</v>
      </c>
    </row>
    <row r="1137" spans="1:70" x14ac:dyDescent="0.2">
      <c r="A1137" s="1">
        <v>44581.942361111112</v>
      </c>
      <c r="B1137" s="1">
        <v>44581.944444444445</v>
      </c>
      <c r="C1137">
        <v>0</v>
      </c>
      <c r="D1137">
        <v>1</v>
      </c>
      <c r="E1137">
        <v>0</v>
      </c>
      <c r="F1137">
        <v>0</v>
      </c>
      <c r="H1137">
        <v>0</v>
      </c>
      <c r="I1137">
        <v>0</v>
      </c>
      <c r="J1137">
        <v>0</v>
      </c>
      <c r="K1137">
        <v>0</v>
      </c>
      <c r="L1137">
        <v>1</v>
      </c>
      <c r="M1137" t="s">
        <v>499</v>
      </c>
      <c r="N1137" t="s">
        <v>79</v>
      </c>
      <c r="O1137" t="s">
        <v>80</v>
      </c>
      <c r="P1137">
        <v>0</v>
      </c>
      <c r="Q1137">
        <v>1</v>
      </c>
      <c r="R1137">
        <v>0</v>
      </c>
      <c r="S1137">
        <v>0</v>
      </c>
      <c r="T1137">
        <v>0</v>
      </c>
      <c r="U1137">
        <v>0</v>
      </c>
      <c r="V1137">
        <v>0</v>
      </c>
      <c r="W1137">
        <v>0</v>
      </c>
      <c r="X1137">
        <v>0</v>
      </c>
      <c r="Y1137">
        <v>0</v>
      </c>
      <c r="Z1137">
        <v>0</v>
      </c>
      <c r="AA1137">
        <v>0</v>
      </c>
      <c r="AM1137" t="s">
        <v>90</v>
      </c>
      <c r="AN1137" t="s">
        <v>82</v>
      </c>
      <c r="AO1137" t="s">
        <v>90</v>
      </c>
      <c r="AP1137" t="s">
        <v>90</v>
      </c>
      <c r="AQ1137" t="s">
        <v>90</v>
      </c>
      <c r="AR1137" t="s">
        <v>90</v>
      </c>
      <c r="AS1137" t="s">
        <v>90</v>
      </c>
      <c r="AT1137" t="s">
        <v>90</v>
      </c>
      <c r="AU1137" t="s">
        <v>127</v>
      </c>
      <c r="AV1137" t="s">
        <v>127</v>
      </c>
      <c r="AZ1137" t="s">
        <v>107</v>
      </c>
      <c r="BA1137" t="s">
        <v>87</v>
      </c>
      <c r="BB1137" t="s">
        <v>87</v>
      </c>
      <c r="BC1137" t="s">
        <v>87</v>
      </c>
      <c r="BD1137" t="s">
        <v>87</v>
      </c>
      <c r="BE1137" t="s">
        <v>87</v>
      </c>
      <c r="BF1137" t="s">
        <v>101</v>
      </c>
      <c r="BG1137" t="s">
        <v>76</v>
      </c>
      <c r="BH1137" t="s">
        <v>93</v>
      </c>
      <c r="BI1137" t="s">
        <v>107</v>
      </c>
      <c r="BJ1137" t="s">
        <v>109</v>
      </c>
      <c r="BK1137">
        <v>0</v>
      </c>
      <c r="BL1137">
        <v>0</v>
      </c>
      <c r="BM1137">
        <v>0</v>
      </c>
      <c r="BN1137">
        <v>0</v>
      </c>
      <c r="BO1137">
        <v>0</v>
      </c>
      <c r="BP1137">
        <v>1</v>
      </c>
      <c r="BQ1137">
        <v>0</v>
      </c>
      <c r="BR1137">
        <v>0</v>
      </c>
    </row>
    <row r="1138" spans="1:70" x14ac:dyDescent="0.2">
      <c r="A1138" s="1">
        <v>44585.62777777778</v>
      </c>
      <c r="B1138" s="1">
        <v>44585.631249999999</v>
      </c>
      <c r="C1138">
        <v>1</v>
      </c>
      <c r="D1138">
        <v>0</v>
      </c>
      <c r="E1138">
        <v>0</v>
      </c>
      <c r="F1138">
        <v>0</v>
      </c>
      <c r="H1138">
        <v>1</v>
      </c>
      <c r="I1138">
        <v>0</v>
      </c>
      <c r="J1138">
        <v>0</v>
      </c>
      <c r="K1138">
        <v>0</v>
      </c>
      <c r="L1138">
        <v>0</v>
      </c>
      <c r="P1138">
        <v>0</v>
      </c>
      <c r="Q1138">
        <v>0</v>
      </c>
      <c r="R1138">
        <v>1</v>
      </c>
      <c r="S1138">
        <v>0</v>
      </c>
      <c r="T1138">
        <v>0</v>
      </c>
      <c r="U1138">
        <v>0</v>
      </c>
      <c r="V1138">
        <v>0</v>
      </c>
      <c r="W1138">
        <v>0</v>
      </c>
      <c r="X1138">
        <v>0</v>
      </c>
      <c r="Y1138">
        <v>0</v>
      </c>
      <c r="Z1138">
        <v>0</v>
      </c>
      <c r="AA1138">
        <v>0</v>
      </c>
      <c r="AM1138" t="s">
        <v>82</v>
      </c>
      <c r="AN1138" t="s">
        <v>81</v>
      </c>
      <c r="AO1138" t="s">
        <v>83</v>
      </c>
      <c r="AP1138" t="s">
        <v>83</v>
      </c>
      <c r="AQ1138" t="s">
        <v>82</v>
      </c>
      <c r="AR1138" t="s">
        <v>82</v>
      </c>
      <c r="AS1138" t="s">
        <v>81</v>
      </c>
      <c r="AT1138" t="s">
        <v>82</v>
      </c>
      <c r="AU1138" t="s">
        <v>84</v>
      </c>
      <c r="AV1138" t="s">
        <v>80</v>
      </c>
      <c r="AW1138" t="s">
        <v>117</v>
      </c>
      <c r="AZ1138" t="s">
        <v>96</v>
      </c>
      <c r="BA1138" t="s">
        <v>87</v>
      </c>
      <c r="BB1138" t="s">
        <v>74</v>
      </c>
      <c r="BC1138" t="s">
        <v>74</v>
      </c>
      <c r="BD1138" t="s">
        <v>87</v>
      </c>
      <c r="BE1138" t="s">
        <v>74</v>
      </c>
      <c r="BF1138" t="s">
        <v>101</v>
      </c>
      <c r="BG1138" t="s">
        <v>76</v>
      </c>
      <c r="BH1138" t="s">
        <v>77</v>
      </c>
      <c r="BI1138" t="s">
        <v>96</v>
      </c>
      <c r="BK1138">
        <v>0</v>
      </c>
      <c r="BL1138">
        <v>0</v>
      </c>
      <c r="BM1138">
        <v>0</v>
      </c>
      <c r="BN1138">
        <v>0</v>
      </c>
      <c r="BO1138">
        <v>0</v>
      </c>
      <c r="BP1138">
        <v>1</v>
      </c>
      <c r="BQ1138">
        <v>0</v>
      </c>
      <c r="BR1138">
        <v>0</v>
      </c>
    </row>
    <row r="1139" spans="1:70" x14ac:dyDescent="0.2">
      <c r="A1139" s="1">
        <v>44579.970833333333</v>
      </c>
      <c r="B1139" s="1">
        <v>44579.973611111112</v>
      </c>
      <c r="C1139">
        <v>0</v>
      </c>
      <c r="D1139">
        <v>1</v>
      </c>
      <c r="E1139">
        <v>0</v>
      </c>
      <c r="F1139">
        <v>0</v>
      </c>
      <c r="H1139">
        <v>0</v>
      </c>
      <c r="I1139">
        <v>0</v>
      </c>
      <c r="J1139">
        <v>0</v>
      </c>
      <c r="K1139">
        <v>0</v>
      </c>
      <c r="L1139">
        <v>1</v>
      </c>
      <c r="M1139" t="s">
        <v>500</v>
      </c>
      <c r="N1139" t="s">
        <v>88</v>
      </c>
      <c r="O1139" t="s">
        <v>89</v>
      </c>
      <c r="P1139">
        <v>0</v>
      </c>
      <c r="Q1139">
        <v>0</v>
      </c>
      <c r="R1139">
        <v>0</v>
      </c>
      <c r="S1139">
        <v>0</v>
      </c>
      <c r="T1139">
        <v>1</v>
      </c>
      <c r="U1139">
        <v>0</v>
      </c>
      <c r="V1139">
        <v>0</v>
      </c>
      <c r="W1139">
        <v>0</v>
      </c>
      <c r="X1139">
        <v>0</v>
      </c>
      <c r="Y1139">
        <v>0</v>
      </c>
      <c r="Z1139">
        <v>0</v>
      </c>
      <c r="AA1139">
        <v>0</v>
      </c>
      <c r="AM1139" t="s">
        <v>81</v>
      </c>
      <c r="AN1139" t="s">
        <v>82</v>
      </c>
      <c r="AO1139" t="s">
        <v>90</v>
      </c>
      <c r="AP1139" t="s">
        <v>82</v>
      </c>
      <c r="AQ1139" t="s">
        <v>82</v>
      </c>
      <c r="AR1139" t="s">
        <v>82</v>
      </c>
      <c r="AS1139" t="s">
        <v>82</v>
      </c>
      <c r="AT1139" t="s">
        <v>90</v>
      </c>
      <c r="AU1139" t="s">
        <v>88</v>
      </c>
      <c r="AV1139" t="s">
        <v>89</v>
      </c>
      <c r="AW1139" t="s">
        <v>100</v>
      </c>
      <c r="AZ1139" t="s">
        <v>107</v>
      </c>
      <c r="BA1139" t="s">
        <v>86</v>
      </c>
      <c r="BB1139" t="s">
        <v>86</v>
      </c>
      <c r="BC1139" t="s">
        <v>86</v>
      </c>
      <c r="BD1139" t="s">
        <v>74</v>
      </c>
      <c r="BE1139" t="s">
        <v>74</v>
      </c>
      <c r="BF1139" t="s">
        <v>97</v>
      </c>
      <c r="BG1139" t="s">
        <v>76</v>
      </c>
      <c r="BH1139" t="s">
        <v>98</v>
      </c>
      <c r="BI1139" t="s">
        <v>107</v>
      </c>
      <c r="BK1139">
        <v>0</v>
      </c>
      <c r="BL1139">
        <v>0</v>
      </c>
      <c r="BM1139">
        <v>0</v>
      </c>
      <c r="BN1139">
        <v>0</v>
      </c>
      <c r="BO1139">
        <v>0</v>
      </c>
      <c r="BP1139">
        <v>1</v>
      </c>
      <c r="BQ1139">
        <v>0</v>
      </c>
      <c r="BR1139">
        <v>0</v>
      </c>
    </row>
    <row r="1140" spans="1:70" x14ac:dyDescent="0.2">
      <c r="A1140" s="1">
        <v>44579.910416666666</v>
      </c>
      <c r="B1140" s="1">
        <v>44579.911805555559</v>
      </c>
      <c r="C1140">
        <v>1</v>
      </c>
      <c r="D1140">
        <v>0</v>
      </c>
      <c r="E1140">
        <v>0</v>
      </c>
      <c r="F1140">
        <v>0</v>
      </c>
      <c r="H1140">
        <v>0</v>
      </c>
      <c r="I1140">
        <v>1</v>
      </c>
      <c r="J1140">
        <v>1</v>
      </c>
      <c r="K1140">
        <v>1</v>
      </c>
      <c r="L1140">
        <v>0</v>
      </c>
      <c r="N1140" t="s">
        <v>88</v>
      </c>
      <c r="O1140" t="s">
        <v>89</v>
      </c>
      <c r="P1140">
        <v>0</v>
      </c>
      <c r="Q1140">
        <v>0</v>
      </c>
      <c r="R1140">
        <v>1</v>
      </c>
      <c r="S1140">
        <v>0</v>
      </c>
      <c r="T1140">
        <v>0</v>
      </c>
      <c r="U1140">
        <v>0</v>
      </c>
      <c r="V1140">
        <v>0</v>
      </c>
      <c r="W1140">
        <v>0</v>
      </c>
      <c r="X1140">
        <v>0</v>
      </c>
      <c r="Y1140">
        <v>0</v>
      </c>
      <c r="Z1140">
        <v>0</v>
      </c>
      <c r="AA1140">
        <v>0</v>
      </c>
      <c r="AM1140" t="s">
        <v>82</v>
      </c>
      <c r="AN1140" t="s">
        <v>82</v>
      </c>
      <c r="AO1140" t="s">
        <v>81</v>
      </c>
      <c r="AP1140" t="s">
        <v>82</v>
      </c>
      <c r="AQ1140" t="s">
        <v>82</v>
      </c>
      <c r="AR1140" t="s">
        <v>83</v>
      </c>
      <c r="AS1140" t="s">
        <v>83</v>
      </c>
      <c r="AT1140" t="s">
        <v>83</v>
      </c>
      <c r="AU1140" t="s">
        <v>88</v>
      </c>
      <c r="AV1140" t="s">
        <v>89</v>
      </c>
      <c r="AW1140" t="s">
        <v>100</v>
      </c>
      <c r="AZ1140" t="s">
        <v>107</v>
      </c>
      <c r="BA1140" t="s">
        <v>87</v>
      </c>
      <c r="BB1140" t="s">
        <v>87</v>
      </c>
      <c r="BC1140" t="s">
        <v>87</v>
      </c>
      <c r="BD1140" t="s">
        <v>87</v>
      </c>
      <c r="BE1140" t="s">
        <v>87</v>
      </c>
      <c r="BF1140" t="s">
        <v>101</v>
      </c>
      <c r="BG1140" t="s">
        <v>76</v>
      </c>
      <c r="BH1140" t="s">
        <v>77</v>
      </c>
      <c r="BI1140" t="s">
        <v>107</v>
      </c>
      <c r="BJ1140" t="s">
        <v>99</v>
      </c>
      <c r="BK1140">
        <v>0</v>
      </c>
      <c r="BL1140">
        <v>0</v>
      </c>
      <c r="BM1140">
        <v>0</v>
      </c>
      <c r="BN1140">
        <v>0</v>
      </c>
      <c r="BO1140">
        <v>0</v>
      </c>
      <c r="BP1140">
        <v>1</v>
      </c>
      <c r="BQ1140">
        <v>0</v>
      </c>
      <c r="BR1140">
        <v>0</v>
      </c>
    </row>
    <row r="1141" spans="1:70" x14ac:dyDescent="0.2">
      <c r="A1141" s="1">
        <v>44590.290277777778</v>
      </c>
      <c r="B1141" s="1">
        <v>44590.293749999997</v>
      </c>
      <c r="C1141">
        <v>0</v>
      </c>
      <c r="D1141">
        <v>1</v>
      </c>
      <c r="E1141">
        <v>0</v>
      </c>
      <c r="F1141">
        <v>0</v>
      </c>
      <c r="H1141">
        <v>1</v>
      </c>
      <c r="I1141">
        <v>0</v>
      </c>
      <c r="J1141">
        <v>0</v>
      </c>
      <c r="K1141">
        <v>0</v>
      </c>
      <c r="L1141">
        <v>0</v>
      </c>
      <c r="P1141">
        <v>1</v>
      </c>
      <c r="Q1141">
        <v>0</v>
      </c>
      <c r="R1141">
        <v>0</v>
      </c>
      <c r="S1141">
        <v>0</v>
      </c>
      <c r="T1141">
        <v>0</v>
      </c>
      <c r="U1141">
        <v>0</v>
      </c>
      <c r="V1141">
        <v>0</v>
      </c>
      <c r="W1141">
        <v>0</v>
      </c>
      <c r="X1141">
        <v>0</v>
      </c>
      <c r="Y1141">
        <v>0</v>
      </c>
      <c r="Z1141">
        <v>0</v>
      </c>
      <c r="AA1141">
        <v>0</v>
      </c>
      <c r="AC1141">
        <v>0</v>
      </c>
      <c r="AD1141">
        <v>0</v>
      </c>
      <c r="AE1141">
        <v>0</v>
      </c>
      <c r="AF1141">
        <v>0</v>
      </c>
      <c r="AG1141">
        <v>0</v>
      </c>
      <c r="AH1141">
        <v>1</v>
      </c>
      <c r="AI1141">
        <v>0</v>
      </c>
      <c r="AJ1141">
        <v>0</v>
      </c>
      <c r="AK1141">
        <v>0</v>
      </c>
      <c r="AZ1141" t="s">
        <v>96</v>
      </c>
      <c r="BA1141" t="s">
        <v>87</v>
      </c>
      <c r="BB1141" t="s">
        <v>87</v>
      </c>
      <c r="BC1141" t="s">
        <v>86</v>
      </c>
      <c r="BD1141" t="s">
        <v>87</v>
      </c>
      <c r="BE1141" t="s">
        <v>87</v>
      </c>
      <c r="BF1141" t="s">
        <v>159</v>
      </c>
      <c r="BG1141" t="s">
        <v>76</v>
      </c>
      <c r="BH1141" t="s">
        <v>77</v>
      </c>
      <c r="BI1141" t="s">
        <v>96</v>
      </c>
      <c r="BJ1141" t="s">
        <v>94</v>
      </c>
      <c r="BK1141">
        <v>0</v>
      </c>
      <c r="BL1141">
        <v>0</v>
      </c>
      <c r="BM1141">
        <v>0</v>
      </c>
      <c r="BN1141">
        <v>0</v>
      </c>
      <c r="BO1141">
        <v>0</v>
      </c>
      <c r="BP1141">
        <v>1</v>
      </c>
      <c r="BQ1141">
        <v>0</v>
      </c>
      <c r="BR1141">
        <v>0</v>
      </c>
    </row>
    <row r="1142" spans="1:70" x14ac:dyDescent="0.2">
      <c r="A1142" s="1">
        <v>44586.647222222222</v>
      </c>
      <c r="B1142" s="1">
        <v>44586.648611111108</v>
      </c>
      <c r="C1142">
        <v>1</v>
      </c>
      <c r="D1142">
        <v>0</v>
      </c>
      <c r="E1142">
        <v>0</v>
      </c>
      <c r="F1142">
        <v>0</v>
      </c>
      <c r="H1142">
        <v>1</v>
      </c>
      <c r="I1142">
        <v>0</v>
      </c>
      <c r="J1142">
        <v>0</v>
      </c>
      <c r="K1142">
        <v>0</v>
      </c>
      <c r="L1142">
        <v>0</v>
      </c>
      <c r="P1142">
        <v>1</v>
      </c>
      <c r="Q1142">
        <v>0</v>
      </c>
      <c r="R1142">
        <v>0</v>
      </c>
      <c r="S1142">
        <v>0</v>
      </c>
      <c r="T1142">
        <v>0</v>
      </c>
      <c r="U1142">
        <v>0</v>
      </c>
      <c r="V1142">
        <v>0</v>
      </c>
      <c r="W1142">
        <v>0</v>
      </c>
      <c r="X1142">
        <v>0</v>
      </c>
      <c r="Y1142">
        <v>0</v>
      </c>
      <c r="Z1142">
        <v>0</v>
      </c>
      <c r="AA1142">
        <v>0</v>
      </c>
      <c r="AC1142">
        <v>1</v>
      </c>
      <c r="AD1142">
        <v>0</v>
      </c>
      <c r="AE1142">
        <v>0</v>
      </c>
      <c r="AF1142">
        <v>0</v>
      </c>
      <c r="AG1142">
        <v>0</v>
      </c>
      <c r="AH1142">
        <v>0</v>
      </c>
      <c r="AI1142">
        <v>0</v>
      </c>
      <c r="AJ1142">
        <v>0</v>
      </c>
      <c r="AK1142">
        <v>0</v>
      </c>
      <c r="AZ1142" t="s">
        <v>96</v>
      </c>
      <c r="BA1142" t="s">
        <v>86</v>
      </c>
      <c r="BB1142" t="s">
        <v>74</v>
      </c>
      <c r="BC1142" t="s">
        <v>86</v>
      </c>
      <c r="BD1142" t="s">
        <v>87</v>
      </c>
      <c r="BE1142" t="s">
        <v>87</v>
      </c>
      <c r="BF1142" t="s">
        <v>97</v>
      </c>
      <c r="BG1142" t="s">
        <v>76</v>
      </c>
      <c r="BH1142" t="s">
        <v>77</v>
      </c>
      <c r="BI1142" t="s">
        <v>96</v>
      </c>
      <c r="BJ1142" t="s">
        <v>78</v>
      </c>
      <c r="BK1142">
        <v>0</v>
      </c>
      <c r="BL1142">
        <v>0</v>
      </c>
      <c r="BM1142">
        <v>0</v>
      </c>
      <c r="BN1142">
        <v>0</v>
      </c>
      <c r="BO1142">
        <v>0</v>
      </c>
      <c r="BP1142">
        <v>1</v>
      </c>
      <c r="BQ1142">
        <v>0</v>
      </c>
      <c r="BR1142">
        <v>0</v>
      </c>
    </row>
    <row r="1143" spans="1:70" x14ac:dyDescent="0.2">
      <c r="A1143" s="1">
        <v>44579.742361111108</v>
      </c>
      <c r="B1143" s="1">
        <v>44579.743750000001</v>
      </c>
      <c r="C1143">
        <v>1</v>
      </c>
      <c r="D1143">
        <v>0</v>
      </c>
      <c r="E1143">
        <v>0</v>
      </c>
      <c r="F1143">
        <v>0</v>
      </c>
      <c r="H1143">
        <v>1</v>
      </c>
      <c r="I1143">
        <v>0</v>
      </c>
      <c r="J1143">
        <v>0</v>
      </c>
      <c r="K1143">
        <v>0</v>
      </c>
      <c r="L1143">
        <v>0</v>
      </c>
      <c r="P1143">
        <v>1</v>
      </c>
      <c r="Q1143">
        <v>0</v>
      </c>
      <c r="R1143">
        <v>0</v>
      </c>
      <c r="S1143">
        <v>0</v>
      </c>
      <c r="T1143">
        <v>0</v>
      </c>
      <c r="U1143">
        <v>0</v>
      </c>
      <c r="V1143">
        <v>0</v>
      </c>
      <c r="W1143">
        <v>0</v>
      </c>
      <c r="X1143">
        <v>0</v>
      </c>
      <c r="Y1143">
        <v>0</v>
      </c>
      <c r="Z1143">
        <v>0</v>
      </c>
      <c r="AA1143">
        <v>0</v>
      </c>
      <c r="AC1143">
        <v>0</v>
      </c>
      <c r="AD1143">
        <v>1</v>
      </c>
      <c r="AE1143">
        <v>0</v>
      </c>
      <c r="AF1143">
        <v>0</v>
      </c>
      <c r="AG1143">
        <v>0</v>
      </c>
      <c r="AH1143">
        <v>0</v>
      </c>
      <c r="AI1143">
        <v>0</v>
      </c>
      <c r="AJ1143">
        <v>0</v>
      </c>
      <c r="AK1143">
        <v>0</v>
      </c>
      <c r="AX1143" t="s">
        <v>191</v>
      </c>
      <c r="AZ1143" t="s">
        <v>107</v>
      </c>
      <c r="BA1143" t="s">
        <v>86</v>
      </c>
      <c r="BB1143" t="s">
        <v>87</v>
      </c>
      <c r="BC1143" t="s">
        <v>86</v>
      </c>
      <c r="BD1143" t="s">
        <v>86</v>
      </c>
      <c r="BE1143" t="s">
        <v>86</v>
      </c>
      <c r="BF1143" t="s">
        <v>75</v>
      </c>
      <c r="BG1143" t="s">
        <v>92</v>
      </c>
      <c r="BH1143" t="s">
        <v>77</v>
      </c>
      <c r="BI1143" t="s">
        <v>107</v>
      </c>
      <c r="BJ1143" t="s">
        <v>78</v>
      </c>
      <c r="BK1143">
        <v>0</v>
      </c>
      <c r="BL1143">
        <v>0</v>
      </c>
      <c r="BM1143">
        <v>0</v>
      </c>
      <c r="BN1143">
        <v>0</v>
      </c>
      <c r="BO1143">
        <v>0</v>
      </c>
      <c r="BP1143">
        <v>1</v>
      </c>
      <c r="BQ1143">
        <v>0</v>
      </c>
      <c r="BR1143">
        <v>0</v>
      </c>
    </row>
    <row r="1144" spans="1:70" x14ac:dyDescent="0.2">
      <c r="A1144" s="1">
        <v>44580.387499999997</v>
      </c>
      <c r="B1144" s="1">
        <v>44580.38958333333</v>
      </c>
      <c r="C1144">
        <v>1</v>
      </c>
      <c r="D1144">
        <v>1</v>
      </c>
      <c r="E1144">
        <v>0</v>
      </c>
      <c r="F1144">
        <v>0</v>
      </c>
      <c r="H1144">
        <v>0</v>
      </c>
      <c r="I1144">
        <v>1</v>
      </c>
      <c r="J1144">
        <v>0</v>
      </c>
      <c r="K1144">
        <v>0</v>
      </c>
      <c r="L1144">
        <v>0</v>
      </c>
      <c r="N1144" t="s">
        <v>79</v>
      </c>
      <c r="O1144" t="s">
        <v>80</v>
      </c>
      <c r="P1144">
        <v>1</v>
      </c>
      <c r="Q1144">
        <v>0</v>
      </c>
      <c r="R1144">
        <v>0</v>
      </c>
      <c r="S1144">
        <v>0</v>
      </c>
      <c r="T1144">
        <v>0</v>
      </c>
      <c r="U1144">
        <v>0</v>
      </c>
      <c r="V1144">
        <v>0</v>
      </c>
      <c r="W1144">
        <v>0</v>
      </c>
      <c r="X1144">
        <v>0</v>
      </c>
      <c r="Y1144">
        <v>0</v>
      </c>
      <c r="Z1144">
        <v>0</v>
      </c>
      <c r="AA1144">
        <v>0</v>
      </c>
      <c r="AC1144">
        <v>0</v>
      </c>
      <c r="AD1144">
        <v>0</v>
      </c>
      <c r="AE1144">
        <v>1</v>
      </c>
      <c r="AF1144">
        <v>0</v>
      </c>
      <c r="AG1144">
        <v>0</v>
      </c>
      <c r="AH1144">
        <v>0</v>
      </c>
      <c r="AI1144">
        <v>0</v>
      </c>
      <c r="AJ1144">
        <v>0</v>
      </c>
      <c r="AK1144">
        <v>0</v>
      </c>
      <c r="AX1144" t="s">
        <v>128</v>
      </c>
      <c r="AZ1144" t="s">
        <v>73</v>
      </c>
      <c r="BA1144" t="s">
        <v>86</v>
      </c>
      <c r="BB1144" t="s">
        <v>87</v>
      </c>
      <c r="BC1144" t="s">
        <v>87</v>
      </c>
      <c r="BD1144" t="s">
        <v>87</v>
      </c>
      <c r="BE1144" t="s">
        <v>86</v>
      </c>
      <c r="BF1144" t="s">
        <v>75</v>
      </c>
      <c r="BG1144" t="s">
        <v>92</v>
      </c>
      <c r="BH1144" t="s">
        <v>77</v>
      </c>
      <c r="BI1144" t="s">
        <v>73</v>
      </c>
      <c r="BJ1144" t="s">
        <v>114</v>
      </c>
      <c r="BK1144">
        <v>0</v>
      </c>
      <c r="BL1144">
        <v>0</v>
      </c>
      <c r="BM1144">
        <v>0</v>
      </c>
      <c r="BN1144">
        <v>0</v>
      </c>
      <c r="BO1144">
        <v>0</v>
      </c>
      <c r="BP1144">
        <v>1</v>
      </c>
      <c r="BQ1144">
        <v>0</v>
      </c>
      <c r="BR1144">
        <v>0</v>
      </c>
    </row>
    <row r="1145" spans="1:70" x14ac:dyDescent="0.2">
      <c r="A1145" s="1">
        <v>44579.902777777781</v>
      </c>
      <c r="B1145" s="1">
        <v>44579.904166666667</v>
      </c>
      <c r="C1145">
        <v>1</v>
      </c>
      <c r="D1145">
        <v>0</v>
      </c>
      <c r="E1145">
        <v>0</v>
      </c>
      <c r="F1145">
        <v>0</v>
      </c>
      <c r="H1145">
        <v>0</v>
      </c>
      <c r="I1145">
        <v>1</v>
      </c>
      <c r="J1145">
        <v>1</v>
      </c>
      <c r="K1145">
        <v>0</v>
      </c>
      <c r="L1145">
        <v>0</v>
      </c>
      <c r="N1145" t="s">
        <v>88</v>
      </c>
      <c r="O1145" t="s">
        <v>89</v>
      </c>
      <c r="P1145">
        <v>1</v>
      </c>
      <c r="Q1145">
        <v>0</v>
      </c>
      <c r="R1145">
        <v>0</v>
      </c>
      <c r="S1145">
        <v>0</v>
      </c>
      <c r="T1145">
        <v>0</v>
      </c>
      <c r="U1145">
        <v>0</v>
      </c>
      <c r="V1145">
        <v>0</v>
      </c>
      <c r="W1145">
        <v>0</v>
      </c>
      <c r="X1145">
        <v>0</v>
      </c>
      <c r="Y1145">
        <v>0</v>
      </c>
      <c r="Z1145">
        <v>0</v>
      </c>
      <c r="AA1145">
        <v>0</v>
      </c>
      <c r="AC1145">
        <v>0</v>
      </c>
      <c r="AD1145">
        <v>0</v>
      </c>
      <c r="AE1145">
        <v>1</v>
      </c>
      <c r="AF1145">
        <v>0</v>
      </c>
      <c r="AG1145">
        <v>0</v>
      </c>
      <c r="AH1145">
        <v>0</v>
      </c>
      <c r="AI1145">
        <v>0</v>
      </c>
      <c r="AJ1145">
        <v>0</v>
      </c>
      <c r="AK1145">
        <v>0</v>
      </c>
      <c r="AX1145" t="s">
        <v>118</v>
      </c>
      <c r="AZ1145" t="s">
        <v>107</v>
      </c>
      <c r="BA1145" t="s">
        <v>86</v>
      </c>
      <c r="BB1145" t="s">
        <v>86</v>
      </c>
      <c r="BC1145" t="s">
        <v>86</v>
      </c>
      <c r="BD1145" t="s">
        <v>74</v>
      </c>
      <c r="BE1145" t="s">
        <v>86</v>
      </c>
      <c r="BF1145" t="s">
        <v>75</v>
      </c>
      <c r="BG1145" t="s">
        <v>76</v>
      </c>
      <c r="BH1145" t="s">
        <v>77</v>
      </c>
      <c r="BI1145" t="s">
        <v>107</v>
      </c>
      <c r="BJ1145" t="s">
        <v>114</v>
      </c>
      <c r="BK1145">
        <v>0</v>
      </c>
      <c r="BL1145">
        <v>0</v>
      </c>
      <c r="BM1145">
        <v>0</v>
      </c>
      <c r="BN1145">
        <v>0</v>
      </c>
      <c r="BO1145">
        <v>0</v>
      </c>
      <c r="BP1145">
        <v>1</v>
      </c>
      <c r="BQ1145">
        <v>0</v>
      </c>
      <c r="BR1145">
        <v>0</v>
      </c>
    </row>
    <row r="1146" spans="1:70" x14ac:dyDescent="0.2">
      <c r="A1146" s="1">
        <v>44580.518055555556</v>
      </c>
      <c r="B1146" s="1">
        <v>44580.519444444442</v>
      </c>
      <c r="C1146">
        <v>1</v>
      </c>
      <c r="D1146">
        <v>0</v>
      </c>
      <c r="E1146">
        <v>0</v>
      </c>
      <c r="F1146">
        <v>0</v>
      </c>
      <c r="H1146">
        <v>0</v>
      </c>
      <c r="I1146">
        <v>1</v>
      </c>
      <c r="J1146">
        <v>0</v>
      </c>
      <c r="K1146">
        <v>0</v>
      </c>
      <c r="L1146">
        <v>0</v>
      </c>
      <c r="N1146" t="s">
        <v>88</v>
      </c>
      <c r="O1146" t="s">
        <v>127</v>
      </c>
      <c r="P1146">
        <v>0</v>
      </c>
      <c r="Q1146">
        <v>1</v>
      </c>
      <c r="R1146">
        <v>1</v>
      </c>
      <c r="S1146">
        <v>0</v>
      </c>
      <c r="T1146">
        <v>0</v>
      </c>
      <c r="U1146">
        <v>0</v>
      </c>
      <c r="V1146">
        <v>0</v>
      </c>
      <c r="W1146">
        <v>0</v>
      </c>
      <c r="X1146">
        <v>0</v>
      </c>
      <c r="Y1146">
        <v>0</v>
      </c>
      <c r="Z1146">
        <v>0</v>
      </c>
      <c r="AA1146">
        <v>0</v>
      </c>
      <c r="AM1146" t="s">
        <v>83</v>
      </c>
      <c r="AN1146" t="s">
        <v>82</v>
      </c>
      <c r="AO1146" t="s">
        <v>83</v>
      </c>
      <c r="AP1146" t="s">
        <v>82</v>
      </c>
      <c r="AQ1146" t="s">
        <v>82</v>
      </c>
      <c r="AR1146" t="s">
        <v>83</v>
      </c>
      <c r="AS1146" t="s">
        <v>83</v>
      </c>
      <c r="AT1146" t="s">
        <v>83</v>
      </c>
      <c r="AU1146" t="s">
        <v>88</v>
      </c>
      <c r="AV1146" t="s">
        <v>89</v>
      </c>
      <c r="AW1146" t="s">
        <v>85</v>
      </c>
      <c r="AX1146" t="s">
        <v>72</v>
      </c>
      <c r="AZ1146" t="s">
        <v>107</v>
      </c>
      <c r="BA1146" t="s">
        <v>87</v>
      </c>
      <c r="BB1146" t="s">
        <v>87</v>
      </c>
      <c r="BC1146" t="s">
        <v>87</v>
      </c>
      <c r="BD1146" t="s">
        <v>87</v>
      </c>
      <c r="BE1146" t="s">
        <v>87</v>
      </c>
      <c r="BF1146" t="s">
        <v>75</v>
      </c>
      <c r="BG1146" t="s">
        <v>76</v>
      </c>
      <c r="BH1146" t="s">
        <v>77</v>
      </c>
      <c r="BI1146" t="s">
        <v>107</v>
      </c>
      <c r="BJ1146" t="s">
        <v>94</v>
      </c>
      <c r="BK1146">
        <v>0</v>
      </c>
      <c r="BL1146">
        <v>0</v>
      </c>
      <c r="BM1146">
        <v>0</v>
      </c>
      <c r="BN1146">
        <v>0</v>
      </c>
      <c r="BO1146">
        <v>0</v>
      </c>
      <c r="BP1146">
        <v>1</v>
      </c>
      <c r="BQ1146">
        <v>0</v>
      </c>
      <c r="BR1146">
        <v>0</v>
      </c>
    </row>
    <row r="1147" spans="1:70" x14ac:dyDescent="0.2">
      <c r="A1147" s="1">
        <v>44588.906944444447</v>
      </c>
      <c r="B1147" s="1">
        <v>44588.90902777778</v>
      </c>
      <c r="C1147">
        <v>1</v>
      </c>
      <c r="D1147">
        <v>0</v>
      </c>
      <c r="E1147">
        <v>0</v>
      </c>
      <c r="F1147">
        <v>0</v>
      </c>
      <c r="H1147">
        <v>0</v>
      </c>
      <c r="I1147">
        <v>1</v>
      </c>
      <c r="J1147">
        <v>0</v>
      </c>
      <c r="K1147">
        <v>0</v>
      </c>
      <c r="L1147">
        <v>0</v>
      </c>
      <c r="N1147" t="s">
        <v>88</v>
      </c>
      <c r="O1147" t="s">
        <v>89</v>
      </c>
      <c r="P1147">
        <v>0</v>
      </c>
      <c r="Q1147">
        <v>0</v>
      </c>
      <c r="R1147">
        <v>1</v>
      </c>
      <c r="S1147">
        <v>0</v>
      </c>
      <c r="T1147">
        <v>0</v>
      </c>
      <c r="U1147">
        <v>0</v>
      </c>
      <c r="V1147">
        <v>0</v>
      </c>
      <c r="W1147">
        <v>0</v>
      </c>
      <c r="X1147">
        <v>0</v>
      </c>
      <c r="Y1147">
        <v>0</v>
      </c>
      <c r="Z1147">
        <v>0</v>
      </c>
      <c r="AA1147">
        <v>0</v>
      </c>
      <c r="AM1147" t="s">
        <v>81</v>
      </c>
      <c r="AN1147" t="s">
        <v>82</v>
      </c>
      <c r="AO1147" t="s">
        <v>83</v>
      </c>
      <c r="AP1147" t="s">
        <v>81</v>
      </c>
      <c r="AQ1147" t="s">
        <v>82</v>
      </c>
      <c r="AR1147" t="s">
        <v>81</v>
      </c>
      <c r="AS1147" t="s">
        <v>82</v>
      </c>
      <c r="AT1147" t="s">
        <v>83</v>
      </c>
      <c r="AU1147" t="s">
        <v>88</v>
      </c>
      <c r="AV1147" t="s">
        <v>89</v>
      </c>
      <c r="AW1147" t="s">
        <v>85</v>
      </c>
      <c r="AZ1147" t="s">
        <v>73</v>
      </c>
      <c r="BA1147" t="s">
        <v>87</v>
      </c>
      <c r="BB1147" t="s">
        <v>86</v>
      </c>
      <c r="BC1147" t="s">
        <v>87</v>
      </c>
      <c r="BD1147" t="s">
        <v>86</v>
      </c>
      <c r="BE1147" t="s">
        <v>87</v>
      </c>
      <c r="BF1147" t="s">
        <v>101</v>
      </c>
      <c r="BG1147" t="s">
        <v>76</v>
      </c>
      <c r="BH1147" t="s">
        <v>77</v>
      </c>
      <c r="BI1147" t="s">
        <v>73</v>
      </c>
      <c r="BK1147">
        <v>0</v>
      </c>
      <c r="BL1147">
        <v>0</v>
      </c>
      <c r="BM1147">
        <v>0</v>
      </c>
      <c r="BN1147">
        <v>0</v>
      </c>
      <c r="BO1147">
        <v>0</v>
      </c>
      <c r="BP1147">
        <v>1</v>
      </c>
      <c r="BQ1147">
        <v>0</v>
      </c>
      <c r="BR1147">
        <v>0</v>
      </c>
    </row>
    <row r="1148" spans="1:70" x14ac:dyDescent="0.2">
      <c r="A1148" s="1">
        <v>44579.922222222223</v>
      </c>
      <c r="B1148" s="1">
        <v>44579.924305555556</v>
      </c>
      <c r="C1148">
        <v>1</v>
      </c>
      <c r="D1148">
        <v>0</v>
      </c>
      <c r="E1148">
        <v>0</v>
      </c>
      <c r="F1148">
        <v>0</v>
      </c>
      <c r="H1148">
        <v>1</v>
      </c>
      <c r="I1148">
        <v>0</v>
      </c>
      <c r="J1148">
        <v>0</v>
      </c>
      <c r="K1148">
        <v>0</v>
      </c>
      <c r="L1148">
        <v>0</v>
      </c>
      <c r="P1148">
        <v>0</v>
      </c>
      <c r="Q1148">
        <v>0</v>
      </c>
      <c r="R1148">
        <v>1</v>
      </c>
      <c r="S1148">
        <v>0</v>
      </c>
      <c r="T1148">
        <v>0</v>
      </c>
      <c r="U1148">
        <v>0</v>
      </c>
      <c r="V1148">
        <v>0</v>
      </c>
      <c r="W1148">
        <v>0</v>
      </c>
      <c r="X1148">
        <v>0</v>
      </c>
      <c r="Y1148">
        <v>0</v>
      </c>
      <c r="Z1148">
        <v>0</v>
      </c>
      <c r="AA1148">
        <v>0</v>
      </c>
      <c r="AM1148" t="s">
        <v>83</v>
      </c>
      <c r="AN1148" t="s">
        <v>81</v>
      </c>
      <c r="AO1148" t="s">
        <v>83</v>
      </c>
      <c r="AP1148" t="s">
        <v>83</v>
      </c>
      <c r="AQ1148" t="s">
        <v>81</v>
      </c>
      <c r="AR1148" t="s">
        <v>83</v>
      </c>
      <c r="AS1148" t="s">
        <v>83</v>
      </c>
      <c r="AT1148" t="s">
        <v>82</v>
      </c>
      <c r="AU1148" t="s">
        <v>88</v>
      </c>
      <c r="AV1148" t="s">
        <v>89</v>
      </c>
      <c r="AW1148" t="s">
        <v>85</v>
      </c>
      <c r="AX1148" t="s">
        <v>106</v>
      </c>
      <c r="AZ1148" t="s">
        <v>107</v>
      </c>
      <c r="BA1148" t="s">
        <v>87</v>
      </c>
      <c r="BB1148" t="s">
        <v>87</v>
      </c>
      <c r="BC1148" t="s">
        <v>87</v>
      </c>
      <c r="BD1148" t="s">
        <v>87</v>
      </c>
      <c r="BE1148" t="s">
        <v>87</v>
      </c>
      <c r="BF1148" t="s">
        <v>75</v>
      </c>
      <c r="BG1148" t="s">
        <v>76</v>
      </c>
      <c r="BH1148" t="s">
        <v>77</v>
      </c>
      <c r="BI1148" t="s">
        <v>107</v>
      </c>
      <c r="BJ1148" t="s">
        <v>114</v>
      </c>
      <c r="BK1148">
        <v>0</v>
      </c>
      <c r="BL1148">
        <v>0</v>
      </c>
      <c r="BM1148">
        <v>0</v>
      </c>
      <c r="BN1148">
        <v>0</v>
      </c>
      <c r="BO1148">
        <v>0</v>
      </c>
      <c r="BP1148">
        <v>1</v>
      </c>
      <c r="BQ1148">
        <v>0</v>
      </c>
      <c r="BR1148">
        <v>0</v>
      </c>
    </row>
    <row r="1149" spans="1:70" x14ac:dyDescent="0.2">
      <c r="A1149" s="1">
        <v>44579.880555555559</v>
      </c>
      <c r="B1149" s="1">
        <v>44579.881944444445</v>
      </c>
      <c r="C1149">
        <v>1</v>
      </c>
      <c r="D1149">
        <v>0</v>
      </c>
      <c r="E1149">
        <v>0</v>
      </c>
      <c r="F1149">
        <v>0</v>
      </c>
      <c r="H1149">
        <v>1</v>
      </c>
      <c r="I1149">
        <v>0</v>
      </c>
      <c r="J1149">
        <v>0</v>
      </c>
      <c r="K1149">
        <v>0</v>
      </c>
      <c r="L1149">
        <v>0</v>
      </c>
      <c r="P1149">
        <v>1</v>
      </c>
      <c r="Q1149">
        <v>0</v>
      </c>
      <c r="R1149">
        <v>0</v>
      </c>
      <c r="S1149">
        <v>0</v>
      </c>
      <c r="T1149">
        <v>0</v>
      </c>
      <c r="U1149">
        <v>0</v>
      </c>
      <c r="V1149">
        <v>0</v>
      </c>
      <c r="W1149">
        <v>0</v>
      </c>
      <c r="X1149">
        <v>0</v>
      </c>
      <c r="Y1149">
        <v>0</v>
      </c>
      <c r="Z1149">
        <v>0</v>
      </c>
      <c r="AA1149">
        <v>0</v>
      </c>
      <c r="AC1149">
        <v>0</v>
      </c>
      <c r="AD1149">
        <v>0</v>
      </c>
      <c r="AE1149">
        <v>1</v>
      </c>
      <c r="AF1149">
        <v>0</v>
      </c>
      <c r="AG1149">
        <v>0</v>
      </c>
      <c r="AH1149">
        <v>0</v>
      </c>
      <c r="AI1149">
        <v>0</v>
      </c>
      <c r="AJ1149">
        <v>0</v>
      </c>
      <c r="AK1149">
        <v>0</v>
      </c>
      <c r="AX1149" t="s">
        <v>72</v>
      </c>
      <c r="AZ1149" t="s">
        <v>96</v>
      </c>
      <c r="BA1149" t="s">
        <v>87</v>
      </c>
      <c r="BB1149" t="s">
        <v>87</v>
      </c>
      <c r="BC1149" t="s">
        <v>87</v>
      </c>
      <c r="BD1149" t="s">
        <v>87</v>
      </c>
      <c r="BE1149" t="s">
        <v>87</v>
      </c>
      <c r="BF1149" t="s">
        <v>75</v>
      </c>
      <c r="BG1149" t="s">
        <v>76</v>
      </c>
      <c r="BH1149" t="s">
        <v>77</v>
      </c>
      <c r="BI1149" t="s">
        <v>96</v>
      </c>
      <c r="BJ1149" t="s">
        <v>114</v>
      </c>
      <c r="BK1149">
        <v>0</v>
      </c>
      <c r="BL1149">
        <v>0</v>
      </c>
      <c r="BM1149">
        <v>0</v>
      </c>
      <c r="BN1149">
        <v>0</v>
      </c>
      <c r="BO1149">
        <v>0</v>
      </c>
      <c r="BP1149">
        <v>1</v>
      </c>
      <c r="BQ1149">
        <v>0</v>
      </c>
      <c r="BR1149">
        <v>0</v>
      </c>
    </row>
    <row r="1150" spans="1:70" x14ac:dyDescent="0.2">
      <c r="A1150" s="1">
        <v>44585.502083333333</v>
      </c>
      <c r="B1150" s="1">
        <v>44585.503472222219</v>
      </c>
      <c r="C1150">
        <v>1</v>
      </c>
      <c r="D1150">
        <v>0</v>
      </c>
      <c r="E1150">
        <v>0</v>
      </c>
      <c r="F1150">
        <v>0</v>
      </c>
      <c r="H1150">
        <v>1</v>
      </c>
      <c r="I1150">
        <v>0</v>
      </c>
      <c r="J1150">
        <v>0</v>
      </c>
      <c r="K1150">
        <v>0</v>
      </c>
      <c r="L1150">
        <v>0</v>
      </c>
      <c r="P1150">
        <v>0</v>
      </c>
      <c r="Q1150">
        <v>0</v>
      </c>
      <c r="R1150">
        <v>1</v>
      </c>
      <c r="S1150">
        <v>0</v>
      </c>
      <c r="T1150">
        <v>0</v>
      </c>
      <c r="U1150">
        <v>0</v>
      </c>
      <c r="V1150">
        <v>0</v>
      </c>
      <c r="W1150">
        <v>0</v>
      </c>
      <c r="X1150">
        <v>0</v>
      </c>
      <c r="Y1150">
        <v>0</v>
      </c>
      <c r="Z1150">
        <v>0</v>
      </c>
      <c r="AA1150">
        <v>0</v>
      </c>
      <c r="AM1150" t="s">
        <v>83</v>
      </c>
      <c r="AN1150" t="s">
        <v>82</v>
      </c>
      <c r="AO1150" t="s">
        <v>83</v>
      </c>
      <c r="AP1150" t="s">
        <v>83</v>
      </c>
      <c r="AQ1150" t="s">
        <v>81</v>
      </c>
      <c r="AR1150" t="s">
        <v>81</v>
      </c>
      <c r="AS1150" t="s">
        <v>83</v>
      </c>
      <c r="AT1150" t="s">
        <v>83</v>
      </c>
      <c r="AU1150" t="s">
        <v>88</v>
      </c>
      <c r="AV1150" t="s">
        <v>89</v>
      </c>
      <c r="AW1150" t="s">
        <v>85</v>
      </c>
      <c r="AX1150" t="s">
        <v>175</v>
      </c>
      <c r="AZ1150" t="s">
        <v>107</v>
      </c>
      <c r="BA1150" t="s">
        <v>74</v>
      </c>
      <c r="BF1150" t="s">
        <v>75</v>
      </c>
      <c r="BG1150" t="s">
        <v>76</v>
      </c>
      <c r="BH1150" t="s">
        <v>93</v>
      </c>
      <c r="BI1150" t="s">
        <v>107</v>
      </c>
      <c r="BJ1150" t="s">
        <v>78</v>
      </c>
      <c r="BK1150">
        <v>0</v>
      </c>
      <c r="BL1150">
        <v>0</v>
      </c>
      <c r="BM1150">
        <v>0</v>
      </c>
      <c r="BN1150">
        <v>0</v>
      </c>
      <c r="BO1150">
        <v>0</v>
      </c>
      <c r="BP1150">
        <v>1</v>
      </c>
      <c r="BQ1150">
        <v>0</v>
      </c>
      <c r="BR1150">
        <v>0</v>
      </c>
    </row>
    <row r="1151" spans="1:70" x14ac:dyDescent="0.2">
      <c r="A1151" s="1">
        <v>44588.898611111108</v>
      </c>
      <c r="B1151" s="1">
        <v>44588.902083333334</v>
      </c>
      <c r="C1151">
        <v>1</v>
      </c>
      <c r="D1151">
        <v>0</v>
      </c>
      <c r="E1151">
        <v>0</v>
      </c>
      <c r="F1151">
        <v>0</v>
      </c>
      <c r="H1151">
        <v>1</v>
      </c>
      <c r="I1151">
        <v>0</v>
      </c>
      <c r="J1151">
        <v>0</v>
      </c>
      <c r="K1151">
        <v>0</v>
      </c>
      <c r="L1151">
        <v>0</v>
      </c>
      <c r="P1151">
        <v>1</v>
      </c>
      <c r="Q1151">
        <v>0</v>
      </c>
      <c r="R1151">
        <v>0</v>
      </c>
      <c r="S1151">
        <v>0</v>
      </c>
      <c r="T1151">
        <v>0</v>
      </c>
      <c r="U1151">
        <v>0</v>
      </c>
      <c r="V1151">
        <v>0</v>
      </c>
      <c r="W1151">
        <v>0</v>
      </c>
      <c r="X1151">
        <v>0</v>
      </c>
      <c r="Y1151">
        <v>0</v>
      </c>
      <c r="Z1151">
        <v>0</v>
      </c>
      <c r="AA1151">
        <v>0</v>
      </c>
      <c r="AC1151">
        <v>0</v>
      </c>
      <c r="AD1151">
        <v>0</v>
      </c>
      <c r="AE1151">
        <v>1</v>
      </c>
      <c r="AF1151">
        <v>0</v>
      </c>
      <c r="AG1151">
        <v>0</v>
      </c>
      <c r="AH1151">
        <v>0</v>
      </c>
      <c r="AI1151">
        <v>0</v>
      </c>
      <c r="AJ1151">
        <v>0</v>
      </c>
      <c r="AK1151">
        <v>0</v>
      </c>
      <c r="AX1151" t="s">
        <v>191</v>
      </c>
      <c r="AZ1151" t="s">
        <v>107</v>
      </c>
      <c r="BA1151" t="s">
        <v>86</v>
      </c>
      <c r="BB1151" t="s">
        <v>87</v>
      </c>
      <c r="BC1151" t="s">
        <v>87</v>
      </c>
      <c r="BD1151" t="s">
        <v>87</v>
      </c>
      <c r="BE1151" t="s">
        <v>87</v>
      </c>
      <c r="BF1151" t="s">
        <v>75</v>
      </c>
      <c r="BG1151" t="s">
        <v>76</v>
      </c>
      <c r="BH1151" t="s">
        <v>77</v>
      </c>
      <c r="BI1151" t="s">
        <v>107</v>
      </c>
      <c r="BJ1151" t="s">
        <v>176</v>
      </c>
      <c r="BK1151">
        <v>0</v>
      </c>
      <c r="BL1151">
        <v>0</v>
      </c>
      <c r="BM1151">
        <v>0</v>
      </c>
      <c r="BN1151">
        <v>0</v>
      </c>
      <c r="BO1151">
        <v>0</v>
      </c>
      <c r="BP1151">
        <v>1</v>
      </c>
      <c r="BQ1151">
        <v>0</v>
      </c>
      <c r="BR1151">
        <v>0</v>
      </c>
    </row>
    <row r="1152" spans="1:70" x14ac:dyDescent="0.2">
      <c r="A1152" s="1">
        <v>44585.813194444447</v>
      </c>
      <c r="B1152" s="1">
        <v>44585.81527777778</v>
      </c>
      <c r="C1152">
        <v>1</v>
      </c>
      <c r="D1152">
        <v>0</v>
      </c>
      <c r="E1152">
        <v>0</v>
      </c>
      <c r="F1152">
        <v>0</v>
      </c>
      <c r="H1152">
        <v>0</v>
      </c>
      <c r="I1152">
        <v>1</v>
      </c>
      <c r="J1152">
        <v>0</v>
      </c>
      <c r="K1152">
        <v>0</v>
      </c>
      <c r="L1152">
        <v>0</v>
      </c>
      <c r="N1152" t="s">
        <v>135</v>
      </c>
      <c r="O1152" t="s">
        <v>89</v>
      </c>
      <c r="P1152">
        <v>0</v>
      </c>
      <c r="Q1152">
        <v>0</v>
      </c>
      <c r="R1152">
        <v>0</v>
      </c>
      <c r="S1152">
        <v>0</v>
      </c>
      <c r="T1152">
        <v>0</v>
      </c>
      <c r="U1152">
        <v>0</v>
      </c>
      <c r="V1152">
        <v>0</v>
      </c>
      <c r="W1152">
        <v>1</v>
      </c>
      <c r="X1152">
        <v>0</v>
      </c>
      <c r="Y1152">
        <v>0</v>
      </c>
      <c r="Z1152">
        <v>1</v>
      </c>
      <c r="AA1152">
        <v>0</v>
      </c>
      <c r="AM1152" t="s">
        <v>83</v>
      </c>
      <c r="AN1152" t="s">
        <v>82</v>
      </c>
      <c r="AO1152" t="s">
        <v>83</v>
      </c>
      <c r="AP1152" t="s">
        <v>81</v>
      </c>
      <c r="AQ1152" t="s">
        <v>83</v>
      </c>
      <c r="AR1152" t="s">
        <v>83</v>
      </c>
      <c r="AS1152" t="s">
        <v>83</v>
      </c>
      <c r="AT1152" t="s">
        <v>83</v>
      </c>
      <c r="AU1152" t="s">
        <v>135</v>
      </c>
      <c r="AV1152" t="s">
        <v>89</v>
      </c>
      <c r="AW1152" t="s">
        <v>85</v>
      </c>
      <c r="AX1152" t="s">
        <v>199</v>
      </c>
      <c r="AZ1152" t="s">
        <v>73</v>
      </c>
      <c r="BA1152" t="s">
        <v>86</v>
      </c>
      <c r="BB1152" t="s">
        <v>87</v>
      </c>
      <c r="BC1152" t="s">
        <v>87</v>
      </c>
      <c r="BD1152" t="s">
        <v>87</v>
      </c>
      <c r="BE1152" t="s">
        <v>87</v>
      </c>
      <c r="BF1152" t="s">
        <v>108</v>
      </c>
      <c r="BG1152" t="s">
        <v>76</v>
      </c>
      <c r="BH1152" t="s">
        <v>77</v>
      </c>
      <c r="BI1152" t="s">
        <v>73</v>
      </c>
      <c r="BJ1152" t="s">
        <v>109</v>
      </c>
      <c r="BK1152">
        <v>0</v>
      </c>
      <c r="BL1152">
        <v>0</v>
      </c>
      <c r="BM1152">
        <v>0</v>
      </c>
      <c r="BN1152">
        <v>0</v>
      </c>
      <c r="BO1152">
        <v>0</v>
      </c>
      <c r="BP1152">
        <v>1</v>
      </c>
      <c r="BQ1152">
        <v>0</v>
      </c>
      <c r="BR1152">
        <v>0</v>
      </c>
    </row>
    <row r="1153" spans="1:70" x14ac:dyDescent="0.2">
      <c r="A1153" s="1">
        <v>44579.877083333333</v>
      </c>
      <c r="B1153" s="1">
        <v>44579.880555555559</v>
      </c>
      <c r="C1153">
        <v>0</v>
      </c>
      <c r="D1153">
        <v>1</v>
      </c>
      <c r="E1153">
        <v>0</v>
      </c>
      <c r="F1153">
        <v>0</v>
      </c>
      <c r="H1153">
        <v>0</v>
      </c>
      <c r="I1153">
        <v>1</v>
      </c>
      <c r="J1153">
        <v>1</v>
      </c>
      <c r="K1153">
        <v>1</v>
      </c>
      <c r="L1153">
        <v>0</v>
      </c>
      <c r="N1153" t="s">
        <v>88</v>
      </c>
      <c r="O1153" t="s">
        <v>80</v>
      </c>
      <c r="P1153">
        <v>0</v>
      </c>
      <c r="Q1153">
        <v>0</v>
      </c>
      <c r="R1153">
        <v>0</v>
      </c>
      <c r="S1153">
        <v>0</v>
      </c>
      <c r="T1153">
        <v>0</v>
      </c>
      <c r="U1153">
        <v>0</v>
      </c>
      <c r="V1153">
        <v>0</v>
      </c>
      <c r="W1153">
        <v>0</v>
      </c>
      <c r="X1153">
        <v>0</v>
      </c>
      <c r="Y1153">
        <v>0</v>
      </c>
      <c r="Z1153">
        <v>0</v>
      </c>
      <c r="AA1153">
        <v>1</v>
      </c>
      <c r="AB1153" t="s">
        <v>501</v>
      </c>
      <c r="AM1153" t="s">
        <v>83</v>
      </c>
      <c r="AN1153" t="s">
        <v>82</v>
      </c>
      <c r="AO1153" t="s">
        <v>81</v>
      </c>
      <c r="AP1153" t="s">
        <v>81</v>
      </c>
      <c r="AQ1153" t="s">
        <v>83</v>
      </c>
      <c r="AR1153" t="s">
        <v>83</v>
      </c>
      <c r="AS1153" t="s">
        <v>83</v>
      </c>
      <c r="AT1153" t="s">
        <v>83</v>
      </c>
      <c r="AU1153" t="s">
        <v>88</v>
      </c>
      <c r="AV1153" t="s">
        <v>80</v>
      </c>
      <c r="AW1153" t="s">
        <v>100</v>
      </c>
      <c r="AX1153" t="s">
        <v>122</v>
      </c>
      <c r="AZ1153" t="s">
        <v>107</v>
      </c>
      <c r="BA1153" t="s">
        <v>87</v>
      </c>
      <c r="BB1153" t="s">
        <v>87</v>
      </c>
      <c r="BC1153" t="s">
        <v>87</v>
      </c>
      <c r="BD1153" t="s">
        <v>87</v>
      </c>
      <c r="BE1153" t="s">
        <v>86</v>
      </c>
      <c r="BF1153" t="s">
        <v>75</v>
      </c>
      <c r="BG1153" t="s">
        <v>76</v>
      </c>
      <c r="BH1153" t="s">
        <v>77</v>
      </c>
      <c r="BI1153" t="s">
        <v>107</v>
      </c>
      <c r="BJ1153" t="s">
        <v>114</v>
      </c>
      <c r="BK1153">
        <v>0</v>
      </c>
      <c r="BL1153">
        <v>0</v>
      </c>
      <c r="BM1153">
        <v>0</v>
      </c>
      <c r="BN1153">
        <v>0</v>
      </c>
      <c r="BO1153">
        <v>0</v>
      </c>
      <c r="BP1153">
        <v>1</v>
      </c>
      <c r="BQ1153">
        <v>0</v>
      </c>
      <c r="BR1153">
        <v>0</v>
      </c>
    </row>
    <row r="1154" spans="1:70" x14ac:dyDescent="0.2">
      <c r="A1154" s="1">
        <v>44589.770833333336</v>
      </c>
      <c r="B1154" s="1">
        <v>44589.772222222222</v>
      </c>
      <c r="C1154">
        <v>1</v>
      </c>
      <c r="D1154">
        <v>0</v>
      </c>
      <c r="E1154">
        <v>0</v>
      </c>
      <c r="F1154">
        <v>0</v>
      </c>
      <c r="H1154">
        <v>1</v>
      </c>
      <c r="I1154">
        <v>0</v>
      </c>
      <c r="J1154">
        <v>0</v>
      </c>
      <c r="K1154">
        <v>0</v>
      </c>
      <c r="L1154">
        <v>0</v>
      </c>
      <c r="P1154">
        <v>1</v>
      </c>
      <c r="Q1154">
        <v>0</v>
      </c>
      <c r="R1154">
        <v>0</v>
      </c>
      <c r="S1154">
        <v>0</v>
      </c>
      <c r="T1154">
        <v>0</v>
      </c>
      <c r="U1154">
        <v>0</v>
      </c>
      <c r="V1154">
        <v>0</v>
      </c>
      <c r="W1154">
        <v>0</v>
      </c>
      <c r="X1154">
        <v>0</v>
      </c>
      <c r="Y1154">
        <v>0</v>
      </c>
      <c r="Z1154">
        <v>0</v>
      </c>
      <c r="AA1154">
        <v>0</v>
      </c>
      <c r="AC1154">
        <v>0</v>
      </c>
      <c r="AD1154">
        <v>0</v>
      </c>
      <c r="AE1154">
        <v>0</v>
      </c>
      <c r="AF1154">
        <v>0</v>
      </c>
      <c r="AG1154">
        <v>0</v>
      </c>
      <c r="AH1154">
        <v>0</v>
      </c>
      <c r="AI1154">
        <v>0</v>
      </c>
      <c r="AJ1154">
        <v>0</v>
      </c>
      <c r="AK1154">
        <v>1</v>
      </c>
      <c r="AL1154" t="s">
        <v>502</v>
      </c>
      <c r="AZ1154" t="s">
        <v>107</v>
      </c>
      <c r="BA1154" t="s">
        <v>87</v>
      </c>
      <c r="BB1154" t="s">
        <v>87</v>
      </c>
      <c r="BC1154" t="s">
        <v>87</v>
      </c>
      <c r="BD1154" t="s">
        <v>87</v>
      </c>
      <c r="BE1154" t="s">
        <v>87</v>
      </c>
      <c r="BF1154" t="s">
        <v>101</v>
      </c>
      <c r="BG1154" t="s">
        <v>76</v>
      </c>
      <c r="BH1154" t="s">
        <v>93</v>
      </c>
      <c r="BI1154" t="s">
        <v>107</v>
      </c>
      <c r="BJ1154" t="s">
        <v>114</v>
      </c>
      <c r="BK1154">
        <v>0</v>
      </c>
      <c r="BL1154">
        <v>0</v>
      </c>
      <c r="BM1154">
        <v>0</v>
      </c>
      <c r="BN1154">
        <v>0</v>
      </c>
      <c r="BO1154">
        <v>0</v>
      </c>
      <c r="BP1154">
        <v>1</v>
      </c>
      <c r="BQ1154">
        <v>0</v>
      </c>
      <c r="BR1154">
        <v>0</v>
      </c>
    </row>
    <row r="1155" spans="1:70" x14ac:dyDescent="0.2">
      <c r="A1155" s="1">
        <v>44585.617361111108</v>
      </c>
      <c r="B1155" s="1">
        <v>44585.618750000001</v>
      </c>
      <c r="C1155">
        <v>0</v>
      </c>
      <c r="D1155">
        <v>1</v>
      </c>
      <c r="E1155">
        <v>0</v>
      </c>
      <c r="F1155">
        <v>0</v>
      </c>
      <c r="H1155">
        <v>0</v>
      </c>
      <c r="I1155">
        <v>1</v>
      </c>
      <c r="J1155">
        <v>0</v>
      </c>
      <c r="K1155">
        <v>0</v>
      </c>
      <c r="L1155">
        <v>0</v>
      </c>
      <c r="N1155" t="s">
        <v>88</v>
      </c>
      <c r="O1155" t="s">
        <v>127</v>
      </c>
      <c r="P1155">
        <v>0</v>
      </c>
      <c r="Q1155">
        <v>0</v>
      </c>
      <c r="R1155">
        <v>0</v>
      </c>
      <c r="S1155">
        <v>0</v>
      </c>
      <c r="T1155">
        <v>1</v>
      </c>
      <c r="U1155">
        <v>0</v>
      </c>
      <c r="V1155">
        <v>0</v>
      </c>
      <c r="W1155">
        <v>0</v>
      </c>
      <c r="X1155">
        <v>0</v>
      </c>
      <c r="Y1155">
        <v>0</v>
      </c>
      <c r="Z1155">
        <v>0</v>
      </c>
      <c r="AA1155">
        <v>0</v>
      </c>
      <c r="AM1155" t="s">
        <v>83</v>
      </c>
      <c r="AN1155" t="s">
        <v>82</v>
      </c>
      <c r="AO1155" t="s">
        <v>83</v>
      </c>
      <c r="AP1155" t="s">
        <v>83</v>
      </c>
      <c r="AQ1155" t="s">
        <v>82</v>
      </c>
      <c r="AR1155" t="s">
        <v>83</v>
      </c>
      <c r="AS1155" t="s">
        <v>83</v>
      </c>
      <c r="AT1155" t="s">
        <v>82</v>
      </c>
      <c r="AU1155" t="s">
        <v>88</v>
      </c>
      <c r="AV1155" t="s">
        <v>127</v>
      </c>
      <c r="AW1155" t="s">
        <v>85</v>
      </c>
      <c r="AX1155" t="s">
        <v>72</v>
      </c>
      <c r="AZ1155" t="s">
        <v>96</v>
      </c>
      <c r="BA1155" t="s">
        <v>87</v>
      </c>
      <c r="BB1155" t="s">
        <v>74</v>
      </c>
      <c r="BC1155" t="s">
        <v>86</v>
      </c>
      <c r="BD1155" t="s">
        <v>74</v>
      </c>
      <c r="BE1155" t="s">
        <v>86</v>
      </c>
      <c r="BF1155" t="s">
        <v>75</v>
      </c>
      <c r="BG1155" t="s">
        <v>76</v>
      </c>
      <c r="BH1155" t="s">
        <v>77</v>
      </c>
      <c r="BI1155" t="s">
        <v>96</v>
      </c>
      <c r="BJ1155" t="s">
        <v>114</v>
      </c>
      <c r="BK1155">
        <v>0</v>
      </c>
      <c r="BL1155">
        <v>0</v>
      </c>
      <c r="BM1155">
        <v>0</v>
      </c>
      <c r="BN1155">
        <v>0</v>
      </c>
      <c r="BO1155">
        <v>0</v>
      </c>
      <c r="BP1155">
        <v>1</v>
      </c>
      <c r="BQ1155">
        <v>0</v>
      </c>
      <c r="BR1155">
        <v>0</v>
      </c>
    </row>
    <row r="1156" spans="1:70" x14ac:dyDescent="0.2">
      <c r="A1156" s="1">
        <v>44580.486805555556</v>
      </c>
      <c r="B1156" s="1">
        <v>44580.488194444442</v>
      </c>
      <c r="C1156">
        <v>1</v>
      </c>
      <c r="D1156">
        <v>0</v>
      </c>
      <c r="E1156">
        <v>0</v>
      </c>
      <c r="F1156">
        <v>0</v>
      </c>
      <c r="H1156">
        <v>0</v>
      </c>
      <c r="I1156">
        <v>0</v>
      </c>
      <c r="J1156">
        <v>0</v>
      </c>
      <c r="K1156">
        <v>1</v>
      </c>
      <c r="L1156">
        <v>0</v>
      </c>
      <c r="N1156" t="s">
        <v>88</v>
      </c>
      <c r="O1156" t="s">
        <v>80</v>
      </c>
      <c r="P1156">
        <v>0</v>
      </c>
      <c r="Q1156">
        <v>1</v>
      </c>
      <c r="R1156">
        <v>0</v>
      </c>
      <c r="S1156">
        <v>0</v>
      </c>
      <c r="T1156">
        <v>0</v>
      </c>
      <c r="U1156">
        <v>0</v>
      </c>
      <c r="V1156">
        <v>0</v>
      </c>
      <c r="W1156">
        <v>0</v>
      </c>
      <c r="X1156">
        <v>0</v>
      </c>
      <c r="Y1156">
        <v>0</v>
      </c>
      <c r="Z1156">
        <v>0</v>
      </c>
      <c r="AA1156">
        <v>0</v>
      </c>
      <c r="AM1156" t="s">
        <v>90</v>
      </c>
      <c r="AN1156" t="s">
        <v>81</v>
      </c>
      <c r="AO1156" t="s">
        <v>83</v>
      </c>
      <c r="AP1156" t="s">
        <v>81</v>
      </c>
      <c r="AQ1156" t="s">
        <v>82</v>
      </c>
      <c r="AR1156" t="s">
        <v>90</v>
      </c>
      <c r="AS1156" t="s">
        <v>90</v>
      </c>
      <c r="AT1156" t="s">
        <v>83</v>
      </c>
      <c r="AU1156" t="s">
        <v>88</v>
      </c>
      <c r="AV1156" t="s">
        <v>89</v>
      </c>
      <c r="AW1156" t="s">
        <v>85</v>
      </c>
      <c r="AX1156" t="s">
        <v>118</v>
      </c>
      <c r="AZ1156" t="s">
        <v>73</v>
      </c>
      <c r="BA1156" t="s">
        <v>87</v>
      </c>
      <c r="BB1156" t="s">
        <v>87</v>
      </c>
      <c r="BC1156" t="s">
        <v>87</v>
      </c>
      <c r="BD1156" t="s">
        <v>87</v>
      </c>
      <c r="BE1156" t="s">
        <v>87</v>
      </c>
      <c r="BF1156" t="s">
        <v>108</v>
      </c>
      <c r="BG1156" t="s">
        <v>76</v>
      </c>
      <c r="BH1156" t="s">
        <v>93</v>
      </c>
      <c r="BI1156" t="s">
        <v>73</v>
      </c>
      <c r="BJ1156" t="s">
        <v>94</v>
      </c>
      <c r="BK1156">
        <v>0</v>
      </c>
      <c r="BL1156">
        <v>0</v>
      </c>
      <c r="BM1156">
        <v>0</v>
      </c>
      <c r="BN1156">
        <v>0</v>
      </c>
      <c r="BO1156">
        <v>0</v>
      </c>
      <c r="BP1156">
        <v>1</v>
      </c>
      <c r="BQ1156">
        <v>0</v>
      </c>
      <c r="BR1156">
        <v>0</v>
      </c>
    </row>
    <row r="1157" spans="1:70" x14ac:dyDescent="0.2">
      <c r="A1157" s="1">
        <v>44579.740277777775</v>
      </c>
      <c r="B1157" s="1">
        <v>44579.742361111108</v>
      </c>
      <c r="C1157">
        <v>0</v>
      </c>
      <c r="D1157">
        <v>1</v>
      </c>
      <c r="E1157">
        <v>0</v>
      </c>
      <c r="F1157">
        <v>0</v>
      </c>
      <c r="H1157">
        <v>0</v>
      </c>
      <c r="I1157">
        <v>1</v>
      </c>
      <c r="J1157">
        <v>0</v>
      </c>
      <c r="K1157">
        <v>1</v>
      </c>
      <c r="L1157">
        <v>0</v>
      </c>
      <c r="N1157" t="s">
        <v>135</v>
      </c>
      <c r="O1157" t="s">
        <v>80</v>
      </c>
      <c r="P1157">
        <v>0</v>
      </c>
      <c r="Q1157">
        <v>1</v>
      </c>
      <c r="R1157">
        <v>0</v>
      </c>
      <c r="S1157">
        <v>0</v>
      </c>
      <c r="T1157">
        <v>0</v>
      </c>
      <c r="U1157">
        <v>0</v>
      </c>
      <c r="V1157">
        <v>0</v>
      </c>
      <c r="W1157">
        <v>0</v>
      </c>
      <c r="X1157">
        <v>0</v>
      </c>
      <c r="Y1157">
        <v>0</v>
      </c>
      <c r="Z1157">
        <v>0</v>
      </c>
      <c r="AA1157">
        <v>0</v>
      </c>
      <c r="AM1157" t="s">
        <v>83</v>
      </c>
      <c r="AN1157" t="s">
        <v>82</v>
      </c>
      <c r="AO1157" t="s">
        <v>81</v>
      </c>
      <c r="AP1157" t="s">
        <v>90</v>
      </c>
      <c r="AQ1157" t="s">
        <v>83</v>
      </c>
      <c r="AR1157" t="s">
        <v>83</v>
      </c>
      <c r="AS1157" t="s">
        <v>83</v>
      </c>
      <c r="AT1157" t="s">
        <v>83</v>
      </c>
      <c r="AU1157" t="s">
        <v>88</v>
      </c>
      <c r="AV1157" t="s">
        <v>89</v>
      </c>
      <c r="AW1157" t="s">
        <v>100</v>
      </c>
      <c r="AX1157" t="s">
        <v>72</v>
      </c>
      <c r="AZ1157" t="s">
        <v>107</v>
      </c>
      <c r="BA1157" t="s">
        <v>87</v>
      </c>
      <c r="BB1157" t="s">
        <v>86</v>
      </c>
      <c r="BC1157" t="s">
        <v>86</v>
      </c>
      <c r="BD1157" t="s">
        <v>86</v>
      </c>
      <c r="BE1157" t="s">
        <v>86</v>
      </c>
      <c r="BF1157" t="s">
        <v>75</v>
      </c>
      <c r="BG1157" t="s">
        <v>76</v>
      </c>
      <c r="BH1157" t="s">
        <v>93</v>
      </c>
      <c r="BI1157" t="s">
        <v>107</v>
      </c>
      <c r="BJ1157" t="s">
        <v>78</v>
      </c>
      <c r="BK1157">
        <v>0</v>
      </c>
      <c r="BL1157">
        <v>0</v>
      </c>
      <c r="BM1157">
        <v>0</v>
      </c>
      <c r="BN1157">
        <v>0</v>
      </c>
      <c r="BO1157">
        <v>0</v>
      </c>
      <c r="BP1157">
        <v>1</v>
      </c>
      <c r="BQ1157">
        <v>0</v>
      </c>
      <c r="BR1157">
        <v>0</v>
      </c>
    </row>
    <row r="1158" spans="1:70" x14ac:dyDescent="0.2">
      <c r="A1158" s="1">
        <v>44582.539583333331</v>
      </c>
      <c r="B1158" s="1">
        <v>44582.540972222225</v>
      </c>
      <c r="C1158">
        <v>1</v>
      </c>
      <c r="D1158">
        <v>0</v>
      </c>
      <c r="E1158">
        <v>0</v>
      </c>
      <c r="F1158">
        <v>0</v>
      </c>
      <c r="H1158">
        <v>0</v>
      </c>
      <c r="I1158">
        <v>1</v>
      </c>
      <c r="J1158">
        <v>1</v>
      </c>
      <c r="K1158">
        <v>0</v>
      </c>
      <c r="L1158">
        <v>0</v>
      </c>
      <c r="N1158" t="s">
        <v>88</v>
      </c>
      <c r="O1158" t="s">
        <v>89</v>
      </c>
      <c r="P1158">
        <v>0</v>
      </c>
      <c r="Q1158">
        <v>0</v>
      </c>
      <c r="R1158">
        <v>1</v>
      </c>
      <c r="S1158">
        <v>0</v>
      </c>
      <c r="T1158">
        <v>0</v>
      </c>
      <c r="U1158">
        <v>0</v>
      </c>
      <c r="V1158">
        <v>0</v>
      </c>
      <c r="W1158">
        <v>0</v>
      </c>
      <c r="X1158">
        <v>0</v>
      </c>
      <c r="Y1158">
        <v>0</v>
      </c>
      <c r="Z1158">
        <v>0</v>
      </c>
      <c r="AA1158">
        <v>0</v>
      </c>
      <c r="AM1158" t="s">
        <v>83</v>
      </c>
      <c r="AN1158" t="s">
        <v>82</v>
      </c>
      <c r="AO1158" t="s">
        <v>83</v>
      </c>
      <c r="AP1158" t="s">
        <v>81</v>
      </c>
      <c r="AQ1158" t="s">
        <v>81</v>
      </c>
      <c r="AR1158" t="s">
        <v>83</v>
      </c>
      <c r="AS1158" t="s">
        <v>81</v>
      </c>
      <c r="AT1158" t="s">
        <v>83</v>
      </c>
      <c r="AU1158" t="s">
        <v>88</v>
      </c>
      <c r="AV1158" t="s">
        <v>89</v>
      </c>
      <c r="AW1158" t="s">
        <v>85</v>
      </c>
      <c r="AX1158" t="s">
        <v>242</v>
      </c>
      <c r="AZ1158" t="s">
        <v>107</v>
      </c>
      <c r="BA1158" t="s">
        <v>87</v>
      </c>
      <c r="BB1158" t="s">
        <v>87</v>
      </c>
      <c r="BC1158" t="s">
        <v>87</v>
      </c>
      <c r="BD1158" t="s">
        <v>87</v>
      </c>
      <c r="BE1158" t="s">
        <v>87</v>
      </c>
      <c r="BF1158" t="s">
        <v>75</v>
      </c>
      <c r="BG1158" t="s">
        <v>92</v>
      </c>
      <c r="BH1158" t="s">
        <v>77</v>
      </c>
      <c r="BI1158" t="s">
        <v>107</v>
      </c>
      <c r="BJ1158" t="s">
        <v>78</v>
      </c>
      <c r="BK1158">
        <v>0</v>
      </c>
      <c r="BL1158">
        <v>0</v>
      </c>
      <c r="BM1158">
        <v>0</v>
      </c>
      <c r="BN1158">
        <v>0</v>
      </c>
      <c r="BO1158">
        <v>0</v>
      </c>
      <c r="BP1158">
        <v>1</v>
      </c>
      <c r="BQ1158">
        <v>0</v>
      </c>
      <c r="BR1158">
        <v>0</v>
      </c>
    </row>
    <row r="1159" spans="1:70" x14ac:dyDescent="0.2">
      <c r="A1159" s="1">
        <v>44585.60833333333</v>
      </c>
      <c r="B1159" s="1">
        <v>44585.609027777777</v>
      </c>
      <c r="C1159">
        <v>1</v>
      </c>
      <c r="D1159">
        <v>0</v>
      </c>
      <c r="E1159">
        <v>0</v>
      </c>
      <c r="F1159">
        <v>0</v>
      </c>
      <c r="H1159">
        <v>0</v>
      </c>
      <c r="I1159">
        <v>1</v>
      </c>
      <c r="J1159">
        <v>0</v>
      </c>
      <c r="K1159">
        <v>0</v>
      </c>
      <c r="L1159">
        <v>0</v>
      </c>
      <c r="N1159" t="s">
        <v>135</v>
      </c>
      <c r="O1159" t="s">
        <v>80</v>
      </c>
      <c r="P1159">
        <v>0</v>
      </c>
      <c r="Q1159">
        <v>1</v>
      </c>
      <c r="R1159">
        <v>0</v>
      </c>
      <c r="S1159">
        <v>0</v>
      </c>
      <c r="T1159">
        <v>0</v>
      </c>
      <c r="U1159">
        <v>0</v>
      </c>
      <c r="V1159">
        <v>0</v>
      </c>
      <c r="W1159">
        <v>0</v>
      </c>
      <c r="X1159">
        <v>0</v>
      </c>
      <c r="Y1159">
        <v>0</v>
      </c>
      <c r="Z1159">
        <v>0</v>
      </c>
      <c r="AA1159">
        <v>0</v>
      </c>
      <c r="AM1159" t="s">
        <v>90</v>
      </c>
      <c r="AN1159" t="s">
        <v>82</v>
      </c>
      <c r="AO1159" t="s">
        <v>90</v>
      </c>
      <c r="AP1159" t="s">
        <v>81</v>
      </c>
      <c r="AQ1159" t="s">
        <v>90</v>
      </c>
      <c r="AR1159" t="s">
        <v>90</v>
      </c>
      <c r="AS1159" t="s">
        <v>90</v>
      </c>
      <c r="AT1159" t="s">
        <v>90</v>
      </c>
      <c r="AU1159" t="s">
        <v>127</v>
      </c>
      <c r="AV1159" t="s">
        <v>127</v>
      </c>
      <c r="AX1159" t="s">
        <v>91</v>
      </c>
      <c r="AZ1159" t="s">
        <v>73</v>
      </c>
      <c r="BA1159" t="s">
        <v>86</v>
      </c>
      <c r="BB1159" t="s">
        <v>86</v>
      </c>
      <c r="BC1159" t="s">
        <v>87</v>
      </c>
      <c r="BD1159" t="s">
        <v>86</v>
      </c>
      <c r="BE1159" t="s">
        <v>87</v>
      </c>
      <c r="BF1159" t="s">
        <v>75</v>
      </c>
      <c r="BG1159" t="s">
        <v>76</v>
      </c>
      <c r="BH1159" t="s">
        <v>93</v>
      </c>
      <c r="BI1159" t="s">
        <v>73</v>
      </c>
      <c r="BJ1159" t="s">
        <v>114</v>
      </c>
      <c r="BK1159">
        <v>0</v>
      </c>
      <c r="BL1159">
        <v>0</v>
      </c>
      <c r="BM1159">
        <v>0</v>
      </c>
      <c r="BN1159">
        <v>0</v>
      </c>
      <c r="BO1159">
        <v>0</v>
      </c>
      <c r="BP1159">
        <v>1</v>
      </c>
      <c r="BQ1159">
        <v>0</v>
      </c>
      <c r="BR1159">
        <v>0</v>
      </c>
    </row>
    <row r="1160" spans="1:70" x14ac:dyDescent="0.2">
      <c r="A1160" s="1">
        <v>44579.938194444447</v>
      </c>
      <c r="B1160" s="1">
        <v>44579.939583333333</v>
      </c>
      <c r="C1160">
        <v>1</v>
      </c>
      <c r="D1160">
        <v>0</v>
      </c>
      <c r="E1160">
        <v>0</v>
      </c>
      <c r="F1160">
        <v>0</v>
      </c>
      <c r="H1160">
        <v>1</v>
      </c>
      <c r="I1160">
        <v>0</v>
      </c>
      <c r="J1160">
        <v>0</v>
      </c>
      <c r="K1160">
        <v>0</v>
      </c>
      <c r="L1160">
        <v>0</v>
      </c>
      <c r="P1160">
        <v>1</v>
      </c>
      <c r="Q1160">
        <v>0</v>
      </c>
      <c r="R1160">
        <v>0</v>
      </c>
      <c r="S1160">
        <v>0</v>
      </c>
      <c r="T1160">
        <v>0</v>
      </c>
      <c r="U1160">
        <v>0</v>
      </c>
      <c r="V1160">
        <v>0</v>
      </c>
      <c r="W1160">
        <v>0</v>
      </c>
      <c r="X1160">
        <v>0</v>
      </c>
      <c r="Y1160">
        <v>0</v>
      </c>
      <c r="Z1160">
        <v>0</v>
      </c>
      <c r="AA1160">
        <v>0</v>
      </c>
      <c r="AC1160">
        <v>0</v>
      </c>
      <c r="AD1160">
        <v>0</v>
      </c>
      <c r="AE1160">
        <v>0</v>
      </c>
      <c r="AF1160">
        <v>0</v>
      </c>
      <c r="AG1160">
        <v>0</v>
      </c>
      <c r="AH1160">
        <v>0</v>
      </c>
      <c r="AI1160">
        <v>0</v>
      </c>
      <c r="AJ1160">
        <v>1</v>
      </c>
      <c r="AK1160">
        <v>0</v>
      </c>
      <c r="AX1160" t="s">
        <v>256</v>
      </c>
      <c r="AZ1160" t="s">
        <v>73</v>
      </c>
      <c r="BA1160" t="s">
        <v>74</v>
      </c>
      <c r="BF1160" t="s">
        <v>108</v>
      </c>
      <c r="BG1160" t="s">
        <v>76</v>
      </c>
      <c r="BH1160" t="s">
        <v>77</v>
      </c>
      <c r="BI1160" t="s">
        <v>73</v>
      </c>
      <c r="BJ1160" t="s">
        <v>94</v>
      </c>
      <c r="BK1160">
        <v>0</v>
      </c>
      <c r="BL1160">
        <v>0</v>
      </c>
      <c r="BM1160">
        <v>0</v>
      </c>
      <c r="BN1160">
        <v>0</v>
      </c>
      <c r="BO1160">
        <v>0</v>
      </c>
      <c r="BP1160">
        <v>1</v>
      </c>
      <c r="BQ1160">
        <v>0</v>
      </c>
      <c r="BR1160">
        <v>0</v>
      </c>
    </row>
    <row r="1161" spans="1:70" x14ac:dyDescent="0.2">
      <c r="A1161" s="1">
        <v>44579.943055555559</v>
      </c>
      <c r="B1161" s="1">
        <v>44579.945138888892</v>
      </c>
      <c r="C1161">
        <v>0</v>
      </c>
      <c r="D1161">
        <v>1</v>
      </c>
      <c r="E1161">
        <v>0</v>
      </c>
      <c r="F1161">
        <v>0</v>
      </c>
      <c r="H1161">
        <v>1</v>
      </c>
      <c r="I1161">
        <v>0</v>
      </c>
      <c r="J1161">
        <v>0</v>
      </c>
      <c r="K1161">
        <v>0</v>
      </c>
      <c r="L1161">
        <v>0</v>
      </c>
      <c r="P1161">
        <v>0</v>
      </c>
      <c r="Q1161">
        <v>1</v>
      </c>
      <c r="R1161">
        <v>0</v>
      </c>
      <c r="S1161">
        <v>0</v>
      </c>
      <c r="T1161">
        <v>0</v>
      </c>
      <c r="U1161">
        <v>0</v>
      </c>
      <c r="V1161">
        <v>0</v>
      </c>
      <c r="W1161">
        <v>0</v>
      </c>
      <c r="X1161">
        <v>0</v>
      </c>
      <c r="Y1161">
        <v>0</v>
      </c>
      <c r="Z1161">
        <v>0</v>
      </c>
      <c r="AA1161">
        <v>0</v>
      </c>
      <c r="AM1161" t="s">
        <v>90</v>
      </c>
      <c r="AN1161" t="s">
        <v>82</v>
      </c>
      <c r="AO1161" t="s">
        <v>81</v>
      </c>
      <c r="AP1161" t="s">
        <v>83</v>
      </c>
      <c r="AQ1161" t="s">
        <v>90</v>
      </c>
      <c r="AR1161" t="s">
        <v>90</v>
      </c>
      <c r="AS1161" t="s">
        <v>90</v>
      </c>
      <c r="AT1161" t="s">
        <v>83</v>
      </c>
      <c r="AU1161" t="s">
        <v>88</v>
      </c>
      <c r="AV1161" t="s">
        <v>89</v>
      </c>
      <c r="AW1161" t="s">
        <v>100</v>
      </c>
      <c r="AX1161" t="s">
        <v>146</v>
      </c>
      <c r="AZ1161" t="s">
        <v>73</v>
      </c>
      <c r="BA1161" t="s">
        <v>87</v>
      </c>
      <c r="BB1161" t="s">
        <v>74</v>
      </c>
      <c r="BC1161" t="s">
        <v>87</v>
      </c>
      <c r="BD1161" t="s">
        <v>87</v>
      </c>
      <c r="BE1161" t="s">
        <v>87</v>
      </c>
      <c r="BF1161" t="s">
        <v>75</v>
      </c>
      <c r="BG1161" t="s">
        <v>92</v>
      </c>
      <c r="BH1161" t="s">
        <v>77</v>
      </c>
      <c r="BI1161" t="s">
        <v>73</v>
      </c>
      <c r="BJ1161" t="s">
        <v>78</v>
      </c>
      <c r="BK1161">
        <v>0</v>
      </c>
      <c r="BL1161">
        <v>0</v>
      </c>
      <c r="BM1161">
        <v>0</v>
      </c>
      <c r="BN1161">
        <v>0</v>
      </c>
      <c r="BO1161">
        <v>0</v>
      </c>
      <c r="BP1161">
        <v>1</v>
      </c>
      <c r="BQ1161">
        <v>0</v>
      </c>
      <c r="BR1161">
        <v>0</v>
      </c>
    </row>
    <row r="1162" spans="1:70" x14ac:dyDescent="0.2">
      <c r="A1162" s="1">
        <v>44585.612500000003</v>
      </c>
      <c r="B1162" s="1">
        <v>44585.613888888889</v>
      </c>
      <c r="C1162">
        <v>1</v>
      </c>
      <c r="D1162">
        <v>0</v>
      </c>
      <c r="E1162">
        <v>0</v>
      </c>
      <c r="F1162">
        <v>0</v>
      </c>
      <c r="H1162">
        <v>0</v>
      </c>
      <c r="I1162">
        <v>1</v>
      </c>
      <c r="J1162">
        <v>0</v>
      </c>
      <c r="K1162">
        <v>0</v>
      </c>
      <c r="L1162">
        <v>0</v>
      </c>
      <c r="N1162" t="s">
        <v>88</v>
      </c>
      <c r="O1162" t="s">
        <v>89</v>
      </c>
      <c r="P1162">
        <v>1</v>
      </c>
      <c r="Q1162">
        <v>0</v>
      </c>
      <c r="R1162">
        <v>0</v>
      </c>
      <c r="S1162">
        <v>0</v>
      </c>
      <c r="T1162">
        <v>0</v>
      </c>
      <c r="U1162">
        <v>0</v>
      </c>
      <c r="V1162">
        <v>0</v>
      </c>
      <c r="W1162">
        <v>0</v>
      </c>
      <c r="X1162">
        <v>0</v>
      </c>
      <c r="Y1162">
        <v>0</v>
      </c>
      <c r="Z1162">
        <v>0</v>
      </c>
      <c r="AA1162">
        <v>0</v>
      </c>
      <c r="AC1162">
        <v>0</v>
      </c>
      <c r="AD1162">
        <v>0</v>
      </c>
      <c r="AE1162">
        <v>1</v>
      </c>
      <c r="AF1162">
        <v>0</v>
      </c>
      <c r="AG1162">
        <v>0</v>
      </c>
      <c r="AH1162">
        <v>0</v>
      </c>
      <c r="AI1162">
        <v>1</v>
      </c>
      <c r="AJ1162">
        <v>1</v>
      </c>
      <c r="AK1162">
        <v>0</v>
      </c>
      <c r="AX1162" t="s">
        <v>122</v>
      </c>
      <c r="AZ1162" t="s">
        <v>107</v>
      </c>
      <c r="BA1162" t="s">
        <v>74</v>
      </c>
      <c r="BF1162" t="s">
        <v>75</v>
      </c>
      <c r="BG1162" t="s">
        <v>92</v>
      </c>
      <c r="BH1162" t="s">
        <v>77</v>
      </c>
      <c r="BI1162" t="s">
        <v>107</v>
      </c>
      <c r="BJ1162" t="s">
        <v>114</v>
      </c>
      <c r="BK1162">
        <v>0</v>
      </c>
      <c r="BL1162">
        <v>0</v>
      </c>
      <c r="BM1162">
        <v>0</v>
      </c>
      <c r="BN1162">
        <v>0</v>
      </c>
      <c r="BO1162">
        <v>0</v>
      </c>
      <c r="BP1162">
        <v>1</v>
      </c>
      <c r="BQ1162">
        <v>0</v>
      </c>
      <c r="BR1162">
        <v>0</v>
      </c>
    </row>
    <row r="1163" spans="1:70" x14ac:dyDescent="0.2">
      <c r="A1163" s="1">
        <v>44581.997916666667</v>
      </c>
      <c r="B1163" s="1">
        <v>44581.999305555553</v>
      </c>
      <c r="C1163">
        <v>1</v>
      </c>
      <c r="D1163">
        <v>0</v>
      </c>
      <c r="E1163">
        <v>0</v>
      </c>
      <c r="F1163">
        <v>0</v>
      </c>
      <c r="H1163">
        <v>1</v>
      </c>
      <c r="I1163">
        <v>0</v>
      </c>
      <c r="J1163">
        <v>0</v>
      </c>
      <c r="K1163">
        <v>0</v>
      </c>
      <c r="L1163">
        <v>0</v>
      </c>
      <c r="P1163">
        <v>1</v>
      </c>
      <c r="Q1163">
        <v>0</v>
      </c>
      <c r="R1163">
        <v>0</v>
      </c>
      <c r="S1163">
        <v>0</v>
      </c>
      <c r="T1163">
        <v>0</v>
      </c>
      <c r="U1163">
        <v>0</v>
      </c>
      <c r="V1163">
        <v>0</v>
      </c>
      <c r="W1163">
        <v>0</v>
      </c>
      <c r="X1163">
        <v>0</v>
      </c>
      <c r="Y1163">
        <v>0</v>
      </c>
      <c r="Z1163">
        <v>0</v>
      </c>
      <c r="AA1163">
        <v>0</v>
      </c>
      <c r="AC1163">
        <v>0</v>
      </c>
      <c r="AD1163">
        <v>0</v>
      </c>
      <c r="AE1163">
        <v>0</v>
      </c>
      <c r="AF1163">
        <v>0</v>
      </c>
      <c r="AG1163">
        <v>0</v>
      </c>
      <c r="AH1163">
        <v>0</v>
      </c>
      <c r="AI1163">
        <v>1</v>
      </c>
      <c r="AJ1163">
        <v>1</v>
      </c>
      <c r="AK1163">
        <v>0</v>
      </c>
      <c r="AX1163" t="s">
        <v>199</v>
      </c>
      <c r="AZ1163" t="s">
        <v>107</v>
      </c>
      <c r="BA1163" t="s">
        <v>74</v>
      </c>
      <c r="BF1163" t="s">
        <v>75</v>
      </c>
      <c r="BG1163" t="s">
        <v>92</v>
      </c>
      <c r="BH1163" t="s">
        <v>77</v>
      </c>
      <c r="BI1163" t="s">
        <v>107</v>
      </c>
      <c r="BJ1163" t="s">
        <v>94</v>
      </c>
      <c r="BK1163">
        <v>0</v>
      </c>
      <c r="BL1163">
        <v>0</v>
      </c>
      <c r="BM1163">
        <v>0</v>
      </c>
      <c r="BN1163">
        <v>0</v>
      </c>
      <c r="BO1163">
        <v>0</v>
      </c>
      <c r="BP1163">
        <v>1</v>
      </c>
      <c r="BQ1163">
        <v>0</v>
      </c>
      <c r="BR1163">
        <v>0</v>
      </c>
    </row>
    <row r="1164" spans="1:70" x14ac:dyDescent="0.2">
      <c r="A1164" s="1">
        <v>44581.59097222222</v>
      </c>
      <c r="B1164" s="1">
        <v>44581.594444444447</v>
      </c>
      <c r="C1164">
        <v>1</v>
      </c>
      <c r="D1164">
        <v>0</v>
      </c>
      <c r="E1164">
        <v>0</v>
      </c>
      <c r="F1164">
        <v>0</v>
      </c>
      <c r="H1164">
        <v>1</v>
      </c>
      <c r="I1164">
        <v>0</v>
      </c>
      <c r="J1164">
        <v>0</v>
      </c>
      <c r="K1164">
        <v>0</v>
      </c>
      <c r="L1164">
        <v>0</v>
      </c>
      <c r="P1164">
        <v>0</v>
      </c>
      <c r="Q1164">
        <v>1</v>
      </c>
      <c r="R1164">
        <v>0</v>
      </c>
      <c r="S1164">
        <v>0</v>
      </c>
      <c r="T1164">
        <v>0</v>
      </c>
      <c r="U1164">
        <v>0</v>
      </c>
      <c r="V1164">
        <v>0</v>
      </c>
      <c r="W1164">
        <v>0</v>
      </c>
      <c r="X1164">
        <v>0</v>
      </c>
      <c r="Y1164">
        <v>0</v>
      </c>
      <c r="Z1164">
        <v>0</v>
      </c>
      <c r="AA1164">
        <v>0</v>
      </c>
      <c r="AM1164" t="s">
        <v>90</v>
      </c>
      <c r="AN1164" t="s">
        <v>81</v>
      </c>
      <c r="AO1164" t="s">
        <v>81</v>
      </c>
      <c r="AP1164" t="s">
        <v>90</v>
      </c>
      <c r="AQ1164" t="s">
        <v>82</v>
      </c>
      <c r="AR1164" t="s">
        <v>90</v>
      </c>
      <c r="AS1164" t="s">
        <v>90</v>
      </c>
      <c r="AT1164" t="s">
        <v>90</v>
      </c>
      <c r="AU1164" t="s">
        <v>135</v>
      </c>
      <c r="AV1164" t="s">
        <v>80</v>
      </c>
      <c r="AW1164" t="s">
        <v>117</v>
      </c>
      <c r="AX1164" t="s">
        <v>72</v>
      </c>
      <c r="AZ1164" t="s">
        <v>73</v>
      </c>
      <c r="BA1164" t="s">
        <v>86</v>
      </c>
      <c r="BB1164" t="s">
        <v>87</v>
      </c>
      <c r="BC1164" t="s">
        <v>87</v>
      </c>
      <c r="BD1164" t="s">
        <v>87</v>
      </c>
      <c r="BE1164" t="s">
        <v>87</v>
      </c>
      <c r="BF1164" t="s">
        <v>75</v>
      </c>
      <c r="BG1164" t="s">
        <v>92</v>
      </c>
      <c r="BH1164" t="s">
        <v>77</v>
      </c>
      <c r="BI1164" t="s">
        <v>73</v>
      </c>
      <c r="BJ1164" t="s">
        <v>114</v>
      </c>
      <c r="BK1164">
        <v>0</v>
      </c>
      <c r="BL1164">
        <v>0</v>
      </c>
      <c r="BM1164">
        <v>0</v>
      </c>
      <c r="BN1164">
        <v>0</v>
      </c>
      <c r="BO1164">
        <v>0</v>
      </c>
      <c r="BP1164">
        <v>1</v>
      </c>
      <c r="BQ1164">
        <v>0</v>
      </c>
      <c r="BR1164">
        <v>0</v>
      </c>
    </row>
    <row r="1165" spans="1:70" x14ac:dyDescent="0.2">
      <c r="A1165" s="1">
        <v>44585.570138888892</v>
      </c>
      <c r="B1165" s="1">
        <v>44585.572222222225</v>
      </c>
      <c r="C1165">
        <v>1</v>
      </c>
      <c r="D1165">
        <v>0</v>
      </c>
      <c r="E1165">
        <v>0</v>
      </c>
      <c r="F1165">
        <v>0</v>
      </c>
      <c r="H1165">
        <v>0</v>
      </c>
      <c r="I1165">
        <v>1</v>
      </c>
      <c r="J1165">
        <v>0</v>
      </c>
      <c r="K1165">
        <v>0</v>
      </c>
      <c r="L1165">
        <v>0</v>
      </c>
      <c r="N1165" t="s">
        <v>79</v>
      </c>
      <c r="O1165" t="s">
        <v>80</v>
      </c>
      <c r="P1165">
        <v>0</v>
      </c>
      <c r="Q1165">
        <v>1</v>
      </c>
      <c r="R1165">
        <v>0</v>
      </c>
      <c r="S1165">
        <v>0</v>
      </c>
      <c r="T1165">
        <v>0</v>
      </c>
      <c r="U1165">
        <v>0</v>
      </c>
      <c r="V1165">
        <v>0</v>
      </c>
      <c r="W1165">
        <v>0</v>
      </c>
      <c r="X1165">
        <v>0</v>
      </c>
      <c r="Y1165">
        <v>0</v>
      </c>
      <c r="Z1165">
        <v>0</v>
      </c>
      <c r="AA1165">
        <v>0</v>
      </c>
      <c r="AM1165" t="s">
        <v>90</v>
      </c>
      <c r="AN1165" t="s">
        <v>82</v>
      </c>
      <c r="AO1165" t="s">
        <v>90</v>
      </c>
      <c r="AP1165" t="s">
        <v>90</v>
      </c>
      <c r="AQ1165" t="s">
        <v>90</v>
      </c>
      <c r="AR1165" t="s">
        <v>90</v>
      </c>
      <c r="AS1165" t="s">
        <v>90</v>
      </c>
      <c r="AT1165" t="s">
        <v>90</v>
      </c>
      <c r="AU1165" t="s">
        <v>127</v>
      </c>
      <c r="AV1165" t="s">
        <v>127</v>
      </c>
      <c r="AX1165" t="s">
        <v>242</v>
      </c>
      <c r="AZ1165" t="s">
        <v>107</v>
      </c>
      <c r="BA1165" t="s">
        <v>86</v>
      </c>
      <c r="BB1165" t="s">
        <v>87</v>
      </c>
      <c r="BC1165" t="s">
        <v>87</v>
      </c>
      <c r="BD1165" t="s">
        <v>87</v>
      </c>
      <c r="BE1165" t="s">
        <v>87</v>
      </c>
      <c r="BF1165" t="s">
        <v>75</v>
      </c>
      <c r="BG1165" t="s">
        <v>92</v>
      </c>
      <c r="BH1165" t="s">
        <v>77</v>
      </c>
      <c r="BI1165" t="s">
        <v>107</v>
      </c>
      <c r="BJ1165" t="s">
        <v>147</v>
      </c>
      <c r="BK1165">
        <v>0</v>
      </c>
      <c r="BL1165">
        <v>0</v>
      </c>
      <c r="BM1165">
        <v>0</v>
      </c>
      <c r="BN1165">
        <v>0</v>
      </c>
      <c r="BO1165">
        <v>0</v>
      </c>
      <c r="BP1165">
        <v>1</v>
      </c>
      <c r="BQ1165">
        <v>0</v>
      </c>
      <c r="BR1165">
        <v>0</v>
      </c>
    </row>
    <row r="1166" spans="1:70" x14ac:dyDescent="0.2">
      <c r="A1166" s="1">
        <v>44579.888194444444</v>
      </c>
      <c r="B1166" s="1">
        <v>44579.890277777777</v>
      </c>
      <c r="C1166">
        <v>1</v>
      </c>
      <c r="D1166">
        <v>0</v>
      </c>
      <c r="E1166">
        <v>0</v>
      </c>
      <c r="F1166">
        <v>0</v>
      </c>
      <c r="H1166">
        <v>0</v>
      </c>
      <c r="I1166">
        <v>1</v>
      </c>
      <c r="J1166">
        <v>1</v>
      </c>
      <c r="K1166">
        <v>0</v>
      </c>
      <c r="L1166">
        <v>0</v>
      </c>
      <c r="N1166" t="s">
        <v>79</v>
      </c>
      <c r="O1166" t="s">
        <v>80</v>
      </c>
      <c r="P1166">
        <v>0</v>
      </c>
      <c r="Q1166">
        <v>0</v>
      </c>
      <c r="R1166">
        <v>1</v>
      </c>
      <c r="S1166">
        <v>0</v>
      </c>
      <c r="T1166">
        <v>0</v>
      </c>
      <c r="U1166">
        <v>0</v>
      </c>
      <c r="V1166">
        <v>0</v>
      </c>
      <c r="W1166">
        <v>0</v>
      </c>
      <c r="X1166">
        <v>0</v>
      </c>
      <c r="Y1166">
        <v>0</v>
      </c>
      <c r="Z1166">
        <v>0</v>
      </c>
      <c r="AA1166">
        <v>0</v>
      </c>
      <c r="AM1166" t="s">
        <v>82</v>
      </c>
      <c r="AN1166" t="s">
        <v>82</v>
      </c>
      <c r="AO1166" t="s">
        <v>83</v>
      </c>
      <c r="AP1166" t="s">
        <v>82</v>
      </c>
      <c r="AQ1166" t="s">
        <v>82</v>
      </c>
      <c r="AR1166" t="s">
        <v>82</v>
      </c>
      <c r="AS1166" t="s">
        <v>81</v>
      </c>
      <c r="AT1166" t="s">
        <v>83</v>
      </c>
      <c r="AU1166" t="s">
        <v>88</v>
      </c>
      <c r="AV1166" t="s">
        <v>89</v>
      </c>
      <c r="AW1166" t="s">
        <v>85</v>
      </c>
      <c r="AX1166" t="s">
        <v>91</v>
      </c>
      <c r="AZ1166" t="s">
        <v>73</v>
      </c>
      <c r="BA1166" t="s">
        <v>86</v>
      </c>
      <c r="BB1166" t="s">
        <v>87</v>
      </c>
      <c r="BC1166" t="s">
        <v>87</v>
      </c>
      <c r="BD1166" t="s">
        <v>86</v>
      </c>
      <c r="BE1166" t="s">
        <v>74</v>
      </c>
      <c r="BF1166" t="s">
        <v>75</v>
      </c>
      <c r="BG1166" t="s">
        <v>92</v>
      </c>
      <c r="BH1166" t="s">
        <v>77</v>
      </c>
      <c r="BI1166" t="s">
        <v>73</v>
      </c>
      <c r="BJ1166" t="s">
        <v>78</v>
      </c>
      <c r="BK1166">
        <v>0</v>
      </c>
      <c r="BL1166">
        <v>0</v>
      </c>
      <c r="BM1166">
        <v>0</v>
      </c>
      <c r="BN1166">
        <v>0</v>
      </c>
      <c r="BO1166">
        <v>0</v>
      </c>
      <c r="BP1166">
        <v>1</v>
      </c>
      <c r="BQ1166">
        <v>0</v>
      </c>
      <c r="BR1166">
        <v>0</v>
      </c>
    </row>
    <row r="1167" spans="1:70" x14ac:dyDescent="0.2">
      <c r="A1167" s="1">
        <v>44579.888888888891</v>
      </c>
      <c r="B1167" s="1">
        <v>44579.890277777777</v>
      </c>
      <c r="C1167">
        <v>1</v>
      </c>
      <c r="D1167">
        <v>0</v>
      </c>
      <c r="E1167">
        <v>0</v>
      </c>
      <c r="F1167">
        <v>0</v>
      </c>
      <c r="H1167">
        <v>1</v>
      </c>
      <c r="I1167">
        <v>0</v>
      </c>
      <c r="J1167">
        <v>0</v>
      </c>
      <c r="K1167">
        <v>0</v>
      </c>
      <c r="L1167">
        <v>0</v>
      </c>
      <c r="P1167">
        <v>0</v>
      </c>
      <c r="Q1167">
        <v>0</v>
      </c>
      <c r="R1167">
        <v>1</v>
      </c>
      <c r="S1167">
        <v>0</v>
      </c>
      <c r="T1167">
        <v>0</v>
      </c>
      <c r="U1167">
        <v>0</v>
      </c>
      <c r="V1167">
        <v>0</v>
      </c>
      <c r="W1167">
        <v>0</v>
      </c>
      <c r="X1167">
        <v>0</v>
      </c>
      <c r="Y1167">
        <v>0</v>
      </c>
      <c r="Z1167">
        <v>0</v>
      </c>
      <c r="AA1167">
        <v>0</v>
      </c>
      <c r="AM1167" t="s">
        <v>83</v>
      </c>
      <c r="AN1167" t="s">
        <v>81</v>
      </c>
      <c r="AO1167" t="s">
        <v>83</v>
      </c>
      <c r="AP1167" t="s">
        <v>81</v>
      </c>
      <c r="AQ1167" t="s">
        <v>82</v>
      </c>
      <c r="AR1167" t="s">
        <v>83</v>
      </c>
      <c r="AS1167" t="s">
        <v>83</v>
      </c>
      <c r="AT1167" t="s">
        <v>83</v>
      </c>
      <c r="AU1167" t="s">
        <v>88</v>
      </c>
      <c r="AV1167" t="s">
        <v>89</v>
      </c>
      <c r="AW1167" t="s">
        <v>100</v>
      </c>
      <c r="AX1167" t="s">
        <v>118</v>
      </c>
      <c r="AZ1167" t="s">
        <v>73</v>
      </c>
      <c r="BA1167" t="s">
        <v>74</v>
      </c>
      <c r="BF1167" t="s">
        <v>75</v>
      </c>
      <c r="BG1167" t="s">
        <v>76</v>
      </c>
      <c r="BH1167" t="s">
        <v>93</v>
      </c>
      <c r="BI1167" t="s">
        <v>73</v>
      </c>
      <c r="BJ1167" t="s">
        <v>165</v>
      </c>
      <c r="BK1167">
        <v>0</v>
      </c>
      <c r="BL1167">
        <v>0</v>
      </c>
      <c r="BM1167">
        <v>0</v>
      </c>
      <c r="BN1167">
        <v>0</v>
      </c>
      <c r="BO1167">
        <v>0</v>
      </c>
      <c r="BP1167">
        <v>1</v>
      </c>
      <c r="BQ1167">
        <v>0</v>
      </c>
      <c r="BR1167">
        <v>0</v>
      </c>
    </row>
    <row r="1168" spans="1:70" x14ac:dyDescent="0.2">
      <c r="A1168" s="1">
        <v>44585.506944444445</v>
      </c>
      <c r="B1168" s="1">
        <v>44585.509027777778</v>
      </c>
      <c r="C1168">
        <v>1</v>
      </c>
      <c r="D1168">
        <v>0</v>
      </c>
      <c r="E1168">
        <v>0</v>
      </c>
      <c r="F1168">
        <v>0</v>
      </c>
      <c r="H1168">
        <v>1</v>
      </c>
      <c r="I1168">
        <v>0</v>
      </c>
      <c r="J1168">
        <v>0</v>
      </c>
      <c r="K1168">
        <v>0</v>
      </c>
      <c r="L1168">
        <v>0</v>
      </c>
      <c r="P1168">
        <v>0</v>
      </c>
      <c r="Q1168">
        <v>0</v>
      </c>
      <c r="R1168">
        <v>1</v>
      </c>
      <c r="S1168">
        <v>0</v>
      </c>
      <c r="T1168">
        <v>0</v>
      </c>
      <c r="U1168">
        <v>0</v>
      </c>
      <c r="V1168">
        <v>0</v>
      </c>
      <c r="W1168">
        <v>0</v>
      </c>
      <c r="X1168">
        <v>0</v>
      </c>
      <c r="Y1168">
        <v>0</v>
      </c>
      <c r="Z1168">
        <v>0</v>
      </c>
      <c r="AA1168">
        <v>0</v>
      </c>
      <c r="AM1168" t="s">
        <v>83</v>
      </c>
      <c r="AN1168" t="s">
        <v>82</v>
      </c>
      <c r="AO1168" t="s">
        <v>83</v>
      </c>
      <c r="AP1168" t="s">
        <v>83</v>
      </c>
      <c r="AQ1168" t="s">
        <v>81</v>
      </c>
      <c r="AR1168" t="s">
        <v>83</v>
      </c>
      <c r="AS1168" t="s">
        <v>83</v>
      </c>
      <c r="AT1168" t="s">
        <v>83</v>
      </c>
      <c r="AU1168" t="s">
        <v>84</v>
      </c>
      <c r="AV1168" t="s">
        <v>80</v>
      </c>
      <c r="AW1168" t="s">
        <v>153</v>
      </c>
      <c r="AZ1168" t="s">
        <v>96</v>
      </c>
      <c r="BA1168" t="s">
        <v>86</v>
      </c>
      <c r="BB1168" t="s">
        <v>86</v>
      </c>
      <c r="BC1168" t="s">
        <v>86</v>
      </c>
      <c r="BD1168" t="s">
        <v>86</v>
      </c>
      <c r="BE1168" t="s">
        <v>86</v>
      </c>
      <c r="BF1168" t="s">
        <v>159</v>
      </c>
      <c r="BG1168" t="s">
        <v>76</v>
      </c>
      <c r="BH1168" t="s">
        <v>77</v>
      </c>
      <c r="BI1168" t="s">
        <v>96</v>
      </c>
      <c r="BJ1168" t="s">
        <v>114</v>
      </c>
      <c r="BK1168">
        <v>0</v>
      </c>
      <c r="BL1168">
        <v>0</v>
      </c>
      <c r="BM1168">
        <v>0</v>
      </c>
      <c r="BN1168">
        <v>0</v>
      </c>
      <c r="BO1168">
        <v>0</v>
      </c>
      <c r="BP1168">
        <v>1</v>
      </c>
      <c r="BQ1168">
        <v>0</v>
      </c>
      <c r="BR1168">
        <v>0</v>
      </c>
    </row>
    <row r="1169" spans="1:72" x14ac:dyDescent="0.2">
      <c r="A1169" s="1">
        <v>44581.614583333336</v>
      </c>
      <c r="B1169" s="1">
        <v>44581.618055555555</v>
      </c>
      <c r="C1169">
        <v>1</v>
      </c>
      <c r="D1169">
        <v>0</v>
      </c>
      <c r="E1169">
        <v>0</v>
      </c>
      <c r="F1169">
        <v>0</v>
      </c>
      <c r="H1169">
        <v>0</v>
      </c>
      <c r="I1169">
        <v>1</v>
      </c>
      <c r="J1169">
        <v>0</v>
      </c>
      <c r="K1169">
        <v>0</v>
      </c>
      <c r="L1169">
        <v>1</v>
      </c>
      <c r="M1169" t="s">
        <v>503</v>
      </c>
      <c r="N1169" t="s">
        <v>79</v>
      </c>
      <c r="O1169" t="s">
        <v>80</v>
      </c>
      <c r="P1169">
        <v>1</v>
      </c>
      <c r="Q1169">
        <v>0</v>
      </c>
      <c r="R1169">
        <v>0</v>
      </c>
      <c r="S1169">
        <v>0</v>
      </c>
      <c r="T1169">
        <v>0</v>
      </c>
      <c r="U1169">
        <v>0</v>
      </c>
      <c r="V1169">
        <v>0</v>
      </c>
      <c r="W1169">
        <v>0</v>
      </c>
      <c r="X1169">
        <v>0</v>
      </c>
      <c r="Y1169">
        <v>0</v>
      </c>
      <c r="Z1169">
        <v>0</v>
      </c>
      <c r="AA1169">
        <v>0</v>
      </c>
      <c r="AC1169">
        <v>0</v>
      </c>
      <c r="AD1169">
        <v>0</v>
      </c>
      <c r="AE1169">
        <v>0</v>
      </c>
      <c r="AF1169">
        <v>0</v>
      </c>
      <c r="AG1169">
        <v>0</v>
      </c>
      <c r="AH1169">
        <v>0</v>
      </c>
      <c r="AI1169">
        <v>1</v>
      </c>
      <c r="AJ1169">
        <v>0</v>
      </c>
      <c r="AK1169">
        <v>1</v>
      </c>
      <c r="AL1169" t="s">
        <v>504</v>
      </c>
      <c r="AX1169" t="s">
        <v>191</v>
      </c>
      <c r="AZ1169" t="s">
        <v>96</v>
      </c>
      <c r="BA1169" t="s">
        <v>86</v>
      </c>
      <c r="BB1169" t="s">
        <v>74</v>
      </c>
      <c r="BC1169" t="s">
        <v>86</v>
      </c>
      <c r="BD1169" t="s">
        <v>74</v>
      </c>
      <c r="BE1169" t="s">
        <v>74</v>
      </c>
      <c r="BF1169" t="s">
        <v>75</v>
      </c>
      <c r="BG1169" t="s">
        <v>76</v>
      </c>
      <c r="BH1169" t="s">
        <v>77</v>
      </c>
      <c r="BI1169" t="s">
        <v>96</v>
      </c>
      <c r="BJ1169" t="s">
        <v>94</v>
      </c>
      <c r="BK1169">
        <v>0</v>
      </c>
      <c r="BL1169">
        <v>0</v>
      </c>
      <c r="BM1169">
        <v>0</v>
      </c>
      <c r="BN1169">
        <v>0</v>
      </c>
      <c r="BO1169">
        <v>0</v>
      </c>
      <c r="BP1169">
        <v>1</v>
      </c>
      <c r="BQ1169">
        <v>0</v>
      </c>
      <c r="BR1169">
        <v>0</v>
      </c>
    </row>
    <row r="1170" spans="1:72" x14ac:dyDescent="0.2">
      <c r="A1170" s="1">
        <v>44585.62777777778</v>
      </c>
      <c r="B1170" s="1">
        <v>44585.634027777778</v>
      </c>
      <c r="C1170">
        <v>0</v>
      </c>
      <c r="D1170">
        <v>1</v>
      </c>
      <c r="E1170">
        <v>0</v>
      </c>
      <c r="F1170">
        <v>0</v>
      </c>
      <c r="H1170">
        <v>0</v>
      </c>
      <c r="I1170">
        <v>0</v>
      </c>
      <c r="J1170">
        <v>1</v>
      </c>
      <c r="K1170">
        <v>0</v>
      </c>
      <c r="L1170">
        <v>0</v>
      </c>
      <c r="N1170" t="s">
        <v>79</v>
      </c>
      <c r="O1170" t="s">
        <v>80</v>
      </c>
      <c r="P1170">
        <v>0</v>
      </c>
      <c r="Q1170">
        <v>1</v>
      </c>
      <c r="R1170">
        <v>0</v>
      </c>
      <c r="S1170">
        <v>0</v>
      </c>
      <c r="T1170">
        <v>0</v>
      </c>
      <c r="U1170">
        <v>0</v>
      </c>
      <c r="V1170">
        <v>0</v>
      </c>
      <c r="W1170">
        <v>0</v>
      </c>
      <c r="X1170">
        <v>0</v>
      </c>
      <c r="Y1170">
        <v>0</v>
      </c>
      <c r="Z1170">
        <v>0</v>
      </c>
      <c r="AA1170">
        <v>0</v>
      </c>
      <c r="AM1170" t="s">
        <v>83</v>
      </c>
      <c r="AN1170" t="s">
        <v>82</v>
      </c>
      <c r="AO1170" t="s">
        <v>81</v>
      </c>
      <c r="AP1170" t="s">
        <v>82</v>
      </c>
      <c r="AQ1170" t="s">
        <v>83</v>
      </c>
      <c r="AR1170" t="s">
        <v>83</v>
      </c>
      <c r="AS1170" t="s">
        <v>83</v>
      </c>
      <c r="AT1170" t="s">
        <v>83</v>
      </c>
      <c r="AU1170" t="s">
        <v>84</v>
      </c>
      <c r="AV1170" t="s">
        <v>80</v>
      </c>
      <c r="AW1170" t="s">
        <v>100</v>
      </c>
      <c r="AX1170" t="s">
        <v>122</v>
      </c>
      <c r="AZ1170" t="s">
        <v>73</v>
      </c>
      <c r="BA1170" t="s">
        <v>86</v>
      </c>
      <c r="BB1170" t="s">
        <v>87</v>
      </c>
      <c r="BC1170" t="s">
        <v>87</v>
      </c>
      <c r="BD1170" t="s">
        <v>87</v>
      </c>
      <c r="BE1170" t="s">
        <v>87</v>
      </c>
      <c r="BF1170" t="s">
        <v>75</v>
      </c>
      <c r="BG1170" t="s">
        <v>76</v>
      </c>
      <c r="BH1170" t="s">
        <v>93</v>
      </c>
      <c r="BI1170" t="s">
        <v>73</v>
      </c>
      <c r="BJ1170" t="s">
        <v>114</v>
      </c>
      <c r="BK1170">
        <v>0</v>
      </c>
      <c r="BL1170">
        <v>0</v>
      </c>
      <c r="BM1170">
        <v>0</v>
      </c>
      <c r="BN1170">
        <v>0</v>
      </c>
      <c r="BO1170">
        <v>0</v>
      </c>
      <c r="BP1170">
        <v>1</v>
      </c>
      <c r="BQ1170">
        <v>0</v>
      </c>
      <c r="BR1170">
        <v>0</v>
      </c>
    </row>
    <row r="1171" spans="1:72" x14ac:dyDescent="0.2">
      <c r="A1171" s="1">
        <v>44585.628472222219</v>
      </c>
      <c r="B1171" s="1">
        <v>44585.629861111112</v>
      </c>
      <c r="C1171">
        <v>1</v>
      </c>
      <c r="D1171">
        <v>0</v>
      </c>
      <c r="E1171">
        <v>0</v>
      </c>
      <c r="F1171">
        <v>0</v>
      </c>
      <c r="H1171">
        <v>0</v>
      </c>
      <c r="I1171">
        <v>1</v>
      </c>
      <c r="J1171">
        <v>1</v>
      </c>
      <c r="K1171">
        <v>1</v>
      </c>
      <c r="L1171">
        <v>0</v>
      </c>
      <c r="N1171" t="s">
        <v>88</v>
      </c>
      <c r="O1171" t="s">
        <v>80</v>
      </c>
      <c r="P1171">
        <v>0</v>
      </c>
      <c r="Q1171">
        <v>1</v>
      </c>
      <c r="R1171">
        <v>0</v>
      </c>
      <c r="S1171">
        <v>0</v>
      </c>
      <c r="T1171">
        <v>0</v>
      </c>
      <c r="U1171">
        <v>0</v>
      </c>
      <c r="V1171">
        <v>0</v>
      </c>
      <c r="W1171">
        <v>0</v>
      </c>
      <c r="X1171">
        <v>0</v>
      </c>
      <c r="Y1171">
        <v>0</v>
      </c>
      <c r="Z1171">
        <v>0</v>
      </c>
      <c r="AA1171">
        <v>0</v>
      </c>
      <c r="AM1171" t="s">
        <v>83</v>
      </c>
      <c r="AN1171" t="s">
        <v>82</v>
      </c>
      <c r="AO1171" t="s">
        <v>81</v>
      </c>
      <c r="AP1171" t="s">
        <v>81</v>
      </c>
      <c r="AQ1171" t="s">
        <v>83</v>
      </c>
      <c r="AR1171" t="s">
        <v>83</v>
      </c>
      <c r="AS1171" t="s">
        <v>83</v>
      </c>
      <c r="AT1171" t="s">
        <v>83</v>
      </c>
      <c r="AU1171" t="s">
        <v>88</v>
      </c>
      <c r="AV1171" t="s">
        <v>89</v>
      </c>
      <c r="AW1171" t="s">
        <v>100</v>
      </c>
      <c r="AX1171" t="s">
        <v>106</v>
      </c>
      <c r="AZ1171" t="s">
        <v>107</v>
      </c>
      <c r="BA1171" t="s">
        <v>87</v>
      </c>
      <c r="BB1171" t="s">
        <v>87</v>
      </c>
      <c r="BC1171" t="s">
        <v>87</v>
      </c>
      <c r="BD1171" t="s">
        <v>87</v>
      </c>
      <c r="BE1171" t="s">
        <v>87</v>
      </c>
      <c r="BF1171" t="s">
        <v>75</v>
      </c>
      <c r="BG1171" t="s">
        <v>76</v>
      </c>
      <c r="BH1171" t="s">
        <v>93</v>
      </c>
      <c r="BI1171" t="s">
        <v>107</v>
      </c>
      <c r="BJ1171" t="s">
        <v>114</v>
      </c>
      <c r="BK1171">
        <v>0</v>
      </c>
      <c r="BL1171">
        <v>0</v>
      </c>
      <c r="BM1171">
        <v>0</v>
      </c>
      <c r="BN1171">
        <v>0</v>
      </c>
      <c r="BO1171">
        <v>0</v>
      </c>
      <c r="BP1171">
        <v>1</v>
      </c>
      <c r="BQ1171">
        <v>0</v>
      </c>
      <c r="BR1171">
        <v>0</v>
      </c>
    </row>
    <row r="1172" spans="1:72" x14ac:dyDescent="0.2">
      <c r="A1172" s="1">
        <v>44585.548611111109</v>
      </c>
      <c r="B1172" s="1">
        <v>44585.551388888889</v>
      </c>
      <c r="C1172">
        <v>1</v>
      </c>
      <c r="D1172">
        <v>0</v>
      </c>
      <c r="E1172">
        <v>0</v>
      </c>
      <c r="F1172">
        <v>0</v>
      </c>
      <c r="H1172">
        <v>0</v>
      </c>
      <c r="I1172">
        <v>1</v>
      </c>
      <c r="J1172">
        <v>1</v>
      </c>
      <c r="K1172">
        <v>1</v>
      </c>
      <c r="L1172">
        <v>1</v>
      </c>
      <c r="M1172" t="s">
        <v>505</v>
      </c>
      <c r="N1172" t="s">
        <v>88</v>
      </c>
      <c r="O1172" t="s">
        <v>89</v>
      </c>
      <c r="P1172">
        <v>0</v>
      </c>
      <c r="Q1172">
        <v>1</v>
      </c>
      <c r="R1172">
        <v>0</v>
      </c>
      <c r="S1172">
        <v>1</v>
      </c>
      <c r="T1172">
        <v>0</v>
      </c>
      <c r="U1172">
        <v>0</v>
      </c>
      <c r="V1172">
        <v>0</v>
      </c>
      <c r="W1172">
        <v>1</v>
      </c>
      <c r="X1172">
        <v>0</v>
      </c>
      <c r="Y1172">
        <v>0</v>
      </c>
      <c r="Z1172">
        <v>0</v>
      </c>
      <c r="AA1172">
        <v>0</v>
      </c>
      <c r="AM1172" t="s">
        <v>83</v>
      </c>
      <c r="AN1172" t="s">
        <v>82</v>
      </c>
      <c r="AO1172" t="s">
        <v>82</v>
      </c>
      <c r="AP1172" t="s">
        <v>82</v>
      </c>
      <c r="AQ1172" t="s">
        <v>83</v>
      </c>
      <c r="AR1172" t="s">
        <v>83</v>
      </c>
      <c r="AS1172" t="s">
        <v>81</v>
      </c>
      <c r="AT1172" t="s">
        <v>83</v>
      </c>
      <c r="AU1172" t="s">
        <v>88</v>
      </c>
      <c r="AV1172" t="s">
        <v>89</v>
      </c>
      <c r="AW1172" t="s">
        <v>100</v>
      </c>
      <c r="AX1172" t="s">
        <v>122</v>
      </c>
      <c r="AZ1172" t="s">
        <v>73</v>
      </c>
      <c r="BA1172" t="s">
        <v>87</v>
      </c>
      <c r="BB1172" t="s">
        <v>87</v>
      </c>
      <c r="BC1172" t="s">
        <v>87</v>
      </c>
      <c r="BD1172" t="s">
        <v>87</v>
      </c>
      <c r="BE1172" t="s">
        <v>87</v>
      </c>
      <c r="BF1172" t="s">
        <v>75</v>
      </c>
      <c r="BG1172" t="s">
        <v>92</v>
      </c>
      <c r="BH1172" t="s">
        <v>77</v>
      </c>
      <c r="BI1172" t="s">
        <v>73</v>
      </c>
      <c r="BJ1172" t="s">
        <v>78</v>
      </c>
      <c r="BK1172">
        <v>0</v>
      </c>
      <c r="BL1172">
        <v>0</v>
      </c>
      <c r="BM1172">
        <v>0</v>
      </c>
      <c r="BN1172">
        <v>0</v>
      </c>
      <c r="BO1172">
        <v>0</v>
      </c>
      <c r="BP1172">
        <v>1</v>
      </c>
      <c r="BQ1172">
        <v>0</v>
      </c>
      <c r="BR1172">
        <v>0</v>
      </c>
    </row>
    <row r="1173" spans="1:72" x14ac:dyDescent="0.2">
      <c r="A1173" s="1">
        <v>44579.904861111114</v>
      </c>
      <c r="B1173" s="1">
        <v>44579.90625</v>
      </c>
      <c r="C1173">
        <v>0</v>
      </c>
      <c r="D1173">
        <v>1</v>
      </c>
      <c r="E1173">
        <v>0</v>
      </c>
      <c r="F1173">
        <v>0</v>
      </c>
      <c r="H1173">
        <v>0</v>
      </c>
      <c r="I1173">
        <v>1</v>
      </c>
      <c r="J1173">
        <v>1</v>
      </c>
      <c r="K1173">
        <v>1</v>
      </c>
      <c r="L1173">
        <v>0</v>
      </c>
      <c r="N1173" t="s">
        <v>88</v>
      </c>
      <c r="O1173" t="s">
        <v>89</v>
      </c>
      <c r="P1173">
        <v>0</v>
      </c>
      <c r="Q1173">
        <v>1</v>
      </c>
      <c r="R1173">
        <v>0</v>
      </c>
      <c r="S1173">
        <v>0</v>
      </c>
      <c r="T1173">
        <v>0</v>
      </c>
      <c r="U1173">
        <v>0</v>
      </c>
      <c r="V1173">
        <v>0</v>
      </c>
      <c r="W1173">
        <v>0</v>
      </c>
      <c r="X1173">
        <v>0</v>
      </c>
      <c r="Y1173">
        <v>0</v>
      </c>
      <c r="Z1173">
        <v>0</v>
      </c>
      <c r="AA1173">
        <v>0</v>
      </c>
      <c r="AM1173" t="s">
        <v>83</v>
      </c>
      <c r="AN1173" t="s">
        <v>81</v>
      </c>
      <c r="AO1173" t="s">
        <v>81</v>
      </c>
      <c r="AP1173" t="s">
        <v>82</v>
      </c>
      <c r="AQ1173" t="s">
        <v>81</v>
      </c>
      <c r="AR1173" t="s">
        <v>83</v>
      </c>
      <c r="AS1173" t="s">
        <v>83</v>
      </c>
      <c r="AT1173" t="s">
        <v>83</v>
      </c>
      <c r="AU1173" t="s">
        <v>88</v>
      </c>
      <c r="AV1173" t="s">
        <v>89</v>
      </c>
      <c r="AW1173" t="s">
        <v>100</v>
      </c>
      <c r="AX1173" t="s">
        <v>146</v>
      </c>
      <c r="AZ1173" t="s">
        <v>73</v>
      </c>
      <c r="BA1173" t="s">
        <v>87</v>
      </c>
      <c r="BB1173" t="s">
        <v>87</v>
      </c>
      <c r="BC1173" t="s">
        <v>87</v>
      </c>
      <c r="BD1173" t="s">
        <v>87</v>
      </c>
      <c r="BE1173" t="s">
        <v>87</v>
      </c>
      <c r="BF1173" t="s">
        <v>75</v>
      </c>
      <c r="BG1173" t="s">
        <v>92</v>
      </c>
      <c r="BH1173" t="s">
        <v>77</v>
      </c>
      <c r="BI1173" t="s">
        <v>73</v>
      </c>
      <c r="BJ1173" t="s">
        <v>78</v>
      </c>
      <c r="BK1173">
        <v>0</v>
      </c>
      <c r="BL1173">
        <v>0</v>
      </c>
      <c r="BM1173">
        <v>0</v>
      </c>
      <c r="BN1173">
        <v>0</v>
      </c>
      <c r="BO1173">
        <v>0</v>
      </c>
      <c r="BP1173">
        <v>1</v>
      </c>
      <c r="BQ1173">
        <v>0</v>
      </c>
      <c r="BR1173">
        <v>0</v>
      </c>
    </row>
    <row r="1174" spans="1:72" x14ac:dyDescent="0.2">
      <c r="A1174" s="1">
        <v>44580.525000000001</v>
      </c>
      <c r="B1174" s="1">
        <v>44580.529166666667</v>
      </c>
      <c r="C1174">
        <v>1</v>
      </c>
      <c r="D1174">
        <v>0</v>
      </c>
      <c r="E1174">
        <v>0</v>
      </c>
      <c r="F1174">
        <v>0</v>
      </c>
      <c r="H1174">
        <v>0</v>
      </c>
      <c r="I1174">
        <v>1</v>
      </c>
      <c r="J1174">
        <v>0</v>
      </c>
      <c r="K1174">
        <v>1</v>
      </c>
      <c r="L1174">
        <v>0</v>
      </c>
      <c r="N1174" t="s">
        <v>88</v>
      </c>
      <c r="O1174" t="s">
        <v>80</v>
      </c>
      <c r="P1174">
        <v>0</v>
      </c>
      <c r="Q1174">
        <v>0</v>
      </c>
      <c r="R1174">
        <v>1</v>
      </c>
      <c r="S1174">
        <v>0</v>
      </c>
      <c r="T1174">
        <v>0</v>
      </c>
      <c r="U1174">
        <v>0</v>
      </c>
      <c r="V1174">
        <v>0</v>
      </c>
      <c r="W1174">
        <v>0</v>
      </c>
      <c r="X1174">
        <v>0</v>
      </c>
      <c r="Y1174">
        <v>0</v>
      </c>
      <c r="Z1174">
        <v>0</v>
      </c>
      <c r="AA1174">
        <v>0</v>
      </c>
      <c r="AM1174" t="s">
        <v>83</v>
      </c>
      <c r="AN1174" t="s">
        <v>82</v>
      </c>
      <c r="AO1174" t="s">
        <v>81</v>
      </c>
      <c r="AP1174" t="s">
        <v>83</v>
      </c>
      <c r="AQ1174" t="s">
        <v>81</v>
      </c>
      <c r="AR1174" t="s">
        <v>83</v>
      </c>
      <c r="AS1174" t="s">
        <v>83</v>
      </c>
      <c r="AT1174" t="s">
        <v>83</v>
      </c>
      <c r="AU1174" t="s">
        <v>88</v>
      </c>
      <c r="AV1174" t="s">
        <v>89</v>
      </c>
      <c r="AW1174" t="s">
        <v>100</v>
      </c>
      <c r="AX1174" t="s">
        <v>199</v>
      </c>
      <c r="AZ1174" t="s">
        <v>107</v>
      </c>
      <c r="BA1174" t="s">
        <v>87</v>
      </c>
      <c r="BB1174" t="s">
        <v>87</v>
      </c>
      <c r="BC1174" t="s">
        <v>87</v>
      </c>
      <c r="BD1174" t="s">
        <v>87</v>
      </c>
      <c r="BE1174" t="s">
        <v>87</v>
      </c>
      <c r="BF1174" t="s">
        <v>75</v>
      </c>
      <c r="BG1174" t="s">
        <v>76</v>
      </c>
      <c r="BH1174" t="s">
        <v>93</v>
      </c>
      <c r="BI1174" t="s">
        <v>107</v>
      </c>
      <c r="BK1174">
        <v>0</v>
      </c>
      <c r="BL1174">
        <v>0</v>
      </c>
      <c r="BM1174">
        <v>0</v>
      </c>
      <c r="BN1174">
        <v>0</v>
      </c>
      <c r="BO1174">
        <v>0</v>
      </c>
      <c r="BP1174">
        <v>1</v>
      </c>
      <c r="BQ1174">
        <v>0</v>
      </c>
      <c r="BR1174">
        <v>0</v>
      </c>
    </row>
    <row r="1175" spans="1:72" x14ac:dyDescent="0.2">
      <c r="A1175" s="1">
        <v>44580.602083333331</v>
      </c>
      <c r="B1175" s="1">
        <v>44580.604166666664</v>
      </c>
      <c r="C1175">
        <v>1</v>
      </c>
      <c r="D1175">
        <v>0</v>
      </c>
      <c r="E1175">
        <v>0</v>
      </c>
      <c r="F1175">
        <v>0</v>
      </c>
      <c r="H1175">
        <v>1</v>
      </c>
      <c r="I1175">
        <v>0</v>
      </c>
      <c r="J1175">
        <v>0</v>
      </c>
      <c r="K1175">
        <v>0</v>
      </c>
      <c r="L1175">
        <v>0</v>
      </c>
      <c r="P1175">
        <v>1</v>
      </c>
      <c r="Q1175">
        <v>0</v>
      </c>
      <c r="R1175">
        <v>0</v>
      </c>
      <c r="S1175">
        <v>0</v>
      </c>
      <c r="T1175">
        <v>0</v>
      </c>
      <c r="U1175">
        <v>0</v>
      </c>
      <c r="V1175">
        <v>0</v>
      </c>
      <c r="W1175">
        <v>0</v>
      </c>
      <c r="X1175">
        <v>0</v>
      </c>
      <c r="Y1175">
        <v>0</v>
      </c>
      <c r="Z1175">
        <v>0</v>
      </c>
      <c r="AA1175">
        <v>0</v>
      </c>
      <c r="AC1175">
        <v>0</v>
      </c>
      <c r="AD1175">
        <v>1</v>
      </c>
      <c r="AE1175">
        <v>0</v>
      </c>
      <c r="AF1175">
        <v>0</v>
      </c>
      <c r="AG1175">
        <v>0</v>
      </c>
      <c r="AH1175">
        <v>0</v>
      </c>
      <c r="AI1175">
        <v>0</v>
      </c>
      <c r="AJ1175">
        <v>0</v>
      </c>
      <c r="AK1175">
        <v>0</v>
      </c>
      <c r="AX1175" t="s">
        <v>91</v>
      </c>
      <c r="AZ1175" t="s">
        <v>107</v>
      </c>
      <c r="BA1175" t="s">
        <v>86</v>
      </c>
      <c r="BB1175" t="s">
        <v>86</v>
      </c>
      <c r="BC1175" t="s">
        <v>86</v>
      </c>
      <c r="BD1175" t="s">
        <v>86</v>
      </c>
      <c r="BE1175" t="s">
        <v>86</v>
      </c>
      <c r="BF1175" t="s">
        <v>75</v>
      </c>
      <c r="BG1175" t="s">
        <v>92</v>
      </c>
      <c r="BH1175" t="s">
        <v>77</v>
      </c>
      <c r="BI1175" t="s">
        <v>107</v>
      </c>
      <c r="BJ1175" t="s">
        <v>78</v>
      </c>
      <c r="BK1175">
        <v>0</v>
      </c>
      <c r="BL1175">
        <v>0</v>
      </c>
      <c r="BM1175">
        <v>0</v>
      </c>
      <c r="BN1175">
        <v>0</v>
      </c>
      <c r="BO1175">
        <v>0</v>
      </c>
      <c r="BP1175">
        <v>1</v>
      </c>
      <c r="BQ1175">
        <v>0</v>
      </c>
      <c r="BR1175">
        <v>0</v>
      </c>
    </row>
    <row r="1176" spans="1:72" x14ac:dyDescent="0.2">
      <c r="A1176" s="1">
        <v>44585.615972222222</v>
      </c>
      <c r="B1176" s="1">
        <v>44585.617361111108</v>
      </c>
      <c r="C1176">
        <v>0</v>
      </c>
      <c r="D1176">
        <v>1</v>
      </c>
      <c r="E1176">
        <v>0</v>
      </c>
      <c r="F1176">
        <v>0</v>
      </c>
      <c r="H1176">
        <v>0</v>
      </c>
      <c r="I1176">
        <v>1</v>
      </c>
      <c r="J1176">
        <v>0</v>
      </c>
      <c r="K1176">
        <v>0</v>
      </c>
      <c r="L1176">
        <v>0</v>
      </c>
      <c r="N1176" t="s">
        <v>88</v>
      </c>
      <c r="O1176" t="s">
        <v>89</v>
      </c>
      <c r="P1176">
        <v>0</v>
      </c>
      <c r="Q1176">
        <v>0</v>
      </c>
      <c r="R1176">
        <v>0</v>
      </c>
      <c r="S1176">
        <v>0</v>
      </c>
      <c r="T1176">
        <v>0</v>
      </c>
      <c r="U1176">
        <v>0</v>
      </c>
      <c r="V1176">
        <v>0</v>
      </c>
      <c r="W1176">
        <v>0</v>
      </c>
      <c r="X1176">
        <v>0</v>
      </c>
      <c r="Y1176">
        <v>0</v>
      </c>
      <c r="Z1176">
        <v>0</v>
      </c>
      <c r="AA1176">
        <v>1</v>
      </c>
      <c r="AB1176" t="s">
        <v>506</v>
      </c>
      <c r="AM1176" t="s">
        <v>83</v>
      </c>
      <c r="AN1176" t="s">
        <v>82</v>
      </c>
      <c r="AO1176" t="s">
        <v>83</v>
      </c>
      <c r="AP1176" t="s">
        <v>81</v>
      </c>
      <c r="AQ1176" t="s">
        <v>81</v>
      </c>
      <c r="AR1176" t="s">
        <v>83</v>
      </c>
      <c r="AS1176" t="s">
        <v>83</v>
      </c>
      <c r="AT1176" t="s">
        <v>83</v>
      </c>
      <c r="AU1176" t="s">
        <v>88</v>
      </c>
      <c r="AV1176" t="s">
        <v>89</v>
      </c>
      <c r="AW1176" t="s">
        <v>85</v>
      </c>
      <c r="AX1176" t="s">
        <v>175</v>
      </c>
      <c r="AZ1176" t="s">
        <v>73</v>
      </c>
      <c r="BA1176" t="s">
        <v>74</v>
      </c>
      <c r="BF1176" t="s">
        <v>75</v>
      </c>
      <c r="BG1176" t="s">
        <v>92</v>
      </c>
      <c r="BH1176" t="s">
        <v>77</v>
      </c>
      <c r="BI1176" t="s">
        <v>73</v>
      </c>
      <c r="BJ1176" t="s">
        <v>165</v>
      </c>
      <c r="BK1176">
        <v>0</v>
      </c>
      <c r="BL1176">
        <v>0</v>
      </c>
      <c r="BM1176">
        <v>0</v>
      </c>
      <c r="BN1176">
        <v>0</v>
      </c>
      <c r="BO1176">
        <v>0</v>
      </c>
      <c r="BP1176">
        <v>1</v>
      </c>
      <c r="BQ1176">
        <v>0</v>
      </c>
      <c r="BR1176">
        <v>0</v>
      </c>
    </row>
    <row r="1177" spans="1:72" x14ac:dyDescent="0.2">
      <c r="A1177" s="1">
        <v>44579.931250000001</v>
      </c>
      <c r="B1177" s="1">
        <v>44579.932638888888</v>
      </c>
      <c r="C1177">
        <v>0</v>
      </c>
      <c r="D1177">
        <v>1</v>
      </c>
      <c r="E1177">
        <v>0</v>
      </c>
      <c r="F1177">
        <v>0</v>
      </c>
      <c r="H1177">
        <v>0</v>
      </c>
      <c r="I1177">
        <v>1</v>
      </c>
      <c r="J1177">
        <v>0</v>
      </c>
      <c r="K1177">
        <v>1</v>
      </c>
      <c r="L1177">
        <v>0</v>
      </c>
      <c r="N1177" t="s">
        <v>88</v>
      </c>
      <c r="O1177" t="s">
        <v>89</v>
      </c>
      <c r="P1177">
        <v>0</v>
      </c>
      <c r="Q1177">
        <v>1</v>
      </c>
      <c r="R1177">
        <v>0</v>
      </c>
      <c r="S1177">
        <v>0</v>
      </c>
      <c r="T1177">
        <v>0</v>
      </c>
      <c r="U1177">
        <v>0</v>
      </c>
      <c r="V1177">
        <v>0</v>
      </c>
      <c r="W1177">
        <v>0</v>
      </c>
      <c r="X1177">
        <v>0</v>
      </c>
      <c r="Y1177">
        <v>0</v>
      </c>
      <c r="Z1177">
        <v>0</v>
      </c>
      <c r="AA1177">
        <v>0</v>
      </c>
      <c r="AM1177" t="s">
        <v>83</v>
      </c>
      <c r="AN1177" t="s">
        <v>82</v>
      </c>
      <c r="AO1177" t="s">
        <v>81</v>
      </c>
      <c r="AP1177" t="s">
        <v>81</v>
      </c>
      <c r="AQ1177" t="s">
        <v>81</v>
      </c>
      <c r="AR1177" t="s">
        <v>83</v>
      </c>
      <c r="AS1177" t="s">
        <v>83</v>
      </c>
      <c r="AT1177" t="s">
        <v>83</v>
      </c>
      <c r="AU1177" t="s">
        <v>88</v>
      </c>
      <c r="AV1177" t="s">
        <v>89</v>
      </c>
      <c r="AW1177" t="s">
        <v>100</v>
      </c>
      <c r="AX1177" t="s">
        <v>122</v>
      </c>
      <c r="AZ1177" t="s">
        <v>73</v>
      </c>
      <c r="BA1177" t="s">
        <v>87</v>
      </c>
      <c r="BB1177" t="s">
        <v>86</v>
      </c>
      <c r="BC1177" t="s">
        <v>87</v>
      </c>
      <c r="BD1177" t="s">
        <v>87</v>
      </c>
      <c r="BE1177" t="s">
        <v>74</v>
      </c>
      <c r="BF1177" t="s">
        <v>75</v>
      </c>
      <c r="BG1177" t="s">
        <v>76</v>
      </c>
      <c r="BH1177" t="s">
        <v>77</v>
      </c>
      <c r="BI1177" t="s">
        <v>73</v>
      </c>
      <c r="BJ1177" t="s">
        <v>78</v>
      </c>
      <c r="BK1177">
        <v>0</v>
      </c>
      <c r="BL1177">
        <v>0</v>
      </c>
      <c r="BM1177">
        <v>0</v>
      </c>
      <c r="BN1177">
        <v>0</v>
      </c>
      <c r="BO1177">
        <v>0</v>
      </c>
      <c r="BP1177">
        <v>1</v>
      </c>
      <c r="BQ1177">
        <v>0</v>
      </c>
      <c r="BR1177">
        <v>0</v>
      </c>
    </row>
    <row r="1178" spans="1:72" x14ac:dyDescent="0.2">
      <c r="A1178" s="1">
        <v>44579.875694444447</v>
      </c>
      <c r="B1178" s="1">
        <v>44579.877083333333</v>
      </c>
      <c r="C1178">
        <v>1</v>
      </c>
      <c r="D1178">
        <v>0</v>
      </c>
      <c r="E1178">
        <v>0</v>
      </c>
      <c r="F1178">
        <v>0</v>
      </c>
      <c r="H1178">
        <v>0</v>
      </c>
      <c r="I1178">
        <v>1</v>
      </c>
      <c r="J1178">
        <v>0</v>
      </c>
      <c r="K1178">
        <v>1</v>
      </c>
      <c r="L1178">
        <v>0</v>
      </c>
      <c r="N1178" t="s">
        <v>88</v>
      </c>
      <c r="O1178" t="s">
        <v>89</v>
      </c>
      <c r="P1178">
        <v>0</v>
      </c>
      <c r="Q1178">
        <v>1</v>
      </c>
      <c r="R1178">
        <v>1</v>
      </c>
      <c r="S1178">
        <v>0</v>
      </c>
      <c r="T1178">
        <v>0</v>
      </c>
      <c r="U1178">
        <v>0</v>
      </c>
      <c r="V1178">
        <v>0</v>
      </c>
      <c r="W1178">
        <v>0</v>
      </c>
      <c r="X1178">
        <v>0</v>
      </c>
      <c r="Y1178">
        <v>0</v>
      </c>
      <c r="Z1178">
        <v>0</v>
      </c>
      <c r="AA1178">
        <v>0</v>
      </c>
      <c r="AM1178" t="s">
        <v>83</v>
      </c>
      <c r="AN1178" t="s">
        <v>82</v>
      </c>
      <c r="AO1178" t="s">
        <v>81</v>
      </c>
      <c r="AP1178" t="s">
        <v>83</v>
      </c>
      <c r="AQ1178" t="s">
        <v>81</v>
      </c>
      <c r="AR1178" t="s">
        <v>83</v>
      </c>
      <c r="AS1178" t="s">
        <v>83</v>
      </c>
      <c r="AT1178" t="s">
        <v>83</v>
      </c>
      <c r="AU1178" t="s">
        <v>88</v>
      </c>
      <c r="AV1178" t="s">
        <v>89</v>
      </c>
      <c r="AW1178" t="s">
        <v>85</v>
      </c>
      <c r="AX1178" t="s">
        <v>146</v>
      </c>
      <c r="AZ1178" t="s">
        <v>107</v>
      </c>
      <c r="BA1178" t="s">
        <v>87</v>
      </c>
      <c r="BB1178" t="s">
        <v>86</v>
      </c>
      <c r="BC1178" t="s">
        <v>87</v>
      </c>
      <c r="BD1178" t="s">
        <v>86</v>
      </c>
      <c r="BE1178" t="s">
        <v>87</v>
      </c>
      <c r="BF1178" t="s">
        <v>75</v>
      </c>
      <c r="BG1178" t="s">
        <v>76</v>
      </c>
      <c r="BH1178" t="s">
        <v>77</v>
      </c>
      <c r="BI1178" t="s">
        <v>107</v>
      </c>
      <c r="BJ1178" t="s">
        <v>165</v>
      </c>
      <c r="BK1178">
        <v>0</v>
      </c>
      <c r="BL1178">
        <v>0</v>
      </c>
      <c r="BM1178">
        <v>0</v>
      </c>
      <c r="BN1178">
        <v>0</v>
      </c>
      <c r="BO1178">
        <v>0</v>
      </c>
      <c r="BP1178">
        <v>1</v>
      </c>
      <c r="BQ1178">
        <v>0</v>
      </c>
      <c r="BR1178">
        <v>0</v>
      </c>
    </row>
    <row r="1179" spans="1:72" x14ac:dyDescent="0.2">
      <c r="A1179" s="1">
        <v>44580.556944444441</v>
      </c>
      <c r="B1179" s="1">
        <v>44580.558333333334</v>
      </c>
      <c r="C1179">
        <v>1</v>
      </c>
      <c r="D1179">
        <v>0</v>
      </c>
      <c r="E1179">
        <v>0</v>
      </c>
      <c r="F1179">
        <v>0</v>
      </c>
      <c r="H1179">
        <v>0</v>
      </c>
      <c r="I1179">
        <v>1</v>
      </c>
      <c r="J1179">
        <v>0</v>
      </c>
      <c r="K1179">
        <v>0</v>
      </c>
      <c r="L1179">
        <v>0</v>
      </c>
      <c r="N1179" t="s">
        <v>88</v>
      </c>
      <c r="O1179" t="s">
        <v>89</v>
      </c>
      <c r="P1179">
        <v>0</v>
      </c>
      <c r="Q1179">
        <v>0</v>
      </c>
      <c r="R1179">
        <v>1</v>
      </c>
      <c r="S1179">
        <v>0</v>
      </c>
      <c r="T1179">
        <v>0</v>
      </c>
      <c r="U1179">
        <v>0</v>
      </c>
      <c r="V1179">
        <v>0</v>
      </c>
      <c r="W1179">
        <v>0</v>
      </c>
      <c r="X1179">
        <v>0</v>
      </c>
      <c r="Y1179">
        <v>0</v>
      </c>
      <c r="Z1179">
        <v>0</v>
      </c>
      <c r="AA1179">
        <v>0</v>
      </c>
      <c r="AM1179" t="s">
        <v>83</v>
      </c>
      <c r="AN1179" t="s">
        <v>81</v>
      </c>
      <c r="AO1179" t="s">
        <v>83</v>
      </c>
      <c r="AP1179" t="s">
        <v>83</v>
      </c>
      <c r="AQ1179" t="s">
        <v>82</v>
      </c>
      <c r="AR1179" t="s">
        <v>83</v>
      </c>
      <c r="AS1179" t="s">
        <v>83</v>
      </c>
      <c r="AT1179" t="s">
        <v>83</v>
      </c>
      <c r="AU1179" t="s">
        <v>88</v>
      </c>
      <c r="AV1179" t="s">
        <v>89</v>
      </c>
      <c r="AW1179" t="s">
        <v>85</v>
      </c>
      <c r="AX1179" t="s">
        <v>146</v>
      </c>
      <c r="AZ1179" t="s">
        <v>107</v>
      </c>
      <c r="BA1179" t="s">
        <v>87</v>
      </c>
      <c r="BB1179" t="s">
        <v>87</v>
      </c>
      <c r="BC1179" t="s">
        <v>87</v>
      </c>
      <c r="BD1179" t="s">
        <v>86</v>
      </c>
      <c r="BE1179" t="s">
        <v>87</v>
      </c>
      <c r="BF1179" t="s">
        <v>75</v>
      </c>
      <c r="BG1179" t="s">
        <v>92</v>
      </c>
      <c r="BH1179" t="s">
        <v>77</v>
      </c>
      <c r="BI1179" t="s">
        <v>107</v>
      </c>
      <c r="BJ1179" t="s">
        <v>78</v>
      </c>
      <c r="BK1179">
        <v>0</v>
      </c>
      <c r="BL1179">
        <v>0</v>
      </c>
      <c r="BM1179">
        <v>0</v>
      </c>
      <c r="BN1179">
        <v>0</v>
      </c>
      <c r="BO1179">
        <v>0</v>
      </c>
      <c r="BP1179">
        <v>1</v>
      </c>
      <c r="BQ1179">
        <v>0</v>
      </c>
      <c r="BR1179">
        <v>0</v>
      </c>
    </row>
    <row r="1180" spans="1:72" x14ac:dyDescent="0.2">
      <c r="A1180" s="1">
        <v>44580.644444444442</v>
      </c>
      <c r="B1180" s="1">
        <v>44580.65</v>
      </c>
      <c r="C1180">
        <v>1</v>
      </c>
      <c r="D1180">
        <v>0</v>
      </c>
      <c r="E1180">
        <v>0</v>
      </c>
      <c r="F1180">
        <v>0</v>
      </c>
      <c r="H1180">
        <v>1</v>
      </c>
      <c r="I1180">
        <v>0</v>
      </c>
      <c r="J1180">
        <v>0</v>
      </c>
      <c r="K1180">
        <v>0</v>
      </c>
      <c r="L1180">
        <v>0</v>
      </c>
      <c r="P1180">
        <v>1</v>
      </c>
      <c r="Q1180">
        <v>0</v>
      </c>
      <c r="R1180">
        <v>0</v>
      </c>
      <c r="S1180">
        <v>0</v>
      </c>
      <c r="T1180">
        <v>0</v>
      </c>
      <c r="U1180">
        <v>0</v>
      </c>
      <c r="V1180">
        <v>0</v>
      </c>
      <c r="W1180">
        <v>0</v>
      </c>
      <c r="X1180">
        <v>0</v>
      </c>
      <c r="Y1180">
        <v>0</v>
      </c>
      <c r="Z1180">
        <v>0</v>
      </c>
      <c r="AA1180">
        <v>0</v>
      </c>
      <c r="AC1180">
        <v>0</v>
      </c>
      <c r="AD1180">
        <v>0</v>
      </c>
      <c r="AE1180">
        <v>1</v>
      </c>
      <c r="AF1180">
        <v>0</v>
      </c>
      <c r="AG1180">
        <v>0</v>
      </c>
      <c r="AH1180">
        <v>0</v>
      </c>
      <c r="AI1180">
        <v>0</v>
      </c>
      <c r="AJ1180">
        <v>0</v>
      </c>
      <c r="AK1180">
        <v>0</v>
      </c>
      <c r="AX1180" t="s">
        <v>170</v>
      </c>
      <c r="AZ1180" t="s">
        <v>96</v>
      </c>
      <c r="BA1180" t="s">
        <v>74</v>
      </c>
      <c r="BF1180" t="s">
        <v>75</v>
      </c>
      <c r="BG1180" t="s">
        <v>92</v>
      </c>
      <c r="BH1180" t="s">
        <v>77</v>
      </c>
      <c r="BI1180" t="s">
        <v>96</v>
      </c>
      <c r="BJ1180" t="s">
        <v>114</v>
      </c>
      <c r="BK1180">
        <v>0</v>
      </c>
      <c r="BL1180">
        <v>0</v>
      </c>
      <c r="BM1180">
        <v>0</v>
      </c>
      <c r="BN1180">
        <v>0</v>
      </c>
      <c r="BO1180">
        <v>0</v>
      </c>
      <c r="BP1180">
        <v>1</v>
      </c>
      <c r="BQ1180">
        <v>0</v>
      </c>
      <c r="BR1180">
        <v>0</v>
      </c>
    </row>
    <row r="1181" spans="1:72" x14ac:dyDescent="0.2">
      <c r="A1181" s="1">
        <v>44585.527777777781</v>
      </c>
      <c r="B1181" s="1">
        <v>44585.529861111114</v>
      </c>
      <c r="C1181">
        <v>1</v>
      </c>
      <c r="D1181">
        <v>0</v>
      </c>
      <c r="E1181">
        <v>0</v>
      </c>
      <c r="F1181">
        <v>0</v>
      </c>
      <c r="H1181">
        <v>0</v>
      </c>
      <c r="I1181">
        <v>1</v>
      </c>
      <c r="J1181">
        <v>0</v>
      </c>
      <c r="K1181">
        <v>0</v>
      </c>
      <c r="L1181">
        <v>0</v>
      </c>
      <c r="N1181" t="s">
        <v>88</v>
      </c>
      <c r="O1181" t="s">
        <v>89</v>
      </c>
      <c r="P1181">
        <v>0</v>
      </c>
      <c r="Q1181">
        <v>0</v>
      </c>
      <c r="R1181">
        <v>1</v>
      </c>
      <c r="S1181">
        <v>0</v>
      </c>
      <c r="T1181">
        <v>0</v>
      </c>
      <c r="U1181">
        <v>0</v>
      </c>
      <c r="V1181">
        <v>0</v>
      </c>
      <c r="W1181">
        <v>0</v>
      </c>
      <c r="X1181">
        <v>0</v>
      </c>
      <c r="Y1181">
        <v>0</v>
      </c>
      <c r="Z1181">
        <v>0</v>
      </c>
      <c r="AA1181">
        <v>0</v>
      </c>
      <c r="AM1181" t="s">
        <v>83</v>
      </c>
      <c r="AN1181" t="s">
        <v>81</v>
      </c>
      <c r="AO1181" t="s">
        <v>83</v>
      </c>
      <c r="AP1181" t="s">
        <v>83</v>
      </c>
      <c r="AQ1181" t="s">
        <v>82</v>
      </c>
      <c r="AR1181" t="s">
        <v>83</v>
      </c>
      <c r="AS1181" t="s">
        <v>83</v>
      </c>
      <c r="AT1181" t="s">
        <v>83</v>
      </c>
      <c r="AU1181" t="s">
        <v>88</v>
      </c>
      <c r="AV1181" t="s">
        <v>89</v>
      </c>
      <c r="AW1181" t="s">
        <v>85</v>
      </c>
      <c r="AX1181" t="s">
        <v>118</v>
      </c>
      <c r="AZ1181" t="s">
        <v>73</v>
      </c>
      <c r="BA1181" t="s">
        <v>86</v>
      </c>
      <c r="BB1181" t="s">
        <v>86</v>
      </c>
      <c r="BC1181" t="s">
        <v>87</v>
      </c>
      <c r="BD1181" t="s">
        <v>74</v>
      </c>
      <c r="BE1181" t="s">
        <v>86</v>
      </c>
      <c r="BF1181" t="s">
        <v>75</v>
      </c>
      <c r="BG1181" t="s">
        <v>76</v>
      </c>
      <c r="BH1181" t="s">
        <v>77</v>
      </c>
      <c r="BI1181" t="s">
        <v>73</v>
      </c>
      <c r="BJ1181" t="s">
        <v>78</v>
      </c>
      <c r="BK1181">
        <v>0</v>
      </c>
      <c r="BL1181">
        <v>0</v>
      </c>
      <c r="BM1181">
        <v>0</v>
      </c>
      <c r="BN1181">
        <v>0</v>
      </c>
      <c r="BO1181">
        <v>0</v>
      </c>
      <c r="BP1181">
        <v>1</v>
      </c>
      <c r="BQ1181">
        <v>0</v>
      </c>
      <c r="BR1181">
        <v>0</v>
      </c>
    </row>
    <row r="1182" spans="1:72" x14ac:dyDescent="0.2">
      <c r="A1182" s="1">
        <v>44580.006249999999</v>
      </c>
      <c r="B1182" s="1">
        <v>44580.008333333331</v>
      </c>
      <c r="C1182">
        <v>0</v>
      </c>
      <c r="D1182">
        <v>1</v>
      </c>
      <c r="E1182">
        <v>0</v>
      </c>
      <c r="F1182">
        <v>0</v>
      </c>
      <c r="H1182">
        <v>1</v>
      </c>
      <c r="I1182">
        <v>0</v>
      </c>
      <c r="J1182">
        <v>0</v>
      </c>
      <c r="K1182">
        <v>0</v>
      </c>
      <c r="L1182">
        <v>0</v>
      </c>
      <c r="P1182">
        <v>1</v>
      </c>
      <c r="Q1182">
        <v>0</v>
      </c>
      <c r="R1182">
        <v>0</v>
      </c>
      <c r="S1182">
        <v>0</v>
      </c>
      <c r="T1182">
        <v>0</v>
      </c>
      <c r="U1182">
        <v>0</v>
      </c>
      <c r="V1182">
        <v>0</v>
      </c>
      <c r="W1182">
        <v>0</v>
      </c>
      <c r="X1182">
        <v>0</v>
      </c>
      <c r="Y1182">
        <v>0</v>
      </c>
      <c r="Z1182">
        <v>0</v>
      </c>
      <c r="AA1182">
        <v>0</v>
      </c>
      <c r="AC1182">
        <v>0</v>
      </c>
      <c r="AD1182">
        <v>0</v>
      </c>
      <c r="AE1182">
        <v>1</v>
      </c>
      <c r="AF1182">
        <v>0</v>
      </c>
      <c r="AG1182">
        <v>0</v>
      </c>
      <c r="AH1182">
        <v>0</v>
      </c>
      <c r="AI1182">
        <v>1</v>
      </c>
      <c r="AJ1182">
        <v>1</v>
      </c>
      <c r="AK1182">
        <v>0</v>
      </c>
      <c r="AX1182" t="s">
        <v>199</v>
      </c>
      <c r="AZ1182" t="s">
        <v>107</v>
      </c>
      <c r="BA1182" t="s">
        <v>74</v>
      </c>
      <c r="BF1182" t="s">
        <v>108</v>
      </c>
      <c r="BG1182" t="s">
        <v>76</v>
      </c>
      <c r="BH1182" t="s">
        <v>77</v>
      </c>
      <c r="BI1182" t="s">
        <v>107</v>
      </c>
      <c r="BJ1182" t="s">
        <v>78</v>
      </c>
      <c r="BK1182">
        <v>0</v>
      </c>
      <c r="BL1182">
        <v>0</v>
      </c>
      <c r="BM1182">
        <v>0</v>
      </c>
      <c r="BN1182">
        <v>0</v>
      </c>
      <c r="BO1182">
        <v>0</v>
      </c>
      <c r="BP1182">
        <v>0</v>
      </c>
      <c r="BQ1182">
        <v>0</v>
      </c>
      <c r="BR1182">
        <v>1</v>
      </c>
    </row>
    <row r="1183" spans="1:72" x14ac:dyDescent="0.2">
      <c r="A1183" s="1">
        <v>44579.955555555556</v>
      </c>
      <c r="B1183" s="1">
        <v>44579.956944444442</v>
      </c>
      <c r="C1183">
        <v>1</v>
      </c>
      <c r="D1183">
        <v>0</v>
      </c>
      <c r="E1183">
        <v>0</v>
      </c>
      <c r="F1183">
        <v>0</v>
      </c>
      <c r="H1183">
        <v>0</v>
      </c>
      <c r="I1183">
        <v>1</v>
      </c>
      <c r="J1183">
        <v>0</v>
      </c>
      <c r="K1183">
        <v>0</v>
      </c>
      <c r="L1183">
        <v>0</v>
      </c>
      <c r="N1183" t="s">
        <v>135</v>
      </c>
      <c r="O1183" t="s">
        <v>80</v>
      </c>
      <c r="P1183">
        <v>1</v>
      </c>
      <c r="Q1183">
        <v>0</v>
      </c>
      <c r="R1183">
        <v>0</v>
      </c>
      <c r="S1183">
        <v>0</v>
      </c>
      <c r="T1183">
        <v>0</v>
      </c>
      <c r="U1183">
        <v>0</v>
      </c>
      <c r="V1183">
        <v>0</v>
      </c>
      <c r="W1183">
        <v>0</v>
      </c>
      <c r="X1183">
        <v>0</v>
      </c>
      <c r="Y1183">
        <v>0</v>
      </c>
      <c r="Z1183">
        <v>0</v>
      </c>
      <c r="AA1183">
        <v>0</v>
      </c>
      <c r="AC1183">
        <v>1</v>
      </c>
      <c r="AD1183">
        <v>0</v>
      </c>
      <c r="AE1183">
        <v>0</v>
      </c>
      <c r="AF1183">
        <v>0</v>
      </c>
      <c r="AG1183">
        <v>0</v>
      </c>
      <c r="AH1183">
        <v>0</v>
      </c>
      <c r="AI1183">
        <v>0</v>
      </c>
      <c r="AJ1183">
        <v>0</v>
      </c>
      <c r="AK1183">
        <v>0</v>
      </c>
      <c r="AZ1183" t="s">
        <v>107</v>
      </c>
      <c r="BA1183" t="s">
        <v>87</v>
      </c>
      <c r="BB1183" t="s">
        <v>87</v>
      </c>
      <c r="BC1183" t="s">
        <v>87</v>
      </c>
      <c r="BD1183" t="s">
        <v>87</v>
      </c>
      <c r="BE1183" t="s">
        <v>87</v>
      </c>
      <c r="BF1183" t="s">
        <v>101</v>
      </c>
      <c r="BG1183" t="s">
        <v>76</v>
      </c>
      <c r="BH1183" t="s">
        <v>77</v>
      </c>
      <c r="BI1183" t="s">
        <v>107</v>
      </c>
      <c r="BK1183">
        <v>0</v>
      </c>
      <c r="BL1183">
        <v>0</v>
      </c>
      <c r="BM1183">
        <v>0</v>
      </c>
      <c r="BN1183">
        <v>0</v>
      </c>
      <c r="BO1183">
        <v>0</v>
      </c>
      <c r="BP1183">
        <v>1</v>
      </c>
      <c r="BQ1183">
        <v>0</v>
      </c>
      <c r="BR1183">
        <v>0</v>
      </c>
      <c r="BT1183" t="s">
        <v>230</v>
      </c>
    </row>
    <row r="1184" spans="1:72" x14ac:dyDescent="0.2">
      <c r="A1184" s="1">
        <v>44589.725694444445</v>
      </c>
      <c r="B1184" s="1">
        <v>44589.729166666664</v>
      </c>
      <c r="C1184">
        <v>1</v>
      </c>
      <c r="D1184">
        <v>0</v>
      </c>
      <c r="E1184">
        <v>0</v>
      </c>
      <c r="F1184">
        <v>0</v>
      </c>
      <c r="H1184">
        <v>0</v>
      </c>
      <c r="I1184">
        <v>1</v>
      </c>
      <c r="J1184">
        <v>1</v>
      </c>
      <c r="K1184">
        <v>0</v>
      </c>
      <c r="L1184">
        <v>1</v>
      </c>
      <c r="M1184" t="s">
        <v>507</v>
      </c>
      <c r="N1184" t="s">
        <v>88</v>
      </c>
      <c r="O1184" t="s">
        <v>89</v>
      </c>
      <c r="P1184">
        <v>0</v>
      </c>
      <c r="Q1184">
        <v>1</v>
      </c>
      <c r="R1184">
        <v>0</v>
      </c>
      <c r="S1184">
        <v>0</v>
      </c>
      <c r="T1184">
        <v>0</v>
      </c>
      <c r="U1184">
        <v>1</v>
      </c>
      <c r="V1184">
        <v>0</v>
      </c>
      <c r="W1184">
        <v>0</v>
      </c>
      <c r="X1184">
        <v>0</v>
      </c>
      <c r="Y1184">
        <v>0</v>
      </c>
      <c r="Z1184">
        <v>0</v>
      </c>
      <c r="AA1184">
        <v>0</v>
      </c>
      <c r="AM1184" t="s">
        <v>83</v>
      </c>
      <c r="AN1184" t="s">
        <v>82</v>
      </c>
      <c r="AO1184" t="s">
        <v>83</v>
      </c>
      <c r="AP1184" t="s">
        <v>81</v>
      </c>
      <c r="AQ1184" t="s">
        <v>82</v>
      </c>
      <c r="AR1184" t="s">
        <v>81</v>
      </c>
      <c r="AS1184" t="s">
        <v>82</v>
      </c>
      <c r="AT1184" t="s">
        <v>83</v>
      </c>
      <c r="AU1184" t="s">
        <v>88</v>
      </c>
      <c r="AV1184" t="s">
        <v>89</v>
      </c>
      <c r="AW1184" t="s">
        <v>100</v>
      </c>
      <c r="AZ1184" t="s">
        <v>107</v>
      </c>
      <c r="BA1184" t="s">
        <v>87</v>
      </c>
      <c r="BB1184" t="s">
        <v>87</v>
      </c>
      <c r="BC1184" t="s">
        <v>87</v>
      </c>
      <c r="BD1184" t="s">
        <v>87</v>
      </c>
      <c r="BE1184" t="s">
        <v>86</v>
      </c>
      <c r="BF1184" t="s">
        <v>159</v>
      </c>
      <c r="BG1184" t="s">
        <v>76</v>
      </c>
      <c r="BH1184" t="s">
        <v>93</v>
      </c>
      <c r="BI1184" t="s">
        <v>107</v>
      </c>
      <c r="BJ1184" t="s">
        <v>78</v>
      </c>
      <c r="BK1184">
        <v>0</v>
      </c>
      <c r="BL1184">
        <v>0</v>
      </c>
      <c r="BM1184">
        <v>0</v>
      </c>
      <c r="BN1184">
        <v>0</v>
      </c>
      <c r="BO1184">
        <v>0</v>
      </c>
      <c r="BP1184">
        <v>1</v>
      </c>
      <c r="BQ1184">
        <v>0</v>
      </c>
      <c r="BR1184">
        <v>0</v>
      </c>
    </row>
    <row r="1185" spans="1:70" x14ac:dyDescent="0.2">
      <c r="A1185" s="1">
        <v>44589.959027777775</v>
      </c>
      <c r="B1185" s="1">
        <v>44589.961805555555</v>
      </c>
      <c r="C1185">
        <v>0</v>
      </c>
      <c r="D1185">
        <v>1</v>
      </c>
      <c r="E1185">
        <v>0</v>
      </c>
      <c r="F1185">
        <v>0</v>
      </c>
      <c r="H1185">
        <v>1</v>
      </c>
      <c r="I1185">
        <v>0</v>
      </c>
      <c r="J1185">
        <v>0</v>
      </c>
      <c r="K1185">
        <v>0</v>
      </c>
      <c r="L1185">
        <v>0</v>
      </c>
      <c r="P1185">
        <v>0</v>
      </c>
      <c r="Q1185">
        <v>0</v>
      </c>
      <c r="R1185">
        <v>0</v>
      </c>
      <c r="S1185">
        <v>0</v>
      </c>
      <c r="T1185">
        <v>0</v>
      </c>
      <c r="U1185">
        <v>0</v>
      </c>
      <c r="V1185">
        <v>0</v>
      </c>
      <c r="W1185">
        <v>0</v>
      </c>
      <c r="X1185">
        <v>0</v>
      </c>
      <c r="Y1185">
        <v>0</v>
      </c>
      <c r="Z1185">
        <v>0</v>
      </c>
      <c r="AA1185">
        <v>1</v>
      </c>
      <c r="AB1185" t="s">
        <v>508</v>
      </c>
      <c r="AM1185" t="s">
        <v>90</v>
      </c>
      <c r="AN1185" t="s">
        <v>81</v>
      </c>
      <c r="AO1185" t="s">
        <v>83</v>
      </c>
      <c r="AP1185" t="s">
        <v>82</v>
      </c>
      <c r="AQ1185" t="s">
        <v>81</v>
      </c>
      <c r="AR1185" t="s">
        <v>83</v>
      </c>
      <c r="AS1185" t="s">
        <v>83</v>
      </c>
      <c r="AT1185" t="s">
        <v>83</v>
      </c>
      <c r="AU1185" t="s">
        <v>84</v>
      </c>
      <c r="AV1185" t="s">
        <v>127</v>
      </c>
      <c r="AW1185" t="s">
        <v>85</v>
      </c>
      <c r="AX1185" t="s">
        <v>118</v>
      </c>
      <c r="AZ1185" t="s">
        <v>107</v>
      </c>
      <c r="BA1185" t="s">
        <v>87</v>
      </c>
      <c r="BB1185" t="s">
        <v>86</v>
      </c>
      <c r="BC1185" t="s">
        <v>86</v>
      </c>
      <c r="BD1185" t="s">
        <v>86</v>
      </c>
      <c r="BE1185" t="s">
        <v>86</v>
      </c>
      <c r="BF1185" t="s">
        <v>75</v>
      </c>
      <c r="BG1185" t="s">
        <v>76</v>
      </c>
      <c r="BH1185" t="s">
        <v>93</v>
      </c>
      <c r="BI1185" t="s">
        <v>107</v>
      </c>
      <c r="BJ1185" t="s">
        <v>114</v>
      </c>
      <c r="BK1185">
        <v>0</v>
      </c>
      <c r="BL1185">
        <v>0</v>
      </c>
      <c r="BM1185">
        <v>0</v>
      </c>
      <c r="BN1185">
        <v>0</v>
      </c>
      <c r="BO1185">
        <v>0</v>
      </c>
      <c r="BP1185">
        <v>1</v>
      </c>
      <c r="BQ1185">
        <v>0</v>
      </c>
      <c r="BR1185">
        <v>0</v>
      </c>
    </row>
    <row r="1186" spans="1:70" x14ac:dyDescent="0.2">
      <c r="A1186" s="1">
        <v>44579.900694444441</v>
      </c>
      <c r="B1186" s="1">
        <v>44579.902777777781</v>
      </c>
      <c r="C1186">
        <v>1</v>
      </c>
      <c r="D1186">
        <v>0</v>
      </c>
      <c r="E1186">
        <v>0</v>
      </c>
      <c r="F1186">
        <v>0</v>
      </c>
      <c r="H1186">
        <v>0</v>
      </c>
      <c r="I1186">
        <v>1</v>
      </c>
      <c r="J1186">
        <v>1</v>
      </c>
      <c r="K1186">
        <v>0</v>
      </c>
      <c r="L1186">
        <v>0</v>
      </c>
      <c r="N1186" t="s">
        <v>135</v>
      </c>
      <c r="O1186" t="s">
        <v>80</v>
      </c>
      <c r="P1186">
        <v>0</v>
      </c>
      <c r="Q1186">
        <v>0</v>
      </c>
      <c r="R1186">
        <v>1</v>
      </c>
      <c r="S1186">
        <v>0</v>
      </c>
      <c r="T1186">
        <v>0</v>
      </c>
      <c r="U1186">
        <v>0</v>
      </c>
      <c r="V1186">
        <v>0</v>
      </c>
      <c r="W1186">
        <v>0</v>
      </c>
      <c r="X1186">
        <v>0</v>
      </c>
      <c r="Y1186">
        <v>0</v>
      </c>
      <c r="Z1186">
        <v>0</v>
      </c>
      <c r="AA1186">
        <v>0</v>
      </c>
      <c r="AM1186" t="s">
        <v>83</v>
      </c>
      <c r="AN1186" t="s">
        <v>82</v>
      </c>
      <c r="AO1186" t="s">
        <v>81</v>
      </c>
      <c r="AP1186" t="s">
        <v>82</v>
      </c>
      <c r="AQ1186" t="s">
        <v>81</v>
      </c>
      <c r="AR1186" t="s">
        <v>83</v>
      </c>
      <c r="AS1186" t="s">
        <v>83</v>
      </c>
      <c r="AT1186" t="s">
        <v>83</v>
      </c>
      <c r="AU1186" t="s">
        <v>88</v>
      </c>
      <c r="AV1186" t="s">
        <v>89</v>
      </c>
      <c r="AW1186" t="s">
        <v>100</v>
      </c>
      <c r="AX1186" t="s">
        <v>122</v>
      </c>
      <c r="AZ1186" t="s">
        <v>73</v>
      </c>
      <c r="BA1186" t="s">
        <v>86</v>
      </c>
      <c r="BB1186" t="s">
        <v>86</v>
      </c>
      <c r="BC1186" t="s">
        <v>86</v>
      </c>
      <c r="BD1186" t="s">
        <v>86</v>
      </c>
      <c r="BE1186" t="s">
        <v>86</v>
      </c>
      <c r="BF1186" t="s">
        <v>75</v>
      </c>
      <c r="BG1186" t="s">
        <v>76</v>
      </c>
      <c r="BH1186" t="s">
        <v>77</v>
      </c>
      <c r="BI1186" t="s">
        <v>73</v>
      </c>
      <c r="BJ1186" t="s">
        <v>114</v>
      </c>
      <c r="BK1186">
        <v>0</v>
      </c>
      <c r="BL1186">
        <v>0</v>
      </c>
      <c r="BM1186">
        <v>0</v>
      </c>
      <c r="BN1186">
        <v>0</v>
      </c>
      <c r="BO1186">
        <v>0</v>
      </c>
      <c r="BP1186">
        <v>1</v>
      </c>
      <c r="BQ1186">
        <v>0</v>
      </c>
      <c r="BR1186">
        <v>0</v>
      </c>
    </row>
    <row r="1187" spans="1:70" x14ac:dyDescent="0.2">
      <c r="A1187" s="1">
        <v>44580.574305555558</v>
      </c>
      <c r="B1187" s="1">
        <v>44580.576388888891</v>
      </c>
      <c r="C1187">
        <v>0</v>
      </c>
      <c r="D1187">
        <v>1</v>
      </c>
      <c r="E1187">
        <v>0</v>
      </c>
      <c r="F1187">
        <v>0</v>
      </c>
      <c r="H1187">
        <v>0</v>
      </c>
      <c r="I1187">
        <v>0</v>
      </c>
      <c r="J1187">
        <v>1</v>
      </c>
      <c r="K1187">
        <v>0</v>
      </c>
      <c r="L1187">
        <v>0</v>
      </c>
      <c r="N1187" t="s">
        <v>79</v>
      </c>
      <c r="O1187" t="s">
        <v>89</v>
      </c>
      <c r="P1187">
        <v>1</v>
      </c>
      <c r="Q1187">
        <v>0</v>
      </c>
      <c r="R1187">
        <v>0</v>
      </c>
      <c r="S1187">
        <v>0</v>
      </c>
      <c r="T1187">
        <v>0</v>
      </c>
      <c r="U1187">
        <v>0</v>
      </c>
      <c r="V1187">
        <v>0</v>
      </c>
      <c r="W1187">
        <v>0</v>
      </c>
      <c r="X1187">
        <v>0</v>
      </c>
      <c r="Y1187">
        <v>0</v>
      </c>
      <c r="Z1187">
        <v>0</v>
      </c>
      <c r="AA1187">
        <v>0</v>
      </c>
      <c r="AC1187">
        <v>0</v>
      </c>
      <c r="AD1187">
        <v>1</v>
      </c>
      <c r="AE1187">
        <v>0</v>
      </c>
      <c r="AF1187">
        <v>0</v>
      </c>
      <c r="AG1187">
        <v>0</v>
      </c>
      <c r="AH1187">
        <v>0</v>
      </c>
      <c r="AI1187">
        <v>0</v>
      </c>
      <c r="AJ1187">
        <v>0</v>
      </c>
      <c r="AK1187">
        <v>0</v>
      </c>
      <c r="AX1187" t="s">
        <v>110</v>
      </c>
      <c r="AY1187" t="s">
        <v>509</v>
      </c>
      <c r="AZ1187" t="s">
        <v>107</v>
      </c>
      <c r="BA1187" t="s">
        <v>87</v>
      </c>
      <c r="BB1187" t="s">
        <v>87</v>
      </c>
      <c r="BC1187" t="s">
        <v>86</v>
      </c>
      <c r="BD1187" t="s">
        <v>86</v>
      </c>
      <c r="BE1187" t="s">
        <v>87</v>
      </c>
      <c r="BF1187" t="s">
        <v>75</v>
      </c>
      <c r="BG1187" t="s">
        <v>92</v>
      </c>
      <c r="BH1187" t="s">
        <v>77</v>
      </c>
      <c r="BI1187" t="s">
        <v>107</v>
      </c>
      <c r="BJ1187" t="s">
        <v>114</v>
      </c>
      <c r="BK1187">
        <v>0</v>
      </c>
      <c r="BL1187">
        <v>0</v>
      </c>
      <c r="BM1187">
        <v>0</v>
      </c>
      <c r="BN1187">
        <v>0</v>
      </c>
      <c r="BO1187">
        <v>0</v>
      </c>
      <c r="BP1187">
        <v>1</v>
      </c>
      <c r="BQ1187">
        <v>0</v>
      </c>
      <c r="BR1187">
        <v>0</v>
      </c>
    </row>
    <row r="1188" spans="1:70" x14ac:dyDescent="0.2">
      <c r="A1188" s="1">
        <v>44582.053472222222</v>
      </c>
      <c r="B1188" s="1">
        <v>44582.054861111108</v>
      </c>
      <c r="C1188">
        <v>1</v>
      </c>
      <c r="D1188">
        <v>0</v>
      </c>
      <c r="E1188">
        <v>0</v>
      </c>
      <c r="F1188">
        <v>0</v>
      </c>
      <c r="H1188">
        <v>1</v>
      </c>
      <c r="I1188">
        <v>0</v>
      </c>
      <c r="J1188">
        <v>0</v>
      </c>
      <c r="K1188">
        <v>0</v>
      </c>
      <c r="L1188">
        <v>0</v>
      </c>
      <c r="P1188">
        <v>1</v>
      </c>
      <c r="Q1188">
        <v>0</v>
      </c>
      <c r="R1188">
        <v>0</v>
      </c>
      <c r="S1188">
        <v>0</v>
      </c>
      <c r="T1188">
        <v>0</v>
      </c>
      <c r="U1188">
        <v>0</v>
      </c>
      <c r="V1188">
        <v>0</v>
      </c>
      <c r="W1188">
        <v>0</v>
      </c>
      <c r="X1188">
        <v>0</v>
      </c>
      <c r="Y1188">
        <v>0</v>
      </c>
      <c r="Z1188">
        <v>0</v>
      </c>
      <c r="AA1188">
        <v>0</v>
      </c>
      <c r="AC1188">
        <v>0</v>
      </c>
      <c r="AD1188">
        <v>0</v>
      </c>
      <c r="AE1188">
        <v>1</v>
      </c>
      <c r="AF1188">
        <v>0</v>
      </c>
      <c r="AG1188">
        <v>0</v>
      </c>
      <c r="AH1188">
        <v>1</v>
      </c>
      <c r="AI1188">
        <v>0</v>
      </c>
      <c r="AJ1188">
        <v>0</v>
      </c>
      <c r="AK1188">
        <v>0</v>
      </c>
      <c r="AX1188" t="s">
        <v>122</v>
      </c>
      <c r="AZ1188" t="s">
        <v>107</v>
      </c>
      <c r="BA1188" t="s">
        <v>87</v>
      </c>
      <c r="BB1188" t="s">
        <v>86</v>
      </c>
      <c r="BC1188" t="s">
        <v>87</v>
      </c>
      <c r="BD1188" t="s">
        <v>87</v>
      </c>
      <c r="BE1188" t="s">
        <v>86</v>
      </c>
      <c r="BF1188" t="s">
        <v>75</v>
      </c>
      <c r="BG1188" t="s">
        <v>92</v>
      </c>
      <c r="BH1188" t="s">
        <v>98</v>
      </c>
      <c r="BI1188" t="s">
        <v>107</v>
      </c>
      <c r="BJ1188" t="s">
        <v>78</v>
      </c>
      <c r="BK1188">
        <v>0</v>
      </c>
      <c r="BL1188">
        <v>0</v>
      </c>
      <c r="BM1188">
        <v>0</v>
      </c>
      <c r="BN1188">
        <v>0</v>
      </c>
      <c r="BO1188">
        <v>0</v>
      </c>
      <c r="BP1188">
        <v>1</v>
      </c>
      <c r="BQ1188">
        <v>0</v>
      </c>
      <c r="BR1188">
        <v>0</v>
      </c>
    </row>
    <row r="1189" spans="1:70" x14ac:dyDescent="0.2">
      <c r="A1189" s="1">
        <v>44581.121527777781</v>
      </c>
      <c r="B1189" s="1">
        <v>44581.125694444447</v>
      </c>
      <c r="C1189">
        <v>1</v>
      </c>
      <c r="D1189">
        <v>0</v>
      </c>
      <c r="E1189">
        <v>0</v>
      </c>
      <c r="F1189">
        <v>0</v>
      </c>
      <c r="H1189">
        <v>0</v>
      </c>
      <c r="I1189">
        <v>1</v>
      </c>
      <c r="J1189">
        <v>0</v>
      </c>
      <c r="K1189">
        <v>0</v>
      </c>
      <c r="L1189">
        <v>0</v>
      </c>
      <c r="N1189" t="s">
        <v>88</v>
      </c>
      <c r="O1189" t="s">
        <v>142</v>
      </c>
      <c r="P1189">
        <v>0</v>
      </c>
      <c r="Q1189">
        <v>0</v>
      </c>
      <c r="R1189">
        <v>0</v>
      </c>
      <c r="S1189">
        <v>0</v>
      </c>
      <c r="T1189">
        <v>0</v>
      </c>
      <c r="U1189">
        <v>0</v>
      </c>
      <c r="V1189">
        <v>0</v>
      </c>
      <c r="W1189">
        <v>0</v>
      </c>
      <c r="X1189">
        <v>0</v>
      </c>
      <c r="Y1189">
        <v>0</v>
      </c>
      <c r="Z1189">
        <v>0</v>
      </c>
      <c r="AA1189">
        <v>1</v>
      </c>
      <c r="AB1189" t="s">
        <v>510</v>
      </c>
      <c r="AM1189" t="s">
        <v>81</v>
      </c>
      <c r="AN1189" t="s">
        <v>81</v>
      </c>
      <c r="AO1189" t="s">
        <v>81</v>
      </c>
      <c r="AP1189" t="s">
        <v>83</v>
      </c>
      <c r="AQ1189" t="s">
        <v>82</v>
      </c>
      <c r="AR1189" t="s">
        <v>90</v>
      </c>
      <c r="AS1189" t="s">
        <v>90</v>
      </c>
      <c r="AT1189" t="s">
        <v>81</v>
      </c>
      <c r="AU1189" t="s">
        <v>88</v>
      </c>
      <c r="AV1189" t="s">
        <v>142</v>
      </c>
      <c r="AW1189" t="s">
        <v>85</v>
      </c>
      <c r="AX1189" t="s">
        <v>72</v>
      </c>
      <c r="AZ1189" t="s">
        <v>96</v>
      </c>
      <c r="BA1189" t="s">
        <v>87</v>
      </c>
      <c r="BB1189" t="s">
        <v>74</v>
      </c>
      <c r="BC1189" t="s">
        <v>87</v>
      </c>
      <c r="BD1189" t="s">
        <v>74</v>
      </c>
      <c r="BE1189" t="s">
        <v>87</v>
      </c>
      <c r="BF1189" t="s">
        <v>75</v>
      </c>
      <c r="BG1189" t="s">
        <v>76</v>
      </c>
      <c r="BH1189" t="s">
        <v>77</v>
      </c>
      <c r="BI1189" t="s">
        <v>96</v>
      </c>
      <c r="BJ1189" t="s">
        <v>147</v>
      </c>
      <c r="BK1189">
        <v>0</v>
      </c>
      <c r="BL1189">
        <v>0</v>
      </c>
      <c r="BM1189">
        <v>0</v>
      </c>
      <c r="BN1189">
        <v>0</v>
      </c>
      <c r="BO1189">
        <v>0</v>
      </c>
      <c r="BP1189">
        <v>1</v>
      </c>
      <c r="BQ1189">
        <v>0</v>
      </c>
      <c r="BR1189">
        <v>0</v>
      </c>
    </row>
    <row r="1190" spans="1:70" x14ac:dyDescent="0.2">
      <c r="A1190" s="1">
        <v>44579.938194444447</v>
      </c>
      <c r="B1190" s="1">
        <v>44579.940972222219</v>
      </c>
      <c r="C1190">
        <v>1</v>
      </c>
      <c r="D1190">
        <v>0</v>
      </c>
      <c r="E1190">
        <v>0</v>
      </c>
      <c r="F1190">
        <v>0</v>
      </c>
      <c r="H1190">
        <v>0</v>
      </c>
      <c r="I1190">
        <v>1</v>
      </c>
      <c r="J1190">
        <v>1</v>
      </c>
      <c r="K1190">
        <v>0</v>
      </c>
      <c r="L1190">
        <v>0</v>
      </c>
      <c r="N1190" t="s">
        <v>88</v>
      </c>
      <c r="O1190" t="s">
        <v>89</v>
      </c>
      <c r="P1190">
        <v>0</v>
      </c>
      <c r="Q1190">
        <v>0</v>
      </c>
      <c r="R1190">
        <v>1</v>
      </c>
      <c r="S1190">
        <v>0</v>
      </c>
      <c r="T1190">
        <v>0</v>
      </c>
      <c r="U1190">
        <v>0</v>
      </c>
      <c r="V1190">
        <v>0</v>
      </c>
      <c r="W1190">
        <v>1</v>
      </c>
      <c r="X1190">
        <v>0</v>
      </c>
      <c r="Y1190">
        <v>0</v>
      </c>
      <c r="Z1190">
        <v>0</v>
      </c>
      <c r="AA1190">
        <v>0</v>
      </c>
      <c r="AM1190" t="s">
        <v>81</v>
      </c>
      <c r="AN1190" t="s">
        <v>81</v>
      </c>
      <c r="AO1190" t="s">
        <v>83</v>
      </c>
      <c r="AP1190" t="s">
        <v>81</v>
      </c>
      <c r="AQ1190" t="s">
        <v>81</v>
      </c>
      <c r="AR1190" t="s">
        <v>81</v>
      </c>
      <c r="AS1190" t="s">
        <v>81</v>
      </c>
      <c r="AT1190" t="s">
        <v>81</v>
      </c>
      <c r="AU1190" t="s">
        <v>88</v>
      </c>
      <c r="AV1190" t="s">
        <v>89</v>
      </c>
      <c r="AW1190" t="s">
        <v>85</v>
      </c>
      <c r="AZ1190" t="s">
        <v>107</v>
      </c>
      <c r="BA1190" t="s">
        <v>86</v>
      </c>
      <c r="BB1190" t="s">
        <v>86</v>
      </c>
      <c r="BC1190" t="s">
        <v>86</v>
      </c>
      <c r="BD1190" t="s">
        <v>74</v>
      </c>
      <c r="BE1190" t="s">
        <v>86</v>
      </c>
      <c r="BF1190" t="s">
        <v>97</v>
      </c>
      <c r="BG1190" t="s">
        <v>92</v>
      </c>
      <c r="BH1190" t="s">
        <v>98</v>
      </c>
      <c r="BI1190" t="s">
        <v>107</v>
      </c>
      <c r="BJ1190" t="s">
        <v>109</v>
      </c>
      <c r="BK1190">
        <v>0</v>
      </c>
      <c r="BL1190">
        <v>0</v>
      </c>
      <c r="BM1190">
        <v>0</v>
      </c>
      <c r="BN1190">
        <v>1</v>
      </c>
      <c r="BO1190">
        <v>0</v>
      </c>
      <c r="BP1190">
        <v>0</v>
      </c>
      <c r="BQ1190">
        <v>0</v>
      </c>
      <c r="BR1190">
        <v>0</v>
      </c>
    </row>
    <row r="1191" spans="1:70" x14ac:dyDescent="0.2">
      <c r="A1191" s="1">
        <v>44579.898611111108</v>
      </c>
      <c r="B1191" s="1">
        <v>44579.902777777781</v>
      </c>
      <c r="C1191">
        <v>0</v>
      </c>
      <c r="D1191">
        <v>1</v>
      </c>
      <c r="E1191">
        <v>0</v>
      </c>
      <c r="F1191">
        <v>0</v>
      </c>
      <c r="H1191">
        <v>0</v>
      </c>
      <c r="I1191">
        <v>1</v>
      </c>
      <c r="J1191">
        <v>0</v>
      </c>
      <c r="K1191">
        <v>0</v>
      </c>
      <c r="L1191">
        <v>0</v>
      </c>
      <c r="N1191" t="s">
        <v>88</v>
      </c>
      <c r="O1191" t="s">
        <v>89</v>
      </c>
      <c r="P1191">
        <v>0</v>
      </c>
      <c r="Q1191">
        <v>0</v>
      </c>
      <c r="R1191">
        <v>0</v>
      </c>
      <c r="S1191">
        <v>1</v>
      </c>
      <c r="T1191">
        <v>0</v>
      </c>
      <c r="U1191">
        <v>0</v>
      </c>
      <c r="V1191">
        <v>0</v>
      </c>
      <c r="W1191">
        <v>0</v>
      </c>
      <c r="X1191">
        <v>0</v>
      </c>
      <c r="Y1191">
        <v>0</v>
      </c>
      <c r="Z1191">
        <v>0</v>
      </c>
      <c r="AA1191">
        <v>0</v>
      </c>
      <c r="AM1191" t="s">
        <v>83</v>
      </c>
      <c r="AN1191" t="s">
        <v>82</v>
      </c>
      <c r="AO1191" t="s">
        <v>81</v>
      </c>
      <c r="AP1191" t="s">
        <v>83</v>
      </c>
      <c r="AQ1191" t="s">
        <v>82</v>
      </c>
      <c r="AR1191" t="s">
        <v>83</v>
      </c>
      <c r="AS1191" t="s">
        <v>81</v>
      </c>
      <c r="AT1191" t="s">
        <v>83</v>
      </c>
      <c r="AU1191" t="s">
        <v>88</v>
      </c>
      <c r="AV1191" t="s">
        <v>89</v>
      </c>
      <c r="AW1191" t="s">
        <v>100</v>
      </c>
      <c r="AX1191" t="s">
        <v>110</v>
      </c>
      <c r="AY1191" t="s">
        <v>511</v>
      </c>
      <c r="AZ1191" t="s">
        <v>96</v>
      </c>
      <c r="BA1191" t="s">
        <v>87</v>
      </c>
      <c r="BB1191" t="s">
        <v>87</v>
      </c>
      <c r="BC1191" t="s">
        <v>87</v>
      </c>
      <c r="BD1191" t="s">
        <v>87</v>
      </c>
      <c r="BE1191" t="s">
        <v>86</v>
      </c>
      <c r="BF1191" t="s">
        <v>75</v>
      </c>
      <c r="BG1191" t="s">
        <v>92</v>
      </c>
      <c r="BH1191" t="s">
        <v>77</v>
      </c>
      <c r="BI1191" t="s">
        <v>96</v>
      </c>
      <c r="BJ1191" t="s">
        <v>212</v>
      </c>
      <c r="BK1191">
        <v>0</v>
      </c>
      <c r="BL1191">
        <v>0</v>
      </c>
      <c r="BM1191">
        <v>0</v>
      </c>
      <c r="BN1191">
        <v>0</v>
      </c>
      <c r="BO1191">
        <v>0</v>
      </c>
      <c r="BP1191">
        <v>1</v>
      </c>
      <c r="BQ1191">
        <v>0</v>
      </c>
      <c r="BR1191">
        <v>0</v>
      </c>
    </row>
    <row r="1192" spans="1:70" x14ac:dyDescent="0.2">
      <c r="A1192" s="1">
        <v>44579.942361111112</v>
      </c>
      <c r="B1192" s="1">
        <v>44579.944444444445</v>
      </c>
      <c r="C1192">
        <v>1</v>
      </c>
      <c r="D1192">
        <v>0</v>
      </c>
      <c r="E1192">
        <v>0</v>
      </c>
      <c r="F1192">
        <v>0</v>
      </c>
      <c r="H1192">
        <v>0</v>
      </c>
      <c r="I1192">
        <v>1</v>
      </c>
      <c r="J1192">
        <v>1</v>
      </c>
      <c r="K1192">
        <v>1</v>
      </c>
      <c r="L1192">
        <v>0</v>
      </c>
      <c r="N1192" t="s">
        <v>88</v>
      </c>
      <c r="O1192" t="s">
        <v>89</v>
      </c>
      <c r="P1192">
        <v>0</v>
      </c>
      <c r="Q1192">
        <v>1</v>
      </c>
      <c r="R1192">
        <v>1</v>
      </c>
      <c r="S1192">
        <v>0</v>
      </c>
      <c r="T1192">
        <v>0</v>
      </c>
      <c r="U1192">
        <v>0</v>
      </c>
      <c r="V1192">
        <v>0</v>
      </c>
      <c r="W1192">
        <v>0</v>
      </c>
      <c r="X1192">
        <v>0</v>
      </c>
      <c r="Y1192">
        <v>0</v>
      </c>
      <c r="Z1192">
        <v>0</v>
      </c>
      <c r="AA1192">
        <v>0</v>
      </c>
      <c r="AM1192" t="s">
        <v>82</v>
      </c>
      <c r="AN1192" t="s">
        <v>82</v>
      </c>
      <c r="AO1192" t="s">
        <v>82</v>
      </c>
      <c r="AP1192" t="s">
        <v>82</v>
      </c>
      <c r="AQ1192" t="s">
        <v>82</v>
      </c>
      <c r="AR1192" t="s">
        <v>82</v>
      </c>
      <c r="AS1192" t="s">
        <v>81</v>
      </c>
      <c r="AT1192" t="s">
        <v>81</v>
      </c>
      <c r="AU1192" t="s">
        <v>88</v>
      </c>
      <c r="AV1192" t="s">
        <v>89</v>
      </c>
      <c r="AW1192" t="s">
        <v>100</v>
      </c>
      <c r="AX1192" t="s">
        <v>175</v>
      </c>
      <c r="AZ1192" t="s">
        <v>73</v>
      </c>
      <c r="BA1192" t="s">
        <v>87</v>
      </c>
      <c r="BB1192" t="s">
        <v>87</v>
      </c>
      <c r="BC1192" t="s">
        <v>87</v>
      </c>
      <c r="BD1192" t="s">
        <v>87</v>
      </c>
      <c r="BE1192" t="s">
        <v>87</v>
      </c>
      <c r="BF1192" t="s">
        <v>75</v>
      </c>
      <c r="BG1192" t="s">
        <v>92</v>
      </c>
      <c r="BH1192" t="s">
        <v>77</v>
      </c>
      <c r="BI1192" t="s">
        <v>73</v>
      </c>
      <c r="BJ1192" t="s">
        <v>109</v>
      </c>
      <c r="BK1192">
        <v>0</v>
      </c>
      <c r="BL1192">
        <v>0</v>
      </c>
      <c r="BM1192">
        <v>0</v>
      </c>
      <c r="BN1192">
        <v>0</v>
      </c>
      <c r="BO1192">
        <v>0</v>
      </c>
      <c r="BP1192">
        <v>1</v>
      </c>
      <c r="BQ1192">
        <v>0</v>
      </c>
      <c r="BR1192">
        <v>0</v>
      </c>
    </row>
    <row r="1193" spans="1:70" x14ac:dyDescent="0.2">
      <c r="A1193" s="1">
        <v>44589.407638888886</v>
      </c>
      <c r="B1193" s="1">
        <v>44589.409722222219</v>
      </c>
      <c r="C1193">
        <v>0</v>
      </c>
      <c r="D1193">
        <v>1</v>
      </c>
      <c r="E1193">
        <v>0</v>
      </c>
      <c r="F1193">
        <v>0</v>
      </c>
      <c r="H1193">
        <v>0</v>
      </c>
      <c r="I1193">
        <v>1</v>
      </c>
      <c r="J1193">
        <v>0</v>
      </c>
      <c r="K1193">
        <v>0</v>
      </c>
      <c r="L1193">
        <v>0</v>
      </c>
      <c r="N1193" t="s">
        <v>79</v>
      </c>
      <c r="O1193" t="s">
        <v>80</v>
      </c>
      <c r="P1193">
        <v>1</v>
      </c>
      <c r="Q1193">
        <v>0</v>
      </c>
      <c r="R1193">
        <v>0</v>
      </c>
      <c r="S1193">
        <v>0</v>
      </c>
      <c r="T1193">
        <v>0</v>
      </c>
      <c r="U1193">
        <v>0</v>
      </c>
      <c r="V1193">
        <v>0</v>
      </c>
      <c r="W1193">
        <v>0</v>
      </c>
      <c r="X1193">
        <v>0</v>
      </c>
      <c r="Y1193">
        <v>0</v>
      </c>
      <c r="Z1193">
        <v>0</v>
      </c>
      <c r="AA1193">
        <v>0</v>
      </c>
      <c r="AC1193">
        <v>1</v>
      </c>
      <c r="AD1193">
        <v>0</v>
      </c>
      <c r="AE1193">
        <v>0</v>
      </c>
      <c r="AF1193">
        <v>0</v>
      </c>
      <c r="AG1193">
        <v>0</v>
      </c>
      <c r="AH1193">
        <v>0</v>
      </c>
      <c r="AI1193">
        <v>0</v>
      </c>
      <c r="AJ1193">
        <v>0</v>
      </c>
      <c r="AK1193">
        <v>0</v>
      </c>
      <c r="AX1193" t="s">
        <v>170</v>
      </c>
      <c r="AZ1193" t="s">
        <v>96</v>
      </c>
      <c r="BA1193" t="s">
        <v>74</v>
      </c>
      <c r="BF1193" t="s">
        <v>108</v>
      </c>
      <c r="BG1193" t="s">
        <v>76</v>
      </c>
      <c r="BH1193" t="s">
        <v>77</v>
      </c>
      <c r="BI1193" t="s">
        <v>96</v>
      </c>
      <c r="BJ1193" t="s">
        <v>109</v>
      </c>
      <c r="BK1193">
        <v>0</v>
      </c>
      <c r="BL1193">
        <v>1</v>
      </c>
      <c r="BM1193">
        <v>0</v>
      </c>
      <c r="BN1193">
        <v>0</v>
      </c>
      <c r="BO1193">
        <v>0</v>
      </c>
      <c r="BP1193">
        <v>1</v>
      </c>
      <c r="BQ1193">
        <v>0</v>
      </c>
      <c r="BR1193">
        <v>0</v>
      </c>
    </row>
    <row r="1194" spans="1:70" x14ac:dyDescent="0.2">
      <c r="A1194" s="1">
        <v>44581.636111111111</v>
      </c>
      <c r="B1194" s="1">
        <v>44581.638194444444</v>
      </c>
      <c r="C1194">
        <v>1</v>
      </c>
      <c r="D1194">
        <v>0</v>
      </c>
      <c r="E1194">
        <v>0</v>
      </c>
      <c r="F1194">
        <v>0</v>
      </c>
      <c r="H1194">
        <v>0</v>
      </c>
      <c r="I1194">
        <v>1</v>
      </c>
      <c r="J1194">
        <v>1</v>
      </c>
      <c r="K1194">
        <v>1</v>
      </c>
      <c r="L1194">
        <v>0</v>
      </c>
      <c r="N1194" t="s">
        <v>88</v>
      </c>
      <c r="O1194" t="s">
        <v>89</v>
      </c>
      <c r="P1194">
        <v>0</v>
      </c>
      <c r="Q1194">
        <v>0</v>
      </c>
      <c r="R1194">
        <v>1</v>
      </c>
      <c r="S1194">
        <v>0</v>
      </c>
      <c r="T1194">
        <v>0</v>
      </c>
      <c r="U1194">
        <v>0</v>
      </c>
      <c r="V1194">
        <v>0</v>
      </c>
      <c r="W1194">
        <v>0</v>
      </c>
      <c r="X1194">
        <v>0</v>
      </c>
      <c r="Y1194">
        <v>0</v>
      </c>
      <c r="Z1194">
        <v>0</v>
      </c>
      <c r="AA1194">
        <v>0</v>
      </c>
      <c r="AM1194" t="s">
        <v>83</v>
      </c>
      <c r="AN1194" t="s">
        <v>81</v>
      </c>
      <c r="AO1194" t="s">
        <v>81</v>
      </c>
      <c r="AP1194" t="s">
        <v>81</v>
      </c>
      <c r="AQ1194" t="s">
        <v>82</v>
      </c>
      <c r="AR1194" t="s">
        <v>81</v>
      </c>
      <c r="AS1194" t="s">
        <v>83</v>
      </c>
      <c r="AT1194" t="s">
        <v>83</v>
      </c>
      <c r="AU1194" t="s">
        <v>88</v>
      </c>
      <c r="AV1194" t="s">
        <v>89</v>
      </c>
      <c r="AW1194" t="s">
        <v>100</v>
      </c>
      <c r="AX1194" t="s">
        <v>199</v>
      </c>
      <c r="AZ1194" t="s">
        <v>107</v>
      </c>
      <c r="BA1194" t="s">
        <v>86</v>
      </c>
      <c r="BB1194" t="s">
        <v>86</v>
      </c>
      <c r="BC1194" t="s">
        <v>86</v>
      </c>
      <c r="BD1194" t="s">
        <v>86</v>
      </c>
      <c r="BE1194" t="s">
        <v>86</v>
      </c>
      <c r="BF1194" t="s">
        <v>75</v>
      </c>
      <c r="BG1194" t="s">
        <v>76</v>
      </c>
      <c r="BH1194" t="s">
        <v>77</v>
      </c>
      <c r="BI1194" t="s">
        <v>107</v>
      </c>
      <c r="BJ1194" t="s">
        <v>109</v>
      </c>
      <c r="BK1194">
        <v>0</v>
      </c>
      <c r="BL1194">
        <v>0</v>
      </c>
      <c r="BM1194">
        <v>0</v>
      </c>
      <c r="BN1194">
        <v>0</v>
      </c>
      <c r="BO1194">
        <v>0</v>
      </c>
      <c r="BP1194">
        <v>1</v>
      </c>
      <c r="BQ1194">
        <v>0</v>
      </c>
      <c r="BR1194">
        <v>0</v>
      </c>
    </row>
    <row r="1195" spans="1:70" x14ac:dyDescent="0.2">
      <c r="A1195" s="1">
        <v>44588.890972222223</v>
      </c>
      <c r="B1195" s="1">
        <v>44588.984722222223</v>
      </c>
      <c r="C1195">
        <v>1</v>
      </c>
      <c r="D1195">
        <v>0</v>
      </c>
      <c r="E1195">
        <v>0</v>
      </c>
      <c r="F1195">
        <v>0</v>
      </c>
      <c r="H1195">
        <v>0</v>
      </c>
      <c r="I1195">
        <v>1</v>
      </c>
      <c r="J1195">
        <v>1</v>
      </c>
      <c r="K1195">
        <v>1</v>
      </c>
      <c r="L1195">
        <v>0</v>
      </c>
      <c r="N1195" t="s">
        <v>88</v>
      </c>
      <c r="O1195" t="s">
        <v>89</v>
      </c>
      <c r="P1195">
        <v>0</v>
      </c>
      <c r="Q1195">
        <v>0</v>
      </c>
      <c r="R1195">
        <v>0</v>
      </c>
      <c r="S1195">
        <v>0</v>
      </c>
      <c r="T1195">
        <v>0</v>
      </c>
      <c r="U1195">
        <v>0</v>
      </c>
      <c r="V1195">
        <v>0</v>
      </c>
      <c r="W1195">
        <v>0</v>
      </c>
      <c r="X1195">
        <v>0</v>
      </c>
      <c r="Y1195">
        <v>1</v>
      </c>
      <c r="Z1195">
        <v>0</v>
      </c>
      <c r="AA1195">
        <v>0</v>
      </c>
      <c r="AM1195" t="s">
        <v>83</v>
      </c>
      <c r="AN1195" t="s">
        <v>82</v>
      </c>
      <c r="AO1195" t="s">
        <v>82</v>
      </c>
      <c r="AP1195" t="s">
        <v>82</v>
      </c>
      <c r="AQ1195" t="s">
        <v>90</v>
      </c>
      <c r="AR1195" t="s">
        <v>90</v>
      </c>
      <c r="AS1195" t="s">
        <v>90</v>
      </c>
      <c r="AT1195" t="s">
        <v>83</v>
      </c>
      <c r="AU1195" t="s">
        <v>88</v>
      </c>
      <c r="AV1195" t="s">
        <v>89</v>
      </c>
      <c r="AW1195" t="s">
        <v>100</v>
      </c>
      <c r="AX1195" t="s">
        <v>91</v>
      </c>
      <c r="AZ1195" t="s">
        <v>107</v>
      </c>
      <c r="BA1195" t="s">
        <v>87</v>
      </c>
      <c r="BB1195" t="s">
        <v>87</v>
      </c>
      <c r="BC1195" t="s">
        <v>87</v>
      </c>
      <c r="BD1195" t="s">
        <v>87</v>
      </c>
      <c r="BE1195" t="s">
        <v>86</v>
      </c>
      <c r="BF1195" t="s">
        <v>75</v>
      </c>
      <c r="BG1195" t="s">
        <v>92</v>
      </c>
      <c r="BH1195" t="s">
        <v>77</v>
      </c>
      <c r="BI1195" t="s">
        <v>107</v>
      </c>
      <c r="BJ1195" t="s">
        <v>78</v>
      </c>
      <c r="BK1195">
        <v>0</v>
      </c>
      <c r="BL1195">
        <v>0</v>
      </c>
      <c r="BM1195">
        <v>0</v>
      </c>
      <c r="BN1195">
        <v>0</v>
      </c>
      <c r="BO1195">
        <v>0</v>
      </c>
      <c r="BP1195">
        <v>1</v>
      </c>
      <c r="BQ1195">
        <v>0</v>
      </c>
      <c r="BR1195">
        <v>0</v>
      </c>
    </row>
    <row r="1196" spans="1:70" x14ac:dyDescent="0.2">
      <c r="A1196" s="1">
        <v>44585.503472222219</v>
      </c>
      <c r="B1196" s="1">
        <v>44585.504861111112</v>
      </c>
      <c r="C1196">
        <v>1</v>
      </c>
      <c r="D1196">
        <v>0</v>
      </c>
      <c r="E1196">
        <v>0</v>
      </c>
      <c r="F1196">
        <v>0</v>
      </c>
      <c r="H1196">
        <v>1</v>
      </c>
      <c r="I1196">
        <v>0</v>
      </c>
      <c r="J1196">
        <v>0</v>
      </c>
      <c r="K1196">
        <v>0</v>
      </c>
      <c r="L1196">
        <v>0</v>
      </c>
      <c r="P1196">
        <v>0</v>
      </c>
      <c r="Q1196">
        <v>1</v>
      </c>
      <c r="R1196">
        <v>0</v>
      </c>
      <c r="S1196">
        <v>0</v>
      </c>
      <c r="T1196">
        <v>0</v>
      </c>
      <c r="U1196">
        <v>0</v>
      </c>
      <c r="V1196">
        <v>0</v>
      </c>
      <c r="W1196">
        <v>0</v>
      </c>
      <c r="X1196">
        <v>0</v>
      </c>
      <c r="Y1196">
        <v>0</v>
      </c>
      <c r="Z1196">
        <v>0</v>
      </c>
      <c r="AA1196">
        <v>0</v>
      </c>
      <c r="AM1196" t="s">
        <v>83</v>
      </c>
      <c r="AN1196" t="s">
        <v>82</v>
      </c>
      <c r="AO1196" t="s">
        <v>81</v>
      </c>
      <c r="AP1196" t="s">
        <v>82</v>
      </c>
      <c r="AQ1196" t="s">
        <v>83</v>
      </c>
      <c r="AR1196" t="s">
        <v>81</v>
      </c>
      <c r="AS1196" t="s">
        <v>83</v>
      </c>
      <c r="AT1196" t="s">
        <v>83</v>
      </c>
      <c r="AU1196" t="s">
        <v>88</v>
      </c>
      <c r="AV1196" t="s">
        <v>127</v>
      </c>
      <c r="AW1196" t="s">
        <v>85</v>
      </c>
      <c r="AX1196" t="s">
        <v>191</v>
      </c>
      <c r="AZ1196" t="s">
        <v>107</v>
      </c>
      <c r="BA1196" t="s">
        <v>74</v>
      </c>
      <c r="BF1196" t="s">
        <v>75</v>
      </c>
      <c r="BG1196" t="s">
        <v>76</v>
      </c>
      <c r="BH1196" t="s">
        <v>77</v>
      </c>
      <c r="BI1196" t="s">
        <v>107</v>
      </c>
      <c r="BK1196">
        <v>0</v>
      </c>
      <c r="BL1196">
        <v>0</v>
      </c>
      <c r="BM1196">
        <v>0</v>
      </c>
      <c r="BN1196">
        <v>0</v>
      </c>
      <c r="BO1196">
        <v>0</v>
      </c>
      <c r="BP1196">
        <v>1</v>
      </c>
      <c r="BQ1196">
        <v>0</v>
      </c>
      <c r="BR1196">
        <v>0</v>
      </c>
    </row>
    <row r="1197" spans="1:70" x14ac:dyDescent="0.2">
      <c r="A1197" s="1">
        <v>44588.895833333336</v>
      </c>
      <c r="B1197" s="1">
        <v>44588.897222222222</v>
      </c>
      <c r="C1197">
        <v>1</v>
      </c>
      <c r="D1197">
        <v>0</v>
      </c>
      <c r="E1197">
        <v>0</v>
      </c>
      <c r="F1197">
        <v>0</v>
      </c>
      <c r="H1197">
        <v>1</v>
      </c>
      <c r="I1197">
        <v>0</v>
      </c>
      <c r="J1197">
        <v>0</v>
      </c>
      <c r="K1197">
        <v>0</v>
      </c>
      <c r="L1197">
        <v>0</v>
      </c>
      <c r="P1197">
        <v>0</v>
      </c>
      <c r="Q1197">
        <v>0</v>
      </c>
      <c r="R1197">
        <v>1</v>
      </c>
      <c r="S1197">
        <v>0</v>
      </c>
      <c r="T1197">
        <v>0</v>
      </c>
      <c r="U1197">
        <v>0</v>
      </c>
      <c r="V1197">
        <v>0</v>
      </c>
      <c r="W1197">
        <v>0</v>
      </c>
      <c r="X1197">
        <v>0</v>
      </c>
      <c r="Y1197">
        <v>0</v>
      </c>
      <c r="Z1197">
        <v>0</v>
      </c>
      <c r="AA1197">
        <v>1</v>
      </c>
      <c r="AB1197" t="s">
        <v>512</v>
      </c>
      <c r="AM1197" t="s">
        <v>83</v>
      </c>
      <c r="AN1197" t="s">
        <v>82</v>
      </c>
      <c r="AO1197" t="s">
        <v>83</v>
      </c>
      <c r="AP1197" t="s">
        <v>83</v>
      </c>
      <c r="AQ1197" t="s">
        <v>83</v>
      </c>
      <c r="AR1197" t="s">
        <v>83</v>
      </c>
      <c r="AS1197" t="s">
        <v>83</v>
      </c>
      <c r="AT1197" t="s">
        <v>83</v>
      </c>
      <c r="AU1197" t="s">
        <v>84</v>
      </c>
      <c r="AV1197" t="s">
        <v>127</v>
      </c>
      <c r="AW1197" t="s">
        <v>153</v>
      </c>
      <c r="AZ1197" t="s">
        <v>73</v>
      </c>
      <c r="BA1197" t="s">
        <v>87</v>
      </c>
      <c r="BB1197" t="s">
        <v>87</v>
      </c>
      <c r="BC1197" t="s">
        <v>87</v>
      </c>
      <c r="BD1197" t="s">
        <v>87</v>
      </c>
      <c r="BE1197" t="s">
        <v>87</v>
      </c>
      <c r="BF1197" t="s">
        <v>101</v>
      </c>
      <c r="BG1197" t="s">
        <v>225</v>
      </c>
      <c r="BH1197" t="s">
        <v>93</v>
      </c>
      <c r="BI1197" t="s">
        <v>73</v>
      </c>
      <c r="BK1197">
        <v>0</v>
      </c>
      <c r="BL1197">
        <v>0</v>
      </c>
      <c r="BM1197">
        <v>0</v>
      </c>
      <c r="BN1197">
        <v>0</v>
      </c>
      <c r="BO1197">
        <v>0</v>
      </c>
      <c r="BP1197">
        <v>0</v>
      </c>
      <c r="BQ1197">
        <v>0</v>
      </c>
      <c r="BR1197">
        <v>1</v>
      </c>
    </row>
    <row r="1198" spans="1:70" x14ac:dyDescent="0.2">
      <c r="A1198" s="1">
        <v>44579.888888888891</v>
      </c>
      <c r="B1198" s="1">
        <v>44579.88958333333</v>
      </c>
      <c r="C1198">
        <v>1</v>
      </c>
      <c r="D1198">
        <v>0</v>
      </c>
      <c r="E1198">
        <v>0</v>
      </c>
      <c r="F1198">
        <v>0</v>
      </c>
      <c r="H1198">
        <v>1</v>
      </c>
      <c r="I1198">
        <v>0</v>
      </c>
      <c r="J1198">
        <v>0</v>
      </c>
      <c r="K1198">
        <v>0</v>
      </c>
      <c r="L1198">
        <v>0</v>
      </c>
      <c r="P1198">
        <v>1</v>
      </c>
      <c r="Q1198">
        <v>0</v>
      </c>
      <c r="R1198">
        <v>0</v>
      </c>
      <c r="S1198">
        <v>0</v>
      </c>
      <c r="T1198">
        <v>0</v>
      </c>
      <c r="U1198">
        <v>0</v>
      </c>
      <c r="V1198">
        <v>0</v>
      </c>
      <c r="W1198">
        <v>0</v>
      </c>
      <c r="X1198">
        <v>0</v>
      </c>
      <c r="Y1198">
        <v>0</v>
      </c>
      <c r="Z1198">
        <v>0</v>
      </c>
      <c r="AA1198">
        <v>0</v>
      </c>
      <c r="AC1198">
        <v>0</v>
      </c>
      <c r="AD1198">
        <v>0</v>
      </c>
      <c r="AE1198">
        <v>0</v>
      </c>
      <c r="AF1198">
        <v>0</v>
      </c>
      <c r="AG1198">
        <v>0</v>
      </c>
      <c r="AH1198">
        <v>0</v>
      </c>
      <c r="AI1198">
        <v>1</v>
      </c>
      <c r="AJ1198">
        <v>1</v>
      </c>
      <c r="AK1198">
        <v>0</v>
      </c>
      <c r="AX1198" t="s">
        <v>146</v>
      </c>
      <c r="AZ1198" t="s">
        <v>73</v>
      </c>
      <c r="BA1198" t="s">
        <v>86</v>
      </c>
      <c r="BB1198" t="s">
        <v>74</v>
      </c>
      <c r="BC1198" t="s">
        <v>74</v>
      </c>
      <c r="BD1198" t="s">
        <v>74</v>
      </c>
      <c r="BE1198" t="s">
        <v>86</v>
      </c>
      <c r="BF1198" t="s">
        <v>75</v>
      </c>
      <c r="BG1198" t="s">
        <v>92</v>
      </c>
      <c r="BH1198" t="s">
        <v>98</v>
      </c>
      <c r="BI1198" t="s">
        <v>73</v>
      </c>
      <c r="BJ1198" t="s">
        <v>78</v>
      </c>
      <c r="BK1198">
        <v>0</v>
      </c>
      <c r="BL1198">
        <v>0</v>
      </c>
      <c r="BM1198">
        <v>0</v>
      </c>
      <c r="BN1198">
        <v>0</v>
      </c>
      <c r="BO1198">
        <v>0</v>
      </c>
      <c r="BP1198">
        <v>1</v>
      </c>
      <c r="BQ1198">
        <v>0</v>
      </c>
      <c r="BR1198">
        <v>0</v>
      </c>
    </row>
    <row r="1199" spans="1:70" x14ac:dyDescent="0.2">
      <c r="A1199" s="1">
        <v>44585.510416666664</v>
      </c>
      <c r="B1199" s="1">
        <v>44585.513194444444</v>
      </c>
      <c r="C1199">
        <v>1</v>
      </c>
      <c r="D1199">
        <v>0</v>
      </c>
      <c r="E1199">
        <v>0</v>
      </c>
      <c r="F1199">
        <v>0</v>
      </c>
      <c r="H1199">
        <v>0</v>
      </c>
      <c r="I1199">
        <v>1</v>
      </c>
      <c r="J1199">
        <v>1</v>
      </c>
      <c r="K1199">
        <v>0</v>
      </c>
      <c r="L1199">
        <v>0</v>
      </c>
      <c r="N1199" t="s">
        <v>79</v>
      </c>
      <c r="O1199" t="s">
        <v>89</v>
      </c>
      <c r="P1199">
        <v>0</v>
      </c>
      <c r="Q1199">
        <v>0</v>
      </c>
      <c r="R1199">
        <v>1</v>
      </c>
      <c r="S1199">
        <v>0</v>
      </c>
      <c r="T1199">
        <v>0</v>
      </c>
      <c r="U1199">
        <v>0</v>
      </c>
      <c r="V1199">
        <v>0</v>
      </c>
      <c r="W1199">
        <v>0</v>
      </c>
      <c r="X1199">
        <v>0</v>
      </c>
      <c r="Y1199">
        <v>0</v>
      </c>
      <c r="Z1199">
        <v>0</v>
      </c>
      <c r="AA1199">
        <v>0</v>
      </c>
      <c r="AM1199" t="s">
        <v>83</v>
      </c>
      <c r="AN1199" t="s">
        <v>82</v>
      </c>
      <c r="AO1199" t="s">
        <v>83</v>
      </c>
      <c r="AP1199" t="s">
        <v>81</v>
      </c>
      <c r="AQ1199" t="s">
        <v>81</v>
      </c>
      <c r="AR1199" t="s">
        <v>82</v>
      </c>
      <c r="AS1199" t="s">
        <v>81</v>
      </c>
      <c r="AT1199" t="s">
        <v>83</v>
      </c>
      <c r="AU1199" t="s">
        <v>88</v>
      </c>
      <c r="AV1199" t="s">
        <v>89</v>
      </c>
      <c r="AW1199" t="s">
        <v>85</v>
      </c>
      <c r="AX1199" t="s">
        <v>242</v>
      </c>
      <c r="AZ1199" t="s">
        <v>120</v>
      </c>
      <c r="BA1199" t="s">
        <v>87</v>
      </c>
      <c r="BB1199" t="s">
        <v>87</v>
      </c>
      <c r="BC1199" t="s">
        <v>87</v>
      </c>
      <c r="BD1199" t="s">
        <v>87</v>
      </c>
      <c r="BE1199" t="s">
        <v>87</v>
      </c>
      <c r="BF1199" t="s">
        <v>75</v>
      </c>
      <c r="BG1199" t="s">
        <v>92</v>
      </c>
      <c r="BH1199" t="s">
        <v>93</v>
      </c>
      <c r="BI1199" t="s">
        <v>120</v>
      </c>
      <c r="BJ1199" t="s">
        <v>109</v>
      </c>
      <c r="BK1199">
        <v>0</v>
      </c>
      <c r="BL1199">
        <v>0</v>
      </c>
      <c r="BM1199">
        <v>0</v>
      </c>
      <c r="BN1199">
        <v>0</v>
      </c>
      <c r="BO1199">
        <v>0</v>
      </c>
      <c r="BP1199">
        <v>1</v>
      </c>
      <c r="BQ1199">
        <v>0</v>
      </c>
      <c r="BR1199">
        <v>0</v>
      </c>
    </row>
    <row r="1200" spans="1:70" x14ac:dyDescent="0.2">
      <c r="A1200" s="1">
        <v>44580.068055555559</v>
      </c>
      <c r="B1200" s="1">
        <v>44580.069444444445</v>
      </c>
      <c r="C1200">
        <v>1</v>
      </c>
      <c r="D1200">
        <v>0</v>
      </c>
      <c r="E1200">
        <v>0</v>
      </c>
      <c r="F1200">
        <v>0</v>
      </c>
      <c r="H1200">
        <v>0</v>
      </c>
      <c r="I1200">
        <v>0</v>
      </c>
      <c r="J1200">
        <v>0</v>
      </c>
      <c r="K1200">
        <v>0</v>
      </c>
      <c r="L1200">
        <v>1</v>
      </c>
      <c r="M1200" t="s">
        <v>513</v>
      </c>
      <c r="N1200" t="s">
        <v>135</v>
      </c>
      <c r="O1200" t="s">
        <v>142</v>
      </c>
      <c r="P1200">
        <v>1</v>
      </c>
      <c r="Q1200">
        <v>0</v>
      </c>
      <c r="R1200">
        <v>0</v>
      </c>
      <c r="S1200">
        <v>0</v>
      </c>
      <c r="T1200">
        <v>0</v>
      </c>
      <c r="U1200">
        <v>0</v>
      </c>
      <c r="V1200">
        <v>0</v>
      </c>
      <c r="W1200">
        <v>0</v>
      </c>
      <c r="X1200">
        <v>0</v>
      </c>
      <c r="Y1200">
        <v>0</v>
      </c>
      <c r="Z1200">
        <v>0</v>
      </c>
      <c r="AA1200">
        <v>0</v>
      </c>
      <c r="AC1200">
        <v>0</v>
      </c>
      <c r="AD1200">
        <v>0</v>
      </c>
      <c r="AE1200">
        <v>1</v>
      </c>
      <c r="AF1200">
        <v>0</v>
      </c>
      <c r="AG1200">
        <v>1</v>
      </c>
      <c r="AH1200">
        <v>1</v>
      </c>
      <c r="AI1200">
        <v>1</v>
      </c>
      <c r="AJ1200">
        <v>0</v>
      </c>
      <c r="AK1200">
        <v>0</v>
      </c>
      <c r="AZ1200" t="s">
        <v>107</v>
      </c>
      <c r="BA1200" t="s">
        <v>87</v>
      </c>
      <c r="BB1200" t="s">
        <v>87</v>
      </c>
      <c r="BC1200" t="s">
        <v>87</v>
      </c>
      <c r="BD1200" t="s">
        <v>87</v>
      </c>
      <c r="BE1200" t="s">
        <v>87</v>
      </c>
      <c r="BF1200" t="s">
        <v>101</v>
      </c>
      <c r="BG1200" t="s">
        <v>76</v>
      </c>
      <c r="BH1200" t="s">
        <v>77</v>
      </c>
      <c r="BI1200" t="s">
        <v>107</v>
      </c>
      <c r="BJ1200" t="s">
        <v>94</v>
      </c>
      <c r="BK1200">
        <v>0</v>
      </c>
      <c r="BL1200">
        <v>0</v>
      </c>
      <c r="BM1200">
        <v>0</v>
      </c>
      <c r="BN1200">
        <v>0</v>
      </c>
      <c r="BO1200">
        <v>0</v>
      </c>
      <c r="BP1200">
        <v>1</v>
      </c>
      <c r="BQ1200">
        <v>0</v>
      </c>
      <c r="BR1200">
        <v>0</v>
      </c>
    </row>
    <row r="1201" spans="1:70" x14ac:dyDescent="0.2">
      <c r="A1201" s="1">
        <v>44580.497916666667</v>
      </c>
      <c r="B1201" s="1">
        <v>44580.499305555553</v>
      </c>
      <c r="C1201">
        <v>0</v>
      </c>
      <c r="D1201">
        <v>1</v>
      </c>
      <c r="E1201">
        <v>0</v>
      </c>
      <c r="F1201">
        <v>0</v>
      </c>
      <c r="H1201">
        <v>1</v>
      </c>
      <c r="I1201">
        <v>0</v>
      </c>
      <c r="J1201">
        <v>0</v>
      </c>
      <c r="K1201">
        <v>0</v>
      </c>
      <c r="L1201">
        <v>0</v>
      </c>
      <c r="P1201">
        <v>0</v>
      </c>
      <c r="Q1201">
        <v>0</v>
      </c>
      <c r="R1201">
        <v>0</v>
      </c>
      <c r="S1201">
        <v>1</v>
      </c>
      <c r="T1201">
        <v>0</v>
      </c>
      <c r="U1201">
        <v>0</v>
      </c>
      <c r="V1201">
        <v>0</v>
      </c>
      <c r="W1201">
        <v>0</v>
      </c>
      <c r="X1201">
        <v>0</v>
      </c>
      <c r="Y1201">
        <v>0</v>
      </c>
      <c r="Z1201">
        <v>0</v>
      </c>
      <c r="AA1201">
        <v>0</v>
      </c>
      <c r="AM1201" t="s">
        <v>81</v>
      </c>
      <c r="AN1201" t="s">
        <v>82</v>
      </c>
      <c r="AO1201" t="s">
        <v>82</v>
      </c>
      <c r="AP1201" t="s">
        <v>82</v>
      </c>
      <c r="AQ1201" t="s">
        <v>83</v>
      </c>
      <c r="AR1201" t="s">
        <v>82</v>
      </c>
      <c r="AS1201" t="s">
        <v>82</v>
      </c>
      <c r="AT1201" t="s">
        <v>83</v>
      </c>
      <c r="AU1201" t="s">
        <v>88</v>
      </c>
      <c r="AV1201" t="s">
        <v>89</v>
      </c>
      <c r="AW1201" t="s">
        <v>100</v>
      </c>
      <c r="AX1201" t="s">
        <v>91</v>
      </c>
      <c r="AZ1201" t="s">
        <v>107</v>
      </c>
      <c r="BA1201" t="s">
        <v>87</v>
      </c>
      <c r="BB1201" t="s">
        <v>87</v>
      </c>
      <c r="BC1201" t="s">
        <v>87</v>
      </c>
      <c r="BD1201" t="s">
        <v>87</v>
      </c>
      <c r="BE1201" t="s">
        <v>86</v>
      </c>
      <c r="BF1201" t="s">
        <v>75</v>
      </c>
      <c r="BG1201" t="s">
        <v>92</v>
      </c>
      <c r="BH1201" t="s">
        <v>77</v>
      </c>
      <c r="BI1201" t="s">
        <v>107</v>
      </c>
      <c r="BJ1201" t="s">
        <v>114</v>
      </c>
      <c r="BK1201">
        <v>0</v>
      </c>
      <c r="BL1201">
        <v>0</v>
      </c>
      <c r="BM1201">
        <v>0</v>
      </c>
      <c r="BN1201">
        <v>0</v>
      </c>
      <c r="BO1201">
        <v>0</v>
      </c>
      <c r="BP1201">
        <v>1</v>
      </c>
      <c r="BQ1201">
        <v>0</v>
      </c>
      <c r="BR1201">
        <v>0</v>
      </c>
    </row>
    <row r="1202" spans="1:70" x14ac:dyDescent="0.2">
      <c r="A1202" s="1">
        <v>44579.981249999997</v>
      </c>
      <c r="B1202" s="1">
        <v>44579.984027777777</v>
      </c>
      <c r="C1202">
        <v>0</v>
      </c>
      <c r="D1202">
        <v>1</v>
      </c>
      <c r="E1202">
        <v>0</v>
      </c>
      <c r="F1202">
        <v>0</v>
      </c>
      <c r="H1202">
        <v>1</v>
      </c>
      <c r="I1202">
        <v>0</v>
      </c>
      <c r="J1202">
        <v>0</v>
      </c>
      <c r="K1202">
        <v>0</v>
      </c>
      <c r="L1202">
        <v>0</v>
      </c>
      <c r="P1202">
        <v>0</v>
      </c>
      <c r="Q1202">
        <v>1</v>
      </c>
      <c r="R1202">
        <v>0</v>
      </c>
      <c r="S1202">
        <v>0</v>
      </c>
      <c r="T1202">
        <v>0</v>
      </c>
      <c r="U1202">
        <v>0</v>
      </c>
      <c r="V1202">
        <v>0</v>
      </c>
      <c r="W1202">
        <v>0</v>
      </c>
      <c r="X1202">
        <v>0</v>
      </c>
      <c r="Y1202">
        <v>0</v>
      </c>
      <c r="Z1202">
        <v>0</v>
      </c>
      <c r="AA1202">
        <v>0</v>
      </c>
      <c r="AM1202" t="s">
        <v>90</v>
      </c>
      <c r="AN1202" t="s">
        <v>82</v>
      </c>
      <c r="AO1202" t="s">
        <v>90</v>
      </c>
      <c r="AP1202" t="s">
        <v>83</v>
      </c>
      <c r="AQ1202" t="s">
        <v>90</v>
      </c>
      <c r="AR1202" t="s">
        <v>90</v>
      </c>
      <c r="AS1202" t="s">
        <v>90</v>
      </c>
      <c r="AT1202" t="s">
        <v>90</v>
      </c>
      <c r="AU1202" t="s">
        <v>88</v>
      </c>
      <c r="AV1202" t="s">
        <v>89</v>
      </c>
      <c r="AW1202" t="s">
        <v>100</v>
      </c>
      <c r="AX1202" t="s">
        <v>110</v>
      </c>
      <c r="AY1202" t="s">
        <v>514</v>
      </c>
      <c r="AZ1202" t="s">
        <v>96</v>
      </c>
      <c r="BA1202" t="s">
        <v>87</v>
      </c>
      <c r="BB1202" t="s">
        <v>86</v>
      </c>
      <c r="BC1202" t="s">
        <v>86</v>
      </c>
      <c r="BD1202" t="s">
        <v>86</v>
      </c>
      <c r="BE1202" t="s">
        <v>86</v>
      </c>
      <c r="BF1202" t="s">
        <v>75</v>
      </c>
      <c r="BG1202" t="s">
        <v>76</v>
      </c>
      <c r="BH1202" t="s">
        <v>77</v>
      </c>
      <c r="BI1202" t="s">
        <v>96</v>
      </c>
      <c r="BJ1202" t="s">
        <v>154</v>
      </c>
      <c r="BK1202">
        <v>0</v>
      </c>
      <c r="BL1202">
        <v>0</v>
      </c>
      <c r="BM1202">
        <v>0</v>
      </c>
      <c r="BN1202">
        <v>0</v>
      </c>
      <c r="BO1202">
        <v>0</v>
      </c>
      <c r="BP1202">
        <v>1</v>
      </c>
      <c r="BQ1202">
        <v>0</v>
      </c>
      <c r="BR1202">
        <v>0</v>
      </c>
    </row>
    <row r="1203" spans="1:70" x14ac:dyDescent="0.2">
      <c r="A1203" s="1">
        <v>44581.611805555556</v>
      </c>
      <c r="B1203" s="1">
        <v>44581.613888888889</v>
      </c>
      <c r="C1203">
        <v>0</v>
      </c>
      <c r="D1203">
        <v>1</v>
      </c>
      <c r="E1203">
        <v>0</v>
      </c>
      <c r="F1203">
        <v>0</v>
      </c>
      <c r="H1203">
        <v>1</v>
      </c>
      <c r="I1203">
        <v>0</v>
      </c>
      <c r="J1203">
        <v>0</v>
      </c>
      <c r="K1203">
        <v>0</v>
      </c>
      <c r="L1203">
        <v>0</v>
      </c>
      <c r="P1203">
        <v>1</v>
      </c>
      <c r="Q1203">
        <v>0</v>
      </c>
      <c r="R1203">
        <v>0</v>
      </c>
      <c r="S1203">
        <v>0</v>
      </c>
      <c r="T1203">
        <v>0</v>
      </c>
      <c r="U1203">
        <v>0</v>
      </c>
      <c r="V1203">
        <v>0</v>
      </c>
      <c r="W1203">
        <v>0</v>
      </c>
      <c r="X1203">
        <v>0</v>
      </c>
      <c r="Y1203">
        <v>0</v>
      </c>
      <c r="Z1203">
        <v>0</v>
      </c>
      <c r="AA1203">
        <v>0</v>
      </c>
      <c r="AC1203">
        <v>0</v>
      </c>
      <c r="AD1203">
        <v>0</v>
      </c>
      <c r="AE1203">
        <v>1</v>
      </c>
      <c r="AF1203">
        <v>0</v>
      </c>
      <c r="AG1203">
        <v>0</v>
      </c>
      <c r="AH1203">
        <v>0</v>
      </c>
      <c r="AI1203">
        <v>0</v>
      </c>
      <c r="AJ1203">
        <v>0</v>
      </c>
      <c r="AK1203">
        <v>0</v>
      </c>
      <c r="AX1203" t="s">
        <v>106</v>
      </c>
      <c r="AZ1203" t="s">
        <v>96</v>
      </c>
      <c r="BA1203" t="s">
        <v>86</v>
      </c>
      <c r="BB1203" t="s">
        <v>87</v>
      </c>
      <c r="BC1203" t="s">
        <v>87</v>
      </c>
      <c r="BD1203" t="s">
        <v>87</v>
      </c>
      <c r="BE1203" t="s">
        <v>87</v>
      </c>
      <c r="BF1203" t="s">
        <v>75</v>
      </c>
      <c r="BG1203" t="s">
        <v>76</v>
      </c>
      <c r="BH1203" t="s">
        <v>77</v>
      </c>
      <c r="BI1203" t="s">
        <v>96</v>
      </c>
      <c r="BJ1203" t="s">
        <v>114</v>
      </c>
      <c r="BK1203">
        <v>1</v>
      </c>
      <c r="BL1203">
        <v>0</v>
      </c>
      <c r="BM1203">
        <v>0</v>
      </c>
      <c r="BN1203">
        <v>0</v>
      </c>
      <c r="BO1203">
        <v>0</v>
      </c>
      <c r="BP1203">
        <v>0</v>
      </c>
      <c r="BQ1203">
        <v>0</v>
      </c>
      <c r="BR1203">
        <v>0</v>
      </c>
    </row>
    <row r="1204" spans="1:70" x14ac:dyDescent="0.2">
      <c r="A1204" s="1">
        <v>44585.571527777778</v>
      </c>
      <c r="B1204" s="1">
        <v>44585.755555555559</v>
      </c>
      <c r="C1204">
        <v>1</v>
      </c>
      <c r="D1204">
        <v>0</v>
      </c>
      <c r="E1204">
        <v>0</v>
      </c>
      <c r="F1204">
        <v>0</v>
      </c>
      <c r="H1204">
        <v>1</v>
      </c>
      <c r="I1204">
        <v>0</v>
      </c>
      <c r="J1204">
        <v>0</v>
      </c>
      <c r="K1204">
        <v>0</v>
      </c>
      <c r="L1204">
        <v>0</v>
      </c>
      <c r="P1204">
        <v>1</v>
      </c>
      <c r="Q1204">
        <v>0</v>
      </c>
      <c r="R1204">
        <v>0</v>
      </c>
      <c r="S1204">
        <v>0</v>
      </c>
      <c r="T1204">
        <v>0</v>
      </c>
      <c r="U1204">
        <v>0</v>
      </c>
      <c r="V1204">
        <v>0</v>
      </c>
      <c r="W1204">
        <v>0</v>
      </c>
      <c r="X1204">
        <v>0</v>
      </c>
      <c r="Y1204">
        <v>0</v>
      </c>
      <c r="Z1204">
        <v>0</v>
      </c>
      <c r="AA1204">
        <v>0</v>
      </c>
      <c r="AC1204">
        <v>0</v>
      </c>
      <c r="AD1204">
        <v>0</v>
      </c>
      <c r="AE1204">
        <v>1</v>
      </c>
      <c r="AF1204">
        <v>0</v>
      </c>
      <c r="AG1204">
        <v>0</v>
      </c>
      <c r="AH1204">
        <v>0</v>
      </c>
      <c r="AI1204">
        <v>0</v>
      </c>
      <c r="AJ1204">
        <v>0</v>
      </c>
      <c r="AK1204">
        <v>0</v>
      </c>
      <c r="AX1204" t="s">
        <v>106</v>
      </c>
      <c r="AZ1204" t="s">
        <v>96</v>
      </c>
      <c r="BA1204" t="s">
        <v>87</v>
      </c>
      <c r="BB1204" t="s">
        <v>87</v>
      </c>
      <c r="BC1204" t="s">
        <v>87</v>
      </c>
      <c r="BD1204" t="s">
        <v>87</v>
      </c>
      <c r="BE1204" t="s">
        <v>87</v>
      </c>
      <c r="BF1204" t="s">
        <v>75</v>
      </c>
      <c r="BG1204" t="s">
        <v>76</v>
      </c>
      <c r="BH1204" t="s">
        <v>77</v>
      </c>
      <c r="BI1204" t="s">
        <v>96</v>
      </c>
      <c r="BK1204">
        <v>0</v>
      </c>
      <c r="BL1204">
        <v>0</v>
      </c>
      <c r="BM1204">
        <v>0</v>
      </c>
      <c r="BN1204">
        <v>0</v>
      </c>
      <c r="BO1204">
        <v>0</v>
      </c>
      <c r="BP1204">
        <v>1</v>
      </c>
      <c r="BQ1204">
        <v>0</v>
      </c>
      <c r="BR1204">
        <v>0</v>
      </c>
    </row>
    <row r="1205" spans="1:70" x14ac:dyDescent="0.2">
      <c r="A1205" s="1">
        <v>44581.057638888888</v>
      </c>
      <c r="B1205" s="1">
        <v>44581.059027777781</v>
      </c>
      <c r="C1205">
        <v>1</v>
      </c>
      <c r="D1205">
        <v>0</v>
      </c>
      <c r="E1205">
        <v>0</v>
      </c>
      <c r="F1205">
        <v>0</v>
      </c>
      <c r="H1205">
        <v>0</v>
      </c>
      <c r="I1205">
        <v>0</v>
      </c>
      <c r="J1205">
        <v>1</v>
      </c>
      <c r="K1205">
        <v>0</v>
      </c>
      <c r="L1205">
        <v>0</v>
      </c>
      <c r="N1205" t="s">
        <v>79</v>
      </c>
      <c r="O1205" t="s">
        <v>80</v>
      </c>
      <c r="P1205">
        <v>1</v>
      </c>
      <c r="Q1205">
        <v>0</v>
      </c>
      <c r="R1205">
        <v>0</v>
      </c>
      <c r="S1205">
        <v>0</v>
      </c>
      <c r="T1205">
        <v>0</v>
      </c>
      <c r="U1205">
        <v>0</v>
      </c>
      <c r="V1205">
        <v>0</v>
      </c>
      <c r="W1205">
        <v>0</v>
      </c>
      <c r="X1205">
        <v>0</v>
      </c>
      <c r="Y1205">
        <v>0</v>
      </c>
      <c r="Z1205">
        <v>0</v>
      </c>
      <c r="AA1205">
        <v>0</v>
      </c>
      <c r="AC1205">
        <v>0</v>
      </c>
      <c r="AD1205">
        <v>0</v>
      </c>
      <c r="AE1205">
        <v>0</v>
      </c>
      <c r="AF1205">
        <v>0</v>
      </c>
      <c r="AG1205">
        <v>0</v>
      </c>
      <c r="AH1205">
        <v>0</v>
      </c>
      <c r="AI1205">
        <v>1</v>
      </c>
      <c r="AJ1205">
        <v>0</v>
      </c>
      <c r="AK1205">
        <v>0</v>
      </c>
      <c r="AZ1205" t="s">
        <v>73</v>
      </c>
      <c r="BA1205" t="s">
        <v>74</v>
      </c>
      <c r="BF1205" t="s">
        <v>159</v>
      </c>
      <c r="BG1205" t="s">
        <v>76</v>
      </c>
      <c r="BH1205" t="s">
        <v>93</v>
      </c>
      <c r="BI1205" t="s">
        <v>73</v>
      </c>
      <c r="BJ1205" t="s">
        <v>94</v>
      </c>
      <c r="BK1205">
        <v>0</v>
      </c>
      <c r="BL1205">
        <v>0</v>
      </c>
      <c r="BM1205">
        <v>0</v>
      </c>
      <c r="BN1205">
        <v>0</v>
      </c>
      <c r="BO1205">
        <v>0</v>
      </c>
      <c r="BP1205">
        <v>1</v>
      </c>
      <c r="BQ1205">
        <v>0</v>
      </c>
      <c r="BR1205">
        <v>0</v>
      </c>
    </row>
    <row r="1206" spans="1:70" x14ac:dyDescent="0.2">
      <c r="A1206" s="1">
        <v>44579.92083333333</v>
      </c>
      <c r="B1206" s="1">
        <v>44579.92291666667</v>
      </c>
      <c r="C1206">
        <v>1</v>
      </c>
      <c r="D1206">
        <v>0</v>
      </c>
      <c r="E1206">
        <v>0</v>
      </c>
      <c r="F1206">
        <v>0</v>
      </c>
      <c r="H1206">
        <v>0</v>
      </c>
      <c r="I1206">
        <v>1</v>
      </c>
      <c r="J1206">
        <v>0</v>
      </c>
      <c r="K1206">
        <v>0</v>
      </c>
      <c r="L1206">
        <v>0</v>
      </c>
      <c r="N1206" t="s">
        <v>79</v>
      </c>
      <c r="O1206" t="s">
        <v>142</v>
      </c>
      <c r="P1206">
        <v>0</v>
      </c>
      <c r="Q1206">
        <v>0</v>
      </c>
      <c r="R1206">
        <v>1</v>
      </c>
      <c r="S1206">
        <v>0</v>
      </c>
      <c r="T1206">
        <v>0</v>
      </c>
      <c r="U1206">
        <v>0</v>
      </c>
      <c r="V1206">
        <v>0</v>
      </c>
      <c r="W1206">
        <v>0</v>
      </c>
      <c r="X1206">
        <v>0</v>
      </c>
      <c r="Y1206">
        <v>0</v>
      </c>
      <c r="Z1206">
        <v>0</v>
      </c>
      <c r="AA1206">
        <v>0</v>
      </c>
      <c r="AM1206" t="s">
        <v>81</v>
      </c>
      <c r="AN1206" t="s">
        <v>82</v>
      </c>
      <c r="AO1206" t="s">
        <v>83</v>
      </c>
      <c r="AP1206" t="s">
        <v>83</v>
      </c>
      <c r="AQ1206" t="s">
        <v>83</v>
      </c>
      <c r="AR1206" t="s">
        <v>81</v>
      </c>
      <c r="AS1206" t="s">
        <v>83</v>
      </c>
      <c r="AT1206" t="s">
        <v>83</v>
      </c>
      <c r="AU1206" t="s">
        <v>135</v>
      </c>
      <c r="AV1206" t="s">
        <v>142</v>
      </c>
      <c r="AW1206" t="s">
        <v>85</v>
      </c>
      <c r="AX1206" t="s">
        <v>122</v>
      </c>
      <c r="AZ1206" t="s">
        <v>73</v>
      </c>
      <c r="BA1206" t="s">
        <v>86</v>
      </c>
      <c r="BB1206" t="s">
        <v>87</v>
      </c>
      <c r="BC1206" t="s">
        <v>87</v>
      </c>
      <c r="BD1206" t="s">
        <v>86</v>
      </c>
      <c r="BE1206" t="s">
        <v>87</v>
      </c>
      <c r="BF1206" t="s">
        <v>75</v>
      </c>
      <c r="BG1206" t="s">
        <v>92</v>
      </c>
      <c r="BH1206" t="s">
        <v>98</v>
      </c>
      <c r="BI1206" t="s">
        <v>73</v>
      </c>
      <c r="BJ1206" t="s">
        <v>114</v>
      </c>
      <c r="BK1206">
        <v>0</v>
      </c>
      <c r="BL1206">
        <v>0</v>
      </c>
      <c r="BM1206">
        <v>0</v>
      </c>
      <c r="BN1206">
        <v>0</v>
      </c>
      <c r="BO1206">
        <v>0</v>
      </c>
      <c r="BP1206">
        <v>1</v>
      </c>
      <c r="BQ1206">
        <v>0</v>
      </c>
      <c r="BR1206">
        <v>0</v>
      </c>
    </row>
    <row r="1207" spans="1:70" x14ac:dyDescent="0.2">
      <c r="A1207" s="1">
        <v>44579.991666666669</v>
      </c>
      <c r="B1207" s="1">
        <v>44579.993055555555</v>
      </c>
      <c r="C1207">
        <v>1</v>
      </c>
      <c r="D1207">
        <v>0</v>
      </c>
      <c r="E1207">
        <v>0</v>
      </c>
      <c r="F1207">
        <v>0</v>
      </c>
      <c r="H1207">
        <v>0</v>
      </c>
      <c r="I1207">
        <v>1</v>
      </c>
      <c r="J1207">
        <v>1</v>
      </c>
      <c r="K1207">
        <v>0</v>
      </c>
      <c r="L1207">
        <v>0</v>
      </c>
      <c r="N1207" t="s">
        <v>135</v>
      </c>
      <c r="O1207" t="s">
        <v>80</v>
      </c>
      <c r="P1207">
        <v>0</v>
      </c>
      <c r="Q1207">
        <v>0</v>
      </c>
      <c r="R1207">
        <v>1</v>
      </c>
      <c r="S1207">
        <v>0</v>
      </c>
      <c r="T1207">
        <v>0</v>
      </c>
      <c r="U1207">
        <v>0</v>
      </c>
      <c r="V1207">
        <v>0</v>
      </c>
      <c r="W1207">
        <v>0</v>
      </c>
      <c r="X1207">
        <v>0</v>
      </c>
      <c r="Y1207">
        <v>0</v>
      </c>
      <c r="Z1207">
        <v>0</v>
      </c>
      <c r="AA1207">
        <v>0</v>
      </c>
      <c r="AM1207" t="s">
        <v>83</v>
      </c>
      <c r="AN1207" t="s">
        <v>83</v>
      </c>
      <c r="AO1207" t="s">
        <v>83</v>
      </c>
      <c r="AP1207" t="s">
        <v>81</v>
      </c>
      <c r="AQ1207" t="s">
        <v>83</v>
      </c>
      <c r="AR1207" t="s">
        <v>83</v>
      </c>
      <c r="AS1207" t="s">
        <v>83</v>
      </c>
      <c r="AT1207" t="s">
        <v>82</v>
      </c>
      <c r="AU1207" t="s">
        <v>88</v>
      </c>
      <c r="AV1207" t="s">
        <v>89</v>
      </c>
      <c r="AW1207" t="s">
        <v>85</v>
      </c>
      <c r="AX1207" t="s">
        <v>118</v>
      </c>
      <c r="AZ1207" t="s">
        <v>107</v>
      </c>
      <c r="BA1207" t="s">
        <v>87</v>
      </c>
      <c r="BB1207" t="s">
        <v>87</v>
      </c>
      <c r="BC1207" t="s">
        <v>87</v>
      </c>
      <c r="BD1207" t="s">
        <v>74</v>
      </c>
      <c r="BE1207" t="s">
        <v>87</v>
      </c>
      <c r="BF1207" t="s">
        <v>75</v>
      </c>
      <c r="BG1207" t="s">
        <v>76</v>
      </c>
      <c r="BH1207" t="s">
        <v>77</v>
      </c>
      <c r="BI1207" t="s">
        <v>107</v>
      </c>
      <c r="BJ1207" t="s">
        <v>94</v>
      </c>
      <c r="BK1207">
        <v>0</v>
      </c>
      <c r="BL1207">
        <v>0</v>
      </c>
      <c r="BM1207">
        <v>0</v>
      </c>
      <c r="BN1207">
        <v>0</v>
      </c>
      <c r="BO1207">
        <v>0</v>
      </c>
      <c r="BP1207">
        <v>1</v>
      </c>
      <c r="BQ1207">
        <v>0</v>
      </c>
      <c r="BR1207">
        <v>0</v>
      </c>
    </row>
    <row r="1208" spans="1:70" x14ac:dyDescent="0.2">
      <c r="A1208" s="1">
        <v>44588.879861111112</v>
      </c>
      <c r="B1208" s="1">
        <v>44588.881944444445</v>
      </c>
      <c r="C1208">
        <v>1</v>
      </c>
      <c r="D1208">
        <v>0</v>
      </c>
      <c r="E1208">
        <v>0</v>
      </c>
      <c r="F1208">
        <v>0</v>
      </c>
      <c r="H1208">
        <v>0</v>
      </c>
      <c r="I1208">
        <v>1</v>
      </c>
      <c r="J1208">
        <v>0</v>
      </c>
      <c r="K1208">
        <v>0</v>
      </c>
      <c r="L1208">
        <v>0</v>
      </c>
      <c r="N1208" t="s">
        <v>79</v>
      </c>
      <c r="O1208" t="s">
        <v>142</v>
      </c>
      <c r="P1208">
        <v>0</v>
      </c>
      <c r="Q1208">
        <v>0</v>
      </c>
      <c r="R1208">
        <v>1</v>
      </c>
      <c r="S1208">
        <v>0</v>
      </c>
      <c r="T1208">
        <v>0</v>
      </c>
      <c r="U1208">
        <v>0</v>
      </c>
      <c r="V1208">
        <v>0</v>
      </c>
      <c r="W1208">
        <v>0</v>
      </c>
      <c r="X1208">
        <v>0</v>
      </c>
      <c r="Y1208">
        <v>0</v>
      </c>
      <c r="Z1208">
        <v>0</v>
      </c>
      <c r="AA1208">
        <v>0</v>
      </c>
      <c r="AM1208" t="s">
        <v>81</v>
      </c>
      <c r="AN1208" t="s">
        <v>82</v>
      </c>
      <c r="AO1208" t="s">
        <v>83</v>
      </c>
      <c r="AP1208" t="s">
        <v>82</v>
      </c>
      <c r="AQ1208" t="s">
        <v>81</v>
      </c>
      <c r="AR1208" t="s">
        <v>83</v>
      </c>
      <c r="AS1208" t="s">
        <v>81</v>
      </c>
      <c r="AT1208" t="s">
        <v>83</v>
      </c>
      <c r="AU1208" t="s">
        <v>88</v>
      </c>
      <c r="AV1208" t="s">
        <v>89</v>
      </c>
      <c r="AW1208" t="s">
        <v>85</v>
      </c>
      <c r="AX1208" t="s">
        <v>118</v>
      </c>
      <c r="AZ1208" t="s">
        <v>73</v>
      </c>
      <c r="BA1208" t="s">
        <v>87</v>
      </c>
      <c r="BB1208" t="s">
        <v>87</v>
      </c>
      <c r="BC1208" t="s">
        <v>87</v>
      </c>
      <c r="BD1208" t="s">
        <v>74</v>
      </c>
      <c r="BE1208" t="s">
        <v>87</v>
      </c>
      <c r="BF1208" t="s">
        <v>75</v>
      </c>
      <c r="BG1208" t="s">
        <v>76</v>
      </c>
      <c r="BH1208" t="s">
        <v>77</v>
      </c>
      <c r="BI1208" t="s">
        <v>73</v>
      </c>
      <c r="BJ1208" t="s">
        <v>147</v>
      </c>
      <c r="BK1208">
        <v>0</v>
      </c>
      <c r="BL1208">
        <v>0</v>
      </c>
      <c r="BM1208">
        <v>0</v>
      </c>
      <c r="BN1208">
        <v>0</v>
      </c>
      <c r="BO1208">
        <v>0</v>
      </c>
      <c r="BP1208">
        <v>1</v>
      </c>
      <c r="BQ1208">
        <v>0</v>
      </c>
      <c r="BR1208">
        <v>0</v>
      </c>
    </row>
    <row r="1209" spans="1:70" x14ac:dyDescent="0.2">
      <c r="A1209" s="1">
        <v>44588.95</v>
      </c>
      <c r="B1209" s="1">
        <v>44588.950694444444</v>
      </c>
      <c r="C1209">
        <v>0</v>
      </c>
      <c r="D1209">
        <v>1</v>
      </c>
      <c r="E1209">
        <v>0</v>
      </c>
      <c r="F1209">
        <v>0</v>
      </c>
      <c r="H1209">
        <v>1</v>
      </c>
      <c r="I1209">
        <v>0</v>
      </c>
      <c r="J1209">
        <v>0</v>
      </c>
      <c r="K1209">
        <v>0</v>
      </c>
      <c r="L1209">
        <v>0</v>
      </c>
      <c r="P1209">
        <v>1</v>
      </c>
      <c r="Q1209">
        <v>0</v>
      </c>
      <c r="R1209">
        <v>0</v>
      </c>
      <c r="S1209">
        <v>0</v>
      </c>
      <c r="T1209">
        <v>0</v>
      </c>
      <c r="U1209">
        <v>0</v>
      </c>
      <c r="V1209">
        <v>0</v>
      </c>
      <c r="W1209">
        <v>0</v>
      </c>
      <c r="X1209">
        <v>0</v>
      </c>
      <c r="Y1209">
        <v>0</v>
      </c>
      <c r="Z1209">
        <v>0</v>
      </c>
      <c r="AA1209">
        <v>0</v>
      </c>
      <c r="AC1209">
        <v>0</v>
      </c>
      <c r="AD1209">
        <v>0</v>
      </c>
      <c r="AE1209">
        <v>0</v>
      </c>
      <c r="AF1209">
        <v>0</v>
      </c>
      <c r="AG1209">
        <v>0</v>
      </c>
      <c r="AH1209">
        <v>0</v>
      </c>
      <c r="AI1209">
        <v>1</v>
      </c>
      <c r="AJ1209">
        <v>0</v>
      </c>
      <c r="AK1209">
        <v>0</v>
      </c>
      <c r="AZ1209" t="s">
        <v>120</v>
      </c>
      <c r="BA1209" t="s">
        <v>74</v>
      </c>
      <c r="BF1209" t="s">
        <v>101</v>
      </c>
      <c r="BG1209" t="s">
        <v>92</v>
      </c>
      <c r="BH1209" t="s">
        <v>93</v>
      </c>
      <c r="BI1209" t="s">
        <v>120</v>
      </c>
      <c r="BJ1209" t="s">
        <v>109</v>
      </c>
      <c r="BK1209">
        <v>0</v>
      </c>
      <c r="BL1209">
        <v>0</v>
      </c>
      <c r="BM1209">
        <v>0</v>
      </c>
      <c r="BN1209">
        <v>0</v>
      </c>
      <c r="BO1209">
        <v>0</v>
      </c>
      <c r="BP1209">
        <v>1</v>
      </c>
      <c r="BQ1209">
        <v>0</v>
      </c>
      <c r="BR1209">
        <v>0</v>
      </c>
    </row>
    <row r="1210" spans="1:70" x14ac:dyDescent="0.2">
      <c r="A1210" s="1">
        <v>44591.854166666664</v>
      </c>
      <c r="B1210" s="1">
        <v>44591.855555555558</v>
      </c>
      <c r="C1210">
        <v>0</v>
      </c>
      <c r="D1210">
        <v>1</v>
      </c>
      <c r="E1210">
        <v>0</v>
      </c>
      <c r="F1210">
        <v>0</v>
      </c>
      <c r="H1210">
        <v>1</v>
      </c>
      <c r="I1210">
        <v>0</v>
      </c>
      <c r="J1210">
        <v>0</v>
      </c>
      <c r="K1210">
        <v>0</v>
      </c>
      <c r="L1210">
        <v>0</v>
      </c>
      <c r="P1210">
        <v>1</v>
      </c>
      <c r="Q1210">
        <v>0</v>
      </c>
      <c r="R1210">
        <v>0</v>
      </c>
      <c r="S1210">
        <v>0</v>
      </c>
      <c r="T1210">
        <v>0</v>
      </c>
      <c r="U1210">
        <v>0</v>
      </c>
      <c r="V1210">
        <v>0</v>
      </c>
      <c r="W1210">
        <v>0</v>
      </c>
      <c r="X1210">
        <v>0</v>
      </c>
      <c r="Y1210">
        <v>0</v>
      </c>
      <c r="Z1210">
        <v>0</v>
      </c>
      <c r="AA1210">
        <v>0</v>
      </c>
      <c r="AC1210">
        <v>0</v>
      </c>
      <c r="AD1210">
        <v>0</v>
      </c>
      <c r="AE1210">
        <v>0</v>
      </c>
      <c r="AF1210">
        <v>0</v>
      </c>
      <c r="AG1210">
        <v>0</v>
      </c>
      <c r="AH1210">
        <v>1</v>
      </c>
      <c r="AI1210">
        <v>1</v>
      </c>
      <c r="AJ1210">
        <v>0</v>
      </c>
      <c r="AK1210">
        <v>0</v>
      </c>
      <c r="AX1210" t="s">
        <v>122</v>
      </c>
      <c r="AZ1210" t="s">
        <v>107</v>
      </c>
      <c r="BA1210" t="s">
        <v>86</v>
      </c>
      <c r="BB1210" t="s">
        <v>86</v>
      </c>
      <c r="BC1210" t="s">
        <v>87</v>
      </c>
      <c r="BD1210" t="s">
        <v>87</v>
      </c>
      <c r="BE1210" t="s">
        <v>87</v>
      </c>
      <c r="BF1210" t="s">
        <v>75</v>
      </c>
      <c r="BG1210" t="s">
        <v>76</v>
      </c>
      <c r="BH1210" t="s">
        <v>77</v>
      </c>
      <c r="BI1210" t="s">
        <v>107</v>
      </c>
      <c r="BJ1210" t="s">
        <v>114</v>
      </c>
      <c r="BK1210">
        <v>0</v>
      </c>
      <c r="BL1210">
        <v>0</v>
      </c>
      <c r="BM1210">
        <v>0</v>
      </c>
      <c r="BN1210">
        <v>0</v>
      </c>
      <c r="BO1210">
        <v>0</v>
      </c>
      <c r="BP1210">
        <v>1</v>
      </c>
      <c r="BQ1210">
        <v>0</v>
      </c>
      <c r="BR1210">
        <v>0</v>
      </c>
    </row>
    <row r="1211" spans="1:70" x14ac:dyDescent="0.2">
      <c r="A1211" s="1">
        <v>44579.931250000001</v>
      </c>
      <c r="B1211" s="1">
        <v>44579.933333333334</v>
      </c>
      <c r="C1211">
        <v>1</v>
      </c>
      <c r="D1211">
        <v>0</v>
      </c>
      <c r="E1211">
        <v>0</v>
      </c>
      <c r="F1211">
        <v>0</v>
      </c>
      <c r="H1211">
        <v>1</v>
      </c>
      <c r="I1211">
        <v>0</v>
      </c>
      <c r="J1211">
        <v>0</v>
      </c>
      <c r="K1211">
        <v>0</v>
      </c>
      <c r="L1211">
        <v>0</v>
      </c>
      <c r="P1211">
        <v>0</v>
      </c>
      <c r="Q1211">
        <v>0</v>
      </c>
      <c r="R1211">
        <v>0</v>
      </c>
      <c r="S1211">
        <v>0</v>
      </c>
      <c r="T1211">
        <v>0</v>
      </c>
      <c r="U1211">
        <v>1</v>
      </c>
      <c r="V1211">
        <v>0</v>
      </c>
      <c r="W1211">
        <v>0</v>
      </c>
      <c r="X1211">
        <v>0</v>
      </c>
      <c r="Y1211">
        <v>0</v>
      </c>
      <c r="Z1211">
        <v>0</v>
      </c>
      <c r="AA1211">
        <v>0</v>
      </c>
      <c r="AM1211" t="s">
        <v>90</v>
      </c>
      <c r="AN1211" t="s">
        <v>82</v>
      </c>
      <c r="AO1211" t="s">
        <v>90</v>
      </c>
      <c r="AP1211" t="s">
        <v>90</v>
      </c>
      <c r="AQ1211" t="s">
        <v>90</v>
      </c>
      <c r="AR1211" t="s">
        <v>90</v>
      </c>
      <c r="AS1211" t="s">
        <v>90</v>
      </c>
      <c r="AT1211" t="s">
        <v>83</v>
      </c>
      <c r="AU1211" t="s">
        <v>84</v>
      </c>
      <c r="AV1211" t="s">
        <v>80</v>
      </c>
      <c r="AW1211" t="s">
        <v>85</v>
      </c>
      <c r="AZ1211" t="s">
        <v>107</v>
      </c>
      <c r="BA1211" t="s">
        <v>74</v>
      </c>
      <c r="BF1211" t="s">
        <v>101</v>
      </c>
      <c r="BG1211" t="s">
        <v>76</v>
      </c>
      <c r="BH1211" t="s">
        <v>93</v>
      </c>
      <c r="BI1211" t="s">
        <v>107</v>
      </c>
      <c r="BJ1211" t="s">
        <v>78</v>
      </c>
      <c r="BK1211">
        <v>0</v>
      </c>
      <c r="BL1211">
        <v>0</v>
      </c>
      <c r="BM1211">
        <v>0</v>
      </c>
      <c r="BN1211">
        <v>0</v>
      </c>
      <c r="BO1211">
        <v>1</v>
      </c>
      <c r="BP1211">
        <v>1</v>
      </c>
      <c r="BQ1211">
        <v>0</v>
      </c>
      <c r="BR1211">
        <v>0</v>
      </c>
    </row>
    <row r="1212" spans="1:70" x14ac:dyDescent="0.2">
      <c r="A1212" s="1">
        <v>44588.991666666669</v>
      </c>
      <c r="B1212" s="1">
        <v>44590.082638888889</v>
      </c>
      <c r="C1212">
        <v>1</v>
      </c>
      <c r="D1212">
        <v>0</v>
      </c>
      <c r="E1212">
        <v>0</v>
      </c>
      <c r="F1212">
        <v>0</v>
      </c>
      <c r="H1212">
        <v>1</v>
      </c>
      <c r="I1212">
        <v>0</v>
      </c>
      <c r="J1212">
        <v>0</v>
      </c>
      <c r="K1212">
        <v>0</v>
      </c>
      <c r="L1212">
        <v>0</v>
      </c>
      <c r="P1212">
        <v>0</v>
      </c>
      <c r="Q1212">
        <v>1</v>
      </c>
      <c r="R1212">
        <v>0</v>
      </c>
      <c r="S1212">
        <v>0</v>
      </c>
      <c r="T1212">
        <v>0</v>
      </c>
      <c r="U1212">
        <v>0</v>
      </c>
      <c r="V1212">
        <v>0</v>
      </c>
      <c r="W1212">
        <v>0</v>
      </c>
      <c r="X1212">
        <v>0</v>
      </c>
      <c r="Y1212">
        <v>0</v>
      </c>
      <c r="Z1212">
        <v>0</v>
      </c>
      <c r="AA1212">
        <v>0</v>
      </c>
      <c r="AM1212" t="s">
        <v>81</v>
      </c>
      <c r="AN1212" t="s">
        <v>82</v>
      </c>
      <c r="AO1212" t="s">
        <v>81</v>
      </c>
      <c r="AP1212" t="s">
        <v>83</v>
      </c>
      <c r="AQ1212" t="s">
        <v>90</v>
      </c>
      <c r="AR1212" t="s">
        <v>83</v>
      </c>
      <c r="AS1212" t="s">
        <v>90</v>
      </c>
      <c r="AT1212" t="s">
        <v>83</v>
      </c>
      <c r="AU1212" t="s">
        <v>88</v>
      </c>
      <c r="AV1212" t="s">
        <v>89</v>
      </c>
      <c r="AW1212" t="s">
        <v>100</v>
      </c>
      <c r="AX1212" t="s">
        <v>72</v>
      </c>
      <c r="AZ1212" t="s">
        <v>107</v>
      </c>
      <c r="BA1212" t="s">
        <v>74</v>
      </c>
      <c r="BF1212" t="s">
        <v>75</v>
      </c>
      <c r="BG1212" t="s">
        <v>76</v>
      </c>
      <c r="BH1212" t="s">
        <v>98</v>
      </c>
      <c r="BI1212" t="s">
        <v>107</v>
      </c>
      <c r="BJ1212" t="s">
        <v>147</v>
      </c>
      <c r="BK1212">
        <v>0</v>
      </c>
      <c r="BL1212">
        <v>0</v>
      </c>
      <c r="BM1212">
        <v>0</v>
      </c>
      <c r="BN1212">
        <v>0</v>
      </c>
      <c r="BO1212">
        <v>1</v>
      </c>
      <c r="BP1212">
        <v>0</v>
      </c>
      <c r="BQ1212">
        <v>0</v>
      </c>
      <c r="BR1212">
        <v>0</v>
      </c>
    </row>
    <row r="1213" spans="1:70" x14ac:dyDescent="0.2">
      <c r="A1213" s="1">
        <v>44580.227777777778</v>
      </c>
      <c r="B1213" s="1">
        <v>44580.229166666664</v>
      </c>
      <c r="C1213">
        <v>0</v>
      </c>
      <c r="D1213">
        <v>0</v>
      </c>
      <c r="E1213">
        <v>0</v>
      </c>
      <c r="F1213">
        <v>1</v>
      </c>
      <c r="P1213">
        <v>1</v>
      </c>
      <c r="Q1213">
        <v>0</v>
      </c>
      <c r="R1213">
        <v>0</v>
      </c>
      <c r="S1213">
        <v>0</v>
      </c>
      <c r="T1213">
        <v>0</v>
      </c>
      <c r="U1213">
        <v>0</v>
      </c>
      <c r="V1213">
        <v>0</v>
      </c>
      <c r="W1213">
        <v>0</v>
      </c>
      <c r="X1213">
        <v>0</v>
      </c>
      <c r="Y1213">
        <v>0</v>
      </c>
      <c r="Z1213">
        <v>0</v>
      </c>
      <c r="AA1213">
        <v>0</v>
      </c>
      <c r="AC1213">
        <v>0</v>
      </c>
      <c r="AD1213">
        <v>0</v>
      </c>
      <c r="AE1213">
        <v>0</v>
      </c>
      <c r="AF1213">
        <v>0</v>
      </c>
      <c r="AG1213">
        <v>0</v>
      </c>
      <c r="AH1213">
        <v>0</v>
      </c>
      <c r="AI1213">
        <v>1</v>
      </c>
      <c r="AJ1213">
        <v>0</v>
      </c>
      <c r="AK1213">
        <v>0</v>
      </c>
      <c r="AX1213" t="s">
        <v>110</v>
      </c>
      <c r="AY1213" t="s">
        <v>515</v>
      </c>
      <c r="AZ1213" t="s">
        <v>96</v>
      </c>
      <c r="BF1213" t="s">
        <v>75</v>
      </c>
      <c r="BG1213" t="s">
        <v>76</v>
      </c>
      <c r="BH1213" t="s">
        <v>77</v>
      </c>
      <c r="BI1213" t="s">
        <v>96</v>
      </c>
      <c r="BJ1213" t="s">
        <v>102</v>
      </c>
      <c r="BK1213">
        <v>0</v>
      </c>
      <c r="BL1213">
        <v>0</v>
      </c>
      <c r="BM1213">
        <v>0</v>
      </c>
      <c r="BN1213">
        <v>0</v>
      </c>
      <c r="BO1213">
        <v>0</v>
      </c>
      <c r="BP1213">
        <v>0</v>
      </c>
      <c r="BQ1213">
        <v>0</v>
      </c>
      <c r="BR1213">
        <v>1</v>
      </c>
    </row>
    <row r="1214" spans="1:70" x14ac:dyDescent="0.2">
      <c r="A1214" s="1">
        <v>44580.476388888892</v>
      </c>
      <c r="B1214" s="1">
        <v>44585.552083333336</v>
      </c>
      <c r="C1214">
        <v>1</v>
      </c>
      <c r="D1214">
        <v>0</v>
      </c>
      <c r="E1214">
        <v>0</v>
      </c>
      <c r="F1214">
        <v>0</v>
      </c>
      <c r="H1214">
        <v>0</v>
      </c>
      <c r="I1214">
        <v>1</v>
      </c>
      <c r="J1214">
        <v>1</v>
      </c>
      <c r="K1214">
        <v>0</v>
      </c>
      <c r="L1214">
        <v>0</v>
      </c>
      <c r="N1214" t="s">
        <v>135</v>
      </c>
      <c r="O1214" t="s">
        <v>89</v>
      </c>
      <c r="P1214">
        <v>0</v>
      </c>
      <c r="Q1214">
        <v>0</v>
      </c>
      <c r="R1214">
        <v>0</v>
      </c>
      <c r="S1214">
        <v>0</v>
      </c>
      <c r="T1214">
        <v>0</v>
      </c>
      <c r="U1214">
        <v>0</v>
      </c>
      <c r="V1214">
        <v>0</v>
      </c>
      <c r="W1214">
        <v>1</v>
      </c>
      <c r="X1214">
        <v>0</v>
      </c>
      <c r="Y1214">
        <v>0</v>
      </c>
      <c r="Z1214">
        <v>0</v>
      </c>
      <c r="AA1214">
        <v>0</v>
      </c>
      <c r="AM1214" t="s">
        <v>83</v>
      </c>
      <c r="AN1214" t="s">
        <v>82</v>
      </c>
      <c r="AO1214" t="s">
        <v>81</v>
      </c>
      <c r="AP1214" t="s">
        <v>83</v>
      </c>
      <c r="AQ1214" t="s">
        <v>83</v>
      </c>
      <c r="AR1214" t="s">
        <v>83</v>
      </c>
      <c r="AS1214" t="s">
        <v>83</v>
      </c>
      <c r="AT1214" t="s">
        <v>83</v>
      </c>
      <c r="AU1214" t="s">
        <v>135</v>
      </c>
      <c r="AV1214" t="s">
        <v>89</v>
      </c>
      <c r="AW1214" t="s">
        <v>117</v>
      </c>
      <c r="AX1214" t="s">
        <v>72</v>
      </c>
      <c r="AZ1214" t="s">
        <v>107</v>
      </c>
      <c r="BA1214" t="s">
        <v>87</v>
      </c>
      <c r="BB1214" t="s">
        <v>86</v>
      </c>
      <c r="BC1214" t="s">
        <v>87</v>
      </c>
      <c r="BD1214" t="s">
        <v>87</v>
      </c>
      <c r="BE1214" t="s">
        <v>87</v>
      </c>
      <c r="BF1214" t="s">
        <v>75</v>
      </c>
      <c r="BG1214" t="s">
        <v>92</v>
      </c>
      <c r="BH1214" t="s">
        <v>93</v>
      </c>
      <c r="BI1214" t="s">
        <v>107</v>
      </c>
      <c r="BJ1214" t="s">
        <v>109</v>
      </c>
      <c r="BK1214">
        <v>0</v>
      </c>
      <c r="BL1214">
        <v>0</v>
      </c>
      <c r="BM1214">
        <v>0</v>
      </c>
      <c r="BN1214">
        <v>0</v>
      </c>
      <c r="BO1214">
        <v>0</v>
      </c>
      <c r="BP1214">
        <v>1</v>
      </c>
      <c r="BQ1214">
        <v>0</v>
      </c>
      <c r="BR1214">
        <v>0</v>
      </c>
    </row>
    <row r="1215" spans="1:70" x14ac:dyDescent="0.2">
      <c r="A1215" s="1">
        <v>44589.619444444441</v>
      </c>
      <c r="B1215" s="1">
        <v>44589.621527777781</v>
      </c>
      <c r="C1215">
        <v>1</v>
      </c>
      <c r="D1215">
        <v>0</v>
      </c>
      <c r="E1215">
        <v>0</v>
      </c>
      <c r="F1215">
        <v>0</v>
      </c>
      <c r="H1215">
        <v>1</v>
      </c>
      <c r="I1215">
        <v>0</v>
      </c>
      <c r="J1215">
        <v>0</v>
      </c>
      <c r="K1215">
        <v>0</v>
      </c>
      <c r="L1215">
        <v>0</v>
      </c>
      <c r="P1215">
        <v>0</v>
      </c>
      <c r="Q1215">
        <v>0</v>
      </c>
      <c r="R1215">
        <v>0</v>
      </c>
      <c r="S1215">
        <v>1</v>
      </c>
      <c r="T1215">
        <v>0</v>
      </c>
      <c r="U1215">
        <v>0</v>
      </c>
      <c r="V1215">
        <v>0</v>
      </c>
      <c r="W1215">
        <v>0</v>
      </c>
      <c r="X1215">
        <v>0</v>
      </c>
      <c r="Y1215">
        <v>0</v>
      </c>
      <c r="Z1215">
        <v>0</v>
      </c>
      <c r="AA1215">
        <v>0</v>
      </c>
      <c r="AM1215" t="s">
        <v>81</v>
      </c>
      <c r="AN1215" t="s">
        <v>82</v>
      </c>
      <c r="AO1215" t="s">
        <v>83</v>
      </c>
      <c r="AP1215" t="s">
        <v>82</v>
      </c>
      <c r="AQ1215" t="s">
        <v>81</v>
      </c>
      <c r="AR1215" t="s">
        <v>83</v>
      </c>
      <c r="AS1215" t="s">
        <v>82</v>
      </c>
      <c r="AT1215" t="s">
        <v>83</v>
      </c>
      <c r="AU1215" t="s">
        <v>88</v>
      </c>
      <c r="AV1215" t="s">
        <v>89</v>
      </c>
      <c r="AW1215" t="s">
        <v>85</v>
      </c>
      <c r="AX1215" t="s">
        <v>91</v>
      </c>
      <c r="AZ1215" t="s">
        <v>73</v>
      </c>
      <c r="BA1215" t="s">
        <v>87</v>
      </c>
      <c r="BB1215" t="s">
        <v>87</v>
      </c>
      <c r="BC1215" t="s">
        <v>87</v>
      </c>
      <c r="BD1215" t="s">
        <v>87</v>
      </c>
      <c r="BE1215" t="s">
        <v>87</v>
      </c>
      <c r="BF1215" t="s">
        <v>75</v>
      </c>
      <c r="BG1215" t="s">
        <v>92</v>
      </c>
      <c r="BH1215" t="s">
        <v>77</v>
      </c>
      <c r="BI1215" t="s">
        <v>73</v>
      </c>
      <c r="BJ1215" t="s">
        <v>114</v>
      </c>
      <c r="BK1215">
        <v>0</v>
      </c>
      <c r="BL1215">
        <v>0</v>
      </c>
      <c r="BM1215">
        <v>0</v>
      </c>
      <c r="BN1215">
        <v>0</v>
      </c>
      <c r="BO1215">
        <v>0</v>
      </c>
      <c r="BP1215">
        <v>1</v>
      </c>
      <c r="BQ1215">
        <v>0</v>
      </c>
      <c r="BR1215">
        <v>0</v>
      </c>
    </row>
    <row r="1216" spans="1:70" x14ac:dyDescent="0.2">
      <c r="A1216" s="1">
        <v>44579.87777777778</v>
      </c>
      <c r="B1216" s="1">
        <v>44579.880555555559</v>
      </c>
      <c r="C1216">
        <v>1</v>
      </c>
      <c r="D1216">
        <v>0</v>
      </c>
      <c r="E1216">
        <v>0</v>
      </c>
      <c r="F1216">
        <v>0</v>
      </c>
      <c r="H1216">
        <v>0</v>
      </c>
      <c r="I1216">
        <v>1</v>
      </c>
      <c r="J1216">
        <v>0</v>
      </c>
      <c r="K1216">
        <v>0</v>
      </c>
      <c r="L1216">
        <v>0</v>
      </c>
      <c r="N1216" t="s">
        <v>88</v>
      </c>
      <c r="O1216" t="s">
        <v>89</v>
      </c>
      <c r="P1216">
        <v>0</v>
      </c>
      <c r="Q1216">
        <v>1</v>
      </c>
      <c r="R1216">
        <v>1</v>
      </c>
      <c r="S1216">
        <v>0</v>
      </c>
      <c r="T1216">
        <v>0</v>
      </c>
      <c r="U1216">
        <v>0</v>
      </c>
      <c r="V1216">
        <v>0</v>
      </c>
      <c r="W1216">
        <v>0</v>
      </c>
      <c r="X1216">
        <v>0</v>
      </c>
      <c r="Y1216">
        <v>0</v>
      </c>
      <c r="Z1216">
        <v>0</v>
      </c>
      <c r="AA1216">
        <v>0</v>
      </c>
      <c r="AM1216" t="s">
        <v>81</v>
      </c>
      <c r="AN1216" t="s">
        <v>81</v>
      </c>
      <c r="AO1216" t="s">
        <v>81</v>
      </c>
      <c r="AP1216" t="s">
        <v>81</v>
      </c>
      <c r="AQ1216" t="s">
        <v>81</v>
      </c>
      <c r="AR1216" t="s">
        <v>81</v>
      </c>
      <c r="AS1216" t="s">
        <v>81</v>
      </c>
      <c r="AT1216" t="s">
        <v>81</v>
      </c>
      <c r="AU1216" t="s">
        <v>88</v>
      </c>
      <c r="AV1216" t="s">
        <v>80</v>
      </c>
      <c r="AW1216" t="s">
        <v>85</v>
      </c>
      <c r="AX1216" t="s">
        <v>72</v>
      </c>
      <c r="AZ1216" t="s">
        <v>107</v>
      </c>
      <c r="BA1216" t="s">
        <v>87</v>
      </c>
      <c r="BB1216" t="s">
        <v>87</v>
      </c>
      <c r="BC1216" t="s">
        <v>87</v>
      </c>
      <c r="BD1216" t="s">
        <v>87</v>
      </c>
      <c r="BE1216" t="s">
        <v>87</v>
      </c>
      <c r="BF1216" t="s">
        <v>75</v>
      </c>
      <c r="BG1216" t="s">
        <v>76</v>
      </c>
      <c r="BH1216" t="s">
        <v>93</v>
      </c>
      <c r="BI1216" t="s">
        <v>107</v>
      </c>
      <c r="BJ1216" t="s">
        <v>109</v>
      </c>
      <c r="BK1216">
        <v>0</v>
      </c>
      <c r="BL1216">
        <v>0</v>
      </c>
      <c r="BM1216">
        <v>0</v>
      </c>
      <c r="BN1216">
        <v>0</v>
      </c>
      <c r="BO1216">
        <v>0</v>
      </c>
      <c r="BP1216">
        <v>1</v>
      </c>
      <c r="BQ1216">
        <v>0</v>
      </c>
      <c r="BR1216">
        <v>0</v>
      </c>
    </row>
    <row r="1217" spans="1:70" ht="96" x14ac:dyDescent="0.2">
      <c r="A1217" s="1">
        <v>44587.140277777777</v>
      </c>
      <c r="B1217" s="1">
        <v>44587.145138888889</v>
      </c>
      <c r="C1217">
        <v>1</v>
      </c>
      <c r="D1217">
        <v>0</v>
      </c>
      <c r="E1217">
        <v>0</v>
      </c>
      <c r="F1217">
        <v>0</v>
      </c>
      <c r="H1217">
        <v>1</v>
      </c>
      <c r="I1217">
        <v>0</v>
      </c>
      <c r="J1217">
        <v>0</v>
      </c>
      <c r="K1217">
        <v>0</v>
      </c>
      <c r="L1217">
        <v>0</v>
      </c>
      <c r="P1217">
        <v>1</v>
      </c>
      <c r="Q1217">
        <v>0</v>
      </c>
      <c r="R1217">
        <v>0</v>
      </c>
      <c r="S1217">
        <v>0</v>
      </c>
      <c r="T1217">
        <v>0</v>
      </c>
      <c r="U1217">
        <v>0</v>
      </c>
      <c r="V1217">
        <v>0</v>
      </c>
      <c r="W1217">
        <v>0</v>
      </c>
      <c r="X1217">
        <v>0</v>
      </c>
      <c r="Y1217">
        <v>0</v>
      </c>
      <c r="Z1217">
        <v>0</v>
      </c>
      <c r="AA1217">
        <v>0</v>
      </c>
      <c r="AC1217">
        <v>0</v>
      </c>
      <c r="AD1217">
        <v>0</v>
      </c>
      <c r="AE1217">
        <v>1</v>
      </c>
      <c r="AF1217">
        <v>0</v>
      </c>
      <c r="AG1217">
        <v>0</v>
      </c>
      <c r="AH1217">
        <v>0</v>
      </c>
      <c r="AI1217">
        <v>0</v>
      </c>
      <c r="AJ1217">
        <v>0</v>
      </c>
      <c r="AK1217">
        <v>1</v>
      </c>
      <c r="AL1217" s="2" t="s">
        <v>516</v>
      </c>
      <c r="AZ1217" t="s">
        <v>107</v>
      </c>
      <c r="BA1217" t="s">
        <v>87</v>
      </c>
      <c r="BB1217" t="s">
        <v>86</v>
      </c>
      <c r="BC1217" t="s">
        <v>86</v>
      </c>
      <c r="BD1217" t="s">
        <v>86</v>
      </c>
      <c r="BE1217" t="s">
        <v>86</v>
      </c>
      <c r="BF1217" t="s">
        <v>97</v>
      </c>
      <c r="BG1217" t="s">
        <v>76</v>
      </c>
      <c r="BH1217" t="s">
        <v>158</v>
      </c>
      <c r="BI1217" t="s">
        <v>107</v>
      </c>
      <c r="BJ1217" t="s">
        <v>78</v>
      </c>
      <c r="BK1217">
        <v>0</v>
      </c>
      <c r="BL1217">
        <v>0</v>
      </c>
      <c r="BM1217">
        <v>0</v>
      </c>
      <c r="BN1217">
        <v>0</v>
      </c>
      <c r="BO1217">
        <v>0</v>
      </c>
      <c r="BP1217">
        <v>1</v>
      </c>
      <c r="BQ1217">
        <v>0</v>
      </c>
      <c r="BR1217">
        <v>0</v>
      </c>
    </row>
    <row r="1218" spans="1:70" x14ac:dyDescent="0.2">
      <c r="A1218" s="1">
        <v>44587.536111111112</v>
      </c>
      <c r="B1218" s="1">
        <v>44587.539583333331</v>
      </c>
      <c r="C1218">
        <v>1</v>
      </c>
      <c r="D1218">
        <v>0</v>
      </c>
      <c r="E1218">
        <v>0</v>
      </c>
      <c r="F1218">
        <v>0</v>
      </c>
      <c r="H1218">
        <v>0</v>
      </c>
      <c r="I1218">
        <v>1</v>
      </c>
      <c r="J1218">
        <v>0</v>
      </c>
      <c r="K1218">
        <v>0</v>
      </c>
      <c r="L1218">
        <v>0</v>
      </c>
      <c r="N1218" t="s">
        <v>135</v>
      </c>
      <c r="O1218" t="s">
        <v>127</v>
      </c>
      <c r="P1218">
        <v>0</v>
      </c>
      <c r="Q1218">
        <v>0</v>
      </c>
      <c r="R1218">
        <v>0</v>
      </c>
      <c r="S1218">
        <v>0</v>
      </c>
      <c r="T1218">
        <v>0</v>
      </c>
      <c r="U1218">
        <v>0</v>
      </c>
      <c r="V1218">
        <v>1</v>
      </c>
      <c r="W1218">
        <v>0</v>
      </c>
      <c r="X1218">
        <v>0</v>
      </c>
      <c r="Y1218">
        <v>0</v>
      </c>
      <c r="Z1218">
        <v>0</v>
      </c>
      <c r="AA1218">
        <v>1</v>
      </c>
      <c r="AB1218" t="s">
        <v>517</v>
      </c>
      <c r="AM1218" t="s">
        <v>83</v>
      </c>
      <c r="AN1218" t="s">
        <v>82</v>
      </c>
      <c r="AO1218" t="s">
        <v>83</v>
      </c>
      <c r="AP1218" t="s">
        <v>81</v>
      </c>
      <c r="AQ1218" t="s">
        <v>83</v>
      </c>
      <c r="AR1218" t="s">
        <v>83</v>
      </c>
      <c r="AS1218" t="s">
        <v>83</v>
      </c>
      <c r="AT1218" t="s">
        <v>83</v>
      </c>
      <c r="AU1218" t="s">
        <v>135</v>
      </c>
      <c r="AV1218" t="s">
        <v>127</v>
      </c>
      <c r="AW1218" t="s">
        <v>85</v>
      </c>
      <c r="AX1218" t="s">
        <v>72</v>
      </c>
      <c r="AZ1218" t="s">
        <v>107</v>
      </c>
      <c r="BA1218" t="s">
        <v>86</v>
      </c>
      <c r="BB1218" t="s">
        <v>87</v>
      </c>
      <c r="BC1218" t="s">
        <v>87</v>
      </c>
      <c r="BD1218" t="s">
        <v>74</v>
      </c>
      <c r="BE1218" t="s">
        <v>87</v>
      </c>
      <c r="BF1218" t="s">
        <v>108</v>
      </c>
      <c r="BG1218" t="s">
        <v>76</v>
      </c>
      <c r="BH1218" t="s">
        <v>77</v>
      </c>
      <c r="BI1218" t="s">
        <v>107</v>
      </c>
      <c r="BJ1218" t="s">
        <v>114</v>
      </c>
      <c r="BK1218">
        <v>0</v>
      </c>
      <c r="BL1218">
        <v>0</v>
      </c>
      <c r="BM1218">
        <v>0</v>
      </c>
      <c r="BN1218">
        <v>1</v>
      </c>
      <c r="BO1218">
        <v>0</v>
      </c>
      <c r="BP1218">
        <v>0</v>
      </c>
      <c r="BQ1218">
        <v>0</v>
      </c>
      <c r="BR1218">
        <v>0</v>
      </c>
    </row>
    <row r="1219" spans="1:70" x14ac:dyDescent="0.2">
      <c r="A1219" s="1">
        <v>44580.85833333333</v>
      </c>
      <c r="B1219" s="1">
        <v>44580.86041666667</v>
      </c>
      <c r="C1219">
        <v>0</v>
      </c>
      <c r="D1219">
        <v>1</v>
      </c>
      <c r="E1219">
        <v>0</v>
      </c>
      <c r="F1219">
        <v>0</v>
      </c>
      <c r="H1219">
        <v>1</v>
      </c>
      <c r="I1219">
        <v>0</v>
      </c>
      <c r="J1219">
        <v>0</v>
      </c>
      <c r="K1219">
        <v>0</v>
      </c>
      <c r="L1219">
        <v>0</v>
      </c>
      <c r="P1219">
        <v>1</v>
      </c>
      <c r="Q1219">
        <v>0</v>
      </c>
      <c r="R1219">
        <v>0</v>
      </c>
      <c r="S1219">
        <v>0</v>
      </c>
      <c r="T1219">
        <v>0</v>
      </c>
      <c r="U1219">
        <v>0</v>
      </c>
      <c r="V1219">
        <v>0</v>
      </c>
      <c r="W1219">
        <v>0</v>
      </c>
      <c r="X1219">
        <v>0</v>
      </c>
      <c r="Y1219">
        <v>0</v>
      </c>
      <c r="Z1219">
        <v>0</v>
      </c>
      <c r="AA1219">
        <v>0</v>
      </c>
      <c r="AC1219">
        <v>0</v>
      </c>
      <c r="AD1219">
        <v>0</v>
      </c>
      <c r="AE1219">
        <v>0</v>
      </c>
      <c r="AF1219">
        <v>0</v>
      </c>
      <c r="AG1219">
        <v>0</v>
      </c>
      <c r="AH1219">
        <v>0</v>
      </c>
      <c r="AI1219">
        <v>0</v>
      </c>
      <c r="AJ1219">
        <v>0</v>
      </c>
      <c r="AK1219">
        <v>1</v>
      </c>
      <c r="AL1219" t="s">
        <v>518</v>
      </c>
      <c r="AX1219" t="s">
        <v>170</v>
      </c>
      <c r="AZ1219" t="s">
        <v>73</v>
      </c>
      <c r="BA1219" t="s">
        <v>87</v>
      </c>
      <c r="BB1219" t="s">
        <v>87</v>
      </c>
      <c r="BC1219" t="s">
        <v>87</v>
      </c>
      <c r="BD1219" t="s">
        <v>86</v>
      </c>
      <c r="BE1219" t="s">
        <v>86</v>
      </c>
      <c r="BF1219" t="s">
        <v>75</v>
      </c>
      <c r="BG1219" t="s">
        <v>76</v>
      </c>
      <c r="BH1219" t="s">
        <v>77</v>
      </c>
      <c r="BI1219" t="s">
        <v>73</v>
      </c>
      <c r="BJ1219" t="s">
        <v>114</v>
      </c>
      <c r="BK1219">
        <v>1</v>
      </c>
      <c r="BL1219">
        <v>0</v>
      </c>
      <c r="BM1219">
        <v>0</v>
      </c>
      <c r="BN1219">
        <v>0</v>
      </c>
      <c r="BO1219">
        <v>0</v>
      </c>
      <c r="BP1219">
        <v>0</v>
      </c>
      <c r="BQ1219">
        <v>0</v>
      </c>
      <c r="BR1219">
        <v>0</v>
      </c>
    </row>
    <row r="1220" spans="1:70" x14ac:dyDescent="0.2">
      <c r="A1220" s="1">
        <v>44579.981944444444</v>
      </c>
      <c r="B1220" s="1">
        <v>44580.18472222222</v>
      </c>
      <c r="C1220">
        <v>1</v>
      </c>
      <c r="D1220">
        <v>0</v>
      </c>
      <c r="E1220">
        <v>0</v>
      </c>
      <c r="F1220">
        <v>0</v>
      </c>
      <c r="H1220">
        <v>1</v>
      </c>
      <c r="I1220">
        <v>0</v>
      </c>
      <c r="J1220">
        <v>0</v>
      </c>
      <c r="K1220">
        <v>0</v>
      </c>
      <c r="L1220">
        <v>0</v>
      </c>
      <c r="P1220">
        <v>1</v>
      </c>
      <c r="Q1220">
        <v>0</v>
      </c>
      <c r="R1220">
        <v>0</v>
      </c>
      <c r="S1220">
        <v>0</v>
      </c>
      <c r="T1220">
        <v>0</v>
      </c>
      <c r="U1220">
        <v>0</v>
      </c>
      <c r="V1220">
        <v>0</v>
      </c>
      <c r="W1220">
        <v>0</v>
      </c>
      <c r="X1220">
        <v>0</v>
      </c>
      <c r="Y1220">
        <v>0</v>
      </c>
      <c r="Z1220">
        <v>0</v>
      </c>
      <c r="AA1220">
        <v>0</v>
      </c>
      <c r="AC1220">
        <v>1</v>
      </c>
      <c r="AD1220">
        <v>0</v>
      </c>
      <c r="AE1220">
        <v>0</v>
      </c>
      <c r="AF1220">
        <v>0</v>
      </c>
      <c r="AG1220">
        <v>0</v>
      </c>
      <c r="AH1220">
        <v>0</v>
      </c>
      <c r="AI1220">
        <v>0</v>
      </c>
      <c r="AJ1220">
        <v>0</v>
      </c>
      <c r="AK1220">
        <v>0</v>
      </c>
      <c r="AX1220" t="s">
        <v>106</v>
      </c>
      <c r="AZ1220" t="s">
        <v>107</v>
      </c>
      <c r="BA1220" t="s">
        <v>87</v>
      </c>
      <c r="BB1220" t="s">
        <v>87</v>
      </c>
      <c r="BC1220" t="s">
        <v>87</v>
      </c>
      <c r="BD1220" t="s">
        <v>87</v>
      </c>
      <c r="BE1220" t="s">
        <v>87</v>
      </c>
      <c r="BF1220" t="s">
        <v>108</v>
      </c>
      <c r="BG1220" t="s">
        <v>76</v>
      </c>
      <c r="BH1220" t="s">
        <v>93</v>
      </c>
      <c r="BI1220" t="s">
        <v>107</v>
      </c>
      <c r="BJ1220" t="s">
        <v>154</v>
      </c>
      <c r="BK1220">
        <v>0</v>
      </c>
      <c r="BL1220">
        <v>0</v>
      </c>
      <c r="BM1220">
        <v>0</v>
      </c>
      <c r="BN1220">
        <v>0</v>
      </c>
      <c r="BO1220">
        <v>0</v>
      </c>
      <c r="BP1220">
        <v>1</v>
      </c>
      <c r="BQ1220">
        <v>0</v>
      </c>
      <c r="BR1220">
        <v>0</v>
      </c>
    </row>
    <row r="1221" spans="1:70" x14ac:dyDescent="0.2">
      <c r="A1221" s="1">
        <v>44579.880555555559</v>
      </c>
      <c r="B1221" s="1">
        <v>44579.882638888892</v>
      </c>
      <c r="C1221">
        <v>0</v>
      </c>
      <c r="D1221">
        <v>1</v>
      </c>
      <c r="E1221">
        <v>0</v>
      </c>
      <c r="F1221">
        <v>0</v>
      </c>
      <c r="H1221">
        <v>0</v>
      </c>
      <c r="I1221">
        <v>1</v>
      </c>
      <c r="J1221">
        <v>0</v>
      </c>
      <c r="K1221">
        <v>1</v>
      </c>
      <c r="L1221">
        <v>0</v>
      </c>
      <c r="N1221" t="s">
        <v>79</v>
      </c>
      <c r="O1221" t="s">
        <v>89</v>
      </c>
      <c r="P1221">
        <v>0</v>
      </c>
      <c r="Q1221">
        <v>0</v>
      </c>
      <c r="R1221">
        <v>0</v>
      </c>
      <c r="S1221">
        <v>1</v>
      </c>
      <c r="T1221">
        <v>0</v>
      </c>
      <c r="U1221">
        <v>0</v>
      </c>
      <c r="V1221">
        <v>0</v>
      </c>
      <c r="W1221">
        <v>0</v>
      </c>
      <c r="X1221">
        <v>0</v>
      </c>
      <c r="Y1221">
        <v>0</v>
      </c>
      <c r="Z1221">
        <v>0</v>
      </c>
      <c r="AA1221">
        <v>0</v>
      </c>
      <c r="AM1221" t="s">
        <v>83</v>
      </c>
      <c r="AN1221" t="s">
        <v>82</v>
      </c>
      <c r="AO1221" t="s">
        <v>81</v>
      </c>
      <c r="AP1221" t="s">
        <v>81</v>
      </c>
      <c r="AQ1221" t="s">
        <v>81</v>
      </c>
      <c r="AR1221" t="s">
        <v>83</v>
      </c>
      <c r="AS1221" t="s">
        <v>81</v>
      </c>
      <c r="AT1221" t="s">
        <v>83</v>
      </c>
      <c r="AU1221" t="s">
        <v>84</v>
      </c>
      <c r="AV1221" t="s">
        <v>89</v>
      </c>
      <c r="AW1221" t="s">
        <v>100</v>
      </c>
      <c r="AZ1221" t="s">
        <v>107</v>
      </c>
      <c r="BA1221" t="s">
        <v>86</v>
      </c>
      <c r="BB1221" t="s">
        <v>87</v>
      </c>
      <c r="BC1221" t="s">
        <v>87</v>
      </c>
      <c r="BD1221" t="s">
        <v>87</v>
      </c>
      <c r="BE1221" t="s">
        <v>86</v>
      </c>
      <c r="BF1221" t="s">
        <v>97</v>
      </c>
      <c r="BG1221" t="s">
        <v>76</v>
      </c>
      <c r="BH1221" t="s">
        <v>98</v>
      </c>
      <c r="BI1221" t="s">
        <v>107</v>
      </c>
      <c r="BJ1221" t="s">
        <v>102</v>
      </c>
      <c r="BK1221">
        <v>0</v>
      </c>
      <c r="BL1221">
        <v>0</v>
      </c>
      <c r="BM1221">
        <v>0</v>
      </c>
      <c r="BN1221">
        <v>0</v>
      </c>
      <c r="BO1221">
        <v>0</v>
      </c>
      <c r="BP1221">
        <v>0</v>
      </c>
      <c r="BQ1221">
        <v>0</v>
      </c>
      <c r="BR1221">
        <v>1</v>
      </c>
    </row>
    <row r="1222" spans="1:70" x14ac:dyDescent="0.2">
      <c r="A1222" s="1">
        <v>44580.176388888889</v>
      </c>
      <c r="B1222" s="1">
        <v>44580.177083333336</v>
      </c>
      <c r="C1222">
        <v>0</v>
      </c>
      <c r="D1222">
        <v>1</v>
      </c>
      <c r="E1222">
        <v>0</v>
      </c>
      <c r="F1222">
        <v>0</v>
      </c>
      <c r="H1222">
        <v>1</v>
      </c>
      <c r="I1222">
        <v>0</v>
      </c>
      <c r="J1222">
        <v>0</v>
      </c>
      <c r="K1222">
        <v>0</v>
      </c>
      <c r="L1222">
        <v>0</v>
      </c>
      <c r="P1222">
        <v>1</v>
      </c>
      <c r="Q1222">
        <v>0</v>
      </c>
      <c r="R1222">
        <v>0</v>
      </c>
      <c r="S1222">
        <v>0</v>
      </c>
      <c r="T1222">
        <v>0</v>
      </c>
      <c r="U1222">
        <v>0</v>
      </c>
      <c r="V1222">
        <v>0</v>
      </c>
      <c r="W1222">
        <v>0</v>
      </c>
      <c r="X1222">
        <v>0</v>
      </c>
      <c r="Y1222">
        <v>0</v>
      </c>
      <c r="Z1222">
        <v>0</v>
      </c>
      <c r="AA1222">
        <v>0</v>
      </c>
      <c r="AC1222">
        <v>0</v>
      </c>
      <c r="AD1222">
        <v>1</v>
      </c>
      <c r="AE1222">
        <v>0</v>
      </c>
      <c r="AF1222">
        <v>0</v>
      </c>
      <c r="AG1222">
        <v>0</v>
      </c>
      <c r="AH1222">
        <v>0</v>
      </c>
      <c r="AI1222">
        <v>0</v>
      </c>
      <c r="AJ1222">
        <v>0</v>
      </c>
      <c r="AK1222">
        <v>0</v>
      </c>
      <c r="AX1222" t="s">
        <v>110</v>
      </c>
      <c r="AY1222" t="s">
        <v>519</v>
      </c>
      <c r="AZ1222" t="s">
        <v>73</v>
      </c>
      <c r="BA1222" t="s">
        <v>74</v>
      </c>
      <c r="BF1222" t="s">
        <v>113</v>
      </c>
      <c r="BG1222" t="s">
        <v>76</v>
      </c>
      <c r="BH1222" t="s">
        <v>184</v>
      </c>
      <c r="BI1222" t="s">
        <v>73</v>
      </c>
      <c r="BJ1222" t="s">
        <v>114</v>
      </c>
      <c r="BK1222">
        <v>0</v>
      </c>
      <c r="BL1222">
        <v>0</v>
      </c>
      <c r="BM1222">
        <v>0</v>
      </c>
      <c r="BN1222">
        <v>1</v>
      </c>
      <c r="BO1222">
        <v>0</v>
      </c>
      <c r="BP1222">
        <v>0</v>
      </c>
      <c r="BQ1222">
        <v>0</v>
      </c>
      <c r="BR1222">
        <v>0</v>
      </c>
    </row>
    <row r="1223" spans="1:70" x14ac:dyDescent="0.2">
      <c r="A1223" s="1">
        <v>44585.524305555555</v>
      </c>
      <c r="B1223" s="1">
        <v>44585.525694444441</v>
      </c>
      <c r="C1223">
        <v>0</v>
      </c>
      <c r="D1223">
        <v>1</v>
      </c>
      <c r="E1223">
        <v>0</v>
      </c>
      <c r="F1223">
        <v>0</v>
      </c>
      <c r="H1223">
        <v>0</v>
      </c>
      <c r="I1223">
        <v>0</v>
      </c>
      <c r="J1223">
        <v>0</v>
      </c>
      <c r="K1223">
        <v>1</v>
      </c>
      <c r="L1223">
        <v>0</v>
      </c>
      <c r="N1223" t="s">
        <v>79</v>
      </c>
      <c r="O1223" t="s">
        <v>127</v>
      </c>
      <c r="P1223">
        <v>1</v>
      </c>
      <c r="Q1223">
        <v>0</v>
      </c>
      <c r="R1223">
        <v>0</v>
      </c>
      <c r="S1223">
        <v>0</v>
      </c>
      <c r="T1223">
        <v>0</v>
      </c>
      <c r="U1223">
        <v>0</v>
      </c>
      <c r="V1223">
        <v>0</v>
      </c>
      <c r="W1223">
        <v>0</v>
      </c>
      <c r="X1223">
        <v>0</v>
      </c>
      <c r="Y1223">
        <v>0</v>
      </c>
      <c r="Z1223">
        <v>0</v>
      </c>
      <c r="AA1223">
        <v>0</v>
      </c>
      <c r="AC1223">
        <v>1</v>
      </c>
      <c r="AD1223">
        <v>0</v>
      </c>
      <c r="AE1223">
        <v>0</v>
      </c>
      <c r="AF1223">
        <v>0</v>
      </c>
      <c r="AG1223">
        <v>0</v>
      </c>
      <c r="AH1223">
        <v>0</v>
      </c>
      <c r="AI1223">
        <v>0</v>
      </c>
      <c r="AJ1223">
        <v>0</v>
      </c>
      <c r="AK1223">
        <v>0</v>
      </c>
      <c r="AX1223" t="s">
        <v>72</v>
      </c>
      <c r="AZ1223" t="s">
        <v>96</v>
      </c>
      <c r="BA1223" t="s">
        <v>86</v>
      </c>
      <c r="BB1223" t="s">
        <v>87</v>
      </c>
      <c r="BC1223" t="s">
        <v>74</v>
      </c>
      <c r="BD1223" t="s">
        <v>87</v>
      </c>
      <c r="BE1223" t="s">
        <v>74</v>
      </c>
      <c r="BF1223" t="s">
        <v>75</v>
      </c>
      <c r="BG1223" t="s">
        <v>76</v>
      </c>
      <c r="BH1223" t="s">
        <v>93</v>
      </c>
      <c r="BI1223" t="s">
        <v>96</v>
      </c>
      <c r="BJ1223" t="s">
        <v>94</v>
      </c>
      <c r="BK1223">
        <v>0</v>
      </c>
      <c r="BL1223">
        <v>0</v>
      </c>
      <c r="BM1223">
        <v>0</v>
      </c>
      <c r="BN1223">
        <v>0</v>
      </c>
      <c r="BO1223">
        <v>0</v>
      </c>
      <c r="BP1223">
        <v>1</v>
      </c>
      <c r="BQ1223">
        <v>0</v>
      </c>
      <c r="BR1223">
        <v>0</v>
      </c>
    </row>
    <row r="1224" spans="1:70" x14ac:dyDescent="0.2">
      <c r="A1224" s="1">
        <v>44587.537499999999</v>
      </c>
      <c r="B1224" s="1">
        <v>44587.538888888892</v>
      </c>
      <c r="C1224">
        <v>0</v>
      </c>
      <c r="D1224">
        <v>1</v>
      </c>
      <c r="E1224">
        <v>0</v>
      </c>
      <c r="F1224">
        <v>0</v>
      </c>
      <c r="H1224">
        <v>0</v>
      </c>
      <c r="I1224">
        <v>1</v>
      </c>
      <c r="J1224">
        <v>0</v>
      </c>
      <c r="K1224">
        <v>1</v>
      </c>
      <c r="L1224">
        <v>0</v>
      </c>
      <c r="N1224" t="s">
        <v>88</v>
      </c>
      <c r="O1224" t="s">
        <v>142</v>
      </c>
      <c r="P1224">
        <v>0</v>
      </c>
      <c r="Q1224">
        <v>0</v>
      </c>
      <c r="R1224">
        <v>0</v>
      </c>
      <c r="S1224">
        <v>0</v>
      </c>
      <c r="T1224">
        <v>1</v>
      </c>
      <c r="U1224">
        <v>0</v>
      </c>
      <c r="V1224">
        <v>0</v>
      </c>
      <c r="W1224">
        <v>0</v>
      </c>
      <c r="X1224">
        <v>0</v>
      </c>
      <c r="Y1224">
        <v>0</v>
      </c>
      <c r="Z1224">
        <v>0</v>
      </c>
      <c r="AA1224">
        <v>0</v>
      </c>
      <c r="AM1224" t="s">
        <v>81</v>
      </c>
      <c r="AN1224" t="s">
        <v>81</v>
      </c>
      <c r="AO1224" t="s">
        <v>81</v>
      </c>
      <c r="AP1224" t="s">
        <v>81</v>
      </c>
      <c r="AQ1224" t="s">
        <v>82</v>
      </c>
      <c r="AR1224" t="s">
        <v>81</v>
      </c>
      <c r="AS1224" t="s">
        <v>83</v>
      </c>
      <c r="AT1224" t="s">
        <v>83</v>
      </c>
      <c r="AU1224" t="s">
        <v>88</v>
      </c>
      <c r="AV1224" t="s">
        <v>142</v>
      </c>
      <c r="AW1224" t="s">
        <v>85</v>
      </c>
      <c r="AX1224" t="s">
        <v>106</v>
      </c>
      <c r="AZ1224" t="s">
        <v>107</v>
      </c>
      <c r="BA1224" t="s">
        <v>87</v>
      </c>
      <c r="BB1224" t="s">
        <v>87</v>
      </c>
      <c r="BC1224" t="s">
        <v>87</v>
      </c>
      <c r="BD1224" t="s">
        <v>86</v>
      </c>
      <c r="BE1224" t="s">
        <v>74</v>
      </c>
      <c r="BF1224" t="s">
        <v>75</v>
      </c>
      <c r="BG1224" t="s">
        <v>76</v>
      </c>
      <c r="BH1224" t="s">
        <v>93</v>
      </c>
      <c r="BI1224" t="s">
        <v>107</v>
      </c>
      <c r="BJ1224" t="s">
        <v>102</v>
      </c>
      <c r="BK1224">
        <v>0</v>
      </c>
      <c r="BL1224">
        <v>0</v>
      </c>
      <c r="BM1224">
        <v>0</v>
      </c>
      <c r="BN1224">
        <v>0</v>
      </c>
      <c r="BO1224">
        <v>0</v>
      </c>
      <c r="BP1224">
        <v>1</v>
      </c>
      <c r="BQ1224">
        <v>0</v>
      </c>
      <c r="BR1224">
        <v>0</v>
      </c>
    </row>
    <row r="1225" spans="1:70" x14ac:dyDescent="0.2">
      <c r="A1225" s="1">
        <v>44580.55972222222</v>
      </c>
      <c r="B1225" s="1">
        <v>44580.561111111114</v>
      </c>
      <c r="C1225">
        <v>1</v>
      </c>
      <c r="D1225">
        <v>0</v>
      </c>
      <c r="E1225">
        <v>0</v>
      </c>
      <c r="F1225">
        <v>0</v>
      </c>
      <c r="H1225">
        <v>1</v>
      </c>
      <c r="I1225">
        <v>0</v>
      </c>
      <c r="J1225">
        <v>0</v>
      </c>
      <c r="K1225">
        <v>0</v>
      </c>
      <c r="L1225">
        <v>0</v>
      </c>
      <c r="P1225">
        <v>1</v>
      </c>
      <c r="Q1225">
        <v>0</v>
      </c>
      <c r="R1225">
        <v>0</v>
      </c>
      <c r="S1225">
        <v>0</v>
      </c>
      <c r="T1225">
        <v>0</v>
      </c>
      <c r="U1225">
        <v>0</v>
      </c>
      <c r="V1225">
        <v>0</v>
      </c>
      <c r="W1225">
        <v>0</v>
      </c>
      <c r="X1225">
        <v>0</v>
      </c>
      <c r="Y1225">
        <v>0</v>
      </c>
      <c r="Z1225">
        <v>0</v>
      </c>
      <c r="AA1225">
        <v>0</v>
      </c>
      <c r="AC1225">
        <v>0</v>
      </c>
      <c r="AD1225">
        <v>1</v>
      </c>
      <c r="AE1225">
        <v>0</v>
      </c>
      <c r="AF1225">
        <v>0</v>
      </c>
      <c r="AG1225">
        <v>0</v>
      </c>
      <c r="AH1225">
        <v>0</v>
      </c>
      <c r="AI1225">
        <v>0</v>
      </c>
      <c r="AJ1225">
        <v>0</v>
      </c>
      <c r="AK1225">
        <v>0</v>
      </c>
      <c r="AX1225" t="s">
        <v>486</v>
      </c>
      <c r="AZ1225" t="s">
        <v>107</v>
      </c>
      <c r="BA1225" t="s">
        <v>86</v>
      </c>
      <c r="BB1225" t="s">
        <v>86</v>
      </c>
      <c r="BC1225" t="s">
        <v>86</v>
      </c>
      <c r="BD1225" t="s">
        <v>86</v>
      </c>
      <c r="BE1225" t="s">
        <v>86</v>
      </c>
      <c r="BF1225" t="s">
        <v>75</v>
      </c>
      <c r="BG1225" t="s">
        <v>92</v>
      </c>
      <c r="BH1225" t="s">
        <v>93</v>
      </c>
      <c r="BI1225" t="s">
        <v>107</v>
      </c>
      <c r="BJ1225" t="s">
        <v>114</v>
      </c>
      <c r="BK1225">
        <v>0</v>
      </c>
      <c r="BL1225">
        <v>0</v>
      </c>
      <c r="BM1225">
        <v>0</v>
      </c>
      <c r="BN1225">
        <v>0</v>
      </c>
      <c r="BO1225">
        <v>0</v>
      </c>
      <c r="BP1225">
        <v>1</v>
      </c>
      <c r="BQ1225">
        <v>0</v>
      </c>
      <c r="BR1225">
        <v>0</v>
      </c>
    </row>
    <row r="1226" spans="1:70" x14ac:dyDescent="0.2">
      <c r="A1226" s="1">
        <v>44583.856249999997</v>
      </c>
      <c r="B1226" s="1">
        <v>44583.85833333333</v>
      </c>
      <c r="C1226">
        <v>1</v>
      </c>
      <c r="D1226">
        <v>0</v>
      </c>
      <c r="E1226">
        <v>0</v>
      </c>
      <c r="F1226">
        <v>0</v>
      </c>
      <c r="H1226">
        <v>0</v>
      </c>
      <c r="I1226">
        <v>1</v>
      </c>
      <c r="J1226">
        <v>1</v>
      </c>
      <c r="K1226">
        <v>0</v>
      </c>
      <c r="L1226">
        <v>0</v>
      </c>
      <c r="N1226" t="s">
        <v>88</v>
      </c>
      <c r="O1226" t="s">
        <v>80</v>
      </c>
      <c r="P1226">
        <v>0</v>
      </c>
      <c r="Q1226">
        <v>0</v>
      </c>
      <c r="R1226">
        <v>1</v>
      </c>
      <c r="S1226">
        <v>0</v>
      </c>
      <c r="T1226">
        <v>0</v>
      </c>
      <c r="U1226">
        <v>0</v>
      </c>
      <c r="V1226">
        <v>0</v>
      </c>
      <c r="W1226">
        <v>0</v>
      </c>
      <c r="X1226">
        <v>0</v>
      </c>
      <c r="Y1226">
        <v>0</v>
      </c>
      <c r="Z1226">
        <v>0</v>
      </c>
      <c r="AA1226">
        <v>0</v>
      </c>
      <c r="AM1226" t="s">
        <v>83</v>
      </c>
      <c r="AN1226" t="s">
        <v>81</v>
      </c>
      <c r="AO1226" t="s">
        <v>83</v>
      </c>
      <c r="AP1226" t="s">
        <v>81</v>
      </c>
      <c r="AQ1226" t="s">
        <v>82</v>
      </c>
      <c r="AR1226" t="s">
        <v>81</v>
      </c>
      <c r="AS1226" t="s">
        <v>81</v>
      </c>
      <c r="AT1226" t="s">
        <v>83</v>
      </c>
      <c r="AU1226" t="s">
        <v>88</v>
      </c>
      <c r="AV1226" t="s">
        <v>80</v>
      </c>
      <c r="AW1226" t="s">
        <v>85</v>
      </c>
      <c r="AX1226" t="s">
        <v>146</v>
      </c>
      <c r="AZ1226" t="s">
        <v>107</v>
      </c>
      <c r="BA1226" t="s">
        <v>74</v>
      </c>
      <c r="BF1226" t="s">
        <v>75</v>
      </c>
      <c r="BG1226" t="s">
        <v>76</v>
      </c>
      <c r="BH1226" t="s">
        <v>77</v>
      </c>
      <c r="BI1226" t="s">
        <v>107</v>
      </c>
      <c r="BJ1226" t="s">
        <v>102</v>
      </c>
      <c r="BK1226">
        <v>0</v>
      </c>
      <c r="BL1226">
        <v>0</v>
      </c>
      <c r="BM1226">
        <v>0</v>
      </c>
      <c r="BN1226">
        <v>0</v>
      </c>
      <c r="BO1226">
        <v>0</v>
      </c>
      <c r="BP1226">
        <v>1</v>
      </c>
      <c r="BQ1226">
        <v>0</v>
      </c>
      <c r="BR1226">
        <v>0</v>
      </c>
    </row>
    <row r="1227" spans="1:70" x14ac:dyDescent="0.2">
      <c r="A1227" s="1">
        <v>44589.025000000001</v>
      </c>
      <c r="B1227" s="1">
        <v>44589.025694444441</v>
      </c>
      <c r="C1227">
        <v>1</v>
      </c>
      <c r="D1227">
        <v>0</v>
      </c>
      <c r="E1227">
        <v>0</v>
      </c>
      <c r="F1227">
        <v>0</v>
      </c>
      <c r="H1227">
        <v>1</v>
      </c>
      <c r="I1227">
        <v>0</v>
      </c>
      <c r="J1227">
        <v>0</v>
      </c>
      <c r="K1227">
        <v>0</v>
      </c>
      <c r="L1227">
        <v>0</v>
      </c>
      <c r="P1227">
        <v>1</v>
      </c>
      <c r="Q1227">
        <v>0</v>
      </c>
      <c r="R1227">
        <v>0</v>
      </c>
      <c r="S1227">
        <v>0</v>
      </c>
      <c r="T1227">
        <v>0</v>
      </c>
      <c r="U1227">
        <v>0</v>
      </c>
      <c r="V1227">
        <v>0</v>
      </c>
      <c r="W1227">
        <v>0</v>
      </c>
      <c r="X1227">
        <v>0</v>
      </c>
      <c r="Y1227">
        <v>0</v>
      </c>
      <c r="Z1227">
        <v>0</v>
      </c>
      <c r="AA1227">
        <v>0</v>
      </c>
      <c r="AC1227">
        <v>0</v>
      </c>
      <c r="AD1227">
        <v>0</v>
      </c>
      <c r="AE1227">
        <v>0</v>
      </c>
      <c r="AF1227">
        <v>0</v>
      </c>
      <c r="AG1227">
        <v>0</v>
      </c>
      <c r="AH1227">
        <v>0</v>
      </c>
      <c r="AI1227">
        <v>1</v>
      </c>
      <c r="AJ1227">
        <v>0</v>
      </c>
      <c r="AK1227">
        <v>0</v>
      </c>
      <c r="AX1227" t="s">
        <v>72</v>
      </c>
      <c r="AZ1227" t="s">
        <v>107</v>
      </c>
      <c r="BA1227" t="s">
        <v>74</v>
      </c>
      <c r="BF1227" t="s">
        <v>75</v>
      </c>
      <c r="BG1227" t="s">
        <v>76</v>
      </c>
      <c r="BH1227" t="s">
        <v>77</v>
      </c>
      <c r="BI1227" t="s">
        <v>107</v>
      </c>
      <c r="BJ1227" t="s">
        <v>109</v>
      </c>
      <c r="BK1227">
        <v>0</v>
      </c>
      <c r="BL1227">
        <v>0</v>
      </c>
      <c r="BM1227">
        <v>0</v>
      </c>
      <c r="BN1227">
        <v>0</v>
      </c>
      <c r="BO1227">
        <v>0</v>
      </c>
      <c r="BP1227">
        <v>1</v>
      </c>
      <c r="BQ1227">
        <v>0</v>
      </c>
      <c r="BR1227">
        <v>0</v>
      </c>
    </row>
    <row r="1228" spans="1:70" x14ac:dyDescent="0.2">
      <c r="A1228" s="1">
        <v>44579.79583333333</v>
      </c>
      <c r="B1228" s="1">
        <v>44579.798611111109</v>
      </c>
      <c r="C1228">
        <v>0</v>
      </c>
      <c r="D1228">
        <v>1</v>
      </c>
      <c r="E1228">
        <v>0</v>
      </c>
      <c r="F1228">
        <v>0</v>
      </c>
      <c r="H1228">
        <v>0</v>
      </c>
      <c r="I1228">
        <v>0</v>
      </c>
      <c r="J1228">
        <v>0</v>
      </c>
      <c r="K1228">
        <v>0</v>
      </c>
      <c r="L1228">
        <v>1</v>
      </c>
      <c r="M1228" t="s">
        <v>520</v>
      </c>
      <c r="N1228" t="s">
        <v>79</v>
      </c>
      <c r="O1228" t="s">
        <v>127</v>
      </c>
      <c r="P1228">
        <v>1</v>
      </c>
      <c r="Q1228">
        <v>0</v>
      </c>
      <c r="R1228">
        <v>0</v>
      </c>
      <c r="S1228">
        <v>0</v>
      </c>
      <c r="T1228">
        <v>0</v>
      </c>
      <c r="U1228">
        <v>0</v>
      </c>
      <c r="V1228">
        <v>0</v>
      </c>
      <c r="W1228">
        <v>0</v>
      </c>
      <c r="X1228">
        <v>0</v>
      </c>
      <c r="Y1228">
        <v>0</v>
      </c>
      <c r="Z1228">
        <v>0</v>
      </c>
      <c r="AA1228">
        <v>0</v>
      </c>
      <c r="AC1228">
        <v>0</v>
      </c>
      <c r="AD1228">
        <v>0</v>
      </c>
      <c r="AE1228">
        <v>1</v>
      </c>
      <c r="AF1228">
        <v>0</v>
      </c>
      <c r="AG1228">
        <v>0</v>
      </c>
      <c r="AH1228">
        <v>0</v>
      </c>
      <c r="AI1228">
        <v>1</v>
      </c>
      <c r="AJ1228">
        <v>1</v>
      </c>
      <c r="AK1228">
        <v>0</v>
      </c>
      <c r="AX1228" t="s">
        <v>72</v>
      </c>
      <c r="AZ1228" t="s">
        <v>107</v>
      </c>
      <c r="BA1228" t="s">
        <v>74</v>
      </c>
      <c r="BF1228" t="s">
        <v>75</v>
      </c>
      <c r="BG1228" t="s">
        <v>76</v>
      </c>
      <c r="BH1228" t="s">
        <v>77</v>
      </c>
      <c r="BI1228" t="s">
        <v>107</v>
      </c>
      <c r="BJ1228" t="s">
        <v>94</v>
      </c>
      <c r="BK1228">
        <v>0</v>
      </c>
      <c r="BL1228">
        <v>0</v>
      </c>
      <c r="BM1228">
        <v>0</v>
      </c>
      <c r="BN1228">
        <v>0</v>
      </c>
      <c r="BO1228">
        <v>0</v>
      </c>
      <c r="BP1228">
        <v>1</v>
      </c>
      <c r="BQ1228">
        <v>0</v>
      </c>
      <c r="BR1228">
        <v>0</v>
      </c>
    </row>
    <row r="1229" spans="1:70" x14ac:dyDescent="0.2">
      <c r="A1229" s="1">
        <v>44585.611805555556</v>
      </c>
      <c r="B1229" s="1">
        <v>44585.615972222222</v>
      </c>
      <c r="C1229">
        <v>1</v>
      </c>
      <c r="D1229">
        <v>0</v>
      </c>
      <c r="E1229">
        <v>0</v>
      </c>
      <c r="F1229">
        <v>0</v>
      </c>
      <c r="H1229">
        <v>0</v>
      </c>
      <c r="I1229">
        <v>0</v>
      </c>
      <c r="J1229">
        <v>0</v>
      </c>
      <c r="K1229">
        <v>0</v>
      </c>
      <c r="L1229">
        <v>1</v>
      </c>
      <c r="M1229" t="s">
        <v>521</v>
      </c>
      <c r="N1229" t="s">
        <v>88</v>
      </c>
      <c r="O1229" t="s">
        <v>89</v>
      </c>
      <c r="P1229">
        <v>1</v>
      </c>
      <c r="Q1229">
        <v>0</v>
      </c>
      <c r="R1229">
        <v>0</v>
      </c>
      <c r="S1229">
        <v>0</v>
      </c>
      <c r="T1229">
        <v>0</v>
      </c>
      <c r="U1229">
        <v>0</v>
      </c>
      <c r="V1229">
        <v>0</v>
      </c>
      <c r="W1229">
        <v>0</v>
      </c>
      <c r="X1229">
        <v>0</v>
      </c>
      <c r="Y1229">
        <v>0</v>
      </c>
      <c r="Z1229">
        <v>0</v>
      </c>
      <c r="AA1229">
        <v>0</v>
      </c>
      <c r="AC1229">
        <v>0</v>
      </c>
      <c r="AD1229">
        <v>0</v>
      </c>
      <c r="AE1229">
        <v>1</v>
      </c>
      <c r="AF1229">
        <v>0</v>
      </c>
      <c r="AG1229">
        <v>0</v>
      </c>
      <c r="AH1229">
        <v>0</v>
      </c>
      <c r="AI1229">
        <v>0</v>
      </c>
      <c r="AJ1229">
        <v>0</v>
      </c>
      <c r="AK1229">
        <v>0</v>
      </c>
      <c r="AX1229" t="s">
        <v>110</v>
      </c>
      <c r="AY1229" t="s">
        <v>522</v>
      </c>
      <c r="AZ1229" t="s">
        <v>73</v>
      </c>
      <c r="BA1229" t="s">
        <v>86</v>
      </c>
      <c r="BB1229" t="s">
        <v>86</v>
      </c>
      <c r="BC1229" t="s">
        <v>87</v>
      </c>
      <c r="BD1229" t="s">
        <v>87</v>
      </c>
      <c r="BE1229" t="s">
        <v>87</v>
      </c>
      <c r="BF1229" t="s">
        <v>75</v>
      </c>
      <c r="BG1229" t="s">
        <v>171</v>
      </c>
      <c r="BH1229" t="s">
        <v>93</v>
      </c>
      <c r="BI1229" t="s">
        <v>73</v>
      </c>
      <c r="BJ1229" t="s">
        <v>114</v>
      </c>
      <c r="BK1229">
        <v>0</v>
      </c>
      <c r="BL1229">
        <v>1</v>
      </c>
      <c r="BM1229">
        <v>0</v>
      </c>
      <c r="BN1229">
        <v>1</v>
      </c>
      <c r="BO1229">
        <v>0</v>
      </c>
      <c r="BP1229">
        <v>1</v>
      </c>
      <c r="BQ1229">
        <v>0</v>
      </c>
      <c r="BR1229">
        <v>0</v>
      </c>
    </row>
    <row r="1230" spans="1:70" x14ac:dyDescent="0.2">
      <c r="A1230" s="1">
        <v>44580.569444444445</v>
      </c>
      <c r="B1230" s="1">
        <v>44580.570833333331</v>
      </c>
      <c r="C1230">
        <v>1</v>
      </c>
      <c r="D1230">
        <v>0</v>
      </c>
      <c r="E1230">
        <v>0</v>
      </c>
      <c r="F1230">
        <v>0</v>
      </c>
      <c r="H1230">
        <v>0</v>
      </c>
      <c r="I1230">
        <v>1</v>
      </c>
      <c r="J1230">
        <v>0</v>
      </c>
      <c r="K1230">
        <v>0</v>
      </c>
      <c r="L1230">
        <v>0</v>
      </c>
      <c r="N1230" t="s">
        <v>88</v>
      </c>
      <c r="O1230" t="s">
        <v>80</v>
      </c>
      <c r="P1230">
        <v>0</v>
      </c>
      <c r="Q1230">
        <v>0</v>
      </c>
      <c r="R1230">
        <v>1</v>
      </c>
      <c r="S1230">
        <v>0</v>
      </c>
      <c r="T1230">
        <v>0</v>
      </c>
      <c r="U1230">
        <v>0</v>
      </c>
      <c r="V1230">
        <v>0</v>
      </c>
      <c r="W1230">
        <v>0</v>
      </c>
      <c r="X1230">
        <v>0</v>
      </c>
      <c r="Y1230">
        <v>0</v>
      </c>
      <c r="Z1230">
        <v>0</v>
      </c>
      <c r="AA1230">
        <v>0</v>
      </c>
      <c r="AM1230" t="s">
        <v>81</v>
      </c>
      <c r="AN1230" t="s">
        <v>81</v>
      </c>
      <c r="AO1230" t="s">
        <v>81</v>
      </c>
      <c r="AP1230" t="s">
        <v>83</v>
      </c>
      <c r="AQ1230" t="s">
        <v>82</v>
      </c>
      <c r="AR1230" t="s">
        <v>83</v>
      </c>
      <c r="AS1230" t="s">
        <v>83</v>
      </c>
      <c r="AT1230" t="s">
        <v>83</v>
      </c>
      <c r="AU1230" t="s">
        <v>88</v>
      </c>
      <c r="AV1230" t="s">
        <v>80</v>
      </c>
      <c r="AW1230" t="s">
        <v>100</v>
      </c>
      <c r="AX1230" t="s">
        <v>146</v>
      </c>
      <c r="AZ1230" t="s">
        <v>107</v>
      </c>
      <c r="BA1230" t="s">
        <v>87</v>
      </c>
      <c r="BB1230" t="s">
        <v>87</v>
      </c>
      <c r="BC1230" t="s">
        <v>87</v>
      </c>
      <c r="BD1230" t="s">
        <v>87</v>
      </c>
      <c r="BE1230" t="s">
        <v>87</v>
      </c>
      <c r="BF1230" t="s">
        <v>75</v>
      </c>
      <c r="BG1230" t="s">
        <v>76</v>
      </c>
      <c r="BH1230" t="s">
        <v>77</v>
      </c>
      <c r="BI1230" t="s">
        <v>107</v>
      </c>
      <c r="BJ1230" t="s">
        <v>109</v>
      </c>
      <c r="BK1230">
        <v>0</v>
      </c>
      <c r="BL1230">
        <v>0</v>
      </c>
      <c r="BM1230">
        <v>0</v>
      </c>
      <c r="BN1230">
        <v>0</v>
      </c>
      <c r="BO1230">
        <v>0</v>
      </c>
      <c r="BP1230">
        <v>1</v>
      </c>
      <c r="BQ1230">
        <v>0</v>
      </c>
      <c r="BR1230">
        <v>0</v>
      </c>
    </row>
    <row r="1231" spans="1:70" x14ac:dyDescent="0.2">
      <c r="A1231" s="1">
        <v>44588.909722222219</v>
      </c>
      <c r="B1231" s="1">
        <v>44588.911805555559</v>
      </c>
      <c r="C1231">
        <v>0</v>
      </c>
      <c r="D1231">
        <v>1</v>
      </c>
      <c r="E1231">
        <v>0</v>
      </c>
      <c r="F1231">
        <v>0</v>
      </c>
      <c r="H1231">
        <v>1</v>
      </c>
      <c r="I1231">
        <v>0</v>
      </c>
      <c r="J1231">
        <v>0</v>
      </c>
      <c r="K1231">
        <v>0</v>
      </c>
      <c r="L1231">
        <v>0</v>
      </c>
      <c r="P1231">
        <v>1</v>
      </c>
      <c r="Q1231">
        <v>0</v>
      </c>
      <c r="R1231">
        <v>0</v>
      </c>
      <c r="S1231">
        <v>0</v>
      </c>
      <c r="T1231">
        <v>0</v>
      </c>
      <c r="U1231">
        <v>0</v>
      </c>
      <c r="V1231">
        <v>0</v>
      </c>
      <c r="W1231">
        <v>0</v>
      </c>
      <c r="X1231">
        <v>0</v>
      </c>
      <c r="Y1231">
        <v>0</v>
      </c>
      <c r="Z1231">
        <v>0</v>
      </c>
      <c r="AA1231">
        <v>0</v>
      </c>
      <c r="AC1231">
        <v>0</v>
      </c>
      <c r="AD1231">
        <v>0</v>
      </c>
      <c r="AE1231">
        <v>0</v>
      </c>
      <c r="AF1231">
        <v>0</v>
      </c>
      <c r="AG1231">
        <v>0</v>
      </c>
      <c r="AH1231">
        <v>1</v>
      </c>
      <c r="AI1231">
        <v>0</v>
      </c>
      <c r="AJ1231">
        <v>0</v>
      </c>
      <c r="AK1231">
        <v>0</v>
      </c>
      <c r="AZ1231" t="s">
        <v>73</v>
      </c>
      <c r="BA1231" t="s">
        <v>87</v>
      </c>
      <c r="BB1231" t="s">
        <v>87</v>
      </c>
      <c r="BC1231" t="s">
        <v>87</v>
      </c>
      <c r="BD1231" t="s">
        <v>87</v>
      </c>
      <c r="BE1231" t="s">
        <v>86</v>
      </c>
      <c r="BF1231" t="s">
        <v>159</v>
      </c>
      <c r="BG1231" t="s">
        <v>76</v>
      </c>
      <c r="BH1231" t="s">
        <v>77</v>
      </c>
      <c r="BI1231" t="s">
        <v>73</v>
      </c>
      <c r="BJ1231" t="s">
        <v>176</v>
      </c>
      <c r="BK1231">
        <v>1</v>
      </c>
      <c r="BL1231">
        <v>0</v>
      </c>
      <c r="BM1231">
        <v>0</v>
      </c>
      <c r="BN1231">
        <v>0</v>
      </c>
      <c r="BO1231">
        <v>0</v>
      </c>
      <c r="BP1231">
        <v>1</v>
      </c>
      <c r="BQ1231">
        <v>0</v>
      </c>
      <c r="BR1231">
        <v>0</v>
      </c>
    </row>
    <row r="1232" spans="1:70" x14ac:dyDescent="0.2">
      <c r="A1232" s="1">
        <v>44579.904166666667</v>
      </c>
      <c r="B1232" s="1">
        <v>44579.90902777778</v>
      </c>
      <c r="C1232">
        <v>1</v>
      </c>
      <c r="D1232">
        <v>0</v>
      </c>
      <c r="E1232">
        <v>0</v>
      </c>
      <c r="F1232">
        <v>0</v>
      </c>
      <c r="H1232">
        <v>0</v>
      </c>
      <c r="I1232">
        <v>0</v>
      </c>
      <c r="J1232">
        <v>0</v>
      </c>
      <c r="K1232">
        <v>0</v>
      </c>
      <c r="L1232">
        <v>1</v>
      </c>
      <c r="M1232" t="s">
        <v>523</v>
      </c>
      <c r="N1232" t="s">
        <v>88</v>
      </c>
      <c r="O1232" t="s">
        <v>89</v>
      </c>
      <c r="P1232">
        <v>0</v>
      </c>
      <c r="Q1232">
        <v>1</v>
      </c>
      <c r="R1232">
        <v>0</v>
      </c>
      <c r="S1232">
        <v>0</v>
      </c>
      <c r="T1232">
        <v>0</v>
      </c>
      <c r="U1232">
        <v>0</v>
      </c>
      <c r="V1232">
        <v>0</v>
      </c>
      <c r="W1232">
        <v>0</v>
      </c>
      <c r="X1232">
        <v>0</v>
      </c>
      <c r="Y1232">
        <v>0</v>
      </c>
      <c r="Z1232">
        <v>0</v>
      </c>
      <c r="AA1232">
        <v>0</v>
      </c>
      <c r="AM1232" t="s">
        <v>90</v>
      </c>
      <c r="AN1232" t="s">
        <v>81</v>
      </c>
      <c r="AO1232" t="s">
        <v>81</v>
      </c>
      <c r="AP1232" t="s">
        <v>82</v>
      </c>
      <c r="AQ1232" t="s">
        <v>83</v>
      </c>
      <c r="AR1232" t="s">
        <v>83</v>
      </c>
      <c r="AS1232" t="s">
        <v>83</v>
      </c>
      <c r="AT1232" t="s">
        <v>83</v>
      </c>
      <c r="AU1232" t="s">
        <v>88</v>
      </c>
      <c r="AV1232" t="s">
        <v>89</v>
      </c>
      <c r="AW1232" t="s">
        <v>100</v>
      </c>
      <c r="AZ1232" t="s">
        <v>73</v>
      </c>
      <c r="BA1232" t="s">
        <v>86</v>
      </c>
      <c r="BB1232" t="s">
        <v>86</v>
      </c>
      <c r="BC1232" t="s">
        <v>86</v>
      </c>
      <c r="BD1232" t="s">
        <v>86</v>
      </c>
      <c r="BE1232" t="s">
        <v>86</v>
      </c>
      <c r="BF1232" t="s">
        <v>159</v>
      </c>
      <c r="BG1232" t="s">
        <v>92</v>
      </c>
      <c r="BH1232" t="s">
        <v>77</v>
      </c>
      <c r="BI1232" t="s">
        <v>73</v>
      </c>
      <c r="BK1232">
        <v>0</v>
      </c>
      <c r="BL1232">
        <v>0</v>
      </c>
      <c r="BM1232">
        <v>0</v>
      </c>
      <c r="BN1232">
        <v>0</v>
      </c>
      <c r="BO1232">
        <v>0</v>
      </c>
      <c r="BP1232">
        <v>1</v>
      </c>
      <c r="BQ1232">
        <v>0</v>
      </c>
      <c r="BR1232">
        <v>0</v>
      </c>
    </row>
    <row r="1233" spans="1:72" x14ac:dyDescent="0.2">
      <c r="A1233" s="1">
        <v>44580.637499999997</v>
      </c>
      <c r="B1233" s="1">
        <v>44580.640972222223</v>
      </c>
      <c r="C1233">
        <v>1</v>
      </c>
      <c r="D1233">
        <v>0</v>
      </c>
      <c r="E1233">
        <v>0</v>
      </c>
      <c r="F1233">
        <v>0</v>
      </c>
      <c r="H1233">
        <v>1</v>
      </c>
      <c r="I1233">
        <v>0</v>
      </c>
      <c r="J1233">
        <v>0</v>
      </c>
      <c r="K1233">
        <v>0</v>
      </c>
      <c r="L1233">
        <v>0</v>
      </c>
      <c r="P1233">
        <v>1</v>
      </c>
      <c r="Q1233">
        <v>0</v>
      </c>
      <c r="R1233">
        <v>0</v>
      </c>
      <c r="S1233">
        <v>0</v>
      </c>
      <c r="T1233">
        <v>0</v>
      </c>
      <c r="U1233">
        <v>0</v>
      </c>
      <c r="V1233">
        <v>0</v>
      </c>
      <c r="W1233">
        <v>0</v>
      </c>
      <c r="X1233">
        <v>0</v>
      </c>
      <c r="Y1233">
        <v>0</v>
      </c>
      <c r="Z1233">
        <v>0</v>
      </c>
      <c r="AA1233">
        <v>0</v>
      </c>
      <c r="AC1233">
        <v>0</v>
      </c>
      <c r="AD1233">
        <v>0</v>
      </c>
      <c r="AE1233">
        <v>0</v>
      </c>
      <c r="AF1233">
        <v>0</v>
      </c>
      <c r="AG1233">
        <v>0</v>
      </c>
      <c r="AH1233">
        <v>0</v>
      </c>
      <c r="AI1233">
        <v>0</v>
      </c>
      <c r="AJ1233">
        <v>0</v>
      </c>
      <c r="AK1233">
        <v>1</v>
      </c>
      <c r="AL1233" t="s">
        <v>524</v>
      </c>
      <c r="AZ1233" t="s">
        <v>107</v>
      </c>
      <c r="BA1233" t="s">
        <v>87</v>
      </c>
      <c r="BB1233" t="s">
        <v>74</v>
      </c>
      <c r="BC1233" t="s">
        <v>87</v>
      </c>
      <c r="BD1233" t="s">
        <v>74</v>
      </c>
      <c r="BE1233" t="s">
        <v>74</v>
      </c>
      <c r="BF1233" t="s">
        <v>97</v>
      </c>
      <c r="BG1233" t="s">
        <v>92</v>
      </c>
      <c r="BH1233" t="s">
        <v>98</v>
      </c>
      <c r="BI1233" t="s">
        <v>107</v>
      </c>
      <c r="BJ1233" t="s">
        <v>174</v>
      </c>
      <c r="BK1233">
        <v>0</v>
      </c>
      <c r="BL1233">
        <v>1</v>
      </c>
      <c r="BM1233">
        <v>0</v>
      </c>
      <c r="BN1233">
        <v>0</v>
      </c>
      <c r="BO1233">
        <v>0</v>
      </c>
      <c r="BP1233">
        <v>0</v>
      </c>
      <c r="BQ1233">
        <v>0</v>
      </c>
      <c r="BR1233">
        <v>0</v>
      </c>
    </row>
    <row r="1234" spans="1:72" x14ac:dyDescent="0.2">
      <c r="A1234" s="1">
        <v>44579.919444444444</v>
      </c>
      <c r="B1234" s="1">
        <v>44579.92083333333</v>
      </c>
      <c r="C1234">
        <v>0</v>
      </c>
      <c r="D1234">
        <v>1</v>
      </c>
      <c r="E1234">
        <v>0</v>
      </c>
      <c r="F1234">
        <v>0</v>
      </c>
      <c r="H1234">
        <v>0</v>
      </c>
      <c r="I1234">
        <v>1</v>
      </c>
      <c r="J1234">
        <v>1</v>
      </c>
      <c r="K1234">
        <v>1</v>
      </c>
      <c r="L1234">
        <v>0</v>
      </c>
      <c r="N1234" t="s">
        <v>88</v>
      </c>
      <c r="O1234" t="s">
        <v>89</v>
      </c>
      <c r="P1234">
        <v>0</v>
      </c>
      <c r="Q1234">
        <v>1</v>
      </c>
      <c r="R1234">
        <v>0</v>
      </c>
      <c r="S1234">
        <v>0</v>
      </c>
      <c r="T1234">
        <v>0</v>
      </c>
      <c r="U1234">
        <v>0</v>
      </c>
      <c r="V1234">
        <v>0</v>
      </c>
      <c r="W1234">
        <v>0</v>
      </c>
      <c r="X1234">
        <v>0</v>
      </c>
      <c r="Y1234">
        <v>0</v>
      </c>
      <c r="Z1234">
        <v>0</v>
      </c>
      <c r="AA1234">
        <v>0</v>
      </c>
      <c r="AM1234" t="s">
        <v>83</v>
      </c>
      <c r="AN1234" t="s">
        <v>82</v>
      </c>
      <c r="AO1234" t="s">
        <v>81</v>
      </c>
      <c r="AP1234" t="s">
        <v>82</v>
      </c>
      <c r="AQ1234" t="s">
        <v>81</v>
      </c>
      <c r="AR1234" t="s">
        <v>83</v>
      </c>
      <c r="AS1234" t="s">
        <v>81</v>
      </c>
      <c r="AT1234" t="s">
        <v>83</v>
      </c>
      <c r="AU1234" t="s">
        <v>88</v>
      </c>
      <c r="AV1234" t="s">
        <v>89</v>
      </c>
      <c r="AW1234" t="s">
        <v>100</v>
      </c>
      <c r="AX1234" t="s">
        <v>122</v>
      </c>
      <c r="AZ1234" t="s">
        <v>73</v>
      </c>
      <c r="BA1234" t="s">
        <v>86</v>
      </c>
      <c r="BB1234" t="s">
        <v>87</v>
      </c>
      <c r="BC1234" t="s">
        <v>87</v>
      </c>
      <c r="BD1234" t="s">
        <v>87</v>
      </c>
      <c r="BE1234" t="s">
        <v>87</v>
      </c>
      <c r="BF1234" t="s">
        <v>75</v>
      </c>
      <c r="BG1234" t="s">
        <v>76</v>
      </c>
      <c r="BH1234" t="s">
        <v>93</v>
      </c>
      <c r="BI1234" t="s">
        <v>73</v>
      </c>
      <c r="BJ1234" t="s">
        <v>94</v>
      </c>
      <c r="BK1234">
        <v>0</v>
      </c>
      <c r="BL1234">
        <v>0</v>
      </c>
      <c r="BM1234">
        <v>0</v>
      </c>
      <c r="BN1234">
        <v>0</v>
      </c>
      <c r="BO1234">
        <v>0</v>
      </c>
      <c r="BP1234">
        <v>1</v>
      </c>
      <c r="BQ1234">
        <v>0</v>
      </c>
      <c r="BR1234">
        <v>0</v>
      </c>
    </row>
    <row r="1235" spans="1:72" x14ac:dyDescent="0.2">
      <c r="A1235" s="1">
        <v>44585.718055555553</v>
      </c>
      <c r="B1235" s="1">
        <v>44585.719444444447</v>
      </c>
      <c r="C1235">
        <v>1</v>
      </c>
      <c r="D1235">
        <v>0</v>
      </c>
      <c r="E1235">
        <v>0</v>
      </c>
      <c r="F1235">
        <v>0</v>
      </c>
      <c r="H1235">
        <v>1</v>
      </c>
      <c r="I1235">
        <v>0</v>
      </c>
      <c r="J1235">
        <v>0</v>
      </c>
      <c r="K1235">
        <v>0</v>
      </c>
      <c r="L1235">
        <v>0</v>
      </c>
      <c r="P1235">
        <v>1</v>
      </c>
      <c r="Q1235">
        <v>0</v>
      </c>
      <c r="R1235">
        <v>0</v>
      </c>
      <c r="S1235">
        <v>0</v>
      </c>
      <c r="T1235">
        <v>0</v>
      </c>
      <c r="U1235">
        <v>0</v>
      </c>
      <c r="V1235">
        <v>0</v>
      </c>
      <c r="W1235">
        <v>0</v>
      </c>
      <c r="X1235">
        <v>0</v>
      </c>
      <c r="Y1235">
        <v>0</v>
      </c>
      <c r="Z1235">
        <v>0</v>
      </c>
      <c r="AA1235">
        <v>0</v>
      </c>
      <c r="AC1235">
        <v>0</v>
      </c>
      <c r="AD1235">
        <v>0</v>
      </c>
      <c r="AE1235">
        <v>1</v>
      </c>
      <c r="AF1235">
        <v>0</v>
      </c>
      <c r="AG1235">
        <v>0</v>
      </c>
      <c r="AH1235">
        <v>0</v>
      </c>
      <c r="AI1235">
        <v>0</v>
      </c>
      <c r="AJ1235">
        <v>0</v>
      </c>
      <c r="AK1235">
        <v>0</v>
      </c>
      <c r="AZ1235" t="s">
        <v>96</v>
      </c>
      <c r="BA1235" t="s">
        <v>87</v>
      </c>
      <c r="BB1235" t="s">
        <v>86</v>
      </c>
      <c r="BC1235" t="s">
        <v>86</v>
      </c>
      <c r="BD1235" t="s">
        <v>86</v>
      </c>
      <c r="BE1235" t="s">
        <v>86</v>
      </c>
      <c r="BF1235" t="s">
        <v>97</v>
      </c>
      <c r="BG1235" t="s">
        <v>76</v>
      </c>
      <c r="BH1235" t="s">
        <v>77</v>
      </c>
      <c r="BI1235" t="s">
        <v>96</v>
      </c>
      <c r="BJ1235" t="s">
        <v>109</v>
      </c>
      <c r="BK1235">
        <v>0</v>
      </c>
      <c r="BL1235">
        <v>0</v>
      </c>
      <c r="BM1235">
        <v>0</v>
      </c>
      <c r="BN1235">
        <v>0</v>
      </c>
      <c r="BO1235">
        <v>0</v>
      </c>
      <c r="BP1235">
        <v>1</v>
      </c>
      <c r="BQ1235">
        <v>0</v>
      </c>
      <c r="BR1235">
        <v>0</v>
      </c>
    </row>
    <row r="1236" spans="1:72" x14ac:dyDescent="0.2">
      <c r="A1236" s="1">
        <v>44587.584722222222</v>
      </c>
      <c r="B1236" s="1">
        <v>44587.586111111108</v>
      </c>
      <c r="C1236">
        <v>0</v>
      </c>
      <c r="D1236">
        <v>1</v>
      </c>
      <c r="E1236">
        <v>0</v>
      </c>
      <c r="F1236">
        <v>0</v>
      </c>
      <c r="H1236">
        <v>1</v>
      </c>
      <c r="I1236">
        <v>0</v>
      </c>
      <c r="J1236">
        <v>0</v>
      </c>
      <c r="K1236">
        <v>0</v>
      </c>
      <c r="L1236">
        <v>0</v>
      </c>
      <c r="P1236">
        <v>1</v>
      </c>
      <c r="Q1236">
        <v>0</v>
      </c>
      <c r="R1236">
        <v>0</v>
      </c>
      <c r="S1236">
        <v>0</v>
      </c>
      <c r="T1236">
        <v>0</v>
      </c>
      <c r="U1236">
        <v>0</v>
      </c>
      <c r="V1236">
        <v>0</v>
      </c>
      <c r="W1236">
        <v>0</v>
      </c>
      <c r="X1236">
        <v>0</v>
      </c>
      <c r="Y1236">
        <v>0</v>
      </c>
      <c r="Z1236">
        <v>0</v>
      </c>
      <c r="AA1236">
        <v>0</v>
      </c>
      <c r="AC1236">
        <v>0</v>
      </c>
      <c r="AD1236">
        <v>1</v>
      </c>
      <c r="AE1236">
        <v>0</v>
      </c>
      <c r="AF1236">
        <v>0</v>
      </c>
      <c r="AG1236">
        <v>0</v>
      </c>
      <c r="AH1236">
        <v>0</v>
      </c>
      <c r="AI1236">
        <v>0</v>
      </c>
      <c r="AJ1236">
        <v>0</v>
      </c>
      <c r="AK1236">
        <v>0</v>
      </c>
      <c r="AZ1236" t="s">
        <v>73</v>
      </c>
      <c r="BA1236" t="s">
        <v>87</v>
      </c>
      <c r="BB1236" t="s">
        <v>86</v>
      </c>
      <c r="BC1236" t="s">
        <v>87</v>
      </c>
      <c r="BD1236" t="s">
        <v>87</v>
      </c>
      <c r="BE1236" t="s">
        <v>87</v>
      </c>
      <c r="BF1236" t="s">
        <v>101</v>
      </c>
      <c r="BG1236" t="s">
        <v>76</v>
      </c>
      <c r="BH1236" t="s">
        <v>77</v>
      </c>
      <c r="BI1236" t="s">
        <v>73</v>
      </c>
      <c r="BK1236">
        <v>0</v>
      </c>
      <c r="BL1236">
        <v>0</v>
      </c>
      <c r="BM1236">
        <v>0</v>
      </c>
      <c r="BN1236">
        <v>0</v>
      </c>
      <c r="BO1236">
        <v>0</v>
      </c>
      <c r="BP1236">
        <v>1</v>
      </c>
      <c r="BQ1236">
        <v>0</v>
      </c>
      <c r="BR1236">
        <v>0</v>
      </c>
      <c r="BT1236" t="s">
        <v>109</v>
      </c>
    </row>
    <row r="1237" spans="1:72" x14ac:dyDescent="0.2">
      <c r="A1237" s="1">
        <v>44581.688194444447</v>
      </c>
      <c r="B1237" s="1">
        <v>44581.692361111112</v>
      </c>
      <c r="C1237">
        <v>0</v>
      </c>
      <c r="D1237">
        <v>1</v>
      </c>
      <c r="E1237">
        <v>0</v>
      </c>
      <c r="F1237">
        <v>0</v>
      </c>
      <c r="H1237">
        <v>0</v>
      </c>
      <c r="I1237">
        <v>1</v>
      </c>
      <c r="J1237">
        <v>0</v>
      </c>
      <c r="K1237">
        <v>1</v>
      </c>
      <c r="L1237">
        <v>0</v>
      </c>
      <c r="N1237" t="s">
        <v>135</v>
      </c>
      <c r="O1237" t="s">
        <v>80</v>
      </c>
      <c r="P1237">
        <v>0</v>
      </c>
      <c r="Q1237">
        <v>1</v>
      </c>
      <c r="R1237">
        <v>0</v>
      </c>
      <c r="S1237">
        <v>0</v>
      </c>
      <c r="T1237">
        <v>0</v>
      </c>
      <c r="U1237">
        <v>0</v>
      </c>
      <c r="V1237">
        <v>0</v>
      </c>
      <c r="W1237">
        <v>0</v>
      </c>
      <c r="X1237">
        <v>0</v>
      </c>
      <c r="Y1237">
        <v>0</v>
      </c>
      <c r="Z1237">
        <v>0</v>
      </c>
      <c r="AA1237">
        <v>0</v>
      </c>
      <c r="AM1237" t="s">
        <v>90</v>
      </c>
      <c r="AN1237" t="s">
        <v>82</v>
      </c>
      <c r="AO1237" t="s">
        <v>82</v>
      </c>
      <c r="AP1237" t="s">
        <v>82</v>
      </c>
      <c r="AQ1237" t="s">
        <v>83</v>
      </c>
      <c r="AR1237" t="s">
        <v>90</v>
      </c>
      <c r="AS1237" t="s">
        <v>90</v>
      </c>
      <c r="AT1237" t="s">
        <v>83</v>
      </c>
      <c r="AU1237" t="s">
        <v>88</v>
      </c>
      <c r="AV1237" t="s">
        <v>89</v>
      </c>
      <c r="AW1237" t="s">
        <v>100</v>
      </c>
      <c r="AZ1237" t="s">
        <v>120</v>
      </c>
      <c r="BA1237" t="s">
        <v>86</v>
      </c>
      <c r="BB1237" t="s">
        <v>74</v>
      </c>
      <c r="BC1237" t="s">
        <v>86</v>
      </c>
      <c r="BD1237" t="s">
        <v>86</v>
      </c>
      <c r="BE1237" t="s">
        <v>74</v>
      </c>
      <c r="BF1237" t="s">
        <v>101</v>
      </c>
      <c r="BG1237" t="s">
        <v>76</v>
      </c>
      <c r="BH1237" t="s">
        <v>98</v>
      </c>
      <c r="BI1237" t="s">
        <v>120</v>
      </c>
      <c r="BK1237">
        <v>0</v>
      </c>
      <c r="BL1237">
        <v>0</v>
      </c>
      <c r="BM1237">
        <v>0</v>
      </c>
      <c r="BN1237">
        <v>0</v>
      </c>
      <c r="BO1237">
        <v>0</v>
      </c>
      <c r="BP1237">
        <v>1</v>
      </c>
      <c r="BQ1237">
        <v>0</v>
      </c>
      <c r="BR1237">
        <v>0</v>
      </c>
    </row>
    <row r="1238" spans="1:72" x14ac:dyDescent="0.2">
      <c r="A1238" s="1">
        <v>44579.896527777775</v>
      </c>
      <c r="B1238" s="1">
        <v>44579.900694444441</v>
      </c>
      <c r="C1238">
        <v>1</v>
      </c>
      <c r="D1238">
        <v>0</v>
      </c>
      <c r="E1238">
        <v>0</v>
      </c>
      <c r="F1238">
        <v>0</v>
      </c>
      <c r="H1238">
        <v>0</v>
      </c>
      <c r="I1238">
        <v>1</v>
      </c>
      <c r="J1238">
        <v>1</v>
      </c>
      <c r="K1238">
        <v>1</v>
      </c>
      <c r="L1238">
        <v>0</v>
      </c>
      <c r="N1238" t="s">
        <v>88</v>
      </c>
      <c r="O1238" t="s">
        <v>89</v>
      </c>
      <c r="P1238">
        <v>0</v>
      </c>
      <c r="Q1238">
        <v>0</v>
      </c>
      <c r="R1238">
        <v>1</v>
      </c>
      <c r="S1238">
        <v>0</v>
      </c>
      <c r="T1238">
        <v>0</v>
      </c>
      <c r="U1238">
        <v>0</v>
      </c>
      <c r="V1238">
        <v>0</v>
      </c>
      <c r="W1238">
        <v>0</v>
      </c>
      <c r="X1238">
        <v>0</v>
      </c>
      <c r="Y1238">
        <v>0</v>
      </c>
      <c r="Z1238">
        <v>0</v>
      </c>
      <c r="AA1238">
        <v>0</v>
      </c>
      <c r="AM1238" t="s">
        <v>83</v>
      </c>
      <c r="AN1238" t="s">
        <v>82</v>
      </c>
      <c r="AO1238" t="s">
        <v>82</v>
      </c>
      <c r="AP1238" t="s">
        <v>82</v>
      </c>
      <c r="AQ1238" t="s">
        <v>81</v>
      </c>
      <c r="AR1238" t="s">
        <v>81</v>
      </c>
      <c r="AS1238" t="s">
        <v>81</v>
      </c>
      <c r="AT1238" t="s">
        <v>81</v>
      </c>
      <c r="AU1238" t="s">
        <v>88</v>
      </c>
      <c r="AV1238" t="s">
        <v>89</v>
      </c>
      <c r="AW1238" t="s">
        <v>100</v>
      </c>
      <c r="AX1238" t="s">
        <v>91</v>
      </c>
      <c r="AZ1238" t="s">
        <v>73</v>
      </c>
      <c r="BA1238" t="s">
        <v>86</v>
      </c>
      <c r="BB1238" t="s">
        <v>86</v>
      </c>
      <c r="BC1238" t="s">
        <v>86</v>
      </c>
      <c r="BD1238" t="s">
        <v>86</v>
      </c>
      <c r="BE1238" t="s">
        <v>86</v>
      </c>
      <c r="BF1238" t="s">
        <v>75</v>
      </c>
      <c r="BG1238" t="s">
        <v>92</v>
      </c>
      <c r="BH1238" t="s">
        <v>77</v>
      </c>
      <c r="BI1238" t="s">
        <v>73</v>
      </c>
      <c r="BJ1238" t="s">
        <v>94</v>
      </c>
      <c r="BK1238">
        <v>0</v>
      </c>
      <c r="BL1238">
        <v>0</v>
      </c>
      <c r="BM1238">
        <v>0</v>
      </c>
      <c r="BN1238">
        <v>0</v>
      </c>
      <c r="BO1238">
        <v>0</v>
      </c>
      <c r="BP1238">
        <v>1</v>
      </c>
      <c r="BQ1238">
        <v>0</v>
      </c>
      <c r="BR1238">
        <v>0</v>
      </c>
    </row>
    <row r="1239" spans="1:72" x14ac:dyDescent="0.2">
      <c r="A1239" s="1">
        <v>44579.892361111109</v>
      </c>
      <c r="B1239" s="1">
        <v>44579.895138888889</v>
      </c>
      <c r="C1239">
        <v>1</v>
      </c>
      <c r="D1239">
        <v>0</v>
      </c>
      <c r="E1239">
        <v>0</v>
      </c>
      <c r="F1239">
        <v>0</v>
      </c>
      <c r="H1239">
        <v>1</v>
      </c>
      <c r="I1239">
        <v>0</v>
      </c>
      <c r="J1239">
        <v>0</v>
      </c>
      <c r="K1239">
        <v>0</v>
      </c>
      <c r="L1239">
        <v>0</v>
      </c>
      <c r="P1239">
        <v>1</v>
      </c>
      <c r="Q1239">
        <v>0</v>
      </c>
      <c r="R1239">
        <v>0</v>
      </c>
      <c r="S1239">
        <v>0</v>
      </c>
      <c r="T1239">
        <v>0</v>
      </c>
      <c r="U1239">
        <v>0</v>
      </c>
      <c r="V1239">
        <v>0</v>
      </c>
      <c r="W1239">
        <v>0</v>
      </c>
      <c r="X1239">
        <v>0</v>
      </c>
      <c r="Y1239">
        <v>0</v>
      </c>
      <c r="Z1239">
        <v>0</v>
      </c>
      <c r="AA1239">
        <v>0</v>
      </c>
      <c r="AC1239">
        <v>0</v>
      </c>
      <c r="AD1239">
        <v>0</v>
      </c>
      <c r="AE1239">
        <v>0</v>
      </c>
      <c r="AF1239">
        <v>0</v>
      </c>
      <c r="AG1239">
        <v>0</v>
      </c>
      <c r="AH1239">
        <v>0</v>
      </c>
      <c r="AI1239">
        <v>1</v>
      </c>
      <c r="AJ1239">
        <v>0</v>
      </c>
      <c r="AK1239">
        <v>0</v>
      </c>
      <c r="AZ1239" t="s">
        <v>120</v>
      </c>
      <c r="BA1239" t="s">
        <v>74</v>
      </c>
      <c r="BF1239" t="s">
        <v>97</v>
      </c>
      <c r="BG1239" t="s">
        <v>76</v>
      </c>
      <c r="BH1239" t="s">
        <v>158</v>
      </c>
      <c r="BI1239" t="s">
        <v>120</v>
      </c>
      <c r="BJ1239" t="s">
        <v>102</v>
      </c>
      <c r="BK1239">
        <v>0</v>
      </c>
      <c r="BL1239">
        <v>0</v>
      </c>
      <c r="BM1239">
        <v>0</v>
      </c>
      <c r="BN1239">
        <v>0</v>
      </c>
      <c r="BO1239">
        <v>0</v>
      </c>
      <c r="BP1239">
        <v>1</v>
      </c>
      <c r="BQ1239">
        <v>0</v>
      </c>
      <c r="BR1239">
        <v>0</v>
      </c>
    </row>
    <row r="1240" spans="1:72" x14ac:dyDescent="0.2">
      <c r="A1240" s="1">
        <v>44579.809027777781</v>
      </c>
      <c r="B1240" s="1">
        <v>44579.811111111114</v>
      </c>
      <c r="C1240">
        <v>0</v>
      </c>
      <c r="D1240">
        <v>1</v>
      </c>
      <c r="E1240">
        <v>0</v>
      </c>
      <c r="F1240">
        <v>0</v>
      </c>
      <c r="H1240">
        <v>0</v>
      </c>
      <c r="I1240">
        <v>0</v>
      </c>
      <c r="J1240">
        <v>0</v>
      </c>
      <c r="K1240">
        <v>0</v>
      </c>
      <c r="L1240">
        <v>1</v>
      </c>
      <c r="M1240" t="s">
        <v>520</v>
      </c>
      <c r="N1240" t="s">
        <v>88</v>
      </c>
      <c r="O1240" t="s">
        <v>89</v>
      </c>
      <c r="P1240">
        <v>0</v>
      </c>
      <c r="Q1240">
        <v>0</v>
      </c>
      <c r="R1240">
        <v>0</v>
      </c>
      <c r="S1240">
        <v>0</v>
      </c>
      <c r="T1240">
        <v>0</v>
      </c>
      <c r="U1240">
        <v>0</v>
      </c>
      <c r="V1240">
        <v>0</v>
      </c>
      <c r="W1240">
        <v>0</v>
      </c>
      <c r="X1240">
        <v>0</v>
      </c>
      <c r="Y1240">
        <v>0</v>
      </c>
      <c r="Z1240">
        <v>0</v>
      </c>
      <c r="AA1240">
        <v>1</v>
      </c>
      <c r="AB1240" t="s">
        <v>525</v>
      </c>
      <c r="AM1240" t="s">
        <v>90</v>
      </c>
      <c r="AN1240" t="s">
        <v>82</v>
      </c>
      <c r="AO1240" t="s">
        <v>90</v>
      </c>
      <c r="AP1240" t="s">
        <v>90</v>
      </c>
      <c r="AQ1240" t="s">
        <v>90</v>
      </c>
      <c r="AR1240" t="s">
        <v>90</v>
      </c>
      <c r="AS1240" t="s">
        <v>90</v>
      </c>
      <c r="AT1240" t="s">
        <v>90</v>
      </c>
      <c r="AU1240" t="s">
        <v>88</v>
      </c>
      <c r="AV1240" t="s">
        <v>89</v>
      </c>
      <c r="AW1240" t="s">
        <v>85</v>
      </c>
      <c r="AZ1240" t="s">
        <v>96</v>
      </c>
      <c r="BA1240" t="s">
        <v>86</v>
      </c>
      <c r="BB1240" t="s">
        <v>86</v>
      </c>
      <c r="BC1240" t="s">
        <v>87</v>
      </c>
      <c r="BD1240" t="s">
        <v>86</v>
      </c>
      <c r="BE1240" t="s">
        <v>86</v>
      </c>
      <c r="BF1240" t="s">
        <v>97</v>
      </c>
      <c r="BG1240" t="s">
        <v>92</v>
      </c>
      <c r="BH1240" t="s">
        <v>77</v>
      </c>
      <c r="BI1240" t="s">
        <v>96</v>
      </c>
      <c r="BJ1240" t="s">
        <v>94</v>
      </c>
      <c r="BK1240">
        <v>0</v>
      </c>
      <c r="BL1240">
        <v>0</v>
      </c>
      <c r="BM1240">
        <v>0</v>
      </c>
      <c r="BN1240">
        <v>0</v>
      </c>
      <c r="BO1240">
        <v>0</v>
      </c>
      <c r="BP1240">
        <v>1</v>
      </c>
      <c r="BQ1240">
        <v>0</v>
      </c>
      <c r="BR1240">
        <v>0</v>
      </c>
    </row>
    <row r="1241" spans="1:72" x14ac:dyDescent="0.2">
      <c r="A1241" s="1">
        <v>44580.542361111111</v>
      </c>
      <c r="B1241" s="1">
        <v>44580.544444444444</v>
      </c>
      <c r="C1241">
        <v>1</v>
      </c>
      <c r="D1241">
        <v>0</v>
      </c>
      <c r="E1241">
        <v>0</v>
      </c>
      <c r="F1241">
        <v>0</v>
      </c>
      <c r="H1241">
        <v>1</v>
      </c>
      <c r="I1241">
        <v>0</v>
      </c>
      <c r="J1241">
        <v>0</v>
      </c>
      <c r="K1241">
        <v>0</v>
      </c>
      <c r="L1241">
        <v>0</v>
      </c>
      <c r="P1241">
        <v>0</v>
      </c>
      <c r="Q1241">
        <v>0</v>
      </c>
      <c r="R1241">
        <v>1</v>
      </c>
      <c r="S1241">
        <v>0</v>
      </c>
      <c r="T1241">
        <v>0</v>
      </c>
      <c r="U1241">
        <v>0</v>
      </c>
      <c r="V1241">
        <v>0</v>
      </c>
      <c r="W1241">
        <v>0</v>
      </c>
      <c r="X1241">
        <v>0</v>
      </c>
      <c r="Y1241">
        <v>0</v>
      </c>
      <c r="Z1241">
        <v>0</v>
      </c>
      <c r="AA1241">
        <v>0</v>
      </c>
      <c r="AM1241" t="s">
        <v>81</v>
      </c>
      <c r="AN1241" t="s">
        <v>83</v>
      </c>
      <c r="AO1241" t="s">
        <v>83</v>
      </c>
      <c r="AP1241" t="s">
        <v>83</v>
      </c>
      <c r="AQ1241" t="s">
        <v>82</v>
      </c>
      <c r="AR1241" t="s">
        <v>83</v>
      </c>
      <c r="AS1241" t="s">
        <v>83</v>
      </c>
      <c r="AT1241" t="s">
        <v>83</v>
      </c>
      <c r="AU1241" t="s">
        <v>84</v>
      </c>
      <c r="AV1241" t="s">
        <v>80</v>
      </c>
      <c r="AW1241" t="s">
        <v>85</v>
      </c>
      <c r="AX1241" t="s">
        <v>110</v>
      </c>
      <c r="AY1241" t="s">
        <v>526</v>
      </c>
      <c r="AZ1241" t="s">
        <v>73</v>
      </c>
      <c r="BA1241" t="s">
        <v>87</v>
      </c>
      <c r="BB1241" t="s">
        <v>87</v>
      </c>
      <c r="BC1241" t="s">
        <v>87</v>
      </c>
      <c r="BD1241" t="s">
        <v>87</v>
      </c>
      <c r="BE1241" t="s">
        <v>87</v>
      </c>
      <c r="BF1241" t="s">
        <v>108</v>
      </c>
      <c r="BG1241" t="s">
        <v>76</v>
      </c>
      <c r="BH1241" t="s">
        <v>77</v>
      </c>
      <c r="BI1241" t="s">
        <v>73</v>
      </c>
      <c r="BK1241">
        <v>0</v>
      </c>
      <c r="BL1241">
        <v>0</v>
      </c>
      <c r="BM1241">
        <v>0</v>
      </c>
      <c r="BN1241">
        <v>0</v>
      </c>
      <c r="BO1241">
        <v>0</v>
      </c>
      <c r="BP1241">
        <v>1</v>
      </c>
      <c r="BQ1241">
        <v>0</v>
      </c>
      <c r="BR1241">
        <v>0</v>
      </c>
    </row>
    <row r="1242" spans="1:72" x14ac:dyDescent="0.2">
      <c r="A1242" s="1">
        <v>44585.179166666669</v>
      </c>
      <c r="B1242" s="1">
        <v>44585.180555555555</v>
      </c>
      <c r="C1242">
        <v>1</v>
      </c>
      <c r="D1242">
        <v>0</v>
      </c>
      <c r="E1242">
        <v>0</v>
      </c>
      <c r="F1242">
        <v>0</v>
      </c>
      <c r="H1242">
        <v>1</v>
      </c>
      <c r="I1242">
        <v>0</v>
      </c>
      <c r="J1242">
        <v>0</v>
      </c>
      <c r="K1242">
        <v>0</v>
      </c>
      <c r="L1242">
        <v>0</v>
      </c>
      <c r="P1242">
        <v>0</v>
      </c>
      <c r="Q1242">
        <v>1</v>
      </c>
      <c r="R1242">
        <v>0</v>
      </c>
      <c r="S1242">
        <v>0</v>
      </c>
      <c r="T1242">
        <v>0</v>
      </c>
      <c r="U1242">
        <v>0</v>
      </c>
      <c r="V1242">
        <v>0</v>
      </c>
      <c r="W1242">
        <v>0</v>
      </c>
      <c r="X1242">
        <v>0</v>
      </c>
      <c r="Y1242">
        <v>0</v>
      </c>
      <c r="Z1242">
        <v>0</v>
      </c>
      <c r="AA1242">
        <v>0</v>
      </c>
      <c r="AM1242" t="s">
        <v>90</v>
      </c>
      <c r="AN1242" t="s">
        <v>81</v>
      </c>
      <c r="AO1242" t="s">
        <v>90</v>
      </c>
      <c r="AP1242" t="s">
        <v>81</v>
      </c>
      <c r="AQ1242" t="s">
        <v>90</v>
      </c>
      <c r="AR1242" t="s">
        <v>90</v>
      </c>
      <c r="AS1242" t="s">
        <v>90</v>
      </c>
      <c r="AT1242" t="s">
        <v>90</v>
      </c>
      <c r="AU1242" t="s">
        <v>127</v>
      </c>
      <c r="AV1242" t="s">
        <v>127</v>
      </c>
      <c r="AX1242" t="s">
        <v>110</v>
      </c>
      <c r="AY1242" t="s">
        <v>527</v>
      </c>
      <c r="AZ1242" t="s">
        <v>107</v>
      </c>
      <c r="BA1242" t="s">
        <v>87</v>
      </c>
      <c r="BB1242" t="s">
        <v>87</v>
      </c>
      <c r="BC1242" t="s">
        <v>87</v>
      </c>
      <c r="BD1242" t="s">
        <v>87</v>
      </c>
      <c r="BE1242" t="s">
        <v>87</v>
      </c>
      <c r="BF1242" t="s">
        <v>75</v>
      </c>
      <c r="BG1242" t="s">
        <v>76</v>
      </c>
      <c r="BH1242" t="s">
        <v>93</v>
      </c>
      <c r="BI1242" t="s">
        <v>107</v>
      </c>
      <c r="BJ1242" t="s">
        <v>114</v>
      </c>
      <c r="BK1242">
        <v>0</v>
      </c>
      <c r="BL1242">
        <v>0</v>
      </c>
      <c r="BM1242">
        <v>0</v>
      </c>
      <c r="BN1242">
        <v>0</v>
      </c>
      <c r="BO1242">
        <v>0</v>
      </c>
      <c r="BP1242">
        <v>1</v>
      </c>
      <c r="BQ1242">
        <v>0</v>
      </c>
      <c r="BR1242">
        <v>0</v>
      </c>
    </row>
    <row r="1243" spans="1:72" x14ac:dyDescent="0.2">
      <c r="A1243" s="1">
        <v>44584.896527777775</v>
      </c>
      <c r="B1243" s="1">
        <v>44584.897916666669</v>
      </c>
      <c r="C1243">
        <v>1</v>
      </c>
      <c r="D1243">
        <v>0</v>
      </c>
      <c r="E1243">
        <v>0</v>
      </c>
      <c r="F1243">
        <v>0</v>
      </c>
      <c r="H1243">
        <v>1</v>
      </c>
      <c r="I1243">
        <v>0</v>
      </c>
      <c r="J1243">
        <v>0</v>
      </c>
      <c r="K1243">
        <v>0</v>
      </c>
      <c r="L1243">
        <v>0</v>
      </c>
      <c r="P1243">
        <v>0</v>
      </c>
      <c r="Q1243">
        <v>1</v>
      </c>
      <c r="R1243">
        <v>0</v>
      </c>
      <c r="S1243">
        <v>0</v>
      </c>
      <c r="T1243">
        <v>0</v>
      </c>
      <c r="U1243">
        <v>0</v>
      </c>
      <c r="V1243">
        <v>0</v>
      </c>
      <c r="W1243">
        <v>0</v>
      </c>
      <c r="X1243">
        <v>0</v>
      </c>
      <c r="Y1243">
        <v>0</v>
      </c>
      <c r="Z1243">
        <v>0</v>
      </c>
      <c r="AA1243">
        <v>0</v>
      </c>
      <c r="AM1243" t="s">
        <v>83</v>
      </c>
      <c r="AN1243" t="s">
        <v>90</v>
      </c>
      <c r="AO1243" t="s">
        <v>81</v>
      </c>
      <c r="AP1243" t="s">
        <v>82</v>
      </c>
      <c r="AQ1243" t="s">
        <v>90</v>
      </c>
      <c r="AR1243" t="s">
        <v>90</v>
      </c>
      <c r="AS1243" t="s">
        <v>90</v>
      </c>
      <c r="AT1243" t="s">
        <v>83</v>
      </c>
      <c r="AU1243" t="s">
        <v>127</v>
      </c>
      <c r="AV1243" t="s">
        <v>127</v>
      </c>
      <c r="AX1243" t="s">
        <v>199</v>
      </c>
      <c r="AZ1243" t="s">
        <v>107</v>
      </c>
      <c r="BA1243" t="s">
        <v>86</v>
      </c>
      <c r="BB1243" t="s">
        <v>87</v>
      </c>
      <c r="BC1243" t="s">
        <v>74</v>
      </c>
      <c r="BD1243" t="s">
        <v>87</v>
      </c>
      <c r="BE1243" t="s">
        <v>74</v>
      </c>
      <c r="BF1243" t="s">
        <v>75</v>
      </c>
      <c r="BG1243" t="s">
        <v>76</v>
      </c>
      <c r="BH1243" t="s">
        <v>77</v>
      </c>
      <c r="BI1243" t="s">
        <v>107</v>
      </c>
      <c r="BJ1243" t="s">
        <v>137</v>
      </c>
      <c r="BK1243">
        <v>0</v>
      </c>
      <c r="BL1243">
        <v>0</v>
      </c>
      <c r="BM1243">
        <v>0</v>
      </c>
      <c r="BN1243">
        <v>0</v>
      </c>
      <c r="BO1243">
        <v>0</v>
      </c>
      <c r="BP1243">
        <v>1</v>
      </c>
      <c r="BQ1243">
        <v>0</v>
      </c>
      <c r="BR1243">
        <v>0</v>
      </c>
    </row>
    <row r="1244" spans="1:72" x14ac:dyDescent="0.2">
      <c r="A1244" s="1">
        <v>44581.10833333333</v>
      </c>
      <c r="B1244" s="1">
        <v>44581.111111111109</v>
      </c>
      <c r="C1244">
        <v>0</v>
      </c>
      <c r="D1244">
        <v>1</v>
      </c>
      <c r="E1244">
        <v>0</v>
      </c>
      <c r="F1244">
        <v>0</v>
      </c>
      <c r="H1244">
        <v>1</v>
      </c>
      <c r="I1244">
        <v>0</v>
      </c>
      <c r="J1244">
        <v>0</v>
      </c>
      <c r="K1244">
        <v>0</v>
      </c>
      <c r="L1244">
        <v>0</v>
      </c>
      <c r="P1244">
        <v>0</v>
      </c>
      <c r="Q1244">
        <v>1</v>
      </c>
      <c r="R1244">
        <v>0</v>
      </c>
      <c r="S1244">
        <v>0</v>
      </c>
      <c r="T1244">
        <v>0</v>
      </c>
      <c r="U1244">
        <v>0</v>
      </c>
      <c r="V1244">
        <v>0</v>
      </c>
      <c r="W1244">
        <v>0</v>
      </c>
      <c r="X1244">
        <v>0</v>
      </c>
      <c r="Y1244">
        <v>0</v>
      </c>
      <c r="Z1244">
        <v>0</v>
      </c>
      <c r="AA1244">
        <v>0</v>
      </c>
      <c r="AM1244" t="s">
        <v>90</v>
      </c>
      <c r="AN1244" t="s">
        <v>82</v>
      </c>
      <c r="AO1244" t="s">
        <v>81</v>
      </c>
      <c r="AP1244" t="s">
        <v>83</v>
      </c>
      <c r="AQ1244" t="s">
        <v>83</v>
      </c>
      <c r="AR1244" t="s">
        <v>90</v>
      </c>
      <c r="AS1244" t="s">
        <v>90</v>
      </c>
      <c r="AT1244" t="s">
        <v>90</v>
      </c>
      <c r="AU1244" t="s">
        <v>88</v>
      </c>
      <c r="AV1244" t="s">
        <v>89</v>
      </c>
      <c r="AW1244" t="s">
        <v>100</v>
      </c>
      <c r="AX1244" t="s">
        <v>122</v>
      </c>
      <c r="AZ1244" t="s">
        <v>73</v>
      </c>
      <c r="BA1244" t="s">
        <v>86</v>
      </c>
      <c r="BB1244" t="s">
        <v>74</v>
      </c>
      <c r="BC1244" t="s">
        <v>87</v>
      </c>
      <c r="BD1244" t="s">
        <v>87</v>
      </c>
      <c r="BE1244" t="s">
        <v>87</v>
      </c>
      <c r="BF1244" t="s">
        <v>75</v>
      </c>
      <c r="BG1244" t="s">
        <v>76</v>
      </c>
      <c r="BH1244" t="s">
        <v>77</v>
      </c>
      <c r="BI1244" t="s">
        <v>73</v>
      </c>
      <c r="BK1244">
        <v>0</v>
      </c>
      <c r="BL1244">
        <v>0</v>
      </c>
      <c r="BM1244">
        <v>0</v>
      </c>
      <c r="BN1244">
        <v>0</v>
      </c>
      <c r="BO1244">
        <v>0</v>
      </c>
      <c r="BP1244">
        <v>1</v>
      </c>
      <c r="BQ1244">
        <v>0</v>
      </c>
      <c r="BR1244">
        <v>0</v>
      </c>
      <c r="BT1244" t="s">
        <v>109</v>
      </c>
    </row>
    <row r="1245" spans="1:72" x14ac:dyDescent="0.2">
      <c r="A1245" s="1">
        <v>44585.512499999997</v>
      </c>
      <c r="B1245" s="1">
        <v>44585.515277777777</v>
      </c>
      <c r="C1245">
        <v>1</v>
      </c>
      <c r="D1245">
        <v>0</v>
      </c>
      <c r="E1245">
        <v>0</v>
      </c>
      <c r="F1245">
        <v>0</v>
      </c>
      <c r="H1245">
        <v>0</v>
      </c>
      <c r="I1245">
        <v>1</v>
      </c>
      <c r="J1245">
        <v>0</v>
      </c>
      <c r="K1245">
        <v>0</v>
      </c>
      <c r="L1245">
        <v>0</v>
      </c>
      <c r="N1245" t="s">
        <v>88</v>
      </c>
      <c r="O1245" t="s">
        <v>80</v>
      </c>
      <c r="P1245">
        <v>0</v>
      </c>
      <c r="Q1245">
        <v>1</v>
      </c>
      <c r="R1245">
        <v>1</v>
      </c>
      <c r="S1245">
        <v>0</v>
      </c>
      <c r="T1245">
        <v>0</v>
      </c>
      <c r="U1245">
        <v>0</v>
      </c>
      <c r="V1245">
        <v>0</v>
      </c>
      <c r="W1245">
        <v>0</v>
      </c>
      <c r="X1245">
        <v>0</v>
      </c>
      <c r="Y1245">
        <v>0</v>
      </c>
      <c r="Z1245">
        <v>0</v>
      </c>
      <c r="AA1245">
        <v>0</v>
      </c>
      <c r="AM1245" t="s">
        <v>81</v>
      </c>
      <c r="AN1245" t="s">
        <v>82</v>
      </c>
      <c r="AO1245" t="s">
        <v>81</v>
      </c>
      <c r="AP1245" t="s">
        <v>81</v>
      </c>
      <c r="AQ1245" t="s">
        <v>81</v>
      </c>
      <c r="AR1245" t="s">
        <v>81</v>
      </c>
      <c r="AS1245" t="s">
        <v>83</v>
      </c>
      <c r="AT1245" t="s">
        <v>83</v>
      </c>
      <c r="AU1245" t="s">
        <v>88</v>
      </c>
      <c r="AV1245" t="s">
        <v>80</v>
      </c>
      <c r="AW1245" t="s">
        <v>85</v>
      </c>
      <c r="AZ1245" t="s">
        <v>73</v>
      </c>
      <c r="BA1245" t="s">
        <v>87</v>
      </c>
      <c r="BB1245" t="s">
        <v>86</v>
      </c>
      <c r="BC1245" t="s">
        <v>87</v>
      </c>
      <c r="BD1245" t="s">
        <v>74</v>
      </c>
      <c r="BE1245" t="s">
        <v>87</v>
      </c>
      <c r="BF1245" t="s">
        <v>97</v>
      </c>
      <c r="BG1245" t="s">
        <v>76</v>
      </c>
      <c r="BH1245" t="s">
        <v>98</v>
      </c>
      <c r="BI1245" t="s">
        <v>73</v>
      </c>
      <c r="BJ1245" t="s">
        <v>109</v>
      </c>
      <c r="BK1245">
        <v>0</v>
      </c>
      <c r="BL1245">
        <v>0</v>
      </c>
      <c r="BM1245">
        <v>0</v>
      </c>
      <c r="BN1245">
        <v>0</v>
      </c>
      <c r="BO1245">
        <v>0</v>
      </c>
      <c r="BP1245">
        <v>1</v>
      </c>
      <c r="BQ1245">
        <v>0</v>
      </c>
      <c r="BR1245">
        <v>0</v>
      </c>
    </row>
    <row r="1246" spans="1:72" x14ac:dyDescent="0.2">
      <c r="A1246" s="1">
        <v>44585.613888888889</v>
      </c>
      <c r="B1246" s="1">
        <v>44585.614583333336</v>
      </c>
      <c r="C1246">
        <v>1</v>
      </c>
      <c r="D1246">
        <v>0</v>
      </c>
      <c r="E1246">
        <v>0</v>
      </c>
      <c r="F1246">
        <v>0</v>
      </c>
      <c r="H1246">
        <v>1</v>
      </c>
      <c r="I1246">
        <v>0</v>
      </c>
      <c r="J1246">
        <v>0</v>
      </c>
      <c r="K1246">
        <v>0</v>
      </c>
      <c r="L1246">
        <v>0</v>
      </c>
      <c r="P1246">
        <v>1</v>
      </c>
      <c r="Q1246">
        <v>0</v>
      </c>
      <c r="R1246">
        <v>0</v>
      </c>
      <c r="S1246">
        <v>0</v>
      </c>
      <c r="T1246">
        <v>0</v>
      </c>
      <c r="U1246">
        <v>0</v>
      </c>
      <c r="V1246">
        <v>0</v>
      </c>
      <c r="W1246">
        <v>0</v>
      </c>
      <c r="X1246">
        <v>0</v>
      </c>
      <c r="Y1246">
        <v>0</v>
      </c>
      <c r="Z1246">
        <v>0</v>
      </c>
      <c r="AA1246">
        <v>0</v>
      </c>
      <c r="AC1246">
        <v>0</v>
      </c>
      <c r="AD1246">
        <v>0</v>
      </c>
      <c r="AE1246">
        <v>0</v>
      </c>
      <c r="AF1246">
        <v>0</v>
      </c>
      <c r="AG1246">
        <v>1</v>
      </c>
      <c r="AH1246">
        <v>0</v>
      </c>
      <c r="AI1246">
        <v>0</v>
      </c>
      <c r="AJ1246">
        <v>0</v>
      </c>
      <c r="AK1246">
        <v>1</v>
      </c>
      <c r="AL1246" t="s">
        <v>528</v>
      </c>
      <c r="AX1246" t="s">
        <v>118</v>
      </c>
      <c r="AZ1246" t="s">
        <v>73</v>
      </c>
      <c r="BA1246" t="s">
        <v>87</v>
      </c>
      <c r="BB1246" t="s">
        <v>87</v>
      </c>
      <c r="BC1246" t="s">
        <v>87</v>
      </c>
      <c r="BD1246" t="s">
        <v>87</v>
      </c>
      <c r="BE1246" t="s">
        <v>87</v>
      </c>
      <c r="BF1246" t="s">
        <v>75</v>
      </c>
      <c r="BG1246" t="s">
        <v>76</v>
      </c>
      <c r="BH1246" t="s">
        <v>93</v>
      </c>
      <c r="BI1246" t="s">
        <v>73</v>
      </c>
      <c r="BK1246">
        <v>0</v>
      </c>
      <c r="BL1246">
        <v>0</v>
      </c>
      <c r="BM1246">
        <v>0</v>
      </c>
      <c r="BN1246">
        <v>0</v>
      </c>
      <c r="BO1246">
        <v>0</v>
      </c>
      <c r="BP1246">
        <v>1</v>
      </c>
      <c r="BQ1246">
        <v>0</v>
      </c>
      <c r="BR1246">
        <v>0</v>
      </c>
    </row>
    <row r="1247" spans="1:72" x14ac:dyDescent="0.2">
      <c r="A1247" s="1">
        <v>44589.078472222223</v>
      </c>
      <c r="B1247" s="1">
        <v>44589.134722222225</v>
      </c>
      <c r="C1247">
        <v>1</v>
      </c>
      <c r="D1247">
        <v>0</v>
      </c>
      <c r="E1247">
        <v>0</v>
      </c>
      <c r="F1247">
        <v>0</v>
      </c>
      <c r="H1247">
        <v>0</v>
      </c>
      <c r="I1247">
        <v>1</v>
      </c>
      <c r="J1247">
        <v>1</v>
      </c>
      <c r="K1247">
        <v>0</v>
      </c>
      <c r="L1247">
        <v>0</v>
      </c>
      <c r="N1247" t="s">
        <v>135</v>
      </c>
      <c r="O1247" t="s">
        <v>80</v>
      </c>
      <c r="P1247">
        <v>0</v>
      </c>
      <c r="Q1247">
        <v>0</v>
      </c>
      <c r="R1247">
        <v>1</v>
      </c>
      <c r="S1247">
        <v>0</v>
      </c>
      <c r="T1247">
        <v>0</v>
      </c>
      <c r="U1247">
        <v>0</v>
      </c>
      <c r="V1247">
        <v>0</v>
      </c>
      <c r="W1247">
        <v>0</v>
      </c>
      <c r="X1247">
        <v>0</v>
      </c>
      <c r="Y1247">
        <v>0</v>
      </c>
      <c r="Z1247">
        <v>0</v>
      </c>
      <c r="AA1247">
        <v>0</v>
      </c>
      <c r="AM1247" t="s">
        <v>81</v>
      </c>
      <c r="AN1247" t="s">
        <v>81</v>
      </c>
      <c r="AO1247" t="s">
        <v>81</v>
      </c>
      <c r="AP1247" t="s">
        <v>81</v>
      </c>
      <c r="AQ1247" t="s">
        <v>82</v>
      </c>
      <c r="AR1247" t="s">
        <v>90</v>
      </c>
      <c r="AS1247" t="s">
        <v>81</v>
      </c>
      <c r="AT1247" t="s">
        <v>81</v>
      </c>
      <c r="AU1247" t="s">
        <v>88</v>
      </c>
      <c r="AV1247" t="s">
        <v>89</v>
      </c>
      <c r="AW1247" t="s">
        <v>100</v>
      </c>
      <c r="AX1247" t="s">
        <v>118</v>
      </c>
      <c r="AZ1247" t="s">
        <v>107</v>
      </c>
      <c r="BA1247" t="s">
        <v>87</v>
      </c>
      <c r="BB1247" t="s">
        <v>87</v>
      </c>
      <c r="BC1247" t="s">
        <v>87</v>
      </c>
      <c r="BD1247" t="s">
        <v>87</v>
      </c>
      <c r="BE1247" t="s">
        <v>87</v>
      </c>
      <c r="BF1247" t="s">
        <v>113</v>
      </c>
      <c r="BG1247" t="s">
        <v>92</v>
      </c>
      <c r="BH1247" t="s">
        <v>77</v>
      </c>
      <c r="BI1247" t="s">
        <v>107</v>
      </c>
      <c r="BJ1247" t="s">
        <v>109</v>
      </c>
      <c r="BK1247">
        <v>0</v>
      </c>
      <c r="BL1247">
        <v>0</v>
      </c>
      <c r="BM1247">
        <v>0</v>
      </c>
      <c r="BN1247">
        <v>0</v>
      </c>
      <c r="BO1247">
        <v>0</v>
      </c>
      <c r="BP1247">
        <v>1</v>
      </c>
      <c r="BQ1247">
        <v>0</v>
      </c>
      <c r="BR1247">
        <v>0</v>
      </c>
    </row>
    <row r="1248" spans="1:72" x14ac:dyDescent="0.2">
      <c r="A1248" s="1">
        <v>44585.776388888888</v>
      </c>
      <c r="B1248" s="1">
        <v>44585.793749999997</v>
      </c>
      <c r="C1248">
        <v>0</v>
      </c>
      <c r="D1248">
        <v>0</v>
      </c>
      <c r="E1248">
        <v>1</v>
      </c>
      <c r="F1248">
        <v>0</v>
      </c>
      <c r="G1248" t="s">
        <v>529</v>
      </c>
      <c r="H1248">
        <v>0</v>
      </c>
      <c r="I1248">
        <v>1</v>
      </c>
      <c r="J1248">
        <v>0</v>
      </c>
      <c r="K1248">
        <v>1</v>
      </c>
      <c r="L1248">
        <v>1</v>
      </c>
      <c r="M1248" t="s">
        <v>530</v>
      </c>
      <c r="N1248" t="s">
        <v>88</v>
      </c>
      <c r="O1248" t="s">
        <v>89</v>
      </c>
      <c r="P1248">
        <v>0</v>
      </c>
      <c r="Q1248">
        <v>1</v>
      </c>
      <c r="R1248">
        <v>0</v>
      </c>
      <c r="S1248">
        <v>0</v>
      </c>
      <c r="T1248">
        <v>0</v>
      </c>
      <c r="U1248">
        <v>0</v>
      </c>
      <c r="V1248">
        <v>0</v>
      </c>
      <c r="W1248">
        <v>0</v>
      </c>
      <c r="X1248">
        <v>0</v>
      </c>
      <c r="Y1248">
        <v>0</v>
      </c>
      <c r="Z1248">
        <v>0</v>
      </c>
      <c r="AA1248">
        <v>1</v>
      </c>
      <c r="AB1248" t="s">
        <v>517</v>
      </c>
      <c r="AM1248" t="s">
        <v>90</v>
      </c>
      <c r="AN1248" t="s">
        <v>82</v>
      </c>
      <c r="AO1248" t="s">
        <v>81</v>
      </c>
      <c r="AP1248" t="s">
        <v>81</v>
      </c>
      <c r="AQ1248" t="s">
        <v>83</v>
      </c>
      <c r="AR1248" t="s">
        <v>90</v>
      </c>
      <c r="AS1248" t="s">
        <v>90</v>
      </c>
      <c r="AT1248" t="s">
        <v>90</v>
      </c>
      <c r="AU1248" t="s">
        <v>88</v>
      </c>
      <c r="AV1248" t="s">
        <v>89</v>
      </c>
      <c r="AW1248" t="s">
        <v>100</v>
      </c>
      <c r="AX1248" t="s">
        <v>146</v>
      </c>
      <c r="AZ1248" t="s">
        <v>73</v>
      </c>
      <c r="BA1248" t="s">
        <v>87</v>
      </c>
      <c r="BB1248" t="s">
        <v>87</v>
      </c>
      <c r="BC1248" t="s">
        <v>87</v>
      </c>
      <c r="BD1248" t="s">
        <v>87</v>
      </c>
      <c r="BE1248" t="s">
        <v>87</v>
      </c>
      <c r="BF1248" t="s">
        <v>75</v>
      </c>
      <c r="BG1248" t="s">
        <v>76</v>
      </c>
      <c r="BH1248" t="s">
        <v>77</v>
      </c>
      <c r="BI1248" t="s">
        <v>73</v>
      </c>
      <c r="BJ1248" t="s">
        <v>78</v>
      </c>
      <c r="BK1248">
        <v>1</v>
      </c>
      <c r="BL1248">
        <v>0</v>
      </c>
      <c r="BM1248">
        <v>0</v>
      </c>
      <c r="BN1248">
        <v>0</v>
      </c>
      <c r="BO1248">
        <v>0</v>
      </c>
      <c r="BP1248">
        <v>0</v>
      </c>
      <c r="BQ1248">
        <v>0</v>
      </c>
      <c r="BR1248">
        <v>0</v>
      </c>
    </row>
    <row r="1249" spans="1:72" x14ac:dyDescent="0.2">
      <c r="A1249" s="1">
        <v>44579.786111111112</v>
      </c>
      <c r="B1249" s="1">
        <v>44579.788888888892</v>
      </c>
      <c r="C1249">
        <v>1</v>
      </c>
      <c r="D1249">
        <v>0</v>
      </c>
      <c r="E1249">
        <v>0</v>
      </c>
      <c r="F1249">
        <v>0</v>
      </c>
      <c r="H1249">
        <v>0</v>
      </c>
      <c r="I1249">
        <v>0</v>
      </c>
      <c r="J1249">
        <v>0</v>
      </c>
      <c r="K1249">
        <v>0</v>
      </c>
      <c r="L1249">
        <v>1</v>
      </c>
      <c r="M1249" t="s">
        <v>531</v>
      </c>
      <c r="N1249" t="s">
        <v>127</v>
      </c>
      <c r="O1249" t="s">
        <v>127</v>
      </c>
      <c r="P1249">
        <v>1</v>
      </c>
      <c r="Q1249">
        <v>0</v>
      </c>
      <c r="R1249">
        <v>0</v>
      </c>
      <c r="S1249">
        <v>0</v>
      </c>
      <c r="T1249">
        <v>0</v>
      </c>
      <c r="U1249">
        <v>0</v>
      </c>
      <c r="V1249">
        <v>0</v>
      </c>
      <c r="W1249">
        <v>0</v>
      </c>
      <c r="X1249">
        <v>0</v>
      </c>
      <c r="Y1249">
        <v>0</v>
      </c>
      <c r="Z1249">
        <v>0</v>
      </c>
      <c r="AA1249">
        <v>0</v>
      </c>
      <c r="AC1249">
        <v>0</v>
      </c>
      <c r="AD1249">
        <v>0</v>
      </c>
      <c r="AE1249">
        <v>0</v>
      </c>
      <c r="AF1249">
        <v>0</v>
      </c>
      <c r="AG1249">
        <v>0</v>
      </c>
      <c r="AH1249">
        <v>0</v>
      </c>
      <c r="AI1249">
        <v>1</v>
      </c>
      <c r="AJ1249">
        <v>0</v>
      </c>
      <c r="AK1249">
        <v>0</v>
      </c>
      <c r="AX1249" t="s">
        <v>146</v>
      </c>
      <c r="AZ1249" t="s">
        <v>73</v>
      </c>
      <c r="BA1249" t="s">
        <v>86</v>
      </c>
      <c r="BB1249" t="s">
        <v>86</v>
      </c>
      <c r="BC1249" t="s">
        <v>87</v>
      </c>
      <c r="BD1249" t="s">
        <v>87</v>
      </c>
      <c r="BE1249" t="s">
        <v>86</v>
      </c>
      <c r="BF1249" t="s">
        <v>75</v>
      </c>
      <c r="BG1249" t="s">
        <v>92</v>
      </c>
      <c r="BH1249" t="s">
        <v>93</v>
      </c>
      <c r="BI1249" t="s">
        <v>73</v>
      </c>
      <c r="BJ1249" t="s">
        <v>78</v>
      </c>
      <c r="BK1249">
        <v>0</v>
      </c>
      <c r="BL1249">
        <v>0</v>
      </c>
      <c r="BM1249">
        <v>0</v>
      </c>
      <c r="BN1249">
        <v>0</v>
      </c>
      <c r="BO1249">
        <v>0</v>
      </c>
      <c r="BP1249">
        <v>1</v>
      </c>
      <c r="BQ1249">
        <v>0</v>
      </c>
      <c r="BR1249">
        <v>0</v>
      </c>
    </row>
    <row r="1250" spans="1:72" x14ac:dyDescent="0.2">
      <c r="A1250" s="1">
        <v>44589.09652777778</v>
      </c>
      <c r="B1250" s="1">
        <v>44589.099305555559</v>
      </c>
      <c r="C1250">
        <v>0</v>
      </c>
      <c r="D1250">
        <v>1</v>
      </c>
      <c r="E1250">
        <v>0</v>
      </c>
      <c r="F1250">
        <v>0</v>
      </c>
      <c r="H1250">
        <v>0</v>
      </c>
      <c r="I1250">
        <v>1</v>
      </c>
      <c r="J1250">
        <v>0</v>
      </c>
      <c r="K1250">
        <v>1</v>
      </c>
      <c r="L1250">
        <v>0</v>
      </c>
      <c r="N1250" t="s">
        <v>88</v>
      </c>
      <c r="O1250" t="s">
        <v>89</v>
      </c>
      <c r="P1250">
        <v>0</v>
      </c>
      <c r="Q1250">
        <v>1</v>
      </c>
      <c r="R1250">
        <v>0</v>
      </c>
      <c r="S1250">
        <v>0</v>
      </c>
      <c r="T1250">
        <v>0</v>
      </c>
      <c r="U1250">
        <v>0</v>
      </c>
      <c r="V1250">
        <v>0</v>
      </c>
      <c r="W1250">
        <v>0</v>
      </c>
      <c r="X1250">
        <v>0</v>
      </c>
      <c r="Y1250">
        <v>0</v>
      </c>
      <c r="Z1250">
        <v>0</v>
      </c>
      <c r="AA1250">
        <v>0</v>
      </c>
      <c r="AM1250" t="s">
        <v>83</v>
      </c>
      <c r="AN1250" t="s">
        <v>82</v>
      </c>
      <c r="AO1250" t="s">
        <v>81</v>
      </c>
      <c r="AP1250" t="s">
        <v>83</v>
      </c>
      <c r="AQ1250" t="s">
        <v>83</v>
      </c>
      <c r="AR1250" t="s">
        <v>83</v>
      </c>
      <c r="AS1250" t="s">
        <v>83</v>
      </c>
      <c r="AT1250" t="s">
        <v>83</v>
      </c>
      <c r="AU1250" t="s">
        <v>88</v>
      </c>
      <c r="AV1250" t="s">
        <v>89</v>
      </c>
      <c r="AW1250" t="s">
        <v>117</v>
      </c>
      <c r="AX1250" t="s">
        <v>118</v>
      </c>
      <c r="AZ1250" t="s">
        <v>96</v>
      </c>
      <c r="BA1250" t="s">
        <v>86</v>
      </c>
      <c r="BB1250" t="s">
        <v>86</v>
      </c>
      <c r="BC1250" t="s">
        <v>86</v>
      </c>
      <c r="BD1250" t="s">
        <v>87</v>
      </c>
      <c r="BE1250" t="s">
        <v>74</v>
      </c>
      <c r="BF1250" t="s">
        <v>75</v>
      </c>
      <c r="BG1250" t="s">
        <v>76</v>
      </c>
      <c r="BH1250" t="s">
        <v>93</v>
      </c>
      <c r="BI1250" t="s">
        <v>96</v>
      </c>
      <c r="BK1250">
        <v>1</v>
      </c>
      <c r="BL1250">
        <v>0</v>
      </c>
      <c r="BM1250">
        <v>0</v>
      </c>
      <c r="BN1250">
        <v>0</v>
      </c>
      <c r="BO1250">
        <v>0</v>
      </c>
      <c r="BP1250">
        <v>0</v>
      </c>
      <c r="BQ1250">
        <v>0</v>
      </c>
      <c r="BR1250">
        <v>0</v>
      </c>
      <c r="BT1250" t="s">
        <v>109</v>
      </c>
    </row>
    <row r="1251" spans="1:72" x14ac:dyDescent="0.2">
      <c r="A1251" s="1">
        <v>44590.102777777778</v>
      </c>
      <c r="B1251" s="1">
        <v>44590.106249999997</v>
      </c>
      <c r="C1251">
        <v>0</v>
      </c>
      <c r="D1251">
        <v>1</v>
      </c>
      <c r="E1251">
        <v>0</v>
      </c>
      <c r="F1251">
        <v>0</v>
      </c>
      <c r="H1251">
        <v>1</v>
      </c>
      <c r="I1251">
        <v>0</v>
      </c>
      <c r="J1251">
        <v>0</v>
      </c>
      <c r="K1251">
        <v>0</v>
      </c>
      <c r="L1251">
        <v>0</v>
      </c>
      <c r="P1251">
        <v>1</v>
      </c>
      <c r="Q1251">
        <v>0</v>
      </c>
      <c r="R1251">
        <v>0</v>
      </c>
      <c r="S1251">
        <v>0</v>
      </c>
      <c r="T1251">
        <v>0</v>
      </c>
      <c r="U1251">
        <v>0</v>
      </c>
      <c r="V1251">
        <v>0</v>
      </c>
      <c r="W1251">
        <v>0</v>
      </c>
      <c r="X1251">
        <v>0</v>
      </c>
      <c r="Y1251">
        <v>0</v>
      </c>
      <c r="Z1251">
        <v>0</v>
      </c>
      <c r="AA1251">
        <v>0</v>
      </c>
      <c r="AC1251">
        <v>1</v>
      </c>
      <c r="AD1251">
        <v>0</v>
      </c>
      <c r="AE1251">
        <v>0</v>
      </c>
      <c r="AF1251">
        <v>0</v>
      </c>
      <c r="AG1251">
        <v>0</v>
      </c>
      <c r="AH1251">
        <v>0</v>
      </c>
      <c r="AI1251">
        <v>0</v>
      </c>
      <c r="AJ1251">
        <v>0</v>
      </c>
      <c r="AK1251">
        <v>0</v>
      </c>
      <c r="AZ1251" t="s">
        <v>107</v>
      </c>
      <c r="BA1251" t="s">
        <v>86</v>
      </c>
      <c r="BB1251" t="s">
        <v>86</v>
      </c>
      <c r="BC1251" t="s">
        <v>86</v>
      </c>
      <c r="BD1251" t="s">
        <v>86</v>
      </c>
      <c r="BE1251" t="s">
        <v>86</v>
      </c>
      <c r="BF1251" t="s">
        <v>97</v>
      </c>
      <c r="BG1251" t="s">
        <v>76</v>
      </c>
      <c r="BH1251" t="s">
        <v>158</v>
      </c>
      <c r="BI1251" t="s">
        <v>107</v>
      </c>
      <c r="BJ1251" t="s">
        <v>105</v>
      </c>
      <c r="BK1251">
        <v>0</v>
      </c>
      <c r="BL1251">
        <v>0</v>
      </c>
      <c r="BM1251">
        <v>0</v>
      </c>
      <c r="BN1251">
        <v>0</v>
      </c>
      <c r="BO1251">
        <v>0</v>
      </c>
      <c r="BP1251">
        <v>1</v>
      </c>
      <c r="BQ1251">
        <v>0</v>
      </c>
      <c r="BR1251">
        <v>0</v>
      </c>
    </row>
    <row r="1252" spans="1:72" x14ac:dyDescent="0.2">
      <c r="A1252" s="1">
        <v>44588.883333333331</v>
      </c>
      <c r="B1252" s="1">
        <v>44588.887499999997</v>
      </c>
      <c r="C1252">
        <v>1</v>
      </c>
      <c r="D1252">
        <v>0</v>
      </c>
      <c r="E1252">
        <v>0</v>
      </c>
      <c r="F1252">
        <v>0</v>
      </c>
      <c r="H1252">
        <v>0</v>
      </c>
      <c r="I1252">
        <v>0</v>
      </c>
      <c r="J1252">
        <v>0</v>
      </c>
      <c r="K1252">
        <v>1</v>
      </c>
      <c r="L1252">
        <v>0</v>
      </c>
      <c r="N1252" t="s">
        <v>135</v>
      </c>
      <c r="O1252" t="s">
        <v>80</v>
      </c>
      <c r="P1252">
        <v>0</v>
      </c>
      <c r="Q1252">
        <v>0</v>
      </c>
      <c r="R1252">
        <v>0</v>
      </c>
      <c r="S1252">
        <v>1</v>
      </c>
      <c r="T1252">
        <v>0</v>
      </c>
      <c r="U1252">
        <v>0</v>
      </c>
      <c r="V1252">
        <v>0</v>
      </c>
      <c r="W1252">
        <v>0</v>
      </c>
      <c r="X1252">
        <v>0</v>
      </c>
      <c r="Y1252">
        <v>0</v>
      </c>
      <c r="Z1252">
        <v>0</v>
      </c>
      <c r="AA1252">
        <v>0</v>
      </c>
      <c r="AM1252" t="s">
        <v>82</v>
      </c>
      <c r="AN1252" t="s">
        <v>81</v>
      </c>
      <c r="AO1252" t="s">
        <v>81</v>
      </c>
      <c r="AP1252" t="s">
        <v>81</v>
      </c>
      <c r="AQ1252" t="s">
        <v>82</v>
      </c>
      <c r="AR1252" t="s">
        <v>82</v>
      </c>
      <c r="AS1252" t="s">
        <v>82</v>
      </c>
      <c r="AT1252" t="s">
        <v>81</v>
      </c>
      <c r="AU1252" t="s">
        <v>84</v>
      </c>
      <c r="AV1252" t="s">
        <v>80</v>
      </c>
      <c r="AW1252" t="s">
        <v>100</v>
      </c>
      <c r="AZ1252" t="s">
        <v>73</v>
      </c>
      <c r="BA1252" t="s">
        <v>86</v>
      </c>
      <c r="BB1252" t="s">
        <v>86</v>
      </c>
      <c r="BC1252" t="s">
        <v>86</v>
      </c>
      <c r="BD1252" t="s">
        <v>74</v>
      </c>
      <c r="BE1252" t="s">
        <v>86</v>
      </c>
      <c r="BF1252" t="s">
        <v>97</v>
      </c>
      <c r="BG1252" t="s">
        <v>76</v>
      </c>
      <c r="BH1252" t="s">
        <v>98</v>
      </c>
      <c r="BI1252" t="s">
        <v>73</v>
      </c>
      <c r="BJ1252" t="s">
        <v>114</v>
      </c>
      <c r="BK1252">
        <v>1</v>
      </c>
      <c r="BL1252">
        <v>0</v>
      </c>
      <c r="BM1252">
        <v>0</v>
      </c>
      <c r="BN1252">
        <v>0</v>
      </c>
      <c r="BO1252">
        <v>1</v>
      </c>
      <c r="BP1252">
        <v>1</v>
      </c>
      <c r="BQ1252">
        <v>0</v>
      </c>
      <c r="BR1252">
        <v>0</v>
      </c>
    </row>
    <row r="1253" spans="1:72" x14ac:dyDescent="0.2">
      <c r="A1253" s="1">
        <v>44588.876388888886</v>
      </c>
      <c r="B1253" s="1">
        <v>44588.877083333333</v>
      </c>
      <c r="C1253">
        <v>1</v>
      </c>
      <c r="D1253">
        <v>0</v>
      </c>
      <c r="E1253">
        <v>0</v>
      </c>
      <c r="F1253">
        <v>0</v>
      </c>
      <c r="H1253">
        <v>0</v>
      </c>
      <c r="I1253">
        <v>1</v>
      </c>
      <c r="J1253">
        <v>1</v>
      </c>
      <c r="K1253">
        <v>0</v>
      </c>
      <c r="L1253">
        <v>0</v>
      </c>
      <c r="N1253" t="s">
        <v>88</v>
      </c>
      <c r="O1253" t="s">
        <v>89</v>
      </c>
      <c r="P1253">
        <v>0</v>
      </c>
      <c r="Q1253">
        <v>0</v>
      </c>
      <c r="R1253">
        <v>1</v>
      </c>
      <c r="S1253">
        <v>0</v>
      </c>
      <c r="T1253">
        <v>0</v>
      </c>
      <c r="U1253">
        <v>0</v>
      </c>
      <c r="V1253">
        <v>0</v>
      </c>
      <c r="W1253">
        <v>0</v>
      </c>
      <c r="X1253">
        <v>0</v>
      </c>
      <c r="Y1253">
        <v>0</v>
      </c>
      <c r="Z1253">
        <v>0</v>
      </c>
      <c r="AA1253">
        <v>0</v>
      </c>
      <c r="AM1253" t="s">
        <v>83</v>
      </c>
      <c r="AN1253" t="s">
        <v>82</v>
      </c>
      <c r="AO1253" t="s">
        <v>83</v>
      </c>
      <c r="AP1253" t="s">
        <v>81</v>
      </c>
      <c r="AQ1253" t="s">
        <v>81</v>
      </c>
      <c r="AR1253" t="s">
        <v>83</v>
      </c>
      <c r="AS1253" t="s">
        <v>83</v>
      </c>
      <c r="AT1253" t="s">
        <v>81</v>
      </c>
      <c r="AU1253" t="s">
        <v>88</v>
      </c>
      <c r="AV1253" t="s">
        <v>89</v>
      </c>
      <c r="AW1253" t="s">
        <v>85</v>
      </c>
      <c r="AX1253" t="s">
        <v>118</v>
      </c>
      <c r="AZ1253" t="s">
        <v>73</v>
      </c>
      <c r="BA1253" t="s">
        <v>87</v>
      </c>
      <c r="BB1253" t="s">
        <v>87</v>
      </c>
      <c r="BC1253" t="s">
        <v>87</v>
      </c>
      <c r="BD1253" t="s">
        <v>87</v>
      </c>
      <c r="BE1253" t="s">
        <v>87</v>
      </c>
      <c r="BF1253" t="s">
        <v>75</v>
      </c>
      <c r="BG1253" t="s">
        <v>76</v>
      </c>
      <c r="BH1253" t="s">
        <v>93</v>
      </c>
      <c r="BI1253" t="s">
        <v>73</v>
      </c>
      <c r="BJ1253" t="s">
        <v>114</v>
      </c>
      <c r="BK1253">
        <v>0</v>
      </c>
      <c r="BL1253">
        <v>0</v>
      </c>
      <c r="BM1253">
        <v>0</v>
      </c>
      <c r="BN1253">
        <v>0</v>
      </c>
      <c r="BO1253">
        <v>0</v>
      </c>
      <c r="BP1253">
        <v>1</v>
      </c>
      <c r="BQ1253">
        <v>0</v>
      </c>
      <c r="BR1253">
        <v>0</v>
      </c>
    </row>
    <row r="1254" spans="1:72" x14ac:dyDescent="0.2">
      <c r="A1254" s="1">
        <v>44586.911805555559</v>
      </c>
      <c r="B1254" s="1">
        <v>44586.912499999999</v>
      </c>
      <c r="C1254">
        <v>0</v>
      </c>
      <c r="D1254">
        <v>1</v>
      </c>
      <c r="E1254">
        <v>0</v>
      </c>
      <c r="F1254">
        <v>0</v>
      </c>
      <c r="H1254">
        <v>1</v>
      </c>
      <c r="I1254">
        <v>0</v>
      </c>
      <c r="J1254">
        <v>0</v>
      </c>
      <c r="K1254">
        <v>0</v>
      </c>
      <c r="L1254">
        <v>0</v>
      </c>
      <c r="P1254">
        <v>1</v>
      </c>
      <c r="Q1254">
        <v>0</v>
      </c>
      <c r="R1254">
        <v>0</v>
      </c>
      <c r="S1254">
        <v>0</v>
      </c>
      <c r="T1254">
        <v>0</v>
      </c>
      <c r="U1254">
        <v>0</v>
      </c>
      <c r="V1254">
        <v>0</v>
      </c>
      <c r="W1254">
        <v>0</v>
      </c>
      <c r="X1254">
        <v>0</v>
      </c>
      <c r="Y1254">
        <v>0</v>
      </c>
      <c r="Z1254">
        <v>0</v>
      </c>
      <c r="AA1254">
        <v>0</v>
      </c>
      <c r="AC1254">
        <v>0</v>
      </c>
      <c r="AD1254">
        <v>0</v>
      </c>
      <c r="AE1254">
        <v>0</v>
      </c>
      <c r="AF1254">
        <v>0</v>
      </c>
      <c r="AG1254">
        <v>0</v>
      </c>
      <c r="AH1254">
        <v>0</v>
      </c>
      <c r="AI1254">
        <v>1</v>
      </c>
      <c r="AJ1254">
        <v>0</v>
      </c>
      <c r="AK1254">
        <v>0</v>
      </c>
      <c r="AZ1254" t="s">
        <v>96</v>
      </c>
      <c r="BA1254" t="s">
        <v>74</v>
      </c>
      <c r="BF1254" t="s">
        <v>97</v>
      </c>
      <c r="BG1254" t="s">
        <v>92</v>
      </c>
      <c r="BH1254" t="s">
        <v>98</v>
      </c>
      <c r="BI1254" t="s">
        <v>96</v>
      </c>
      <c r="BJ1254" t="s">
        <v>78</v>
      </c>
      <c r="BK1254">
        <v>1</v>
      </c>
      <c r="BL1254">
        <v>1</v>
      </c>
      <c r="BM1254">
        <v>0</v>
      </c>
      <c r="BN1254">
        <v>0</v>
      </c>
      <c r="BO1254">
        <v>0</v>
      </c>
      <c r="BP1254">
        <v>0</v>
      </c>
      <c r="BQ1254">
        <v>0</v>
      </c>
      <c r="BR1254">
        <v>0</v>
      </c>
    </row>
    <row r="1255" spans="1:72" x14ac:dyDescent="0.2">
      <c r="A1255" s="1">
        <v>44588.882638888892</v>
      </c>
      <c r="B1255" s="1">
        <v>44588.885416666664</v>
      </c>
      <c r="C1255">
        <v>1</v>
      </c>
      <c r="D1255">
        <v>0</v>
      </c>
      <c r="E1255">
        <v>0</v>
      </c>
      <c r="F1255">
        <v>0</v>
      </c>
      <c r="H1255">
        <v>1</v>
      </c>
      <c r="I1255">
        <v>0</v>
      </c>
      <c r="J1255">
        <v>0</v>
      </c>
      <c r="K1255">
        <v>0</v>
      </c>
      <c r="L1255">
        <v>0</v>
      </c>
      <c r="P1255">
        <v>0</v>
      </c>
      <c r="Q1255">
        <v>1</v>
      </c>
      <c r="R1255">
        <v>0</v>
      </c>
      <c r="S1255">
        <v>0</v>
      </c>
      <c r="T1255">
        <v>0</v>
      </c>
      <c r="U1255">
        <v>0</v>
      </c>
      <c r="V1255">
        <v>0</v>
      </c>
      <c r="W1255">
        <v>0</v>
      </c>
      <c r="X1255">
        <v>0</v>
      </c>
      <c r="Y1255">
        <v>0</v>
      </c>
      <c r="Z1255">
        <v>0</v>
      </c>
      <c r="AA1255">
        <v>0</v>
      </c>
      <c r="AM1255" t="s">
        <v>83</v>
      </c>
      <c r="AN1255" t="s">
        <v>83</v>
      </c>
      <c r="AO1255" t="s">
        <v>83</v>
      </c>
      <c r="AP1255" t="s">
        <v>83</v>
      </c>
      <c r="AQ1255" t="s">
        <v>83</v>
      </c>
      <c r="AR1255" t="s">
        <v>83</v>
      </c>
      <c r="AS1255" t="s">
        <v>83</v>
      </c>
      <c r="AT1255" t="s">
        <v>83</v>
      </c>
      <c r="AU1255" t="s">
        <v>135</v>
      </c>
      <c r="AV1255" t="s">
        <v>80</v>
      </c>
      <c r="AW1255" t="s">
        <v>117</v>
      </c>
      <c r="AZ1255" t="s">
        <v>73</v>
      </c>
      <c r="BA1255" t="s">
        <v>87</v>
      </c>
      <c r="BB1255" t="s">
        <v>87</v>
      </c>
      <c r="BC1255" t="s">
        <v>87</v>
      </c>
      <c r="BD1255" t="s">
        <v>87</v>
      </c>
      <c r="BE1255" t="s">
        <v>87</v>
      </c>
      <c r="BF1255" t="s">
        <v>97</v>
      </c>
      <c r="BG1255" t="s">
        <v>92</v>
      </c>
      <c r="BH1255" t="s">
        <v>98</v>
      </c>
      <c r="BI1255" t="s">
        <v>73</v>
      </c>
      <c r="BJ1255" t="s">
        <v>114</v>
      </c>
      <c r="BK1255">
        <v>0</v>
      </c>
      <c r="BL1255">
        <v>0</v>
      </c>
      <c r="BM1255">
        <v>0</v>
      </c>
      <c r="BN1255">
        <v>0</v>
      </c>
      <c r="BO1255">
        <v>0</v>
      </c>
      <c r="BP1255">
        <v>1</v>
      </c>
      <c r="BQ1255">
        <v>0</v>
      </c>
      <c r="BR1255">
        <v>0</v>
      </c>
    </row>
    <row r="1256" spans="1:72" x14ac:dyDescent="0.2">
      <c r="A1256" s="1">
        <v>44579.883333333331</v>
      </c>
      <c r="B1256" s="1">
        <v>44579.885416666664</v>
      </c>
      <c r="C1256">
        <v>0</v>
      </c>
      <c r="D1256">
        <v>1</v>
      </c>
      <c r="E1256">
        <v>0</v>
      </c>
      <c r="F1256">
        <v>0</v>
      </c>
      <c r="H1256">
        <v>0</v>
      </c>
      <c r="I1256">
        <v>1</v>
      </c>
      <c r="J1256">
        <v>1</v>
      </c>
      <c r="K1256">
        <v>1</v>
      </c>
      <c r="L1256">
        <v>1</v>
      </c>
      <c r="M1256" t="s">
        <v>532</v>
      </c>
      <c r="N1256" t="s">
        <v>88</v>
      </c>
      <c r="O1256" t="s">
        <v>89</v>
      </c>
      <c r="P1256">
        <v>0</v>
      </c>
      <c r="Q1256">
        <v>1</v>
      </c>
      <c r="R1256">
        <v>0</v>
      </c>
      <c r="S1256">
        <v>0</v>
      </c>
      <c r="T1256">
        <v>0</v>
      </c>
      <c r="U1256">
        <v>0</v>
      </c>
      <c r="V1256">
        <v>0</v>
      </c>
      <c r="W1256">
        <v>0</v>
      </c>
      <c r="X1256">
        <v>0</v>
      </c>
      <c r="Y1256">
        <v>0</v>
      </c>
      <c r="Z1256">
        <v>0</v>
      </c>
      <c r="AA1256">
        <v>0</v>
      </c>
      <c r="AM1256" t="s">
        <v>83</v>
      </c>
      <c r="AN1256" t="s">
        <v>82</v>
      </c>
      <c r="AO1256" t="s">
        <v>81</v>
      </c>
      <c r="AP1256" t="s">
        <v>81</v>
      </c>
      <c r="AQ1256" t="s">
        <v>83</v>
      </c>
      <c r="AR1256" t="s">
        <v>83</v>
      </c>
      <c r="AS1256" t="s">
        <v>83</v>
      </c>
      <c r="AT1256" t="s">
        <v>83</v>
      </c>
      <c r="AU1256" t="s">
        <v>88</v>
      </c>
      <c r="AV1256" t="s">
        <v>89</v>
      </c>
      <c r="AW1256" t="s">
        <v>100</v>
      </c>
      <c r="AX1256" t="s">
        <v>106</v>
      </c>
      <c r="AZ1256" t="s">
        <v>96</v>
      </c>
      <c r="BA1256" t="s">
        <v>86</v>
      </c>
      <c r="BB1256" t="s">
        <v>87</v>
      </c>
      <c r="BC1256" t="s">
        <v>87</v>
      </c>
      <c r="BD1256" t="s">
        <v>87</v>
      </c>
      <c r="BE1256" t="s">
        <v>86</v>
      </c>
      <c r="BF1256" t="s">
        <v>75</v>
      </c>
      <c r="BG1256" t="s">
        <v>76</v>
      </c>
      <c r="BH1256" t="s">
        <v>77</v>
      </c>
      <c r="BI1256" t="s">
        <v>96</v>
      </c>
      <c r="BJ1256" t="s">
        <v>109</v>
      </c>
      <c r="BK1256">
        <v>0</v>
      </c>
      <c r="BL1256">
        <v>0</v>
      </c>
      <c r="BM1256">
        <v>0</v>
      </c>
      <c r="BN1256">
        <v>0</v>
      </c>
      <c r="BO1256">
        <v>0</v>
      </c>
      <c r="BP1256">
        <v>1</v>
      </c>
      <c r="BQ1256">
        <v>0</v>
      </c>
      <c r="BR1256">
        <v>0</v>
      </c>
    </row>
    <row r="1257" spans="1:72" x14ac:dyDescent="0.2">
      <c r="A1257" s="1">
        <v>44579.877083333333</v>
      </c>
      <c r="B1257" s="1">
        <v>44579.878472222219</v>
      </c>
      <c r="C1257">
        <v>1</v>
      </c>
      <c r="D1257">
        <v>0</v>
      </c>
      <c r="E1257">
        <v>0</v>
      </c>
      <c r="F1257">
        <v>0</v>
      </c>
      <c r="H1257">
        <v>1</v>
      </c>
      <c r="I1257">
        <v>0</v>
      </c>
      <c r="J1257">
        <v>0</v>
      </c>
      <c r="K1257">
        <v>0</v>
      </c>
      <c r="L1257">
        <v>0</v>
      </c>
      <c r="P1257">
        <v>0</v>
      </c>
      <c r="Q1257">
        <v>0</v>
      </c>
      <c r="R1257">
        <v>1</v>
      </c>
      <c r="S1257">
        <v>0</v>
      </c>
      <c r="T1257">
        <v>0</v>
      </c>
      <c r="U1257">
        <v>0</v>
      </c>
      <c r="V1257">
        <v>0</v>
      </c>
      <c r="W1257">
        <v>0</v>
      </c>
      <c r="X1257">
        <v>0</v>
      </c>
      <c r="Y1257">
        <v>0</v>
      </c>
      <c r="Z1257">
        <v>0</v>
      </c>
      <c r="AA1257">
        <v>0</v>
      </c>
      <c r="AM1257" t="s">
        <v>83</v>
      </c>
      <c r="AN1257" t="s">
        <v>82</v>
      </c>
      <c r="AO1257" t="s">
        <v>82</v>
      </c>
      <c r="AP1257" t="s">
        <v>83</v>
      </c>
      <c r="AQ1257" t="s">
        <v>81</v>
      </c>
      <c r="AR1257" t="s">
        <v>83</v>
      </c>
      <c r="AS1257" t="s">
        <v>83</v>
      </c>
      <c r="AT1257" t="s">
        <v>83</v>
      </c>
      <c r="AU1257" t="s">
        <v>88</v>
      </c>
      <c r="AV1257" t="s">
        <v>89</v>
      </c>
      <c r="AW1257" t="s">
        <v>100</v>
      </c>
      <c r="AX1257" t="s">
        <v>128</v>
      </c>
      <c r="AZ1257" t="s">
        <v>73</v>
      </c>
      <c r="BA1257" t="s">
        <v>87</v>
      </c>
      <c r="BB1257" t="s">
        <v>87</v>
      </c>
      <c r="BC1257" t="s">
        <v>87</v>
      </c>
      <c r="BD1257" t="s">
        <v>87</v>
      </c>
      <c r="BE1257" t="s">
        <v>87</v>
      </c>
      <c r="BF1257" t="s">
        <v>75</v>
      </c>
      <c r="BG1257" t="s">
        <v>92</v>
      </c>
      <c r="BH1257" t="s">
        <v>93</v>
      </c>
      <c r="BI1257" t="s">
        <v>73</v>
      </c>
      <c r="BJ1257" t="s">
        <v>114</v>
      </c>
      <c r="BK1257">
        <v>0</v>
      </c>
      <c r="BL1257">
        <v>0</v>
      </c>
      <c r="BM1257">
        <v>0</v>
      </c>
      <c r="BN1257">
        <v>1</v>
      </c>
      <c r="BO1257">
        <v>0</v>
      </c>
      <c r="BP1257">
        <v>0</v>
      </c>
      <c r="BQ1257">
        <v>0</v>
      </c>
      <c r="BR1257">
        <v>0</v>
      </c>
    </row>
    <row r="1258" spans="1:72" x14ac:dyDescent="0.2">
      <c r="A1258" s="1">
        <v>44581.814583333333</v>
      </c>
      <c r="B1258" s="1">
        <v>44581.817361111112</v>
      </c>
      <c r="C1258">
        <v>1</v>
      </c>
      <c r="D1258">
        <v>0</v>
      </c>
      <c r="E1258">
        <v>0</v>
      </c>
      <c r="F1258">
        <v>0</v>
      </c>
      <c r="H1258">
        <v>0</v>
      </c>
      <c r="I1258">
        <v>1</v>
      </c>
      <c r="J1258">
        <v>1</v>
      </c>
      <c r="K1258">
        <v>1</v>
      </c>
      <c r="L1258">
        <v>0</v>
      </c>
      <c r="N1258" t="s">
        <v>79</v>
      </c>
      <c r="O1258" t="s">
        <v>80</v>
      </c>
      <c r="P1258">
        <v>0</v>
      </c>
      <c r="Q1258">
        <v>1</v>
      </c>
      <c r="R1258">
        <v>1</v>
      </c>
      <c r="S1258">
        <v>0</v>
      </c>
      <c r="T1258">
        <v>0</v>
      </c>
      <c r="U1258">
        <v>0</v>
      </c>
      <c r="V1258">
        <v>0</v>
      </c>
      <c r="W1258">
        <v>0</v>
      </c>
      <c r="X1258">
        <v>0</v>
      </c>
      <c r="Y1258">
        <v>0</v>
      </c>
      <c r="Z1258">
        <v>0</v>
      </c>
      <c r="AA1258">
        <v>0</v>
      </c>
      <c r="AM1258" t="s">
        <v>83</v>
      </c>
      <c r="AN1258" t="s">
        <v>82</v>
      </c>
      <c r="AO1258" t="s">
        <v>81</v>
      </c>
      <c r="AP1258" t="s">
        <v>82</v>
      </c>
      <c r="AQ1258" t="s">
        <v>81</v>
      </c>
      <c r="AR1258" t="s">
        <v>81</v>
      </c>
      <c r="AS1258" t="s">
        <v>81</v>
      </c>
      <c r="AT1258" t="s">
        <v>83</v>
      </c>
      <c r="AU1258" t="s">
        <v>84</v>
      </c>
      <c r="AV1258" t="s">
        <v>80</v>
      </c>
      <c r="AW1258" t="s">
        <v>117</v>
      </c>
      <c r="AZ1258" t="s">
        <v>96</v>
      </c>
      <c r="BA1258" t="s">
        <v>86</v>
      </c>
      <c r="BB1258" t="s">
        <v>87</v>
      </c>
      <c r="BC1258" t="s">
        <v>87</v>
      </c>
      <c r="BD1258" t="s">
        <v>87</v>
      </c>
      <c r="BE1258" t="s">
        <v>86</v>
      </c>
      <c r="BF1258" t="s">
        <v>97</v>
      </c>
      <c r="BG1258" t="s">
        <v>76</v>
      </c>
      <c r="BH1258" t="s">
        <v>77</v>
      </c>
      <c r="BI1258" t="s">
        <v>96</v>
      </c>
      <c r="BJ1258" t="s">
        <v>109</v>
      </c>
      <c r="BK1258">
        <v>0</v>
      </c>
      <c r="BL1258">
        <v>0</v>
      </c>
      <c r="BM1258">
        <v>0</v>
      </c>
      <c r="BN1258">
        <v>0</v>
      </c>
      <c r="BO1258">
        <v>0</v>
      </c>
      <c r="BP1258">
        <v>0</v>
      </c>
      <c r="BQ1258">
        <v>1</v>
      </c>
      <c r="BR1258">
        <v>0</v>
      </c>
      <c r="BS1258" t="s">
        <v>533</v>
      </c>
    </row>
    <row r="1259" spans="1:72" x14ac:dyDescent="0.2">
      <c r="A1259" s="1">
        <v>44579.975694444445</v>
      </c>
      <c r="B1259" s="1">
        <v>44579.975694444445</v>
      </c>
      <c r="C1259">
        <v>1</v>
      </c>
      <c r="D1259">
        <v>0</v>
      </c>
      <c r="E1259">
        <v>0</v>
      </c>
      <c r="F1259">
        <v>0</v>
      </c>
      <c r="H1259">
        <v>1</v>
      </c>
      <c r="I1259">
        <v>0</v>
      </c>
      <c r="J1259">
        <v>0</v>
      </c>
      <c r="K1259">
        <v>0</v>
      </c>
      <c r="L1259">
        <v>0</v>
      </c>
      <c r="P1259">
        <v>1</v>
      </c>
      <c r="Q1259">
        <v>0</v>
      </c>
      <c r="R1259">
        <v>0</v>
      </c>
      <c r="S1259">
        <v>0</v>
      </c>
      <c r="T1259">
        <v>0</v>
      </c>
      <c r="U1259">
        <v>0</v>
      </c>
      <c r="V1259">
        <v>0</v>
      </c>
      <c r="W1259">
        <v>0</v>
      </c>
      <c r="X1259">
        <v>0</v>
      </c>
      <c r="Y1259">
        <v>0</v>
      </c>
      <c r="Z1259">
        <v>0</v>
      </c>
      <c r="AA1259">
        <v>0</v>
      </c>
      <c r="AC1259">
        <v>0</v>
      </c>
      <c r="AD1259">
        <v>0</v>
      </c>
      <c r="AE1259">
        <v>0</v>
      </c>
      <c r="AF1259">
        <v>0</v>
      </c>
      <c r="AG1259">
        <v>0</v>
      </c>
      <c r="AH1259">
        <v>0</v>
      </c>
      <c r="AI1259">
        <v>1</v>
      </c>
      <c r="AJ1259">
        <v>0</v>
      </c>
      <c r="AK1259">
        <v>0</v>
      </c>
      <c r="AZ1259" t="s">
        <v>120</v>
      </c>
      <c r="BA1259" t="s">
        <v>74</v>
      </c>
      <c r="BF1259" t="s">
        <v>97</v>
      </c>
      <c r="BG1259" t="s">
        <v>76</v>
      </c>
      <c r="BH1259" t="s">
        <v>98</v>
      </c>
      <c r="BI1259" t="s">
        <v>120</v>
      </c>
      <c r="BJ1259" t="s">
        <v>114</v>
      </c>
      <c r="BK1259">
        <v>0</v>
      </c>
      <c r="BL1259">
        <v>0</v>
      </c>
      <c r="BM1259">
        <v>0</v>
      </c>
      <c r="BN1259">
        <v>0</v>
      </c>
      <c r="BO1259">
        <v>0</v>
      </c>
      <c r="BP1259">
        <v>1</v>
      </c>
      <c r="BQ1259">
        <v>0</v>
      </c>
      <c r="BR1259">
        <v>0</v>
      </c>
    </row>
    <row r="1260" spans="1:72" x14ac:dyDescent="0.2">
      <c r="A1260" s="1">
        <v>44579.885416666664</v>
      </c>
      <c r="B1260" s="1">
        <v>44579.888194444444</v>
      </c>
      <c r="C1260">
        <v>1</v>
      </c>
      <c r="D1260">
        <v>0</v>
      </c>
      <c r="E1260">
        <v>0</v>
      </c>
      <c r="F1260">
        <v>0</v>
      </c>
      <c r="H1260">
        <v>0</v>
      </c>
      <c r="I1260">
        <v>1</v>
      </c>
      <c r="J1260">
        <v>1</v>
      </c>
      <c r="K1260">
        <v>0</v>
      </c>
      <c r="L1260">
        <v>0</v>
      </c>
      <c r="N1260" t="s">
        <v>88</v>
      </c>
      <c r="O1260" t="s">
        <v>89</v>
      </c>
      <c r="P1260">
        <v>0</v>
      </c>
      <c r="Q1260">
        <v>0</v>
      </c>
      <c r="R1260">
        <v>1</v>
      </c>
      <c r="S1260">
        <v>0</v>
      </c>
      <c r="T1260">
        <v>0</v>
      </c>
      <c r="U1260">
        <v>0</v>
      </c>
      <c r="V1260">
        <v>0</v>
      </c>
      <c r="W1260">
        <v>0</v>
      </c>
      <c r="X1260">
        <v>0</v>
      </c>
      <c r="Y1260">
        <v>0</v>
      </c>
      <c r="Z1260">
        <v>0</v>
      </c>
      <c r="AA1260">
        <v>0</v>
      </c>
      <c r="AM1260" t="s">
        <v>81</v>
      </c>
      <c r="AN1260" t="s">
        <v>81</v>
      </c>
      <c r="AO1260" t="s">
        <v>83</v>
      </c>
      <c r="AP1260" t="s">
        <v>81</v>
      </c>
      <c r="AQ1260" t="s">
        <v>82</v>
      </c>
      <c r="AR1260" t="s">
        <v>81</v>
      </c>
      <c r="AS1260" t="s">
        <v>83</v>
      </c>
      <c r="AT1260" t="s">
        <v>83</v>
      </c>
      <c r="AU1260" t="s">
        <v>88</v>
      </c>
      <c r="AV1260" t="s">
        <v>89</v>
      </c>
      <c r="AW1260" t="s">
        <v>85</v>
      </c>
      <c r="AX1260" t="s">
        <v>72</v>
      </c>
      <c r="AZ1260" t="s">
        <v>73</v>
      </c>
      <c r="BA1260" t="s">
        <v>86</v>
      </c>
      <c r="BB1260" t="s">
        <v>87</v>
      </c>
      <c r="BC1260" t="s">
        <v>87</v>
      </c>
      <c r="BD1260" t="s">
        <v>74</v>
      </c>
      <c r="BE1260" t="s">
        <v>74</v>
      </c>
      <c r="BF1260" t="s">
        <v>75</v>
      </c>
      <c r="BG1260" t="s">
        <v>92</v>
      </c>
      <c r="BH1260" t="s">
        <v>98</v>
      </c>
      <c r="BI1260" t="s">
        <v>73</v>
      </c>
      <c r="BJ1260" t="s">
        <v>94</v>
      </c>
      <c r="BK1260">
        <v>0</v>
      </c>
      <c r="BL1260">
        <v>0</v>
      </c>
      <c r="BM1260">
        <v>0</v>
      </c>
      <c r="BN1260">
        <v>0</v>
      </c>
      <c r="BO1260">
        <v>0</v>
      </c>
      <c r="BP1260">
        <v>1</v>
      </c>
      <c r="BQ1260">
        <v>0</v>
      </c>
      <c r="BR1260">
        <v>0</v>
      </c>
    </row>
    <row r="1261" spans="1:72" x14ac:dyDescent="0.2">
      <c r="A1261" s="1">
        <v>44579.947916666664</v>
      </c>
      <c r="B1261" s="1">
        <v>44579.95</v>
      </c>
      <c r="C1261">
        <v>1</v>
      </c>
      <c r="D1261">
        <v>0</v>
      </c>
      <c r="E1261">
        <v>0</v>
      </c>
      <c r="F1261">
        <v>0</v>
      </c>
      <c r="H1261">
        <v>0</v>
      </c>
      <c r="I1261">
        <v>0</v>
      </c>
      <c r="J1261">
        <v>1</v>
      </c>
      <c r="K1261">
        <v>0</v>
      </c>
      <c r="L1261">
        <v>0</v>
      </c>
      <c r="N1261" t="s">
        <v>79</v>
      </c>
      <c r="O1261" t="s">
        <v>80</v>
      </c>
      <c r="P1261">
        <v>0</v>
      </c>
      <c r="Q1261">
        <v>0</v>
      </c>
      <c r="R1261">
        <v>1</v>
      </c>
      <c r="S1261">
        <v>0</v>
      </c>
      <c r="T1261">
        <v>0</v>
      </c>
      <c r="U1261">
        <v>0</v>
      </c>
      <c r="V1261">
        <v>0</v>
      </c>
      <c r="W1261">
        <v>0</v>
      </c>
      <c r="X1261">
        <v>0</v>
      </c>
      <c r="Y1261">
        <v>0</v>
      </c>
      <c r="Z1261">
        <v>0</v>
      </c>
      <c r="AA1261">
        <v>0</v>
      </c>
      <c r="AM1261" t="s">
        <v>83</v>
      </c>
      <c r="AN1261" t="s">
        <v>82</v>
      </c>
      <c r="AO1261" t="s">
        <v>83</v>
      </c>
      <c r="AP1261" t="s">
        <v>83</v>
      </c>
      <c r="AQ1261" t="s">
        <v>81</v>
      </c>
      <c r="AR1261" t="s">
        <v>81</v>
      </c>
      <c r="AS1261" t="s">
        <v>81</v>
      </c>
      <c r="AT1261" t="s">
        <v>83</v>
      </c>
      <c r="AU1261" t="s">
        <v>84</v>
      </c>
      <c r="AV1261" t="s">
        <v>80</v>
      </c>
      <c r="AW1261" t="s">
        <v>85</v>
      </c>
      <c r="AX1261" t="s">
        <v>146</v>
      </c>
      <c r="AZ1261" t="s">
        <v>73</v>
      </c>
      <c r="BA1261" t="s">
        <v>87</v>
      </c>
      <c r="BB1261" t="s">
        <v>87</v>
      </c>
      <c r="BC1261" t="s">
        <v>87</v>
      </c>
      <c r="BD1261" t="s">
        <v>87</v>
      </c>
      <c r="BE1261" t="s">
        <v>86</v>
      </c>
      <c r="BF1261" t="s">
        <v>75</v>
      </c>
      <c r="BG1261" t="s">
        <v>76</v>
      </c>
      <c r="BH1261" t="s">
        <v>77</v>
      </c>
      <c r="BI1261" t="s">
        <v>73</v>
      </c>
      <c r="BJ1261" t="s">
        <v>114</v>
      </c>
      <c r="BK1261">
        <v>0</v>
      </c>
      <c r="BL1261">
        <v>0</v>
      </c>
      <c r="BM1261">
        <v>0</v>
      </c>
      <c r="BN1261">
        <v>0</v>
      </c>
      <c r="BO1261">
        <v>0</v>
      </c>
      <c r="BP1261">
        <v>1</v>
      </c>
      <c r="BQ1261">
        <v>0</v>
      </c>
      <c r="BR1261">
        <v>0</v>
      </c>
    </row>
    <row r="1262" spans="1:72" x14ac:dyDescent="0.2">
      <c r="A1262" s="1">
        <v>44579.88958333333</v>
      </c>
      <c r="B1262" s="1">
        <v>44579.89166666667</v>
      </c>
      <c r="C1262">
        <v>1</v>
      </c>
      <c r="D1262">
        <v>1</v>
      </c>
      <c r="E1262">
        <v>0</v>
      </c>
      <c r="F1262">
        <v>0</v>
      </c>
      <c r="H1262">
        <v>1</v>
      </c>
      <c r="I1262">
        <v>0</v>
      </c>
      <c r="J1262">
        <v>0</v>
      </c>
      <c r="K1262">
        <v>0</v>
      </c>
      <c r="L1262">
        <v>0</v>
      </c>
      <c r="P1262">
        <v>1</v>
      </c>
      <c r="Q1262">
        <v>0</v>
      </c>
      <c r="R1262">
        <v>0</v>
      </c>
      <c r="S1262">
        <v>0</v>
      </c>
      <c r="T1262">
        <v>0</v>
      </c>
      <c r="U1262">
        <v>0</v>
      </c>
      <c r="V1262">
        <v>0</v>
      </c>
      <c r="W1262">
        <v>0</v>
      </c>
      <c r="X1262">
        <v>0</v>
      </c>
      <c r="Y1262">
        <v>0</v>
      </c>
      <c r="Z1262">
        <v>0</v>
      </c>
      <c r="AA1262">
        <v>0</v>
      </c>
      <c r="AC1262">
        <v>0</v>
      </c>
      <c r="AD1262">
        <v>1</v>
      </c>
      <c r="AE1262">
        <v>0</v>
      </c>
      <c r="AF1262">
        <v>0</v>
      </c>
      <c r="AG1262">
        <v>0</v>
      </c>
      <c r="AH1262">
        <v>0</v>
      </c>
      <c r="AI1262">
        <v>0</v>
      </c>
      <c r="AJ1262">
        <v>0</v>
      </c>
      <c r="AK1262">
        <v>0</v>
      </c>
      <c r="AX1262" t="s">
        <v>118</v>
      </c>
      <c r="AZ1262" t="s">
        <v>107</v>
      </c>
      <c r="BA1262" t="s">
        <v>87</v>
      </c>
      <c r="BB1262" t="s">
        <v>87</v>
      </c>
      <c r="BC1262" t="s">
        <v>87</v>
      </c>
      <c r="BD1262" t="s">
        <v>87</v>
      </c>
      <c r="BE1262" t="s">
        <v>87</v>
      </c>
      <c r="BF1262" t="s">
        <v>75</v>
      </c>
      <c r="BG1262" t="s">
        <v>76</v>
      </c>
      <c r="BH1262" t="s">
        <v>77</v>
      </c>
      <c r="BI1262" t="s">
        <v>107</v>
      </c>
      <c r="BJ1262" t="s">
        <v>78</v>
      </c>
      <c r="BK1262">
        <v>0</v>
      </c>
      <c r="BL1262">
        <v>0</v>
      </c>
      <c r="BM1262">
        <v>0</v>
      </c>
      <c r="BN1262">
        <v>0</v>
      </c>
      <c r="BO1262">
        <v>0</v>
      </c>
      <c r="BP1262">
        <v>1</v>
      </c>
      <c r="BQ1262">
        <v>0</v>
      </c>
      <c r="BR1262">
        <v>0</v>
      </c>
    </row>
    <row r="1263" spans="1:72" x14ac:dyDescent="0.2">
      <c r="A1263" s="1">
        <v>44581.055555555555</v>
      </c>
      <c r="B1263" s="1">
        <v>44581.063888888886</v>
      </c>
      <c r="C1263">
        <v>1</v>
      </c>
      <c r="D1263">
        <v>0</v>
      </c>
      <c r="E1263">
        <v>0</v>
      </c>
      <c r="F1263">
        <v>0</v>
      </c>
      <c r="H1263">
        <v>0</v>
      </c>
      <c r="I1263">
        <v>1</v>
      </c>
      <c r="J1263">
        <v>0</v>
      </c>
      <c r="K1263">
        <v>0</v>
      </c>
      <c r="L1263">
        <v>0</v>
      </c>
      <c r="N1263" t="s">
        <v>135</v>
      </c>
      <c r="O1263" t="s">
        <v>89</v>
      </c>
      <c r="P1263">
        <v>1</v>
      </c>
      <c r="Q1263">
        <v>0</v>
      </c>
      <c r="R1263">
        <v>0</v>
      </c>
      <c r="S1263">
        <v>0</v>
      </c>
      <c r="T1263">
        <v>0</v>
      </c>
      <c r="U1263">
        <v>0</v>
      </c>
      <c r="V1263">
        <v>0</v>
      </c>
      <c r="W1263">
        <v>0</v>
      </c>
      <c r="X1263">
        <v>0</v>
      </c>
      <c r="Y1263">
        <v>0</v>
      </c>
      <c r="Z1263">
        <v>0</v>
      </c>
      <c r="AA1263">
        <v>0</v>
      </c>
      <c r="AC1263">
        <v>1</v>
      </c>
      <c r="AD1263">
        <v>0</v>
      </c>
      <c r="AE1263">
        <v>0</v>
      </c>
      <c r="AF1263">
        <v>0</v>
      </c>
      <c r="AG1263">
        <v>0</v>
      </c>
      <c r="AH1263">
        <v>0</v>
      </c>
      <c r="AI1263">
        <v>0</v>
      </c>
      <c r="AJ1263">
        <v>0</v>
      </c>
      <c r="AK1263">
        <v>0</v>
      </c>
      <c r="AZ1263" t="s">
        <v>120</v>
      </c>
      <c r="BA1263" t="s">
        <v>87</v>
      </c>
      <c r="BB1263" t="s">
        <v>87</v>
      </c>
      <c r="BC1263" t="s">
        <v>87</v>
      </c>
      <c r="BD1263" t="s">
        <v>87</v>
      </c>
      <c r="BE1263" t="s">
        <v>74</v>
      </c>
      <c r="BF1263" t="s">
        <v>101</v>
      </c>
      <c r="BG1263" t="s">
        <v>76</v>
      </c>
      <c r="BH1263" t="s">
        <v>158</v>
      </c>
      <c r="BI1263" t="s">
        <v>120</v>
      </c>
      <c r="BK1263">
        <v>1</v>
      </c>
      <c r="BL1263">
        <v>0</v>
      </c>
      <c r="BM1263">
        <v>0</v>
      </c>
      <c r="BN1263">
        <v>0</v>
      </c>
      <c r="BO1263">
        <v>1</v>
      </c>
      <c r="BP1263">
        <v>0</v>
      </c>
      <c r="BQ1263">
        <v>0</v>
      </c>
      <c r="BR1263">
        <v>0</v>
      </c>
    </row>
    <row r="1264" spans="1:72" x14ac:dyDescent="0.2">
      <c r="A1264" s="1">
        <v>44585.88958333333</v>
      </c>
      <c r="B1264" s="1">
        <v>44585.89166666667</v>
      </c>
      <c r="C1264">
        <v>0</v>
      </c>
      <c r="D1264">
        <v>0</v>
      </c>
      <c r="E1264">
        <v>0</v>
      </c>
      <c r="F1264">
        <v>1</v>
      </c>
      <c r="P1264">
        <v>1</v>
      </c>
      <c r="Q1264">
        <v>0</v>
      </c>
      <c r="R1264">
        <v>0</v>
      </c>
      <c r="S1264">
        <v>0</v>
      </c>
      <c r="T1264">
        <v>0</v>
      </c>
      <c r="U1264">
        <v>0</v>
      </c>
      <c r="V1264">
        <v>0</v>
      </c>
      <c r="W1264">
        <v>0</v>
      </c>
      <c r="X1264">
        <v>0</v>
      </c>
      <c r="Y1264">
        <v>0</v>
      </c>
      <c r="Z1264">
        <v>0</v>
      </c>
      <c r="AA1264">
        <v>0</v>
      </c>
      <c r="AC1264">
        <v>0</v>
      </c>
      <c r="AD1264">
        <v>1</v>
      </c>
      <c r="AE1264">
        <v>0</v>
      </c>
      <c r="AF1264">
        <v>0</v>
      </c>
      <c r="AG1264">
        <v>0</v>
      </c>
      <c r="AH1264">
        <v>0</v>
      </c>
      <c r="AI1264">
        <v>0</v>
      </c>
      <c r="AJ1264">
        <v>0</v>
      </c>
      <c r="AK1264">
        <v>0</v>
      </c>
      <c r="AZ1264" t="s">
        <v>73</v>
      </c>
      <c r="BF1264" t="s">
        <v>97</v>
      </c>
      <c r="BG1264" t="s">
        <v>76</v>
      </c>
      <c r="BH1264" t="s">
        <v>158</v>
      </c>
      <c r="BI1264" t="s">
        <v>73</v>
      </c>
      <c r="BJ1264" t="s">
        <v>109</v>
      </c>
      <c r="BK1264">
        <v>0</v>
      </c>
      <c r="BL1264">
        <v>0</v>
      </c>
      <c r="BM1264">
        <v>0</v>
      </c>
      <c r="BN1264">
        <v>0</v>
      </c>
      <c r="BO1264">
        <v>0</v>
      </c>
      <c r="BP1264">
        <v>1</v>
      </c>
      <c r="BQ1264">
        <v>0</v>
      </c>
      <c r="BR1264">
        <v>0</v>
      </c>
    </row>
    <row r="1265" spans="1:72" x14ac:dyDescent="0.2">
      <c r="A1265" s="1">
        <v>44579.953472222223</v>
      </c>
      <c r="B1265" s="1">
        <v>44579.953472222223</v>
      </c>
      <c r="C1265">
        <v>0</v>
      </c>
      <c r="D1265">
        <v>1</v>
      </c>
      <c r="E1265">
        <v>0</v>
      </c>
      <c r="F1265">
        <v>0</v>
      </c>
      <c r="H1265">
        <v>1</v>
      </c>
      <c r="I1265">
        <v>0</v>
      </c>
      <c r="J1265">
        <v>0</v>
      </c>
      <c r="K1265">
        <v>0</v>
      </c>
      <c r="L1265">
        <v>0</v>
      </c>
      <c r="P1265">
        <v>1</v>
      </c>
      <c r="Q1265">
        <v>0</v>
      </c>
      <c r="R1265">
        <v>0</v>
      </c>
      <c r="S1265">
        <v>0</v>
      </c>
      <c r="T1265">
        <v>0</v>
      </c>
      <c r="U1265">
        <v>0</v>
      </c>
      <c r="V1265">
        <v>0</v>
      </c>
      <c r="W1265">
        <v>0</v>
      </c>
      <c r="X1265">
        <v>0</v>
      </c>
      <c r="Y1265">
        <v>0</v>
      </c>
      <c r="Z1265">
        <v>0</v>
      </c>
      <c r="AA1265">
        <v>0</v>
      </c>
      <c r="AC1265">
        <v>0</v>
      </c>
      <c r="AD1265">
        <v>0</v>
      </c>
      <c r="AE1265">
        <v>0</v>
      </c>
      <c r="AF1265">
        <v>0</v>
      </c>
      <c r="AG1265">
        <v>0</v>
      </c>
      <c r="AH1265">
        <v>0</v>
      </c>
      <c r="AI1265">
        <v>1</v>
      </c>
      <c r="AJ1265">
        <v>1</v>
      </c>
      <c r="AK1265">
        <v>0</v>
      </c>
      <c r="AX1265" t="s">
        <v>91</v>
      </c>
      <c r="AZ1265" t="s">
        <v>107</v>
      </c>
      <c r="BA1265" t="s">
        <v>74</v>
      </c>
      <c r="BF1265" t="s">
        <v>75</v>
      </c>
      <c r="BG1265" t="s">
        <v>225</v>
      </c>
      <c r="BH1265" t="s">
        <v>93</v>
      </c>
      <c r="BI1265" t="s">
        <v>107</v>
      </c>
      <c r="BJ1265" t="s">
        <v>114</v>
      </c>
      <c r="BK1265">
        <v>0</v>
      </c>
      <c r="BL1265">
        <v>0</v>
      </c>
      <c r="BM1265">
        <v>0</v>
      </c>
      <c r="BN1265">
        <v>0</v>
      </c>
      <c r="BO1265">
        <v>0</v>
      </c>
      <c r="BP1265">
        <v>0</v>
      </c>
      <c r="BQ1265">
        <v>0</v>
      </c>
      <c r="BR1265">
        <v>1</v>
      </c>
    </row>
    <row r="1266" spans="1:72" x14ac:dyDescent="0.2">
      <c r="A1266" s="1">
        <v>44580.049305555556</v>
      </c>
      <c r="B1266" s="1">
        <v>44580.052777777775</v>
      </c>
      <c r="C1266">
        <v>1</v>
      </c>
      <c r="D1266">
        <v>0</v>
      </c>
      <c r="E1266">
        <v>0</v>
      </c>
      <c r="F1266">
        <v>0</v>
      </c>
      <c r="H1266">
        <v>1</v>
      </c>
      <c r="I1266">
        <v>0</v>
      </c>
      <c r="J1266">
        <v>0</v>
      </c>
      <c r="K1266">
        <v>0</v>
      </c>
      <c r="L1266">
        <v>0</v>
      </c>
      <c r="P1266">
        <v>0</v>
      </c>
      <c r="Q1266">
        <v>1</v>
      </c>
      <c r="R1266">
        <v>0</v>
      </c>
      <c r="S1266">
        <v>0</v>
      </c>
      <c r="T1266">
        <v>0</v>
      </c>
      <c r="U1266">
        <v>0</v>
      </c>
      <c r="V1266">
        <v>0</v>
      </c>
      <c r="W1266">
        <v>0</v>
      </c>
      <c r="X1266">
        <v>0</v>
      </c>
      <c r="Y1266">
        <v>0</v>
      </c>
      <c r="Z1266">
        <v>0</v>
      </c>
      <c r="AA1266">
        <v>0</v>
      </c>
      <c r="AM1266" t="s">
        <v>83</v>
      </c>
      <c r="AN1266" t="s">
        <v>82</v>
      </c>
      <c r="AO1266" t="s">
        <v>83</v>
      </c>
      <c r="AP1266" t="s">
        <v>81</v>
      </c>
      <c r="AQ1266" t="s">
        <v>83</v>
      </c>
      <c r="AR1266" t="s">
        <v>83</v>
      </c>
      <c r="AS1266" t="s">
        <v>83</v>
      </c>
      <c r="AT1266" t="s">
        <v>83</v>
      </c>
      <c r="AU1266" t="s">
        <v>127</v>
      </c>
      <c r="AV1266" t="s">
        <v>127</v>
      </c>
      <c r="AZ1266" t="s">
        <v>107</v>
      </c>
      <c r="BA1266" t="s">
        <v>74</v>
      </c>
      <c r="BF1266" t="s">
        <v>159</v>
      </c>
      <c r="BG1266" t="s">
        <v>76</v>
      </c>
      <c r="BH1266" t="s">
        <v>98</v>
      </c>
      <c r="BI1266" t="s">
        <v>107</v>
      </c>
      <c r="BJ1266" t="s">
        <v>109</v>
      </c>
      <c r="BK1266">
        <v>0</v>
      </c>
      <c r="BL1266">
        <v>0</v>
      </c>
      <c r="BM1266">
        <v>0</v>
      </c>
      <c r="BN1266">
        <v>0</v>
      </c>
      <c r="BO1266">
        <v>0</v>
      </c>
      <c r="BP1266">
        <v>1</v>
      </c>
      <c r="BQ1266">
        <v>0</v>
      </c>
      <c r="BR1266">
        <v>0</v>
      </c>
    </row>
    <row r="1267" spans="1:72" x14ac:dyDescent="0.2">
      <c r="A1267" s="1">
        <v>44579.90347222222</v>
      </c>
      <c r="B1267" s="1">
        <v>44579.905555555553</v>
      </c>
      <c r="C1267">
        <v>1</v>
      </c>
      <c r="D1267">
        <v>0</v>
      </c>
      <c r="E1267">
        <v>0</v>
      </c>
      <c r="F1267">
        <v>0</v>
      </c>
      <c r="H1267">
        <v>0</v>
      </c>
      <c r="I1267">
        <v>1</v>
      </c>
      <c r="J1267">
        <v>1</v>
      </c>
      <c r="K1267">
        <v>1</v>
      </c>
      <c r="L1267">
        <v>0</v>
      </c>
      <c r="N1267" t="s">
        <v>88</v>
      </c>
      <c r="O1267" t="s">
        <v>89</v>
      </c>
      <c r="P1267">
        <v>0</v>
      </c>
      <c r="Q1267">
        <v>0</v>
      </c>
      <c r="R1267">
        <v>0</v>
      </c>
      <c r="S1267">
        <v>1</v>
      </c>
      <c r="T1267">
        <v>0</v>
      </c>
      <c r="U1267">
        <v>0</v>
      </c>
      <c r="V1267">
        <v>0</v>
      </c>
      <c r="W1267">
        <v>0</v>
      </c>
      <c r="X1267">
        <v>0</v>
      </c>
      <c r="Y1267">
        <v>0</v>
      </c>
      <c r="Z1267">
        <v>0</v>
      </c>
      <c r="AA1267">
        <v>0</v>
      </c>
      <c r="AM1267" t="s">
        <v>83</v>
      </c>
      <c r="AN1267" t="s">
        <v>82</v>
      </c>
      <c r="AO1267" t="s">
        <v>81</v>
      </c>
      <c r="AP1267" t="s">
        <v>81</v>
      </c>
      <c r="AQ1267" t="s">
        <v>83</v>
      </c>
      <c r="AR1267" t="s">
        <v>81</v>
      </c>
      <c r="AS1267" t="s">
        <v>83</v>
      </c>
      <c r="AT1267" t="s">
        <v>83</v>
      </c>
      <c r="AU1267" t="s">
        <v>88</v>
      </c>
      <c r="AV1267" t="s">
        <v>89</v>
      </c>
      <c r="AW1267" t="s">
        <v>100</v>
      </c>
      <c r="AX1267" t="s">
        <v>118</v>
      </c>
      <c r="AZ1267" t="s">
        <v>73</v>
      </c>
      <c r="BA1267" t="s">
        <v>87</v>
      </c>
      <c r="BB1267" t="s">
        <v>87</v>
      </c>
      <c r="BC1267" t="s">
        <v>87</v>
      </c>
      <c r="BD1267" t="s">
        <v>87</v>
      </c>
      <c r="BE1267" t="s">
        <v>87</v>
      </c>
      <c r="BF1267" t="s">
        <v>75</v>
      </c>
      <c r="BG1267" t="s">
        <v>92</v>
      </c>
      <c r="BH1267" t="s">
        <v>93</v>
      </c>
      <c r="BI1267" t="s">
        <v>73</v>
      </c>
      <c r="BJ1267" t="s">
        <v>114</v>
      </c>
      <c r="BK1267">
        <v>0</v>
      </c>
      <c r="BL1267">
        <v>0</v>
      </c>
      <c r="BM1267">
        <v>0</v>
      </c>
      <c r="BN1267">
        <v>0</v>
      </c>
      <c r="BO1267">
        <v>0</v>
      </c>
      <c r="BP1267">
        <v>1</v>
      </c>
      <c r="BQ1267">
        <v>0</v>
      </c>
      <c r="BR1267">
        <v>0</v>
      </c>
    </row>
    <row r="1268" spans="1:72" x14ac:dyDescent="0.2">
      <c r="A1268" s="1">
        <v>44579.94027777778</v>
      </c>
      <c r="B1268" s="1">
        <v>44579.941666666666</v>
      </c>
      <c r="C1268">
        <v>1</v>
      </c>
      <c r="D1268">
        <v>0</v>
      </c>
      <c r="E1268">
        <v>0</v>
      </c>
      <c r="F1268">
        <v>0</v>
      </c>
      <c r="H1268">
        <v>0</v>
      </c>
      <c r="I1268">
        <v>1</v>
      </c>
      <c r="J1268">
        <v>0</v>
      </c>
      <c r="K1268">
        <v>0</v>
      </c>
      <c r="L1268">
        <v>0</v>
      </c>
      <c r="N1268" t="s">
        <v>88</v>
      </c>
      <c r="O1268" t="s">
        <v>80</v>
      </c>
      <c r="P1268">
        <v>0</v>
      </c>
      <c r="Q1268">
        <v>0</v>
      </c>
      <c r="R1268">
        <v>1</v>
      </c>
      <c r="S1268">
        <v>0</v>
      </c>
      <c r="T1268">
        <v>0</v>
      </c>
      <c r="U1268">
        <v>0</v>
      </c>
      <c r="V1268">
        <v>0</v>
      </c>
      <c r="W1268">
        <v>0</v>
      </c>
      <c r="X1268">
        <v>0</v>
      </c>
      <c r="Y1268">
        <v>0</v>
      </c>
      <c r="Z1268">
        <v>0</v>
      </c>
      <c r="AA1268">
        <v>0</v>
      </c>
      <c r="AM1268" t="s">
        <v>83</v>
      </c>
      <c r="AN1268" t="s">
        <v>82</v>
      </c>
      <c r="AO1268" t="s">
        <v>83</v>
      </c>
      <c r="AP1268" t="s">
        <v>83</v>
      </c>
      <c r="AQ1268" t="s">
        <v>83</v>
      </c>
      <c r="AR1268" t="s">
        <v>81</v>
      </c>
      <c r="AS1268" t="s">
        <v>81</v>
      </c>
      <c r="AT1268" t="s">
        <v>81</v>
      </c>
      <c r="AU1268" t="s">
        <v>88</v>
      </c>
      <c r="AV1268" t="s">
        <v>80</v>
      </c>
      <c r="AW1268" t="s">
        <v>85</v>
      </c>
      <c r="AX1268" t="s">
        <v>72</v>
      </c>
      <c r="AZ1268" t="s">
        <v>73</v>
      </c>
      <c r="BA1268" t="s">
        <v>87</v>
      </c>
      <c r="BB1268" t="s">
        <v>87</v>
      </c>
      <c r="BC1268" t="s">
        <v>87</v>
      </c>
      <c r="BD1268" t="s">
        <v>87</v>
      </c>
      <c r="BE1268" t="s">
        <v>74</v>
      </c>
      <c r="BF1268" t="s">
        <v>75</v>
      </c>
      <c r="BG1268" t="s">
        <v>92</v>
      </c>
      <c r="BH1268" t="s">
        <v>93</v>
      </c>
      <c r="BI1268" t="s">
        <v>73</v>
      </c>
      <c r="BJ1268" t="s">
        <v>176</v>
      </c>
      <c r="BK1268">
        <v>0</v>
      </c>
      <c r="BL1268">
        <v>0</v>
      </c>
      <c r="BM1268">
        <v>0</v>
      </c>
      <c r="BN1268">
        <v>0</v>
      </c>
      <c r="BO1268">
        <v>0</v>
      </c>
      <c r="BP1268">
        <v>1</v>
      </c>
      <c r="BQ1268">
        <v>0</v>
      </c>
      <c r="BR1268">
        <v>0</v>
      </c>
    </row>
    <row r="1269" spans="1:72" x14ac:dyDescent="0.2">
      <c r="A1269" s="1">
        <v>44579.895833333336</v>
      </c>
      <c r="B1269" s="1">
        <v>44579.897916666669</v>
      </c>
      <c r="C1269">
        <v>0</v>
      </c>
      <c r="D1269">
        <v>1</v>
      </c>
      <c r="E1269">
        <v>0</v>
      </c>
      <c r="F1269">
        <v>0</v>
      </c>
      <c r="H1269">
        <v>0</v>
      </c>
      <c r="I1269">
        <v>1</v>
      </c>
      <c r="J1269">
        <v>0</v>
      </c>
      <c r="K1269">
        <v>1</v>
      </c>
      <c r="L1269">
        <v>0</v>
      </c>
      <c r="N1269" t="s">
        <v>88</v>
      </c>
      <c r="O1269" t="s">
        <v>89</v>
      </c>
      <c r="P1269">
        <v>0</v>
      </c>
      <c r="Q1269">
        <v>1</v>
      </c>
      <c r="R1269">
        <v>0</v>
      </c>
      <c r="S1269">
        <v>0</v>
      </c>
      <c r="T1269">
        <v>0</v>
      </c>
      <c r="U1269">
        <v>0</v>
      </c>
      <c r="V1269">
        <v>0</v>
      </c>
      <c r="W1269">
        <v>0</v>
      </c>
      <c r="X1269">
        <v>0</v>
      </c>
      <c r="Y1269">
        <v>0</v>
      </c>
      <c r="Z1269">
        <v>0</v>
      </c>
      <c r="AA1269">
        <v>0</v>
      </c>
      <c r="AM1269" t="s">
        <v>83</v>
      </c>
      <c r="AN1269" t="s">
        <v>82</v>
      </c>
      <c r="AO1269" t="s">
        <v>81</v>
      </c>
      <c r="AP1269" t="s">
        <v>83</v>
      </c>
      <c r="AQ1269" t="s">
        <v>81</v>
      </c>
      <c r="AR1269" t="s">
        <v>81</v>
      </c>
      <c r="AS1269" t="s">
        <v>83</v>
      </c>
      <c r="AT1269" t="s">
        <v>83</v>
      </c>
      <c r="AU1269" t="s">
        <v>88</v>
      </c>
      <c r="AV1269" t="s">
        <v>89</v>
      </c>
      <c r="AW1269" t="s">
        <v>100</v>
      </c>
      <c r="AZ1269" t="s">
        <v>73</v>
      </c>
      <c r="BA1269" t="s">
        <v>86</v>
      </c>
      <c r="BB1269" t="s">
        <v>87</v>
      </c>
      <c r="BC1269" t="s">
        <v>87</v>
      </c>
      <c r="BD1269" t="s">
        <v>87</v>
      </c>
      <c r="BE1269" t="s">
        <v>87</v>
      </c>
      <c r="BF1269" t="s">
        <v>101</v>
      </c>
      <c r="BG1269" t="s">
        <v>92</v>
      </c>
      <c r="BH1269" t="s">
        <v>93</v>
      </c>
      <c r="BI1269" t="s">
        <v>73</v>
      </c>
      <c r="BK1269">
        <v>0</v>
      </c>
      <c r="BL1269">
        <v>0</v>
      </c>
      <c r="BM1269">
        <v>0</v>
      </c>
      <c r="BN1269">
        <v>0</v>
      </c>
      <c r="BO1269">
        <v>0</v>
      </c>
      <c r="BP1269">
        <v>1</v>
      </c>
      <c r="BQ1269">
        <v>0</v>
      </c>
      <c r="BR1269">
        <v>0</v>
      </c>
      <c r="BT1269" t="s">
        <v>109</v>
      </c>
    </row>
    <row r="1270" spans="1:72" x14ac:dyDescent="0.2">
      <c r="A1270" s="1">
        <v>44585.588194444441</v>
      </c>
      <c r="B1270" s="1">
        <v>44585.588888888888</v>
      </c>
      <c r="C1270">
        <v>1</v>
      </c>
      <c r="D1270">
        <v>0</v>
      </c>
      <c r="E1270">
        <v>0</v>
      </c>
      <c r="F1270">
        <v>0</v>
      </c>
      <c r="H1270">
        <v>1</v>
      </c>
      <c r="I1270">
        <v>0</v>
      </c>
      <c r="J1270">
        <v>0</v>
      </c>
      <c r="K1270">
        <v>0</v>
      </c>
      <c r="L1270">
        <v>0</v>
      </c>
      <c r="P1270">
        <v>1</v>
      </c>
      <c r="Q1270">
        <v>0</v>
      </c>
      <c r="R1270">
        <v>0</v>
      </c>
      <c r="S1270">
        <v>0</v>
      </c>
      <c r="T1270">
        <v>0</v>
      </c>
      <c r="U1270">
        <v>0</v>
      </c>
      <c r="V1270">
        <v>0</v>
      </c>
      <c r="W1270">
        <v>0</v>
      </c>
      <c r="X1270">
        <v>0</v>
      </c>
      <c r="Y1270">
        <v>0</v>
      </c>
      <c r="Z1270">
        <v>0</v>
      </c>
      <c r="AA1270">
        <v>0</v>
      </c>
      <c r="AC1270">
        <v>0</v>
      </c>
      <c r="AD1270">
        <v>0</v>
      </c>
      <c r="AE1270">
        <v>0</v>
      </c>
      <c r="AF1270">
        <v>0</v>
      </c>
      <c r="AG1270">
        <v>0</v>
      </c>
      <c r="AH1270">
        <v>0</v>
      </c>
      <c r="AI1270">
        <v>0</v>
      </c>
      <c r="AJ1270">
        <v>1</v>
      </c>
      <c r="AK1270">
        <v>0</v>
      </c>
      <c r="AX1270" t="s">
        <v>175</v>
      </c>
      <c r="AZ1270" t="s">
        <v>73</v>
      </c>
      <c r="BA1270" t="s">
        <v>74</v>
      </c>
      <c r="BF1270" t="s">
        <v>75</v>
      </c>
      <c r="BG1270" t="s">
        <v>92</v>
      </c>
      <c r="BH1270" t="s">
        <v>93</v>
      </c>
      <c r="BI1270" t="s">
        <v>73</v>
      </c>
      <c r="BJ1270" t="s">
        <v>114</v>
      </c>
      <c r="BK1270">
        <v>0</v>
      </c>
      <c r="BL1270">
        <v>0</v>
      </c>
      <c r="BM1270">
        <v>0</v>
      </c>
      <c r="BN1270">
        <v>0</v>
      </c>
      <c r="BO1270">
        <v>0</v>
      </c>
      <c r="BP1270">
        <v>1</v>
      </c>
      <c r="BQ1270">
        <v>0</v>
      </c>
      <c r="BR1270">
        <v>0</v>
      </c>
    </row>
    <row r="1271" spans="1:72" x14ac:dyDescent="0.2">
      <c r="A1271" s="1">
        <v>44585.538194444445</v>
      </c>
      <c r="B1271" s="1">
        <v>44585.539583333331</v>
      </c>
      <c r="C1271">
        <v>1</v>
      </c>
      <c r="D1271">
        <v>0</v>
      </c>
      <c r="E1271">
        <v>0</v>
      </c>
      <c r="F1271">
        <v>0</v>
      </c>
      <c r="H1271">
        <v>0</v>
      </c>
      <c r="I1271">
        <v>1</v>
      </c>
      <c r="J1271">
        <v>0</v>
      </c>
      <c r="K1271">
        <v>0</v>
      </c>
      <c r="L1271">
        <v>0</v>
      </c>
      <c r="N1271" t="s">
        <v>135</v>
      </c>
      <c r="O1271" t="s">
        <v>80</v>
      </c>
      <c r="P1271">
        <v>0</v>
      </c>
      <c r="Q1271">
        <v>0</v>
      </c>
      <c r="R1271">
        <v>1</v>
      </c>
      <c r="S1271">
        <v>0</v>
      </c>
      <c r="T1271">
        <v>0</v>
      </c>
      <c r="U1271">
        <v>0</v>
      </c>
      <c r="V1271">
        <v>0</v>
      </c>
      <c r="W1271">
        <v>0</v>
      </c>
      <c r="X1271">
        <v>0</v>
      </c>
      <c r="Y1271">
        <v>0</v>
      </c>
      <c r="Z1271">
        <v>0</v>
      </c>
      <c r="AA1271">
        <v>0</v>
      </c>
      <c r="AM1271" t="s">
        <v>81</v>
      </c>
      <c r="AN1271" t="s">
        <v>81</v>
      </c>
      <c r="AO1271" t="s">
        <v>83</v>
      </c>
      <c r="AP1271" t="s">
        <v>81</v>
      </c>
      <c r="AQ1271" t="s">
        <v>81</v>
      </c>
      <c r="AR1271" t="s">
        <v>83</v>
      </c>
      <c r="AS1271" t="s">
        <v>81</v>
      </c>
      <c r="AT1271" t="s">
        <v>83</v>
      </c>
      <c r="AU1271" t="s">
        <v>88</v>
      </c>
      <c r="AV1271" t="s">
        <v>89</v>
      </c>
      <c r="AW1271" t="s">
        <v>85</v>
      </c>
      <c r="AX1271" t="s">
        <v>110</v>
      </c>
      <c r="AY1271" t="s">
        <v>534</v>
      </c>
      <c r="AZ1271" t="s">
        <v>73</v>
      </c>
      <c r="BA1271" t="s">
        <v>86</v>
      </c>
      <c r="BB1271" t="s">
        <v>86</v>
      </c>
      <c r="BC1271" t="s">
        <v>86</v>
      </c>
      <c r="BD1271" t="s">
        <v>86</v>
      </c>
      <c r="BE1271" t="s">
        <v>87</v>
      </c>
      <c r="BF1271" t="s">
        <v>75</v>
      </c>
      <c r="BG1271" t="s">
        <v>92</v>
      </c>
      <c r="BH1271" t="s">
        <v>93</v>
      </c>
      <c r="BI1271" t="s">
        <v>73</v>
      </c>
      <c r="BJ1271" t="s">
        <v>114</v>
      </c>
      <c r="BK1271">
        <v>0</v>
      </c>
      <c r="BL1271">
        <v>0</v>
      </c>
      <c r="BM1271">
        <v>0</v>
      </c>
      <c r="BN1271">
        <v>0</v>
      </c>
      <c r="BO1271">
        <v>0</v>
      </c>
      <c r="BP1271">
        <v>1</v>
      </c>
      <c r="BQ1271">
        <v>0</v>
      </c>
      <c r="BR1271">
        <v>0</v>
      </c>
    </row>
    <row r="1272" spans="1:72" x14ac:dyDescent="0.2">
      <c r="A1272" s="1">
        <v>44579.887499999997</v>
      </c>
      <c r="B1272" s="1">
        <v>44579.88958333333</v>
      </c>
      <c r="C1272">
        <v>0</v>
      </c>
      <c r="D1272">
        <v>1</v>
      </c>
      <c r="E1272">
        <v>0</v>
      </c>
      <c r="F1272">
        <v>0</v>
      </c>
      <c r="H1272">
        <v>0</v>
      </c>
      <c r="I1272">
        <v>1</v>
      </c>
      <c r="J1272">
        <v>0</v>
      </c>
      <c r="K1272">
        <v>1</v>
      </c>
      <c r="L1272">
        <v>0</v>
      </c>
      <c r="N1272" t="s">
        <v>88</v>
      </c>
      <c r="O1272" t="s">
        <v>89</v>
      </c>
      <c r="P1272">
        <v>0</v>
      </c>
      <c r="Q1272">
        <v>1</v>
      </c>
      <c r="R1272">
        <v>0</v>
      </c>
      <c r="S1272">
        <v>0</v>
      </c>
      <c r="T1272">
        <v>1</v>
      </c>
      <c r="U1272">
        <v>0</v>
      </c>
      <c r="V1272">
        <v>0</v>
      </c>
      <c r="W1272">
        <v>0</v>
      </c>
      <c r="X1272">
        <v>0</v>
      </c>
      <c r="Y1272">
        <v>0</v>
      </c>
      <c r="Z1272">
        <v>0</v>
      </c>
      <c r="AA1272">
        <v>0</v>
      </c>
      <c r="AM1272" t="s">
        <v>81</v>
      </c>
      <c r="AN1272" t="s">
        <v>81</v>
      </c>
      <c r="AO1272" t="s">
        <v>81</v>
      </c>
      <c r="AP1272" t="s">
        <v>81</v>
      </c>
      <c r="AQ1272" t="s">
        <v>82</v>
      </c>
      <c r="AR1272" t="s">
        <v>83</v>
      </c>
      <c r="AS1272" t="s">
        <v>83</v>
      </c>
      <c r="AT1272" t="s">
        <v>81</v>
      </c>
      <c r="AU1272" t="s">
        <v>88</v>
      </c>
      <c r="AV1272" t="s">
        <v>89</v>
      </c>
      <c r="AW1272" t="s">
        <v>100</v>
      </c>
      <c r="AX1272" t="s">
        <v>110</v>
      </c>
      <c r="AY1272" t="s">
        <v>425</v>
      </c>
      <c r="AZ1272" t="s">
        <v>107</v>
      </c>
      <c r="BA1272" t="s">
        <v>87</v>
      </c>
      <c r="BB1272" t="s">
        <v>87</v>
      </c>
      <c r="BC1272" t="s">
        <v>87</v>
      </c>
      <c r="BD1272" t="s">
        <v>87</v>
      </c>
      <c r="BE1272" t="s">
        <v>74</v>
      </c>
      <c r="BF1272" t="s">
        <v>75</v>
      </c>
      <c r="BG1272" t="s">
        <v>92</v>
      </c>
      <c r="BH1272" t="s">
        <v>93</v>
      </c>
      <c r="BI1272" t="s">
        <v>107</v>
      </c>
      <c r="BJ1272" t="s">
        <v>78</v>
      </c>
      <c r="BK1272">
        <v>0</v>
      </c>
      <c r="BL1272">
        <v>0</v>
      </c>
      <c r="BM1272">
        <v>0</v>
      </c>
      <c r="BN1272">
        <v>0</v>
      </c>
      <c r="BO1272">
        <v>0</v>
      </c>
      <c r="BP1272">
        <v>1</v>
      </c>
      <c r="BQ1272">
        <v>0</v>
      </c>
      <c r="BR1272">
        <v>0</v>
      </c>
    </row>
    <row r="1273" spans="1:72" x14ac:dyDescent="0.2">
      <c r="A1273" s="1">
        <v>44579.87777777778</v>
      </c>
      <c r="B1273" s="1">
        <v>44579.881249999999</v>
      </c>
      <c r="C1273">
        <v>1</v>
      </c>
      <c r="D1273">
        <v>0</v>
      </c>
      <c r="E1273">
        <v>0</v>
      </c>
      <c r="F1273">
        <v>0</v>
      </c>
      <c r="H1273">
        <v>0</v>
      </c>
      <c r="I1273">
        <v>1</v>
      </c>
      <c r="J1273">
        <v>1</v>
      </c>
      <c r="K1273">
        <v>0</v>
      </c>
      <c r="L1273">
        <v>0</v>
      </c>
      <c r="N1273" t="s">
        <v>135</v>
      </c>
      <c r="O1273" t="s">
        <v>80</v>
      </c>
      <c r="P1273">
        <v>0</v>
      </c>
      <c r="Q1273">
        <v>0</v>
      </c>
      <c r="R1273">
        <v>1</v>
      </c>
      <c r="S1273">
        <v>0</v>
      </c>
      <c r="T1273">
        <v>0</v>
      </c>
      <c r="U1273">
        <v>0</v>
      </c>
      <c r="V1273">
        <v>0</v>
      </c>
      <c r="W1273">
        <v>0</v>
      </c>
      <c r="X1273">
        <v>0</v>
      </c>
      <c r="Y1273">
        <v>0</v>
      </c>
      <c r="Z1273">
        <v>0</v>
      </c>
      <c r="AA1273">
        <v>0</v>
      </c>
      <c r="AM1273" t="s">
        <v>83</v>
      </c>
      <c r="AN1273" t="s">
        <v>82</v>
      </c>
      <c r="AO1273" t="s">
        <v>83</v>
      </c>
      <c r="AP1273" t="s">
        <v>81</v>
      </c>
      <c r="AQ1273" t="s">
        <v>81</v>
      </c>
      <c r="AR1273" t="s">
        <v>83</v>
      </c>
      <c r="AS1273" t="s">
        <v>81</v>
      </c>
      <c r="AT1273" t="s">
        <v>83</v>
      </c>
      <c r="AU1273" t="s">
        <v>88</v>
      </c>
      <c r="AV1273" t="s">
        <v>89</v>
      </c>
      <c r="AW1273" t="s">
        <v>85</v>
      </c>
      <c r="AX1273" t="s">
        <v>269</v>
      </c>
      <c r="AZ1273" t="s">
        <v>73</v>
      </c>
      <c r="BA1273" t="s">
        <v>87</v>
      </c>
      <c r="BB1273" t="s">
        <v>87</v>
      </c>
      <c r="BC1273" t="s">
        <v>87</v>
      </c>
      <c r="BD1273" t="s">
        <v>87</v>
      </c>
      <c r="BE1273" t="s">
        <v>87</v>
      </c>
      <c r="BF1273" t="s">
        <v>75</v>
      </c>
      <c r="BG1273" t="s">
        <v>76</v>
      </c>
      <c r="BH1273" t="s">
        <v>93</v>
      </c>
      <c r="BI1273" t="s">
        <v>73</v>
      </c>
      <c r="BJ1273" t="s">
        <v>78</v>
      </c>
      <c r="BK1273">
        <v>0</v>
      </c>
      <c r="BL1273">
        <v>0</v>
      </c>
      <c r="BM1273">
        <v>0</v>
      </c>
      <c r="BN1273">
        <v>0</v>
      </c>
      <c r="BO1273">
        <v>0</v>
      </c>
      <c r="BP1273">
        <v>1</v>
      </c>
      <c r="BQ1273">
        <v>0</v>
      </c>
      <c r="BR1273">
        <v>0</v>
      </c>
    </row>
    <row r="1274" spans="1:72" x14ac:dyDescent="0.2">
      <c r="A1274" s="1">
        <v>44588.895833333336</v>
      </c>
      <c r="B1274" s="1">
        <v>44588.896527777775</v>
      </c>
      <c r="C1274">
        <v>1</v>
      </c>
      <c r="D1274">
        <v>0</v>
      </c>
      <c r="E1274">
        <v>0</v>
      </c>
      <c r="F1274">
        <v>0</v>
      </c>
      <c r="H1274">
        <v>1</v>
      </c>
      <c r="I1274">
        <v>0</v>
      </c>
      <c r="J1274">
        <v>0</v>
      </c>
      <c r="K1274">
        <v>0</v>
      </c>
      <c r="L1274">
        <v>0</v>
      </c>
      <c r="P1274">
        <v>1</v>
      </c>
      <c r="Q1274">
        <v>0</v>
      </c>
      <c r="R1274">
        <v>0</v>
      </c>
      <c r="S1274">
        <v>0</v>
      </c>
      <c r="T1274">
        <v>0</v>
      </c>
      <c r="U1274">
        <v>0</v>
      </c>
      <c r="V1274">
        <v>0</v>
      </c>
      <c r="W1274">
        <v>0</v>
      </c>
      <c r="X1274">
        <v>0</v>
      </c>
      <c r="Y1274">
        <v>0</v>
      </c>
      <c r="Z1274">
        <v>0</v>
      </c>
      <c r="AA1274">
        <v>0</v>
      </c>
      <c r="AC1274">
        <v>0</v>
      </c>
      <c r="AD1274">
        <v>0</v>
      </c>
      <c r="AE1274">
        <v>1</v>
      </c>
      <c r="AF1274">
        <v>0</v>
      </c>
      <c r="AG1274">
        <v>0</v>
      </c>
      <c r="AH1274">
        <v>0</v>
      </c>
      <c r="AI1274">
        <v>0</v>
      </c>
      <c r="AJ1274">
        <v>0</v>
      </c>
      <c r="AK1274">
        <v>0</v>
      </c>
      <c r="AX1274" t="s">
        <v>242</v>
      </c>
      <c r="AZ1274" t="s">
        <v>107</v>
      </c>
      <c r="BA1274" t="s">
        <v>87</v>
      </c>
      <c r="BB1274" t="s">
        <v>87</v>
      </c>
      <c r="BC1274" t="s">
        <v>87</v>
      </c>
      <c r="BD1274" t="s">
        <v>87</v>
      </c>
      <c r="BE1274" t="s">
        <v>87</v>
      </c>
      <c r="BF1274" t="s">
        <v>75</v>
      </c>
      <c r="BG1274" t="s">
        <v>92</v>
      </c>
      <c r="BH1274" t="s">
        <v>93</v>
      </c>
      <c r="BI1274" t="s">
        <v>107</v>
      </c>
      <c r="BJ1274" t="s">
        <v>78</v>
      </c>
      <c r="BK1274">
        <v>0</v>
      </c>
      <c r="BL1274">
        <v>0</v>
      </c>
      <c r="BM1274">
        <v>0</v>
      </c>
      <c r="BN1274">
        <v>0</v>
      </c>
      <c r="BO1274">
        <v>0</v>
      </c>
      <c r="BP1274">
        <v>1</v>
      </c>
      <c r="BQ1274">
        <v>0</v>
      </c>
      <c r="BR1274">
        <v>0</v>
      </c>
    </row>
    <row r="1275" spans="1:72" x14ac:dyDescent="0.2">
      <c r="A1275" s="1">
        <v>44579.768055555556</v>
      </c>
      <c r="B1275" s="1">
        <v>44579.770138888889</v>
      </c>
      <c r="C1275">
        <v>1</v>
      </c>
      <c r="D1275">
        <v>0</v>
      </c>
      <c r="E1275">
        <v>0</v>
      </c>
      <c r="F1275">
        <v>0</v>
      </c>
      <c r="H1275">
        <v>0</v>
      </c>
      <c r="I1275">
        <v>1</v>
      </c>
      <c r="J1275">
        <v>0</v>
      </c>
      <c r="K1275">
        <v>0</v>
      </c>
      <c r="L1275">
        <v>0</v>
      </c>
      <c r="N1275" t="s">
        <v>135</v>
      </c>
      <c r="O1275" t="s">
        <v>89</v>
      </c>
      <c r="P1275">
        <v>1</v>
      </c>
      <c r="Q1275">
        <v>0</v>
      </c>
      <c r="R1275">
        <v>0</v>
      </c>
      <c r="S1275">
        <v>0</v>
      </c>
      <c r="T1275">
        <v>0</v>
      </c>
      <c r="U1275">
        <v>0</v>
      </c>
      <c r="V1275">
        <v>0</v>
      </c>
      <c r="W1275">
        <v>0</v>
      </c>
      <c r="X1275">
        <v>0</v>
      </c>
      <c r="Y1275">
        <v>0</v>
      </c>
      <c r="Z1275">
        <v>0</v>
      </c>
      <c r="AA1275">
        <v>0</v>
      </c>
      <c r="AC1275">
        <v>0</v>
      </c>
      <c r="AD1275">
        <v>0</v>
      </c>
      <c r="AE1275">
        <v>0</v>
      </c>
      <c r="AF1275">
        <v>0</v>
      </c>
      <c r="AG1275">
        <v>0</v>
      </c>
      <c r="AH1275">
        <v>0</v>
      </c>
      <c r="AI1275">
        <v>1</v>
      </c>
      <c r="AJ1275">
        <v>1</v>
      </c>
      <c r="AK1275">
        <v>0</v>
      </c>
      <c r="AX1275" t="s">
        <v>118</v>
      </c>
      <c r="AZ1275" t="s">
        <v>73</v>
      </c>
      <c r="BA1275" t="s">
        <v>86</v>
      </c>
      <c r="BB1275" t="s">
        <v>74</v>
      </c>
      <c r="BC1275" t="s">
        <v>86</v>
      </c>
      <c r="BD1275" t="s">
        <v>74</v>
      </c>
      <c r="BE1275" t="s">
        <v>86</v>
      </c>
      <c r="BF1275" t="s">
        <v>75</v>
      </c>
      <c r="BG1275" t="s">
        <v>92</v>
      </c>
      <c r="BH1275" t="s">
        <v>93</v>
      </c>
      <c r="BI1275" t="s">
        <v>73</v>
      </c>
      <c r="BJ1275" t="s">
        <v>102</v>
      </c>
      <c r="BK1275">
        <v>0</v>
      </c>
      <c r="BL1275">
        <v>0</v>
      </c>
      <c r="BM1275">
        <v>0</v>
      </c>
      <c r="BN1275">
        <v>0</v>
      </c>
      <c r="BO1275">
        <v>0</v>
      </c>
      <c r="BP1275">
        <v>1</v>
      </c>
      <c r="BQ1275">
        <v>0</v>
      </c>
      <c r="BR1275">
        <v>0</v>
      </c>
    </row>
    <row r="1276" spans="1:72" x14ac:dyDescent="0.2">
      <c r="A1276" s="1">
        <v>44585.888194444444</v>
      </c>
      <c r="B1276" s="1">
        <v>44585.88958333333</v>
      </c>
      <c r="C1276">
        <v>1</v>
      </c>
      <c r="D1276">
        <v>0</v>
      </c>
      <c r="E1276">
        <v>0</v>
      </c>
      <c r="F1276">
        <v>0</v>
      </c>
      <c r="H1276">
        <v>0</v>
      </c>
      <c r="I1276">
        <v>1</v>
      </c>
      <c r="J1276">
        <v>0</v>
      </c>
      <c r="K1276">
        <v>0</v>
      </c>
      <c r="L1276">
        <v>0</v>
      </c>
      <c r="N1276" t="s">
        <v>135</v>
      </c>
      <c r="O1276" t="s">
        <v>89</v>
      </c>
      <c r="P1276">
        <v>0</v>
      </c>
      <c r="Q1276">
        <v>1</v>
      </c>
      <c r="R1276">
        <v>1</v>
      </c>
      <c r="S1276">
        <v>0</v>
      </c>
      <c r="T1276">
        <v>0</v>
      </c>
      <c r="U1276">
        <v>0</v>
      </c>
      <c r="V1276">
        <v>0</v>
      </c>
      <c r="W1276">
        <v>0</v>
      </c>
      <c r="X1276">
        <v>0</v>
      </c>
      <c r="Y1276">
        <v>0</v>
      </c>
      <c r="Z1276">
        <v>0</v>
      </c>
      <c r="AA1276">
        <v>0</v>
      </c>
      <c r="AM1276" t="s">
        <v>83</v>
      </c>
      <c r="AN1276" t="s">
        <v>82</v>
      </c>
      <c r="AO1276" t="s">
        <v>83</v>
      </c>
      <c r="AP1276" t="s">
        <v>81</v>
      </c>
      <c r="AQ1276" t="s">
        <v>81</v>
      </c>
      <c r="AR1276" t="s">
        <v>81</v>
      </c>
      <c r="AS1276" t="s">
        <v>83</v>
      </c>
      <c r="AT1276" t="s">
        <v>83</v>
      </c>
      <c r="AU1276" t="s">
        <v>88</v>
      </c>
      <c r="AV1276" t="s">
        <v>89</v>
      </c>
      <c r="AW1276" t="s">
        <v>85</v>
      </c>
      <c r="AX1276" t="s">
        <v>118</v>
      </c>
      <c r="AZ1276" t="s">
        <v>73</v>
      </c>
      <c r="BA1276" t="s">
        <v>87</v>
      </c>
      <c r="BB1276" t="s">
        <v>87</v>
      </c>
      <c r="BC1276" t="s">
        <v>87</v>
      </c>
      <c r="BD1276" t="s">
        <v>74</v>
      </c>
      <c r="BE1276" t="s">
        <v>74</v>
      </c>
      <c r="BF1276" t="s">
        <v>75</v>
      </c>
      <c r="BG1276" t="s">
        <v>92</v>
      </c>
      <c r="BH1276" t="s">
        <v>93</v>
      </c>
      <c r="BI1276" t="s">
        <v>73</v>
      </c>
      <c r="BJ1276" t="s">
        <v>94</v>
      </c>
      <c r="BK1276">
        <v>0</v>
      </c>
      <c r="BL1276">
        <v>0</v>
      </c>
      <c r="BM1276">
        <v>0</v>
      </c>
      <c r="BN1276">
        <v>0</v>
      </c>
      <c r="BO1276">
        <v>0</v>
      </c>
      <c r="BP1276">
        <v>1</v>
      </c>
      <c r="BQ1276">
        <v>0</v>
      </c>
      <c r="BR1276">
        <v>0</v>
      </c>
    </row>
    <row r="1277" spans="1:72" x14ac:dyDescent="0.2">
      <c r="A1277" s="1">
        <v>44579.806250000001</v>
      </c>
      <c r="B1277" s="1">
        <v>44579.80972222222</v>
      </c>
      <c r="C1277">
        <v>1</v>
      </c>
      <c r="D1277">
        <v>0</v>
      </c>
      <c r="E1277">
        <v>0</v>
      </c>
      <c r="F1277">
        <v>0</v>
      </c>
      <c r="H1277">
        <v>0</v>
      </c>
      <c r="I1277">
        <v>1</v>
      </c>
      <c r="J1277">
        <v>0</v>
      </c>
      <c r="K1277">
        <v>0</v>
      </c>
      <c r="L1277">
        <v>1</v>
      </c>
      <c r="M1277" t="s">
        <v>535</v>
      </c>
      <c r="N1277" t="s">
        <v>88</v>
      </c>
      <c r="O1277" t="s">
        <v>89</v>
      </c>
      <c r="P1277">
        <v>0</v>
      </c>
      <c r="Q1277">
        <v>0</v>
      </c>
      <c r="R1277">
        <v>1</v>
      </c>
      <c r="S1277">
        <v>0</v>
      </c>
      <c r="T1277">
        <v>0</v>
      </c>
      <c r="U1277">
        <v>0</v>
      </c>
      <c r="V1277">
        <v>0</v>
      </c>
      <c r="W1277">
        <v>0</v>
      </c>
      <c r="X1277">
        <v>0</v>
      </c>
      <c r="Y1277">
        <v>0</v>
      </c>
      <c r="Z1277">
        <v>0</v>
      </c>
      <c r="AA1277">
        <v>0</v>
      </c>
      <c r="AM1277" t="s">
        <v>83</v>
      </c>
      <c r="AN1277" t="s">
        <v>82</v>
      </c>
      <c r="AO1277" t="s">
        <v>83</v>
      </c>
      <c r="AP1277" t="s">
        <v>81</v>
      </c>
      <c r="AQ1277" t="s">
        <v>83</v>
      </c>
      <c r="AR1277" t="s">
        <v>81</v>
      </c>
      <c r="AS1277" t="s">
        <v>83</v>
      </c>
      <c r="AT1277" t="s">
        <v>83</v>
      </c>
      <c r="AU1277" t="s">
        <v>88</v>
      </c>
      <c r="AV1277" t="s">
        <v>89</v>
      </c>
      <c r="AW1277" t="s">
        <v>85</v>
      </c>
      <c r="AX1277" t="s">
        <v>118</v>
      </c>
      <c r="AZ1277" t="s">
        <v>73</v>
      </c>
      <c r="BA1277" t="s">
        <v>74</v>
      </c>
      <c r="BF1277" t="s">
        <v>75</v>
      </c>
      <c r="BG1277" t="s">
        <v>92</v>
      </c>
      <c r="BH1277" t="s">
        <v>93</v>
      </c>
      <c r="BI1277" t="s">
        <v>73</v>
      </c>
      <c r="BJ1277" t="s">
        <v>78</v>
      </c>
      <c r="BK1277">
        <v>0</v>
      </c>
      <c r="BL1277">
        <v>0</v>
      </c>
      <c r="BM1277">
        <v>0</v>
      </c>
      <c r="BN1277">
        <v>0</v>
      </c>
      <c r="BO1277">
        <v>0</v>
      </c>
      <c r="BP1277">
        <v>1</v>
      </c>
      <c r="BQ1277">
        <v>0</v>
      </c>
      <c r="BR1277">
        <v>0</v>
      </c>
    </row>
    <row r="1278" spans="1:72" x14ac:dyDescent="0.2">
      <c r="A1278" s="1">
        <v>44579.876388888886</v>
      </c>
      <c r="B1278" s="1">
        <v>44579.885416666664</v>
      </c>
      <c r="C1278">
        <v>1</v>
      </c>
      <c r="D1278">
        <v>0</v>
      </c>
      <c r="E1278">
        <v>0</v>
      </c>
      <c r="F1278">
        <v>0</v>
      </c>
      <c r="H1278">
        <v>0</v>
      </c>
      <c r="I1278">
        <v>0</v>
      </c>
      <c r="J1278">
        <v>0</v>
      </c>
      <c r="K1278">
        <v>0</v>
      </c>
      <c r="L1278">
        <v>1</v>
      </c>
      <c r="M1278" t="s">
        <v>536</v>
      </c>
      <c r="N1278" t="s">
        <v>135</v>
      </c>
      <c r="O1278" t="s">
        <v>127</v>
      </c>
      <c r="P1278">
        <v>0</v>
      </c>
      <c r="Q1278">
        <v>1</v>
      </c>
      <c r="R1278">
        <v>0</v>
      </c>
      <c r="S1278">
        <v>0</v>
      </c>
      <c r="T1278">
        <v>0</v>
      </c>
      <c r="U1278">
        <v>0</v>
      </c>
      <c r="V1278">
        <v>0</v>
      </c>
      <c r="W1278">
        <v>0</v>
      </c>
      <c r="X1278">
        <v>0</v>
      </c>
      <c r="Y1278">
        <v>0</v>
      </c>
      <c r="Z1278">
        <v>0</v>
      </c>
      <c r="AA1278">
        <v>0</v>
      </c>
      <c r="AM1278" t="s">
        <v>90</v>
      </c>
      <c r="AN1278" t="s">
        <v>81</v>
      </c>
      <c r="AO1278" t="s">
        <v>81</v>
      </c>
      <c r="AP1278" t="s">
        <v>82</v>
      </c>
      <c r="AQ1278" t="s">
        <v>90</v>
      </c>
      <c r="AR1278" t="s">
        <v>90</v>
      </c>
      <c r="AS1278" t="s">
        <v>90</v>
      </c>
      <c r="AT1278" t="s">
        <v>90</v>
      </c>
      <c r="AU1278" t="s">
        <v>84</v>
      </c>
      <c r="AV1278" t="s">
        <v>127</v>
      </c>
      <c r="AW1278" t="s">
        <v>85</v>
      </c>
      <c r="AX1278" t="s">
        <v>72</v>
      </c>
      <c r="AZ1278" t="s">
        <v>96</v>
      </c>
      <c r="BA1278" t="s">
        <v>87</v>
      </c>
      <c r="BB1278" t="s">
        <v>87</v>
      </c>
      <c r="BC1278" t="s">
        <v>87</v>
      </c>
      <c r="BD1278" t="s">
        <v>87</v>
      </c>
      <c r="BE1278" t="s">
        <v>87</v>
      </c>
      <c r="BF1278" t="s">
        <v>75</v>
      </c>
      <c r="BG1278" t="s">
        <v>76</v>
      </c>
      <c r="BH1278" t="s">
        <v>77</v>
      </c>
      <c r="BI1278" t="s">
        <v>96</v>
      </c>
      <c r="BJ1278" t="s">
        <v>109</v>
      </c>
      <c r="BK1278">
        <v>0</v>
      </c>
      <c r="BL1278">
        <v>0</v>
      </c>
      <c r="BM1278">
        <v>0</v>
      </c>
      <c r="BN1278">
        <v>0</v>
      </c>
      <c r="BO1278">
        <v>0</v>
      </c>
      <c r="BP1278">
        <v>1</v>
      </c>
      <c r="BQ1278">
        <v>0</v>
      </c>
      <c r="BR1278">
        <v>0</v>
      </c>
    </row>
    <row r="1279" spans="1:72" x14ac:dyDescent="0.2">
      <c r="A1279" s="1">
        <v>44579.881944444445</v>
      </c>
      <c r="B1279" s="1">
        <v>44579.883333333331</v>
      </c>
      <c r="C1279">
        <v>1</v>
      </c>
      <c r="D1279">
        <v>0</v>
      </c>
      <c r="E1279">
        <v>0</v>
      </c>
      <c r="F1279">
        <v>0</v>
      </c>
      <c r="H1279">
        <v>0</v>
      </c>
      <c r="I1279">
        <v>1</v>
      </c>
      <c r="J1279">
        <v>0</v>
      </c>
      <c r="K1279">
        <v>1</v>
      </c>
      <c r="L1279">
        <v>1</v>
      </c>
      <c r="M1279" t="s">
        <v>537</v>
      </c>
      <c r="N1279" t="s">
        <v>88</v>
      </c>
      <c r="O1279" t="s">
        <v>89</v>
      </c>
      <c r="P1279">
        <v>0</v>
      </c>
      <c r="Q1279">
        <v>1</v>
      </c>
      <c r="R1279">
        <v>0</v>
      </c>
      <c r="S1279">
        <v>0</v>
      </c>
      <c r="T1279">
        <v>0</v>
      </c>
      <c r="U1279">
        <v>0</v>
      </c>
      <c r="V1279">
        <v>0</v>
      </c>
      <c r="W1279">
        <v>0</v>
      </c>
      <c r="X1279">
        <v>0</v>
      </c>
      <c r="Y1279">
        <v>0</v>
      </c>
      <c r="Z1279">
        <v>0</v>
      </c>
      <c r="AA1279">
        <v>0</v>
      </c>
      <c r="AM1279" t="s">
        <v>81</v>
      </c>
      <c r="AN1279" t="s">
        <v>82</v>
      </c>
      <c r="AO1279" t="s">
        <v>81</v>
      </c>
      <c r="AP1279" t="s">
        <v>82</v>
      </c>
      <c r="AQ1279" t="s">
        <v>81</v>
      </c>
      <c r="AR1279" t="s">
        <v>83</v>
      </c>
      <c r="AS1279" t="s">
        <v>81</v>
      </c>
      <c r="AT1279" t="s">
        <v>83</v>
      </c>
      <c r="AU1279" t="s">
        <v>88</v>
      </c>
      <c r="AV1279" t="s">
        <v>89</v>
      </c>
      <c r="AW1279" t="s">
        <v>100</v>
      </c>
      <c r="AX1279" t="s">
        <v>242</v>
      </c>
      <c r="AZ1279" t="s">
        <v>107</v>
      </c>
      <c r="BA1279" t="s">
        <v>87</v>
      </c>
      <c r="BB1279" t="s">
        <v>87</v>
      </c>
      <c r="BC1279" t="s">
        <v>87</v>
      </c>
      <c r="BD1279" t="s">
        <v>87</v>
      </c>
      <c r="BE1279" t="s">
        <v>87</v>
      </c>
      <c r="BF1279" t="s">
        <v>75</v>
      </c>
      <c r="BG1279" t="s">
        <v>92</v>
      </c>
      <c r="BH1279" t="s">
        <v>93</v>
      </c>
      <c r="BI1279" t="s">
        <v>107</v>
      </c>
      <c r="BJ1279" t="s">
        <v>78</v>
      </c>
      <c r="BK1279">
        <v>0</v>
      </c>
      <c r="BL1279">
        <v>0</v>
      </c>
      <c r="BM1279">
        <v>0</v>
      </c>
      <c r="BN1279">
        <v>0</v>
      </c>
      <c r="BO1279">
        <v>0</v>
      </c>
      <c r="BP1279">
        <v>1</v>
      </c>
      <c r="BQ1279">
        <v>0</v>
      </c>
      <c r="BR1279">
        <v>0</v>
      </c>
    </row>
    <row r="1280" spans="1:72" x14ac:dyDescent="0.2">
      <c r="A1280" s="1">
        <v>44579.895138888889</v>
      </c>
      <c r="B1280" s="1">
        <v>44579.897222222222</v>
      </c>
      <c r="C1280">
        <v>1</v>
      </c>
      <c r="D1280">
        <v>0</v>
      </c>
      <c r="E1280">
        <v>0</v>
      </c>
      <c r="F1280">
        <v>0</v>
      </c>
      <c r="H1280">
        <v>0</v>
      </c>
      <c r="I1280">
        <v>1</v>
      </c>
      <c r="J1280">
        <v>1</v>
      </c>
      <c r="K1280">
        <v>0</v>
      </c>
      <c r="L1280">
        <v>0</v>
      </c>
      <c r="N1280" t="s">
        <v>79</v>
      </c>
      <c r="O1280" t="s">
        <v>80</v>
      </c>
      <c r="P1280">
        <v>0</v>
      </c>
      <c r="Q1280">
        <v>0</v>
      </c>
      <c r="R1280">
        <v>1</v>
      </c>
      <c r="S1280">
        <v>0</v>
      </c>
      <c r="T1280">
        <v>0</v>
      </c>
      <c r="U1280">
        <v>0</v>
      </c>
      <c r="V1280">
        <v>0</v>
      </c>
      <c r="W1280">
        <v>0</v>
      </c>
      <c r="X1280">
        <v>0</v>
      </c>
      <c r="Y1280">
        <v>0</v>
      </c>
      <c r="Z1280">
        <v>0</v>
      </c>
      <c r="AA1280">
        <v>0</v>
      </c>
      <c r="AM1280" t="s">
        <v>83</v>
      </c>
      <c r="AN1280" t="s">
        <v>82</v>
      </c>
      <c r="AO1280" t="s">
        <v>81</v>
      </c>
      <c r="AP1280" t="s">
        <v>81</v>
      </c>
      <c r="AQ1280" t="s">
        <v>82</v>
      </c>
      <c r="AR1280" t="s">
        <v>83</v>
      </c>
      <c r="AS1280" t="s">
        <v>81</v>
      </c>
      <c r="AT1280" t="s">
        <v>83</v>
      </c>
      <c r="AU1280" t="s">
        <v>88</v>
      </c>
      <c r="AV1280" t="s">
        <v>89</v>
      </c>
      <c r="AW1280" t="s">
        <v>85</v>
      </c>
      <c r="AX1280" t="s">
        <v>118</v>
      </c>
      <c r="AZ1280" t="s">
        <v>73</v>
      </c>
      <c r="BA1280" t="s">
        <v>86</v>
      </c>
      <c r="BB1280" t="s">
        <v>87</v>
      </c>
      <c r="BC1280" t="s">
        <v>87</v>
      </c>
      <c r="BD1280" t="s">
        <v>74</v>
      </c>
      <c r="BE1280" t="s">
        <v>87</v>
      </c>
      <c r="BF1280" t="s">
        <v>75</v>
      </c>
      <c r="BG1280" t="s">
        <v>92</v>
      </c>
      <c r="BH1280" t="s">
        <v>93</v>
      </c>
      <c r="BI1280" t="s">
        <v>73</v>
      </c>
      <c r="BJ1280" t="s">
        <v>78</v>
      </c>
      <c r="BK1280">
        <v>0</v>
      </c>
      <c r="BL1280">
        <v>0</v>
      </c>
      <c r="BM1280">
        <v>0</v>
      </c>
      <c r="BN1280">
        <v>0</v>
      </c>
      <c r="BO1280">
        <v>0</v>
      </c>
      <c r="BP1280">
        <v>1</v>
      </c>
      <c r="BQ1280">
        <v>0</v>
      </c>
      <c r="BR1280">
        <v>0</v>
      </c>
    </row>
    <row r="1281" spans="1:70" x14ac:dyDescent="0.2">
      <c r="A1281" s="1">
        <v>44588.95416666667</v>
      </c>
      <c r="B1281" s="1">
        <v>44589.767361111109</v>
      </c>
      <c r="C1281">
        <v>1</v>
      </c>
      <c r="D1281">
        <v>0</v>
      </c>
      <c r="E1281">
        <v>0</v>
      </c>
      <c r="F1281">
        <v>0</v>
      </c>
      <c r="H1281">
        <v>0</v>
      </c>
      <c r="I1281">
        <v>1</v>
      </c>
      <c r="J1281">
        <v>0</v>
      </c>
      <c r="K1281">
        <v>0</v>
      </c>
      <c r="L1281">
        <v>0</v>
      </c>
      <c r="N1281" t="s">
        <v>88</v>
      </c>
      <c r="O1281" t="s">
        <v>89</v>
      </c>
      <c r="P1281">
        <v>0</v>
      </c>
      <c r="Q1281">
        <v>0</v>
      </c>
      <c r="R1281">
        <v>1</v>
      </c>
      <c r="S1281">
        <v>0</v>
      </c>
      <c r="T1281">
        <v>0</v>
      </c>
      <c r="U1281">
        <v>1</v>
      </c>
      <c r="V1281">
        <v>0</v>
      </c>
      <c r="W1281">
        <v>0</v>
      </c>
      <c r="X1281">
        <v>0</v>
      </c>
      <c r="Y1281">
        <v>0</v>
      </c>
      <c r="Z1281">
        <v>0</v>
      </c>
      <c r="AA1281">
        <v>0</v>
      </c>
      <c r="AM1281" t="s">
        <v>83</v>
      </c>
      <c r="AN1281" t="s">
        <v>82</v>
      </c>
      <c r="AO1281" t="s">
        <v>81</v>
      </c>
      <c r="AP1281" t="s">
        <v>82</v>
      </c>
      <c r="AQ1281" t="s">
        <v>81</v>
      </c>
      <c r="AR1281" t="s">
        <v>82</v>
      </c>
      <c r="AS1281" t="s">
        <v>83</v>
      </c>
      <c r="AT1281" t="s">
        <v>83</v>
      </c>
      <c r="AU1281" t="s">
        <v>88</v>
      </c>
      <c r="AV1281" t="s">
        <v>89</v>
      </c>
      <c r="AW1281" t="s">
        <v>85</v>
      </c>
      <c r="AX1281" t="s">
        <v>146</v>
      </c>
      <c r="AZ1281" t="s">
        <v>107</v>
      </c>
      <c r="BA1281" t="s">
        <v>87</v>
      </c>
      <c r="BB1281" t="s">
        <v>87</v>
      </c>
      <c r="BC1281" t="s">
        <v>87</v>
      </c>
      <c r="BD1281" t="s">
        <v>86</v>
      </c>
      <c r="BE1281" t="s">
        <v>74</v>
      </c>
      <c r="BF1281" t="s">
        <v>75</v>
      </c>
      <c r="BG1281" t="s">
        <v>76</v>
      </c>
      <c r="BH1281" t="s">
        <v>98</v>
      </c>
      <c r="BI1281" t="s">
        <v>107</v>
      </c>
      <c r="BJ1281" t="s">
        <v>147</v>
      </c>
      <c r="BK1281">
        <v>0</v>
      </c>
      <c r="BL1281">
        <v>0</v>
      </c>
      <c r="BM1281">
        <v>0</v>
      </c>
      <c r="BN1281">
        <v>0</v>
      </c>
      <c r="BO1281">
        <v>0</v>
      </c>
      <c r="BP1281">
        <v>1</v>
      </c>
      <c r="BQ1281">
        <v>0</v>
      </c>
      <c r="BR1281">
        <v>0</v>
      </c>
    </row>
    <row r="1282" spans="1:70" x14ac:dyDescent="0.2">
      <c r="A1282" s="1">
        <v>44580.481249999997</v>
      </c>
      <c r="B1282" s="1">
        <v>44580.482638888891</v>
      </c>
      <c r="C1282">
        <v>1</v>
      </c>
      <c r="D1282">
        <v>0</v>
      </c>
      <c r="E1282">
        <v>0</v>
      </c>
      <c r="F1282">
        <v>0</v>
      </c>
      <c r="H1282">
        <v>1</v>
      </c>
      <c r="I1282">
        <v>0</v>
      </c>
      <c r="J1282">
        <v>0</v>
      </c>
      <c r="K1282">
        <v>0</v>
      </c>
      <c r="L1282">
        <v>0</v>
      </c>
      <c r="P1282">
        <v>1</v>
      </c>
      <c r="Q1282">
        <v>0</v>
      </c>
      <c r="R1282">
        <v>0</v>
      </c>
      <c r="S1282">
        <v>0</v>
      </c>
      <c r="T1282">
        <v>0</v>
      </c>
      <c r="U1282">
        <v>0</v>
      </c>
      <c r="V1282">
        <v>0</v>
      </c>
      <c r="W1282">
        <v>0</v>
      </c>
      <c r="X1282">
        <v>0</v>
      </c>
      <c r="Y1282">
        <v>0</v>
      </c>
      <c r="Z1282">
        <v>0</v>
      </c>
      <c r="AA1282">
        <v>0</v>
      </c>
      <c r="AC1282">
        <v>0</v>
      </c>
      <c r="AD1282">
        <v>0</v>
      </c>
      <c r="AE1282">
        <v>1</v>
      </c>
      <c r="AF1282">
        <v>0</v>
      </c>
      <c r="AG1282">
        <v>0</v>
      </c>
      <c r="AH1282">
        <v>0</v>
      </c>
      <c r="AI1282">
        <v>0</v>
      </c>
      <c r="AJ1282">
        <v>0</v>
      </c>
      <c r="AK1282">
        <v>0</v>
      </c>
      <c r="AX1282" t="s">
        <v>118</v>
      </c>
      <c r="AZ1282" t="s">
        <v>73</v>
      </c>
      <c r="BA1282" t="s">
        <v>87</v>
      </c>
      <c r="BB1282" t="s">
        <v>87</v>
      </c>
      <c r="BC1282" t="s">
        <v>87</v>
      </c>
      <c r="BD1282" t="s">
        <v>87</v>
      </c>
      <c r="BE1282" t="s">
        <v>87</v>
      </c>
      <c r="BF1282" t="s">
        <v>75</v>
      </c>
      <c r="BG1282" t="s">
        <v>92</v>
      </c>
      <c r="BH1282" t="s">
        <v>93</v>
      </c>
      <c r="BI1282" t="s">
        <v>73</v>
      </c>
      <c r="BJ1282" t="s">
        <v>78</v>
      </c>
      <c r="BK1282">
        <v>0</v>
      </c>
      <c r="BL1282">
        <v>0</v>
      </c>
      <c r="BM1282">
        <v>0</v>
      </c>
      <c r="BN1282">
        <v>0</v>
      </c>
      <c r="BO1282">
        <v>0</v>
      </c>
      <c r="BP1282">
        <v>1</v>
      </c>
      <c r="BQ1282">
        <v>0</v>
      </c>
      <c r="BR1282">
        <v>0</v>
      </c>
    </row>
    <row r="1283" spans="1:70" x14ac:dyDescent="0.2">
      <c r="A1283" s="1">
        <v>44579.876388888886</v>
      </c>
      <c r="B1283" s="1">
        <v>44579.877083333333</v>
      </c>
      <c r="C1283">
        <v>1</v>
      </c>
      <c r="D1283">
        <v>0</v>
      </c>
      <c r="E1283">
        <v>0</v>
      </c>
      <c r="F1283">
        <v>0</v>
      </c>
      <c r="H1283">
        <v>0</v>
      </c>
      <c r="I1283">
        <v>0</v>
      </c>
      <c r="J1283">
        <v>0</v>
      </c>
      <c r="K1283">
        <v>1</v>
      </c>
      <c r="L1283">
        <v>0</v>
      </c>
      <c r="N1283" t="s">
        <v>88</v>
      </c>
      <c r="O1283" t="s">
        <v>89</v>
      </c>
      <c r="P1283">
        <v>1</v>
      </c>
      <c r="Q1283">
        <v>0</v>
      </c>
      <c r="R1283">
        <v>0</v>
      </c>
      <c r="S1283">
        <v>0</v>
      </c>
      <c r="T1283">
        <v>0</v>
      </c>
      <c r="U1283">
        <v>0</v>
      </c>
      <c r="V1283">
        <v>0</v>
      </c>
      <c r="W1283">
        <v>0</v>
      </c>
      <c r="X1283">
        <v>0</v>
      </c>
      <c r="Y1283">
        <v>0</v>
      </c>
      <c r="Z1283">
        <v>0</v>
      </c>
      <c r="AA1283">
        <v>0</v>
      </c>
      <c r="AC1283">
        <v>0</v>
      </c>
      <c r="AD1283">
        <v>0</v>
      </c>
      <c r="AE1283">
        <v>1</v>
      </c>
      <c r="AF1283">
        <v>0</v>
      </c>
      <c r="AG1283">
        <v>0</v>
      </c>
      <c r="AH1283">
        <v>0</v>
      </c>
      <c r="AI1283">
        <v>1</v>
      </c>
      <c r="AJ1283">
        <v>0</v>
      </c>
      <c r="AK1283">
        <v>0</v>
      </c>
      <c r="AX1283" t="s">
        <v>128</v>
      </c>
      <c r="AZ1283" t="s">
        <v>73</v>
      </c>
      <c r="BA1283" t="s">
        <v>86</v>
      </c>
      <c r="BB1283" t="s">
        <v>87</v>
      </c>
      <c r="BC1283" t="s">
        <v>87</v>
      </c>
      <c r="BD1283" t="s">
        <v>87</v>
      </c>
      <c r="BE1283" t="s">
        <v>87</v>
      </c>
      <c r="BF1283" t="s">
        <v>75</v>
      </c>
      <c r="BG1283" t="s">
        <v>92</v>
      </c>
      <c r="BH1283" t="s">
        <v>93</v>
      </c>
      <c r="BI1283" t="s">
        <v>73</v>
      </c>
      <c r="BJ1283" t="s">
        <v>114</v>
      </c>
      <c r="BK1283">
        <v>0</v>
      </c>
      <c r="BL1283">
        <v>0</v>
      </c>
      <c r="BM1283">
        <v>0</v>
      </c>
      <c r="BN1283">
        <v>0</v>
      </c>
      <c r="BO1283">
        <v>0</v>
      </c>
      <c r="BP1283">
        <v>1</v>
      </c>
      <c r="BQ1283">
        <v>0</v>
      </c>
      <c r="BR1283">
        <v>0</v>
      </c>
    </row>
    <row r="1284" spans="1:70" x14ac:dyDescent="0.2">
      <c r="A1284" s="1">
        <v>44579.877083333333</v>
      </c>
      <c r="B1284" s="1">
        <v>44579.879166666666</v>
      </c>
      <c r="C1284">
        <v>1</v>
      </c>
      <c r="D1284">
        <v>0</v>
      </c>
      <c r="E1284">
        <v>0</v>
      </c>
      <c r="F1284">
        <v>0</v>
      </c>
      <c r="H1284">
        <v>0</v>
      </c>
      <c r="I1284">
        <v>1</v>
      </c>
      <c r="J1284">
        <v>1</v>
      </c>
      <c r="K1284">
        <v>1</v>
      </c>
      <c r="L1284">
        <v>0</v>
      </c>
      <c r="N1284" t="s">
        <v>88</v>
      </c>
      <c r="O1284" t="s">
        <v>89</v>
      </c>
      <c r="P1284">
        <v>0</v>
      </c>
      <c r="Q1284">
        <v>0</v>
      </c>
      <c r="R1284">
        <v>1</v>
      </c>
      <c r="S1284">
        <v>0</v>
      </c>
      <c r="T1284">
        <v>0</v>
      </c>
      <c r="U1284">
        <v>0</v>
      </c>
      <c r="V1284">
        <v>0</v>
      </c>
      <c r="W1284">
        <v>0</v>
      </c>
      <c r="X1284">
        <v>0</v>
      </c>
      <c r="Y1284">
        <v>0</v>
      </c>
      <c r="Z1284">
        <v>0</v>
      </c>
      <c r="AA1284">
        <v>0</v>
      </c>
      <c r="AM1284" t="s">
        <v>81</v>
      </c>
      <c r="AN1284" t="s">
        <v>81</v>
      </c>
      <c r="AO1284" t="s">
        <v>81</v>
      </c>
      <c r="AP1284" t="s">
        <v>81</v>
      </c>
      <c r="AQ1284" t="s">
        <v>82</v>
      </c>
      <c r="AR1284" t="s">
        <v>81</v>
      </c>
      <c r="AS1284" t="s">
        <v>81</v>
      </c>
      <c r="AT1284" t="s">
        <v>81</v>
      </c>
      <c r="AU1284" t="s">
        <v>88</v>
      </c>
      <c r="AV1284" t="s">
        <v>89</v>
      </c>
      <c r="AW1284" t="s">
        <v>85</v>
      </c>
      <c r="AZ1284" t="s">
        <v>120</v>
      </c>
      <c r="BA1284" t="s">
        <v>86</v>
      </c>
      <c r="BB1284" t="s">
        <v>87</v>
      </c>
      <c r="BC1284" t="s">
        <v>87</v>
      </c>
      <c r="BD1284" t="s">
        <v>87</v>
      </c>
      <c r="BE1284" t="s">
        <v>87</v>
      </c>
      <c r="BF1284" t="s">
        <v>97</v>
      </c>
      <c r="BG1284" t="s">
        <v>76</v>
      </c>
      <c r="BH1284" t="s">
        <v>98</v>
      </c>
      <c r="BI1284" t="s">
        <v>120</v>
      </c>
      <c r="BJ1284" t="s">
        <v>78</v>
      </c>
      <c r="BK1284">
        <v>0</v>
      </c>
      <c r="BL1284">
        <v>0</v>
      </c>
      <c r="BM1284">
        <v>0</v>
      </c>
      <c r="BN1284">
        <v>0</v>
      </c>
      <c r="BO1284">
        <v>0</v>
      </c>
      <c r="BP1284">
        <v>1</v>
      </c>
      <c r="BQ1284">
        <v>0</v>
      </c>
      <c r="BR1284">
        <v>0</v>
      </c>
    </row>
    <row r="1285" spans="1:70" x14ac:dyDescent="0.2">
      <c r="A1285" s="1">
        <v>44580.109027777777</v>
      </c>
      <c r="B1285" s="1">
        <v>44580.11041666667</v>
      </c>
      <c r="C1285">
        <v>0</v>
      </c>
      <c r="D1285">
        <v>1</v>
      </c>
      <c r="E1285">
        <v>0</v>
      </c>
      <c r="F1285">
        <v>0</v>
      </c>
      <c r="H1285">
        <v>0</v>
      </c>
      <c r="I1285">
        <v>1</v>
      </c>
      <c r="J1285">
        <v>1</v>
      </c>
      <c r="K1285">
        <v>1</v>
      </c>
      <c r="L1285">
        <v>0</v>
      </c>
      <c r="N1285" t="s">
        <v>88</v>
      </c>
      <c r="O1285" t="s">
        <v>89</v>
      </c>
      <c r="P1285">
        <v>0</v>
      </c>
      <c r="Q1285">
        <v>0</v>
      </c>
      <c r="R1285">
        <v>0</v>
      </c>
      <c r="S1285">
        <v>0</v>
      </c>
      <c r="T1285">
        <v>1</v>
      </c>
      <c r="U1285">
        <v>0</v>
      </c>
      <c r="V1285">
        <v>0</v>
      </c>
      <c r="W1285">
        <v>0</v>
      </c>
      <c r="X1285">
        <v>0</v>
      </c>
      <c r="Y1285">
        <v>0</v>
      </c>
      <c r="Z1285">
        <v>0</v>
      </c>
      <c r="AA1285">
        <v>0</v>
      </c>
      <c r="AM1285" t="s">
        <v>83</v>
      </c>
      <c r="AN1285" t="s">
        <v>82</v>
      </c>
      <c r="AO1285" t="s">
        <v>82</v>
      </c>
      <c r="AP1285" t="s">
        <v>82</v>
      </c>
      <c r="AQ1285" t="s">
        <v>81</v>
      </c>
      <c r="AR1285" t="s">
        <v>83</v>
      </c>
      <c r="AS1285" t="s">
        <v>83</v>
      </c>
      <c r="AT1285" t="s">
        <v>81</v>
      </c>
      <c r="AU1285" t="s">
        <v>88</v>
      </c>
      <c r="AV1285" t="s">
        <v>89</v>
      </c>
      <c r="AW1285" t="s">
        <v>100</v>
      </c>
      <c r="AX1285" t="s">
        <v>91</v>
      </c>
      <c r="AZ1285" t="s">
        <v>107</v>
      </c>
      <c r="BA1285" t="s">
        <v>86</v>
      </c>
      <c r="BB1285" t="s">
        <v>86</v>
      </c>
      <c r="BC1285" t="s">
        <v>86</v>
      </c>
      <c r="BD1285" t="s">
        <v>86</v>
      </c>
      <c r="BE1285" t="s">
        <v>86</v>
      </c>
      <c r="BF1285" t="s">
        <v>75</v>
      </c>
      <c r="BG1285" t="s">
        <v>92</v>
      </c>
      <c r="BH1285" t="s">
        <v>93</v>
      </c>
      <c r="BI1285" t="s">
        <v>107</v>
      </c>
      <c r="BJ1285" t="s">
        <v>174</v>
      </c>
      <c r="BK1285">
        <v>0</v>
      </c>
      <c r="BL1285">
        <v>0</v>
      </c>
      <c r="BM1285">
        <v>0</v>
      </c>
      <c r="BN1285">
        <v>0</v>
      </c>
      <c r="BO1285">
        <v>0</v>
      </c>
      <c r="BP1285">
        <v>1</v>
      </c>
      <c r="BQ1285">
        <v>0</v>
      </c>
      <c r="BR1285">
        <v>0</v>
      </c>
    </row>
    <row r="1286" spans="1:70" x14ac:dyDescent="0.2">
      <c r="A1286" s="1">
        <v>44585.740277777775</v>
      </c>
      <c r="B1286" s="1">
        <v>44585.743750000001</v>
      </c>
      <c r="C1286">
        <v>0</v>
      </c>
      <c r="D1286">
        <v>1</v>
      </c>
      <c r="E1286">
        <v>0</v>
      </c>
      <c r="F1286">
        <v>0</v>
      </c>
      <c r="H1286">
        <v>1</v>
      </c>
      <c r="I1286">
        <v>0</v>
      </c>
      <c r="J1286">
        <v>0</v>
      </c>
      <c r="K1286">
        <v>0</v>
      </c>
      <c r="L1286">
        <v>0</v>
      </c>
      <c r="P1286">
        <v>0</v>
      </c>
      <c r="Q1286">
        <v>1</v>
      </c>
      <c r="R1286">
        <v>0</v>
      </c>
      <c r="S1286">
        <v>0</v>
      </c>
      <c r="T1286">
        <v>0</v>
      </c>
      <c r="U1286">
        <v>0</v>
      </c>
      <c r="V1286">
        <v>0</v>
      </c>
      <c r="W1286">
        <v>0</v>
      </c>
      <c r="X1286">
        <v>0</v>
      </c>
      <c r="Y1286">
        <v>0</v>
      </c>
      <c r="Z1286">
        <v>0</v>
      </c>
      <c r="AA1286">
        <v>0</v>
      </c>
      <c r="AM1286" t="s">
        <v>83</v>
      </c>
      <c r="AN1286" t="s">
        <v>81</v>
      </c>
      <c r="AO1286" t="s">
        <v>82</v>
      </c>
      <c r="AP1286" t="s">
        <v>82</v>
      </c>
      <c r="AQ1286" t="s">
        <v>83</v>
      </c>
      <c r="AR1286" t="s">
        <v>83</v>
      </c>
      <c r="AS1286" t="s">
        <v>83</v>
      </c>
      <c r="AT1286" t="s">
        <v>83</v>
      </c>
      <c r="AU1286" t="s">
        <v>88</v>
      </c>
      <c r="AV1286" t="s">
        <v>89</v>
      </c>
      <c r="AW1286" t="s">
        <v>100</v>
      </c>
      <c r="AX1286" t="s">
        <v>72</v>
      </c>
      <c r="AZ1286" t="s">
        <v>73</v>
      </c>
      <c r="BA1286" t="s">
        <v>87</v>
      </c>
      <c r="BB1286" t="s">
        <v>87</v>
      </c>
      <c r="BC1286" t="s">
        <v>87</v>
      </c>
      <c r="BD1286" t="s">
        <v>87</v>
      </c>
      <c r="BE1286" t="s">
        <v>86</v>
      </c>
      <c r="BF1286" t="s">
        <v>75</v>
      </c>
      <c r="BG1286" t="s">
        <v>76</v>
      </c>
      <c r="BH1286" t="s">
        <v>77</v>
      </c>
      <c r="BI1286" t="s">
        <v>73</v>
      </c>
      <c r="BJ1286" t="s">
        <v>78</v>
      </c>
      <c r="BK1286">
        <v>0</v>
      </c>
      <c r="BL1286">
        <v>0</v>
      </c>
      <c r="BM1286">
        <v>0</v>
      </c>
      <c r="BN1286">
        <v>0</v>
      </c>
      <c r="BO1286">
        <v>0</v>
      </c>
      <c r="BP1286">
        <v>1</v>
      </c>
      <c r="BQ1286">
        <v>0</v>
      </c>
      <c r="BR1286">
        <v>0</v>
      </c>
    </row>
    <row r="1287" spans="1:70" x14ac:dyDescent="0.2">
      <c r="A1287" s="1">
        <v>44584.075694444444</v>
      </c>
      <c r="B1287" s="1">
        <v>44584.077777777777</v>
      </c>
      <c r="C1287">
        <v>0</v>
      </c>
      <c r="D1287">
        <v>1</v>
      </c>
      <c r="E1287">
        <v>0</v>
      </c>
      <c r="F1287">
        <v>0</v>
      </c>
      <c r="H1287">
        <v>0</v>
      </c>
      <c r="I1287">
        <v>1</v>
      </c>
      <c r="J1287">
        <v>0</v>
      </c>
      <c r="K1287">
        <v>0</v>
      </c>
      <c r="L1287">
        <v>0</v>
      </c>
      <c r="N1287" t="s">
        <v>127</v>
      </c>
      <c r="O1287" t="s">
        <v>127</v>
      </c>
      <c r="P1287">
        <v>0</v>
      </c>
      <c r="Q1287">
        <v>0</v>
      </c>
      <c r="R1287">
        <v>0</v>
      </c>
      <c r="S1287">
        <v>1</v>
      </c>
      <c r="T1287">
        <v>0</v>
      </c>
      <c r="U1287">
        <v>0</v>
      </c>
      <c r="V1287">
        <v>0</v>
      </c>
      <c r="W1287">
        <v>0</v>
      </c>
      <c r="X1287">
        <v>0</v>
      </c>
      <c r="Y1287">
        <v>0</v>
      </c>
      <c r="Z1287">
        <v>0</v>
      </c>
      <c r="AA1287">
        <v>0</v>
      </c>
      <c r="AM1287" t="s">
        <v>83</v>
      </c>
      <c r="AN1287" t="s">
        <v>82</v>
      </c>
      <c r="AO1287" t="s">
        <v>81</v>
      </c>
      <c r="AP1287" t="s">
        <v>81</v>
      </c>
      <c r="AQ1287" t="s">
        <v>83</v>
      </c>
      <c r="AR1287" t="s">
        <v>83</v>
      </c>
      <c r="AS1287" t="s">
        <v>82</v>
      </c>
      <c r="AT1287" t="s">
        <v>83</v>
      </c>
      <c r="AU1287" t="s">
        <v>135</v>
      </c>
      <c r="AV1287" t="s">
        <v>80</v>
      </c>
      <c r="AW1287" t="s">
        <v>153</v>
      </c>
      <c r="AX1287" t="s">
        <v>118</v>
      </c>
      <c r="AZ1287" t="s">
        <v>107</v>
      </c>
      <c r="BA1287" t="s">
        <v>74</v>
      </c>
      <c r="BF1287" t="s">
        <v>75</v>
      </c>
      <c r="BG1287" t="s">
        <v>92</v>
      </c>
      <c r="BH1287" t="s">
        <v>93</v>
      </c>
      <c r="BI1287" t="s">
        <v>107</v>
      </c>
      <c r="BJ1287" t="s">
        <v>114</v>
      </c>
      <c r="BK1287">
        <v>0</v>
      </c>
      <c r="BL1287">
        <v>0</v>
      </c>
      <c r="BM1287">
        <v>0</v>
      </c>
      <c r="BN1287">
        <v>1</v>
      </c>
      <c r="BO1287">
        <v>1</v>
      </c>
      <c r="BP1287">
        <v>0</v>
      </c>
      <c r="BQ1287">
        <v>0</v>
      </c>
      <c r="BR1287">
        <v>0</v>
      </c>
    </row>
    <row r="1288" spans="1:70" x14ac:dyDescent="0.2">
      <c r="A1288" s="1">
        <v>44588.918055555558</v>
      </c>
      <c r="B1288" s="1">
        <v>44588.919444444444</v>
      </c>
      <c r="C1288">
        <v>0</v>
      </c>
      <c r="D1288">
        <v>1</v>
      </c>
      <c r="E1288">
        <v>0</v>
      </c>
      <c r="F1288">
        <v>0</v>
      </c>
      <c r="H1288">
        <v>1</v>
      </c>
      <c r="I1288">
        <v>0</v>
      </c>
      <c r="J1288">
        <v>0</v>
      </c>
      <c r="K1288">
        <v>0</v>
      </c>
      <c r="L1288">
        <v>0</v>
      </c>
      <c r="P1288">
        <v>0</v>
      </c>
      <c r="Q1288">
        <v>1</v>
      </c>
      <c r="R1288">
        <v>0</v>
      </c>
      <c r="S1288">
        <v>0</v>
      </c>
      <c r="T1288">
        <v>0</v>
      </c>
      <c r="U1288">
        <v>0</v>
      </c>
      <c r="V1288">
        <v>0</v>
      </c>
      <c r="W1288">
        <v>0</v>
      </c>
      <c r="X1288">
        <v>0</v>
      </c>
      <c r="Y1288">
        <v>0</v>
      </c>
      <c r="Z1288">
        <v>0</v>
      </c>
      <c r="AA1288">
        <v>0</v>
      </c>
      <c r="AM1288" t="s">
        <v>90</v>
      </c>
      <c r="AN1288" t="s">
        <v>81</v>
      </c>
      <c r="AO1288" t="s">
        <v>83</v>
      </c>
      <c r="AP1288" t="s">
        <v>81</v>
      </c>
      <c r="AQ1288" t="s">
        <v>82</v>
      </c>
      <c r="AR1288" t="s">
        <v>90</v>
      </c>
      <c r="AS1288" t="s">
        <v>90</v>
      </c>
      <c r="AT1288" t="s">
        <v>83</v>
      </c>
      <c r="AU1288" t="s">
        <v>88</v>
      </c>
      <c r="AV1288" t="s">
        <v>127</v>
      </c>
      <c r="AW1288" t="s">
        <v>85</v>
      </c>
      <c r="AX1288" t="s">
        <v>118</v>
      </c>
      <c r="AZ1288" t="s">
        <v>107</v>
      </c>
      <c r="BA1288" t="s">
        <v>74</v>
      </c>
      <c r="BF1288" t="s">
        <v>75</v>
      </c>
      <c r="BG1288" t="s">
        <v>76</v>
      </c>
      <c r="BH1288" t="s">
        <v>77</v>
      </c>
      <c r="BI1288" t="s">
        <v>107</v>
      </c>
      <c r="BJ1288" t="s">
        <v>114</v>
      </c>
      <c r="BK1288">
        <v>0</v>
      </c>
      <c r="BL1288">
        <v>0</v>
      </c>
      <c r="BM1288">
        <v>0</v>
      </c>
      <c r="BN1288">
        <v>0</v>
      </c>
      <c r="BO1288">
        <v>0</v>
      </c>
      <c r="BP1288">
        <v>1</v>
      </c>
      <c r="BQ1288">
        <v>0</v>
      </c>
      <c r="BR1288">
        <v>0</v>
      </c>
    </row>
    <row r="1289" spans="1:70" x14ac:dyDescent="0.2">
      <c r="A1289" s="1">
        <v>44581.442361111112</v>
      </c>
      <c r="B1289" s="1">
        <v>44581.448611111111</v>
      </c>
      <c r="C1289">
        <v>1</v>
      </c>
      <c r="D1289">
        <v>0</v>
      </c>
      <c r="E1289">
        <v>0</v>
      </c>
      <c r="F1289">
        <v>0</v>
      </c>
      <c r="H1289">
        <v>0</v>
      </c>
      <c r="I1289">
        <v>0</v>
      </c>
      <c r="J1289">
        <v>0</v>
      </c>
      <c r="K1289">
        <v>0</v>
      </c>
      <c r="L1289">
        <v>1</v>
      </c>
      <c r="M1289" t="s">
        <v>538</v>
      </c>
      <c r="N1289" t="s">
        <v>88</v>
      </c>
      <c r="O1289" t="s">
        <v>89</v>
      </c>
      <c r="P1289">
        <v>1</v>
      </c>
      <c r="Q1289">
        <v>0</v>
      </c>
      <c r="R1289">
        <v>0</v>
      </c>
      <c r="S1289">
        <v>0</v>
      </c>
      <c r="T1289">
        <v>0</v>
      </c>
      <c r="U1289">
        <v>0</v>
      </c>
      <c r="V1289">
        <v>0</v>
      </c>
      <c r="W1289">
        <v>0</v>
      </c>
      <c r="X1289">
        <v>0</v>
      </c>
      <c r="Y1289">
        <v>0</v>
      </c>
      <c r="Z1289">
        <v>0</v>
      </c>
      <c r="AA1289">
        <v>0</v>
      </c>
      <c r="AC1289">
        <v>1</v>
      </c>
      <c r="AD1289">
        <v>0</v>
      </c>
      <c r="AE1289">
        <v>0</v>
      </c>
      <c r="AF1289">
        <v>0</v>
      </c>
      <c r="AG1289">
        <v>0</v>
      </c>
      <c r="AH1289">
        <v>0</v>
      </c>
      <c r="AI1289">
        <v>0</v>
      </c>
      <c r="AJ1289">
        <v>0</v>
      </c>
      <c r="AK1289">
        <v>0</v>
      </c>
      <c r="AX1289" t="s">
        <v>191</v>
      </c>
      <c r="AZ1289" t="s">
        <v>252</v>
      </c>
      <c r="BA1289" t="s">
        <v>86</v>
      </c>
      <c r="BB1289" t="s">
        <v>86</v>
      </c>
      <c r="BC1289" t="s">
        <v>86</v>
      </c>
      <c r="BD1289" t="s">
        <v>86</v>
      </c>
      <c r="BE1289" t="s">
        <v>86</v>
      </c>
      <c r="BF1289" t="s">
        <v>113</v>
      </c>
      <c r="BG1289" t="s">
        <v>92</v>
      </c>
      <c r="BH1289" t="s">
        <v>93</v>
      </c>
      <c r="BI1289" t="s">
        <v>252</v>
      </c>
      <c r="BJ1289" t="s">
        <v>94</v>
      </c>
      <c r="BK1289">
        <v>0</v>
      </c>
      <c r="BL1289">
        <v>0</v>
      </c>
      <c r="BM1289">
        <v>0</v>
      </c>
      <c r="BN1289">
        <v>0</v>
      </c>
      <c r="BO1289">
        <v>0</v>
      </c>
      <c r="BP1289">
        <v>0</v>
      </c>
      <c r="BQ1289">
        <v>0</v>
      </c>
      <c r="BR1289">
        <v>1</v>
      </c>
    </row>
    <row r="1290" spans="1:70" x14ac:dyDescent="0.2">
      <c r="A1290" s="1">
        <v>44580.079861111109</v>
      </c>
      <c r="B1290" s="1">
        <v>44580.084027777775</v>
      </c>
      <c r="C1290">
        <v>1</v>
      </c>
      <c r="D1290">
        <v>0</v>
      </c>
      <c r="E1290">
        <v>0</v>
      </c>
      <c r="F1290">
        <v>0</v>
      </c>
      <c r="H1290">
        <v>0</v>
      </c>
      <c r="I1290">
        <v>1</v>
      </c>
      <c r="J1290">
        <v>1</v>
      </c>
      <c r="K1290">
        <v>0</v>
      </c>
      <c r="L1290">
        <v>1</v>
      </c>
      <c r="M1290" t="s">
        <v>539</v>
      </c>
      <c r="N1290" t="s">
        <v>88</v>
      </c>
      <c r="O1290" t="s">
        <v>89</v>
      </c>
      <c r="P1290">
        <v>0</v>
      </c>
      <c r="Q1290">
        <v>1</v>
      </c>
      <c r="R1290">
        <v>0</v>
      </c>
      <c r="S1290">
        <v>0</v>
      </c>
      <c r="T1290">
        <v>0</v>
      </c>
      <c r="U1290">
        <v>0</v>
      </c>
      <c r="V1290">
        <v>0</v>
      </c>
      <c r="W1290">
        <v>0</v>
      </c>
      <c r="X1290">
        <v>0</v>
      </c>
      <c r="Y1290">
        <v>0</v>
      </c>
      <c r="Z1290">
        <v>0</v>
      </c>
      <c r="AA1290">
        <v>0</v>
      </c>
      <c r="AM1290" t="s">
        <v>90</v>
      </c>
      <c r="AN1290" t="s">
        <v>82</v>
      </c>
      <c r="AO1290" t="s">
        <v>83</v>
      </c>
      <c r="AP1290" t="s">
        <v>81</v>
      </c>
      <c r="AQ1290" t="s">
        <v>90</v>
      </c>
      <c r="AR1290" t="s">
        <v>90</v>
      </c>
      <c r="AS1290" t="s">
        <v>90</v>
      </c>
      <c r="AT1290" t="s">
        <v>83</v>
      </c>
      <c r="AU1290" t="s">
        <v>88</v>
      </c>
      <c r="AV1290" t="s">
        <v>89</v>
      </c>
      <c r="AW1290" t="s">
        <v>85</v>
      </c>
      <c r="AX1290" t="s">
        <v>72</v>
      </c>
      <c r="AZ1290" t="s">
        <v>73</v>
      </c>
      <c r="BA1290" t="s">
        <v>87</v>
      </c>
      <c r="BB1290" t="s">
        <v>87</v>
      </c>
      <c r="BC1290" t="s">
        <v>87</v>
      </c>
      <c r="BD1290" t="s">
        <v>74</v>
      </c>
      <c r="BE1290" t="s">
        <v>87</v>
      </c>
      <c r="BF1290" t="s">
        <v>75</v>
      </c>
      <c r="BG1290" t="s">
        <v>92</v>
      </c>
      <c r="BH1290" t="s">
        <v>93</v>
      </c>
      <c r="BI1290" t="s">
        <v>73</v>
      </c>
      <c r="BJ1290" t="s">
        <v>78</v>
      </c>
      <c r="BK1290">
        <v>0</v>
      </c>
      <c r="BL1290">
        <v>0</v>
      </c>
      <c r="BM1290">
        <v>0</v>
      </c>
      <c r="BN1290">
        <v>0</v>
      </c>
      <c r="BO1290">
        <v>0</v>
      </c>
      <c r="BP1290">
        <v>1</v>
      </c>
      <c r="BQ1290">
        <v>0</v>
      </c>
      <c r="BR1290">
        <v>0</v>
      </c>
    </row>
    <row r="1291" spans="1:70" x14ac:dyDescent="0.2">
      <c r="A1291" s="1">
        <v>44579.892361111109</v>
      </c>
      <c r="B1291" s="1">
        <v>44579.893750000003</v>
      </c>
      <c r="C1291">
        <v>1</v>
      </c>
      <c r="D1291">
        <v>0</v>
      </c>
      <c r="E1291">
        <v>0</v>
      </c>
      <c r="F1291">
        <v>0</v>
      </c>
      <c r="H1291">
        <v>0</v>
      </c>
      <c r="I1291">
        <v>0</v>
      </c>
      <c r="J1291">
        <v>1</v>
      </c>
      <c r="K1291">
        <v>0</v>
      </c>
      <c r="L1291">
        <v>0</v>
      </c>
      <c r="N1291" t="s">
        <v>88</v>
      </c>
      <c r="O1291" t="s">
        <v>89</v>
      </c>
      <c r="P1291">
        <v>1</v>
      </c>
      <c r="Q1291">
        <v>0</v>
      </c>
      <c r="R1291">
        <v>0</v>
      </c>
      <c r="S1291">
        <v>0</v>
      </c>
      <c r="T1291">
        <v>0</v>
      </c>
      <c r="U1291">
        <v>0</v>
      </c>
      <c r="V1291">
        <v>0</v>
      </c>
      <c r="W1291">
        <v>0</v>
      </c>
      <c r="X1291">
        <v>0</v>
      </c>
      <c r="Y1291">
        <v>0</v>
      </c>
      <c r="Z1291">
        <v>0</v>
      </c>
      <c r="AA1291">
        <v>0</v>
      </c>
      <c r="AC1291">
        <v>0</v>
      </c>
      <c r="AD1291">
        <v>0</v>
      </c>
      <c r="AE1291">
        <v>1</v>
      </c>
      <c r="AF1291">
        <v>0</v>
      </c>
      <c r="AG1291">
        <v>1</v>
      </c>
      <c r="AH1291">
        <v>0</v>
      </c>
      <c r="AI1291">
        <v>0</v>
      </c>
      <c r="AJ1291">
        <v>0</v>
      </c>
      <c r="AK1291">
        <v>0</v>
      </c>
      <c r="AX1291" t="s">
        <v>72</v>
      </c>
      <c r="AZ1291" t="s">
        <v>73</v>
      </c>
      <c r="BA1291" t="s">
        <v>87</v>
      </c>
      <c r="BB1291" t="s">
        <v>87</v>
      </c>
      <c r="BC1291" t="s">
        <v>87</v>
      </c>
      <c r="BD1291" t="s">
        <v>87</v>
      </c>
      <c r="BE1291" t="s">
        <v>87</v>
      </c>
      <c r="BF1291" t="s">
        <v>75</v>
      </c>
      <c r="BG1291" t="s">
        <v>92</v>
      </c>
      <c r="BH1291" t="s">
        <v>77</v>
      </c>
      <c r="BI1291" t="s">
        <v>73</v>
      </c>
      <c r="BJ1291" t="s">
        <v>109</v>
      </c>
      <c r="BK1291">
        <v>0</v>
      </c>
      <c r="BL1291">
        <v>0</v>
      </c>
      <c r="BM1291">
        <v>0</v>
      </c>
      <c r="BN1291">
        <v>0</v>
      </c>
      <c r="BO1291">
        <v>0</v>
      </c>
      <c r="BP1291">
        <v>1</v>
      </c>
      <c r="BQ1291">
        <v>0</v>
      </c>
      <c r="BR1291">
        <v>0</v>
      </c>
    </row>
    <row r="1292" spans="1:70" x14ac:dyDescent="0.2">
      <c r="A1292" s="1">
        <v>44579.878472222219</v>
      </c>
      <c r="B1292" s="1">
        <v>44579.880555555559</v>
      </c>
      <c r="C1292">
        <v>1</v>
      </c>
      <c r="D1292">
        <v>0</v>
      </c>
      <c r="E1292">
        <v>0</v>
      </c>
      <c r="F1292">
        <v>0</v>
      </c>
      <c r="H1292">
        <v>0</v>
      </c>
      <c r="I1292">
        <v>1</v>
      </c>
      <c r="J1292">
        <v>0</v>
      </c>
      <c r="K1292">
        <v>0</v>
      </c>
      <c r="L1292">
        <v>0</v>
      </c>
      <c r="N1292" t="s">
        <v>88</v>
      </c>
      <c r="O1292" t="s">
        <v>89</v>
      </c>
      <c r="P1292">
        <v>0</v>
      </c>
      <c r="Q1292">
        <v>1</v>
      </c>
      <c r="R1292">
        <v>0</v>
      </c>
      <c r="S1292">
        <v>0</v>
      </c>
      <c r="T1292">
        <v>0</v>
      </c>
      <c r="U1292">
        <v>0</v>
      </c>
      <c r="V1292">
        <v>0</v>
      </c>
      <c r="W1292">
        <v>0</v>
      </c>
      <c r="X1292">
        <v>0</v>
      </c>
      <c r="Y1292">
        <v>0</v>
      </c>
      <c r="Z1292">
        <v>0</v>
      </c>
      <c r="AA1292">
        <v>0</v>
      </c>
      <c r="AM1292" t="s">
        <v>83</v>
      </c>
      <c r="AN1292" t="s">
        <v>82</v>
      </c>
      <c r="AO1292" t="s">
        <v>83</v>
      </c>
      <c r="AP1292" t="s">
        <v>81</v>
      </c>
      <c r="AQ1292" t="s">
        <v>83</v>
      </c>
      <c r="AR1292" t="s">
        <v>83</v>
      </c>
      <c r="AS1292" t="s">
        <v>83</v>
      </c>
      <c r="AT1292" t="s">
        <v>81</v>
      </c>
      <c r="AU1292" t="s">
        <v>88</v>
      </c>
      <c r="AV1292" t="s">
        <v>89</v>
      </c>
      <c r="AW1292" t="s">
        <v>85</v>
      </c>
      <c r="AX1292" t="s">
        <v>199</v>
      </c>
      <c r="AZ1292" t="s">
        <v>107</v>
      </c>
      <c r="BA1292" t="s">
        <v>87</v>
      </c>
      <c r="BB1292" t="s">
        <v>87</v>
      </c>
      <c r="BC1292" t="s">
        <v>87</v>
      </c>
      <c r="BD1292" t="s">
        <v>74</v>
      </c>
      <c r="BE1292" t="s">
        <v>87</v>
      </c>
      <c r="BF1292" t="s">
        <v>75</v>
      </c>
      <c r="BG1292" t="s">
        <v>92</v>
      </c>
      <c r="BH1292" t="s">
        <v>77</v>
      </c>
      <c r="BI1292" t="s">
        <v>107</v>
      </c>
      <c r="BJ1292" t="s">
        <v>114</v>
      </c>
      <c r="BK1292">
        <v>0</v>
      </c>
      <c r="BL1292">
        <v>0</v>
      </c>
      <c r="BM1292">
        <v>0</v>
      </c>
      <c r="BN1292">
        <v>0</v>
      </c>
      <c r="BO1292">
        <v>0</v>
      </c>
      <c r="BP1292">
        <v>1</v>
      </c>
      <c r="BQ1292">
        <v>0</v>
      </c>
      <c r="BR1292">
        <v>0</v>
      </c>
    </row>
    <row r="1293" spans="1:70" x14ac:dyDescent="0.2">
      <c r="A1293" s="1">
        <v>44579.907638888886</v>
      </c>
      <c r="B1293" s="1">
        <v>44579.918055555558</v>
      </c>
      <c r="C1293">
        <v>0</v>
      </c>
      <c r="D1293">
        <v>1</v>
      </c>
      <c r="E1293">
        <v>0</v>
      </c>
      <c r="F1293">
        <v>0</v>
      </c>
      <c r="H1293">
        <v>0</v>
      </c>
      <c r="I1293">
        <v>1</v>
      </c>
      <c r="J1293">
        <v>0</v>
      </c>
      <c r="K1293">
        <v>1</v>
      </c>
      <c r="L1293">
        <v>0</v>
      </c>
      <c r="N1293" t="s">
        <v>135</v>
      </c>
      <c r="O1293" t="s">
        <v>80</v>
      </c>
      <c r="P1293">
        <v>0</v>
      </c>
      <c r="Q1293">
        <v>0</v>
      </c>
      <c r="R1293">
        <v>0</v>
      </c>
      <c r="S1293">
        <v>0</v>
      </c>
      <c r="T1293">
        <v>0</v>
      </c>
      <c r="U1293">
        <v>0</v>
      </c>
      <c r="V1293">
        <v>0</v>
      </c>
      <c r="W1293">
        <v>0</v>
      </c>
      <c r="X1293">
        <v>0</v>
      </c>
      <c r="Y1293">
        <v>0</v>
      </c>
      <c r="Z1293">
        <v>0</v>
      </c>
      <c r="AA1293">
        <v>1</v>
      </c>
      <c r="AB1293" t="s">
        <v>540</v>
      </c>
      <c r="AM1293" t="s">
        <v>83</v>
      </c>
      <c r="AN1293" t="s">
        <v>81</v>
      </c>
      <c r="AO1293" t="s">
        <v>83</v>
      </c>
      <c r="AP1293" t="s">
        <v>81</v>
      </c>
      <c r="AQ1293" t="s">
        <v>82</v>
      </c>
      <c r="AR1293" t="s">
        <v>83</v>
      </c>
      <c r="AS1293" t="s">
        <v>83</v>
      </c>
      <c r="AT1293" t="s">
        <v>83</v>
      </c>
      <c r="AU1293" t="s">
        <v>135</v>
      </c>
      <c r="AV1293" t="s">
        <v>80</v>
      </c>
      <c r="AW1293" t="s">
        <v>85</v>
      </c>
      <c r="AX1293" t="s">
        <v>122</v>
      </c>
      <c r="AZ1293" t="s">
        <v>73</v>
      </c>
      <c r="BA1293" t="s">
        <v>87</v>
      </c>
      <c r="BB1293" t="s">
        <v>87</v>
      </c>
      <c r="BC1293" t="s">
        <v>87</v>
      </c>
      <c r="BD1293" t="s">
        <v>87</v>
      </c>
      <c r="BE1293" t="s">
        <v>87</v>
      </c>
      <c r="BF1293" t="s">
        <v>75</v>
      </c>
      <c r="BG1293" t="s">
        <v>92</v>
      </c>
      <c r="BH1293" t="s">
        <v>77</v>
      </c>
      <c r="BI1293" t="s">
        <v>73</v>
      </c>
      <c r="BJ1293" t="s">
        <v>114</v>
      </c>
      <c r="BK1293">
        <v>0</v>
      </c>
      <c r="BL1293">
        <v>0</v>
      </c>
      <c r="BM1293">
        <v>0</v>
      </c>
      <c r="BN1293">
        <v>0</v>
      </c>
      <c r="BO1293">
        <v>0</v>
      </c>
      <c r="BP1293">
        <v>1</v>
      </c>
      <c r="BQ1293">
        <v>0</v>
      </c>
      <c r="BR1293">
        <v>0</v>
      </c>
    </row>
    <row r="1294" spans="1:70" x14ac:dyDescent="0.2">
      <c r="A1294" s="1">
        <v>44589.072916666664</v>
      </c>
      <c r="B1294" s="1">
        <v>44589.074999999997</v>
      </c>
      <c r="C1294">
        <v>0</v>
      </c>
      <c r="D1294">
        <v>1</v>
      </c>
      <c r="E1294">
        <v>0</v>
      </c>
      <c r="F1294">
        <v>0</v>
      </c>
      <c r="H1294">
        <v>0</v>
      </c>
      <c r="I1294">
        <v>1</v>
      </c>
      <c r="J1294">
        <v>0</v>
      </c>
      <c r="K1294">
        <v>0</v>
      </c>
      <c r="L1294">
        <v>1</v>
      </c>
      <c r="M1294" t="s">
        <v>541</v>
      </c>
      <c r="N1294" t="s">
        <v>79</v>
      </c>
      <c r="O1294" t="s">
        <v>80</v>
      </c>
      <c r="P1294">
        <v>0</v>
      </c>
      <c r="Q1294">
        <v>1</v>
      </c>
      <c r="R1294">
        <v>0</v>
      </c>
      <c r="S1294">
        <v>0</v>
      </c>
      <c r="T1294">
        <v>0</v>
      </c>
      <c r="U1294">
        <v>0</v>
      </c>
      <c r="V1294">
        <v>0</v>
      </c>
      <c r="W1294">
        <v>0</v>
      </c>
      <c r="X1294">
        <v>0</v>
      </c>
      <c r="Y1294">
        <v>0</v>
      </c>
      <c r="Z1294">
        <v>0</v>
      </c>
      <c r="AA1294">
        <v>1</v>
      </c>
      <c r="AB1294" t="s">
        <v>542</v>
      </c>
      <c r="AM1294" t="s">
        <v>83</v>
      </c>
      <c r="AN1294" t="s">
        <v>81</v>
      </c>
      <c r="AO1294" t="s">
        <v>83</v>
      </c>
      <c r="AP1294" t="s">
        <v>81</v>
      </c>
      <c r="AQ1294" t="s">
        <v>82</v>
      </c>
      <c r="AR1294" t="s">
        <v>81</v>
      </c>
      <c r="AS1294" t="s">
        <v>83</v>
      </c>
      <c r="AT1294" t="s">
        <v>90</v>
      </c>
      <c r="AU1294" t="s">
        <v>88</v>
      </c>
      <c r="AV1294" t="s">
        <v>80</v>
      </c>
      <c r="AW1294" t="s">
        <v>85</v>
      </c>
      <c r="AX1294" t="s">
        <v>118</v>
      </c>
      <c r="AZ1294" t="s">
        <v>107</v>
      </c>
      <c r="BA1294" t="s">
        <v>87</v>
      </c>
      <c r="BB1294" t="s">
        <v>87</v>
      </c>
      <c r="BC1294" t="s">
        <v>74</v>
      </c>
      <c r="BD1294" t="s">
        <v>86</v>
      </c>
      <c r="BE1294" t="s">
        <v>86</v>
      </c>
      <c r="BF1294" t="s">
        <v>75</v>
      </c>
      <c r="BG1294" t="s">
        <v>92</v>
      </c>
      <c r="BH1294" t="s">
        <v>77</v>
      </c>
      <c r="BI1294" t="s">
        <v>107</v>
      </c>
      <c r="BJ1294" t="s">
        <v>94</v>
      </c>
      <c r="BK1294">
        <v>0</v>
      </c>
      <c r="BL1294">
        <v>0</v>
      </c>
      <c r="BM1294">
        <v>0</v>
      </c>
      <c r="BN1294">
        <v>0</v>
      </c>
      <c r="BO1294">
        <v>0</v>
      </c>
      <c r="BP1294">
        <v>0</v>
      </c>
      <c r="BQ1294">
        <v>0</v>
      </c>
      <c r="BR1294">
        <v>1</v>
      </c>
    </row>
    <row r="1295" spans="1:70" x14ac:dyDescent="0.2">
      <c r="A1295" s="1">
        <v>44579.900694444441</v>
      </c>
      <c r="B1295" s="1">
        <v>44579.902777777781</v>
      </c>
      <c r="C1295">
        <v>1</v>
      </c>
      <c r="D1295">
        <v>0</v>
      </c>
      <c r="E1295">
        <v>0</v>
      </c>
      <c r="F1295">
        <v>0</v>
      </c>
      <c r="H1295">
        <v>0</v>
      </c>
      <c r="I1295">
        <v>1</v>
      </c>
      <c r="J1295">
        <v>0</v>
      </c>
      <c r="K1295">
        <v>0</v>
      </c>
      <c r="L1295">
        <v>0</v>
      </c>
      <c r="N1295" t="s">
        <v>88</v>
      </c>
      <c r="O1295" t="s">
        <v>142</v>
      </c>
      <c r="P1295">
        <v>0</v>
      </c>
      <c r="Q1295">
        <v>0</v>
      </c>
      <c r="R1295">
        <v>1</v>
      </c>
      <c r="S1295">
        <v>0</v>
      </c>
      <c r="T1295">
        <v>0</v>
      </c>
      <c r="U1295">
        <v>0</v>
      </c>
      <c r="V1295">
        <v>0</v>
      </c>
      <c r="W1295">
        <v>0</v>
      </c>
      <c r="X1295">
        <v>0</v>
      </c>
      <c r="Y1295">
        <v>0</v>
      </c>
      <c r="Z1295">
        <v>0</v>
      </c>
      <c r="AA1295">
        <v>0</v>
      </c>
      <c r="AM1295" t="s">
        <v>83</v>
      </c>
      <c r="AN1295" t="s">
        <v>81</v>
      </c>
      <c r="AO1295" t="s">
        <v>81</v>
      </c>
      <c r="AP1295" t="s">
        <v>81</v>
      </c>
      <c r="AQ1295" t="s">
        <v>82</v>
      </c>
      <c r="AR1295" t="s">
        <v>83</v>
      </c>
      <c r="AS1295" t="s">
        <v>83</v>
      </c>
      <c r="AT1295" t="s">
        <v>83</v>
      </c>
      <c r="AU1295" t="s">
        <v>88</v>
      </c>
      <c r="AV1295" t="s">
        <v>89</v>
      </c>
      <c r="AW1295" t="s">
        <v>85</v>
      </c>
      <c r="AX1295" t="s">
        <v>110</v>
      </c>
      <c r="AY1295" t="s">
        <v>515</v>
      </c>
      <c r="AZ1295" t="s">
        <v>107</v>
      </c>
      <c r="BA1295" t="s">
        <v>87</v>
      </c>
      <c r="BB1295" t="s">
        <v>87</v>
      </c>
      <c r="BC1295" t="s">
        <v>87</v>
      </c>
      <c r="BD1295" t="s">
        <v>87</v>
      </c>
      <c r="BE1295" t="s">
        <v>87</v>
      </c>
      <c r="BF1295" t="s">
        <v>75</v>
      </c>
      <c r="BG1295" t="s">
        <v>92</v>
      </c>
      <c r="BH1295" t="s">
        <v>77</v>
      </c>
      <c r="BI1295" t="s">
        <v>107</v>
      </c>
      <c r="BJ1295" t="s">
        <v>137</v>
      </c>
      <c r="BK1295">
        <v>0</v>
      </c>
      <c r="BL1295">
        <v>0</v>
      </c>
      <c r="BM1295">
        <v>0</v>
      </c>
      <c r="BN1295">
        <v>0</v>
      </c>
      <c r="BO1295">
        <v>0</v>
      </c>
      <c r="BP1295">
        <v>1</v>
      </c>
      <c r="BQ1295">
        <v>0</v>
      </c>
      <c r="BR1295">
        <v>0</v>
      </c>
    </row>
    <row r="1296" spans="1:70" x14ac:dyDescent="0.2">
      <c r="A1296" s="1">
        <v>44579.893750000003</v>
      </c>
      <c r="B1296" s="1">
        <v>44579.895138888889</v>
      </c>
      <c r="C1296">
        <v>1</v>
      </c>
      <c r="D1296">
        <v>0</v>
      </c>
      <c r="E1296">
        <v>0</v>
      </c>
      <c r="F1296">
        <v>0</v>
      </c>
      <c r="H1296">
        <v>0</v>
      </c>
      <c r="I1296">
        <v>0</v>
      </c>
      <c r="J1296">
        <v>0</v>
      </c>
      <c r="K1296">
        <v>0</v>
      </c>
      <c r="L1296">
        <v>1</v>
      </c>
      <c r="M1296" t="s">
        <v>543</v>
      </c>
      <c r="N1296" t="s">
        <v>135</v>
      </c>
      <c r="O1296" t="s">
        <v>223</v>
      </c>
      <c r="P1296">
        <v>1</v>
      </c>
      <c r="Q1296">
        <v>0</v>
      </c>
      <c r="R1296">
        <v>0</v>
      </c>
      <c r="S1296">
        <v>0</v>
      </c>
      <c r="T1296">
        <v>0</v>
      </c>
      <c r="U1296">
        <v>0</v>
      </c>
      <c r="V1296">
        <v>0</v>
      </c>
      <c r="W1296">
        <v>0</v>
      </c>
      <c r="X1296">
        <v>0</v>
      </c>
      <c r="Y1296">
        <v>0</v>
      </c>
      <c r="Z1296">
        <v>0</v>
      </c>
      <c r="AA1296">
        <v>0</v>
      </c>
      <c r="AC1296">
        <v>0</v>
      </c>
      <c r="AD1296">
        <v>0</v>
      </c>
      <c r="AE1296">
        <v>0</v>
      </c>
      <c r="AF1296">
        <v>0</v>
      </c>
      <c r="AG1296">
        <v>0</v>
      </c>
      <c r="AH1296">
        <v>0</v>
      </c>
      <c r="AI1296">
        <v>0</v>
      </c>
      <c r="AJ1296">
        <v>1</v>
      </c>
      <c r="AK1296">
        <v>0</v>
      </c>
      <c r="AX1296" t="s">
        <v>308</v>
      </c>
      <c r="AZ1296" t="s">
        <v>107</v>
      </c>
      <c r="BA1296" t="s">
        <v>74</v>
      </c>
      <c r="BF1296" t="s">
        <v>75</v>
      </c>
      <c r="BG1296" t="s">
        <v>92</v>
      </c>
      <c r="BH1296" t="s">
        <v>77</v>
      </c>
      <c r="BI1296" t="s">
        <v>107</v>
      </c>
      <c r="BJ1296" t="s">
        <v>114</v>
      </c>
      <c r="BK1296">
        <v>0</v>
      </c>
      <c r="BL1296">
        <v>0</v>
      </c>
      <c r="BM1296">
        <v>0</v>
      </c>
      <c r="BN1296">
        <v>0</v>
      </c>
      <c r="BO1296">
        <v>0</v>
      </c>
      <c r="BP1296">
        <v>1</v>
      </c>
      <c r="BQ1296">
        <v>0</v>
      </c>
      <c r="BR1296">
        <v>0</v>
      </c>
    </row>
    <row r="1297" spans="1:72" x14ac:dyDescent="0.2">
      <c r="A1297" s="1">
        <v>44579.909722222219</v>
      </c>
      <c r="B1297" s="1">
        <v>44579.911805555559</v>
      </c>
      <c r="C1297">
        <v>0</v>
      </c>
      <c r="D1297">
        <v>1</v>
      </c>
      <c r="E1297">
        <v>0</v>
      </c>
      <c r="F1297">
        <v>0</v>
      </c>
      <c r="H1297">
        <v>0</v>
      </c>
      <c r="I1297">
        <v>0</v>
      </c>
      <c r="J1297">
        <v>1</v>
      </c>
      <c r="K1297">
        <v>0</v>
      </c>
      <c r="L1297">
        <v>0</v>
      </c>
      <c r="N1297" t="s">
        <v>79</v>
      </c>
      <c r="O1297" t="s">
        <v>80</v>
      </c>
      <c r="P1297">
        <v>0</v>
      </c>
      <c r="Q1297">
        <v>0</v>
      </c>
      <c r="R1297">
        <v>0</v>
      </c>
      <c r="S1297">
        <v>0</v>
      </c>
      <c r="T1297">
        <v>1</v>
      </c>
      <c r="U1297">
        <v>0</v>
      </c>
      <c r="V1297">
        <v>0</v>
      </c>
      <c r="W1297">
        <v>0</v>
      </c>
      <c r="X1297">
        <v>0</v>
      </c>
      <c r="Y1297">
        <v>1</v>
      </c>
      <c r="Z1297">
        <v>0</v>
      </c>
      <c r="AA1297">
        <v>0</v>
      </c>
      <c r="AM1297" t="s">
        <v>83</v>
      </c>
      <c r="AN1297" t="s">
        <v>81</v>
      </c>
      <c r="AO1297" t="s">
        <v>82</v>
      </c>
      <c r="AP1297" t="s">
        <v>81</v>
      </c>
      <c r="AQ1297" t="s">
        <v>81</v>
      </c>
      <c r="AR1297" t="s">
        <v>83</v>
      </c>
      <c r="AS1297" t="s">
        <v>83</v>
      </c>
      <c r="AT1297" t="s">
        <v>83</v>
      </c>
      <c r="AU1297" t="s">
        <v>88</v>
      </c>
      <c r="AV1297" t="s">
        <v>89</v>
      </c>
      <c r="AW1297" t="s">
        <v>100</v>
      </c>
      <c r="AX1297" t="s">
        <v>146</v>
      </c>
      <c r="AZ1297" t="s">
        <v>120</v>
      </c>
      <c r="BA1297" t="s">
        <v>87</v>
      </c>
      <c r="BB1297" t="s">
        <v>87</v>
      </c>
      <c r="BC1297" t="s">
        <v>87</v>
      </c>
      <c r="BD1297" t="s">
        <v>87</v>
      </c>
      <c r="BE1297" t="s">
        <v>87</v>
      </c>
      <c r="BF1297" t="s">
        <v>75</v>
      </c>
      <c r="BG1297" t="s">
        <v>92</v>
      </c>
      <c r="BH1297" t="s">
        <v>77</v>
      </c>
      <c r="BI1297" t="s">
        <v>120</v>
      </c>
      <c r="BJ1297" t="s">
        <v>78</v>
      </c>
      <c r="BK1297">
        <v>0</v>
      </c>
      <c r="BL1297">
        <v>0</v>
      </c>
      <c r="BM1297">
        <v>0</v>
      </c>
      <c r="BN1297">
        <v>0</v>
      </c>
      <c r="BO1297">
        <v>0</v>
      </c>
      <c r="BP1297">
        <v>1</v>
      </c>
      <c r="BQ1297">
        <v>0</v>
      </c>
      <c r="BR1297">
        <v>0</v>
      </c>
    </row>
    <row r="1298" spans="1:72" x14ac:dyDescent="0.2">
      <c r="A1298" s="1">
        <v>44585.586805555555</v>
      </c>
      <c r="B1298" s="1">
        <v>44585.588888888888</v>
      </c>
      <c r="C1298">
        <v>1</v>
      </c>
      <c r="D1298">
        <v>0</v>
      </c>
      <c r="E1298">
        <v>0</v>
      </c>
      <c r="F1298">
        <v>0</v>
      </c>
      <c r="H1298">
        <v>0</v>
      </c>
      <c r="I1298">
        <v>1</v>
      </c>
      <c r="J1298">
        <v>0</v>
      </c>
      <c r="K1298">
        <v>1</v>
      </c>
      <c r="L1298">
        <v>1</v>
      </c>
      <c r="M1298" t="s">
        <v>544</v>
      </c>
      <c r="N1298" t="s">
        <v>88</v>
      </c>
      <c r="O1298" t="s">
        <v>89</v>
      </c>
      <c r="P1298">
        <v>0</v>
      </c>
      <c r="Q1298">
        <v>0</v>
      </c>
      <c r="R1298">
        <v>1</v>
      </c>
      <c r="S1298">
        <v>0</v>
      </c>
      <c r="T1298">
        <v>0</v>
      </c>
      <c r="U1298">
        <v>1</v>
      </c>
      <c r="V1298">
        <v>0</v>
      </c>
      <c r="W1298">
        <v>0</v>
      </c>
      <c r="X1298">
        <v>0</v>
      </c>
      <c r="Y1298">
        <v>0</v>
      </c>
      <c r="Z1298">
        <v>0</v>
      </c>
      <c r="AA1298">
        <v>0</v>
      </c>
      <c r="AM1298" t="s">
        <v>83</v>
      </c>
      <c r="AN1298" t="s">
        <v>82</v>
      </c>
      <c r="AO1298" t="s">
        <v>81</v>
      </c>
      <c r="AP1298" t="s">
        <v>83</v>
      </c>
      <c r="AQ1298" t="s">
        <v>81</v>
      </c>
      <c r="AR1298" t="s">
        <v>83</v>
      </c>
      <c r="AS1298" t="s">
        <v>81</v>
      </c>
      <c r="AT1298" t="s">
        <v>83</v>
      </c>
      <c r="AU1298" t="s">
        <v>88</v>
      </c>
      <c r="AV1298" t="s">
        <v>89</v>
      </c>
      <c r="AW1298" t="s">
        <v>100</v>
      </c>
      <c r="AX1298" t="s">
        <v>118</v>
      </c>
      <c r="AZ1298" t="s">
        <v>73</v>
      </c>
      <c r="BA1298" t="s">
        <v>87</v>
      </c>
      <c r="BB1298" t="s">
        <v>87</v>
      </c>
      <c r="BC1298" t="s">
        <v>87</v>
      </c>
      <c r="BD1298" t="s">
        <v>87</v>
      </c>
      <c r="BE1298" t="s">
        <v>87</v>
      </c>
      <c r="BF1298" t="s">
        <v>75</v>
      </c>
      <c r="BG1298" t="s">
        <v>92</v>
      </c>
      <c r="BH1298" t="s">
        <v>77</v>
      </c>
      <c r="BI1298" t="s">
        <v>73</v>
      </c>
      <c r="BJ1298" t="s">
        <v>176</v>
      </c>
      <c r="BK1298">
        <v>0</v>
      </c>
      <c r="BL1298">
        <v>0</v>
      </c>
      <c r="BM1298">
        <v>0</v>
      </c>
      <c r="BN1298">
        <v>0</v>
      </c>
      <c r="BO1298">
        <v>0</v>
      </c>
      <c r="BP1298">
        <v>1</v>
      </c>
      <c r="BQ1298">
        <v>0</v>
      </c>
      <c r="BR1298">
        <v>0</v>
      </c>
    </row>
    <row r="1299" spans="1:72" x14ac:dyDescent="0.2">
      <c r="A1299" s="1">
        <v>44579.938888888886</v>
      </c>
      <c r="B1299" s="1">
        <v>44579.942361111112</v>
      </c>
      <c r="C1299">
        <v>1</v>
      </c>
      <c r="D1299">
        <v>0</v>
      </c>
      <c r="E1299">
        <v>0</v>
      </c>
      <c r="F1299">
        <v>0</v>
      </c>
      <c r="H1299">
        <v>0</v>
      </c>
      <c r="I1299">
        <v>1</v>
      </c>
      <c r="J1299">
        <v>0</v>
      </c>
      <c r="K1299">
        <v>1</v>
      </c>
      <c r="L1299">
        <v>0</v>
      </c>
      <c r="N1299" t="s">
        <v>79</v>
      </c>
      <c r="O1299" t="s">
        <v>80</v>
      </c>
      <c r="P1299">
        <v>0</v>
      </c>
      <c r="Q1299">
        <v>0</v>
      </c>
      <c r="R1299">
        <v>1</v>
      </c>
      <c r="S1299">
        <v>0</v>
      </c>
      <c r="T1299">
        <v>0</v>
      </c>
      <c r="U1299">
        <v>0</v>
      </c>
      <c r="V1299">
        <v>0</v>
      </c>
      <c r="W1299">
        <v>0</v>
      </c>
      <c r="X1299">
        <v>0</v>
      </c>
      <c r="Y1299">
        <v>0</v>
      </c>
      <c r="Z1299">
        <v>0</v>
      </c>
      <c r="AA1299">
        <v>0</v>
      </c>
      <c r="AM1299" t="s">
        <v>81</v>
      </c>
      <c r="AN1299" t="s">
        <v>81</v>
      </c>
      <c r="AO1299" t="s">
        <v>81</v>
      </c>
      <c r="AP1299" t="s">
        <v>82</v>
      </c>
      <c r="AQ1299" t="s">
        <v>82</v>
      </c>
      <c r="AR1299" t="s">
        <v>82</v>
      </c>
      <c r="AS1299" t="s">
        <v>82</v>
      </c>
      <c r="AT1299" t="s">
        <v>83</v>
      </c>
      <c r="AU1299" t="s">
        <v>88</v>
      </c>
      <c r="AV1299" t="s">
        <v>89</v>
      </c>
      <c r="AW1299" t="s">
        <v>100</v>
      </c>
      <c r="AX1299" t="s">
        <v>72</v>
      </c>
      <c r="AZ1299" t="s">
        <v>73</v>
      </c>
      <c r="BA1299" t="s">
        <v>86</v>
      </c>
      <c r="BB1299" t="s">
        <v>86</v>
      </c>
      <c r="BC1299" t="s">
        <v>87</v>
      </c>
      <c r="BD1299" t="s">
        <v>87</v>
      </c>
      <c r="BE1299" t="s">
        <v>74</v>
      </c>
      <c r="BF1299" t="s">
        <v>75</v>
      </c>
      <c r="BG1299" t="s">
        <v>92</v>
      </c>
      <c r="BH1299" t="s">
        <v>77</v>
      </c>
      <c r="BI1299" t="s">
        <v>73</v>
      </c>
      <c r="BJ1299" t="s">
        <v>114</v>
      </c>
      <c r="BK1299">
        <v>0</v>
      </c>
      <c r="BL1299">
        <v>0</v>
      </c>
      <c r="BM1299">
        <v>0</v>
      </c>
      <c r="BN1299">
        <v>0</v>
      </c>
      <c r="BO1299">
        <v>0</v>
      </c>
      <c r="BP1299">
        <v>1</v>
      </c>
      <c r="BQ1299">
        <v>0</v>
      </c>
      <c r="BR1299">
        <v>0</v>
      </c>
    </row>
    <row r="1300" spans="1:72" x14ac:dyDescent="0.2">
      <c r="A1300" s="1">
        <v>44580.097222222219</v>
      </c>
      <c r="B1300" s="1">
        <v>44580.103472222225</v>
      </c>
      <c r="C1300">
        <v>1</v>
      </c>
      <c r="D1300">
        <v>0</v>
      </c>
      <c r="E1300">
        <v>0</v>
      </c>
      <c r="F1300">
        <v>0</v>
      </c>
      <c r="H1300">
        <v>0</v>
      </c>
      <c r="I1300">
        <v>1</v>
      </c>
      <c r="J1300">
        <v>0</v>
      </c>
      <c r="K1300">
        <v>0</v>
      </c>
      <c r="L1300">
        <v>0</v>
      </c>
      <c r="N1300" t="s">
        <v>88</v>
      </c>
      <c r="O1300" t="s">
        <v>142</v>
      </c>
      <c r="P1300">
        <v>0</v>
      </c>
      <c r="Q1300">
        <v>1</v>
      </c>
      <c r="R1300">
        <v>0</v>
      </c>
      <c r="S1300">
        <v>0</v>
      </c>
      <c r="T1300">
        <v>0</v>
      </c>
      <c r="U1300">
        <v>0</v>
      </c>
      <c r="V1300">
        <v>0</v>
      </c>
      <c r="W1300">
        <v>0</v>
      </c>
      <c r="X1300">
        <v>0</v>
      </c>
      <c r="Y1300">
        <v>0</v>
      </c>
      <c r="Z1300">
        <v>0</v>
      </c>
      <c r="AA1300">
        <v>0</v>
      </c>
      <c r="AM1300" t="s">
        <v>83</v>
      </c>
      <c r="AN1300" t="s">
        <v>82</v>
      </c>
      <c r="AO1300" t="s">
        <v>81</v>
      </c>
      <c r="AP1300" t="s">
        <v>90</v>
      </c>
      <c r="AQ1300" t="s">
        <v>83</v>
      </c>
      <c r="AR1300" t="s">
        <v>83</v>
      </c>
      <c r="AS1300" t="s">
        <v>90</v>
      </c>
      <c r="AT1300" t="s">
        <v>83</v>
      </c>
      <c r="AU1300" t="s">
        <v>88</v>
      </c>
      <c r="AV1300" t="s">
        <v>89</v>
      </c>
      <c r="AW1300" t="s">
        <v>100</v>
      </c>
      <c r="AX1300" t="s">
        <v>256</v>
      </c>
      <c r="AZ1300" t="s">
        <v>107</v>
      </c>
      <c r="BA1300" t="s">
        <v>86</v>
      </c>
      <c r="BB1300" t="s">
        <v>86</v>
      </c>
      <c r="BC1300" t="s">
        <v>86</v>
      </c>
      <c r="BD1300" t="s">
        <v>86</v>
      </c>
      <c r="BE1300" t="s">
        <v>86</v>
      </c>
      <c r="BF1300" t="s">
        <v>75</v>
      </c>
      <c r="BG1300" t="s">
        <v>92</v>
      </c>
      <c r="BH1300" t="s">
        <v>77</v>
      </c>
      <c r="BI1300" t="s">
        <v>107</v>
      </c>
      <c r="BJ1300" t="s">
        <v>109</v>
      </c>
      <c r="BK1300">
        <v>0</v>
      </c>
      <c r="BL1300">
        <v>0</v>
      </c>
      <c r="BM1300">
        <v>0</v>
      </c>
      <c r="BN1300">
        <v>0</v>
      </c>
      <c r="BO1300">
        <v>0</v>
      </c>
      <c r="BP1300">
        <v>1</v>
      </c>
      <c r="BQ1300">
        <v>0</v>
      </c>
      <c r="BR1300">
        <v>0</v>
      </c>
    </row>
    <row r="1301" spans="1:72" x14ac:dyDescent="0.2">
      <c r="A1301" s="1">
        <v>44591.98333333333</v>
      </c>
      <c r="B1301" s="1">
        <v>44591.98541666667</v>
      </c>
      <c r="C1301">
        <v>1</v>
      </c>
      <c r="D1301">
        <v>0</v>
      </c>
      <c r="E1301">
        <v>0</v>
      </c>
      <c r="F1301">
        <v>0</v>
      </c>
      <c r="H1301">
        <v>0</v>
      </c>
      <c r="I1301">
        <v>1</v>
      </c>
      <c r="J1301">
        <v>1</v>
      </c>
      <c r="K1301">
        <v>0</v>
      </c>
      <c r="L1301">
        <v>0</v>
      </c>
      <c r="N1301" t="s">
        <v>88</v>
      </c>
      <c r="O1301" t="s">
        <v>89</v>
      </c>
      <c r="P1301">
        <v>0</v>
      </c>
      <c r="Q1301">
        <v>0</v>
      </c>
      <c r="R1301">
        <v>1</v>
      </c>
      <c r="S1301">
        <v>0</v>
      </c>
      <c r="T1301">
        <v>0</v>
      </c>
      <c r="U1301">
        <v>0</v>
      </c>
      <c r="V1301">
        <v>0</v>
      </c>
      <c r="W1301">
        <v>0</v>
      </c>
      <c r="X1301">
        <v>0</v>
      </c>
      <c r="Y1301">
        <v>0</v>
      </c>
      <c r="Z1301">
        <v>0</v>
      </c>
      <c r="AA1301">
        <v>0</v>
      </c>
      <c r="AM1301" t="s">
        <v>83</v>
      </c>
      <c r="AN1301" t="s">
        <v>82</v>
      </c>
      <c r="AO1301" t="s">
        <v>83</v>
      </c>
      <c r="AP1301" t="s">
        <v>81</v>
      </c>
      <c r="AQ1301" t="s">
        <v>81</v>
      </c>
      <c r="AR1301" t="s">
        <v>83</v>
      </c>
      <c r="AS1301" t="s">
        <v>83</v>
      </c>
      <c r="AT1301" t="s">
        <v>83</v>
      </c>
      <c r="AU1301" t="s">
        <v>88</v>
      </c>
      <c r="AV1301" t="s">
        <v>89</v>
      </c>
      <c r="AW1301" t="s">
        <v>85</v>
      </c>
      <c r="AX1301" t="s">
        <v>122</v>
      </c>
      <c r="AZ1301" t="s">
        <v>73</v>
      </c>
      <c r="BA1301" t="s">
        <v>87</v>
      </c>
      <c r="BB1301" t="s">
        <v>87</v>
      </c>
      <c r="BC1301" t="s">
        <v>87</v>
      </c>
      <c r="BD1301" t="s">
        <v>87</v>
      </c>
      <c r="BE1301" t="s">
        <v>86</v>
      </c>
      <c r="BF1301" t="s">
        <v>108</v>
      </c>
      <c r="BG1301" t="s">
        <v>76</v>
      </c>
      <c r="BH1301" t="s">
        <v>93</v>
      </c>
      <c r="BI1301" t="s">
        <v>73</v>
      </c>
      <c r="BJ1301" t="s">
        <v>114</v>
      </c>
      <c r="BK1301">
        <v>0</v>
      </c>
      <c r="BL1301">
        <v>0</v>
      </c>
      <c r="BM1301">
        <v>0</v>
      </c>
      <c r="BN1301">
        <v>0</v>
      </c>
      <c r="BO1301">
        <v>0</v>
      </c>
      <c r="BP1301">
        <v>1</v>
      </c>
      <c r="BQ1301">
        <v>0</v>
      </c>
      <c r="BR1301">
        <v>0</v>
      </c>
    </row>
    <row r="1302" spans="1:72" x14ac:dyDescent="0.2">
      <c r="A1302" s="1">
        <v>44579.881944444445</v>
      </c>
      <c r="B1302" s="1">
        <v>44579.884722222225</v>
      </c>
      <c r="C1302">
        <v>0</v>
      </c>
      <c r="D1302">
        <v>1</v>
      </c>
      <c r="E1302">
        <v>0</v>
      </c>
      <c r="F1302">
        <v>0</v>
      </c>
      <c r="H1302">
        <v>1</v>
      </c>
      <c r="I1302">
        <v>0</v>
      </c>
      <c r="J1302">
        <v>0</v>
      </c>
      <c r="K1302">
        <v>0</v>
      </c>
      <c r="L1302">
        <v>0</v>
      </c>
      <c r="P1302">
        <v>1</v>
      </c>
      <c r="Q1302">
        <v>0</v>
      </c>
      <c r="R1302">
        <v>0</v>
      </c>
      <c r="S1302">
        <v>0</v>
      </c>
      <c r="T1302">
        <v>0</v>
      </c>
      <c r="U1302">
        <v>0</v>
      </c>
      <c r="V1302">
        <v>0</v>
      </c>
      <c r="W1302">
        <v>0</v>
      </c>
      <c r="X1302">
        <v>0</v>
      </c>
      <c r="Y1302">
        <v>0</v>
      </c>
      <c r="Z1302">
        <v>0</v>
      </c>
      <c r="AA1302">
        <v>0</v>
      </c>
      <c r="AC1302">
        <v>0</v>
      </c>
      <c r="AD1302">
        <v>0</v>
      </c>
      <c r="AE1302">
        <v>1</v>
      </c>
      <c r="AF1302">
        <v>0</v>
      </c>
      <c r="AG1302">
        <v>0</v>
      </c>
      <c r="AH1302">
        <v>0</v>
      </c>
      <c r="AI1302">
        <v>0</v>
      </c>
      <c r="AJ1302">
        <v>0</v>
      </c>
      <c r="AK1302">
        <v>0</v>
      </c>
      <c r="AX1302" t="s">
        <v>242</v>
      </c>
      <c r="AZ1302" t="s">
        <v>107</v>
      </c>
      <c r="BA1302" t="s">
        <v>86</v>
      </c>
      <c r="BB1302" t="s">
        <v>86</v>
      </c>
      <c r="BC1302" t="s">
        <v>74</v>
      </c>
      <c r="BD1302" t="s">
        <v>86</v>
      </c>
      <c r="BE1302" t="s">
        <v>74</v>
      </c>
      <c r="BF1302" t="s">
        <v>75</v>
      </c>
      <c r="BG1302" t="s">
        <v>92</v>
      </c>
      <c r="BH1302" t="s">
        <v>77</v>
      </c>
      <c r="BI1302" t="s">
        <v>107</v>
      </c>
      <c r="BJ1302" t="s">
        <v>147</v>
      </c>
      <c r="BK1302">
        <v>0</v>
      </c>
      <c r="BL1302">
        <v>0</v>
      </c>
      <c r="BM1302">
        <v>0</v>
      </c>
      <c r="BN1302">
        <v>0</v>
      </c>
      <c r="BO1302">
        <v>0</v>
      </c>
      <c r="BP1302">
        <v>1</v>
      </c>
      <c r="BQ1302">
        <v>0</v>
      </c>
      <c r="BR1302">
        <v>0</v>
      </c>
    </row>
    <row r="1303" spans="1:72" x14ac:dyDescent="0.2">
      <c r="A1303" s="1">
        <v>44580.123611111114</v>
      </c>
      <c r="B1303" s="1">
        <v>44580.125694444447</v>
      </c>
      <c r="C1303">
        <v>0</v>
      </c>
      <c r="D1303">
        <v>1</v>
      </c>
      <c r="E1303">
        <v>0</v>
      </c>
      <c r="F1303">
        <v>0</v>
      </c>
      <c r="H1303">
        <v>0</v>
      </c>
      <c r="I1303">
        <v>1</v>
      </c>
      <c r="J1303">
        <v>1</v>
      </c>
      <c r="K1303">
        <v>1</v>
      </c>
      <c r="L1303">
        <v>0</v>
      </c>
      <c r="N1303" t="s">
        <v>127</v>
      </c>
      <c r="O1303" t="s">
        <v>127</v>
      </c>
      <c r="P1303">
        <v>0</v>
      </c>
      <c r="Q1303">
        <v>0</v>
      </c>
      <c r="R1303">
        <v>0</v>
      </c>
      <c r="S1303">
        <v>1</v>
      </c>
      <c r="T1303">
        <v>0</v>
      </c>
      <c r="U1303">
        <v>0</v>
      </c>
      <c r="V1303">
        <v>0</v>
      </c>
      <c r="W1303">
        <v>0</v>
      </c>
      <c r="X1303">
        <v>0</v>
      </c>
      <c r="Y1303">
        <v>0</v>
      </c>
      <c r="Z1303">
        <v>0</v>
      </c>
      <c r="AA1303">
        <v>0</v>
      </c>
      <c r="AM1303" t="s">
        <v>83</v>
      </c>
      <c r="AN1303" t="s">
        <v>82</v>
      </c>
      <c r="AO1303" t="s">
        <v>82</v>
      </c>
      <c r="AP1303" t="s">
        <v>82</v>
      </c>
      <c r="AQ1303" t="s">
        <v>83</v>
      </c>
      <c r="AR1303" t="s">
        <v>83</v>
      </c>
      <c r="AS1303" t="s">
        <v>81</v>
      </c>
      <c r="AT1303" t="s">
        <v>83</v>
      </c>
      <c r="AU1303" t="s">
        <v>88</v>
      </c>
      <c r="AV1303" t="s">
        <v>89</v>
      </c>
      <c r="AW1303" t="s">
        <v>100</v>
      </c>
      <c r="AX1303" t="s">
        <v>199</v>
      </c>
      <c r="AZ1303" t="s">
        <v>96</v>
      </c>
      <c r="BA1303" t="s">
        <v>87</v>
      </c>
      <c r="BB1303" t="s">
        <v>87</v>
      </c>
      <c r="BC1303" t="s">
        <v>87</v>
      </c>
      <c r="BD1303" t="s">
        <v>87</v>
      </c>
      <c r="BE1303" t="s">
        <v>87</v>
      </c>
      <c r="BF1303" t="s">
        <v>75</v>
      </c>
      <c r="BG1303" t="s">
        <v>92</v>
      </c>
      <c r="BH1303" t="s">
        <v>77</v>
      </c>
      <c r="BI1303" t="s">
        <v>96</v>
      </c>
      <c r="BJ1303" t="s">
        <v>114</v>
      </c>
      <c r="BK1303">
        <v>0</v>
      </c>
      <c r="BL1303">
        <v>0</v>
      </c>
      <c r="BM1303">
        <v>0</v>
      </c>
      <c r="BN1303">
        <v>0</v>
      </c>
      <c r="BO1303">
        <v>0</v>
      </c>
      <c r="BP1303">
        <v>1</v>
      </c>
      <c r="BQ1303">
        <v>0</v>
      </c>
      <c r="BR1303">
        <v>0</v>
      </c>
    </row>
    <row r="1304" spans="1:72" x14ac:dyDescent="0.2">
      <c r="A1304" s="1">
        <v>44579.927083333336</v>
      </c>
      <c r="B1304" s="1">
        <v>44579.929166666669</v>
      </c>
      <c r="C1304">
        <v>1</v>
      </c>
      <c r="D1304">
        <v>1</v>
      </c>
      <c r="E1304">
        <v>1</v>
      </c>
      <c r="F1304">
        <v>0</v>
      </c>
      <c r="G1304" t="s">
        <v>545</v>
      </c>
      <c r="H1304">
        <v>0</v>
      </c>
      <c r="I1304">
        <v>0</v>
      </c>
      <c r="J1304">
        <v>0</v>
      </c>
      <c r="K1304">
        <v>1</v>
      </c>
      <c r="L1304">
        <v>1</v>
      </c>
      <c r="M1304" t="s">
        <v>546</v>
      </c>
      <c r="N1304" t="s">
        <v>88</v>
      </c>
      <c r="O1304" t="s">
        <v>89</v>
      </c>
      <c r="P1304">
        <v>0</v>
      </c>
      <c r="Q1304">
        <v>0</v>
      </c>
      <c r="R1304">
        <v>0</v>
      </c>
      <c r="S1304">
        <v>0</v>
      </c>
      <c r="T1304">
        <v>0</v>
      </c>
      <c r="U1304">
        <v>0</v>
      </c>
      <c r="V1304">
        <v>0</v>
      </c>
      <c r="W1304">
        <v>0</v>
      </c>
      <c r="X1304">
        <v>0</v>
      </c>
      <c r="Y1304">
        <v>0</v>
      </c>
      <c r="Z1304">
        <v>0</v>
      </c>
      <c r="AA1304">
        <v>1</v>
      </c>
      <c r="AB1304" t="s">
        <v>371</v>
      </c>
      <c r="AM1304" t="s">
        <v>81</v>
      </c>
      <c r="AN1304" t="s">
        <v>83</v>
      </c>
      <c r="AO1304" t="s">
        <v>81</v>
      </c>
      <c r="AP1304" t="s">
        <v>83</v>
      </c>
      <c r="AQ1304" t="s">
        <v>81</v>
      </c>
      <c r="AR1304" t="s">
        <v>81</v>
      </c>
      <c r="AS1304" t="s">
        <v>82</v>
      </c>
      <c r="AT1304" t="s">
        <v>83</v>
      </c>
      <c r="AU1304" t="s">
        <v>88</v>
      </c>
      <c r="AV1304" t="s">
        <v>89</v>
      </c>
      <c r="AW1304" t="s">
        <v>100</v>
      </c>
      <c r="AX1304" t="s">
        <v>191</v>
      </c>
      <c r="AZ1304" t="s">
        <v>96</v>
      </c>
      <c r="BA1304" t="s">
        <v>87</v>
      </c>
      <c r="BB1304" t="s">
        <v>86</v>
      </c>
      <c r="BC1304" t="s">
        <v>74</v>
      </c>
      <c r="BD1304" t="s">
        <v>87</v>
      </c>
      <c r="BE1304" t="s">
        <v>74</v>
      </c>
      <c r="BF1304" t="s">
        <v>108</v>
      </c>
      <c r="BG1304" t="s">
        <v>76</v>
      </c>
      <c r="BH1304" t="s">
        <v>77</v>
      </c>
      <c r="BI1304" t="s">
        <v>96</v>
      </c>
      <c r="BK1304">
        <v>0</v>
      </c>
      <c r="BL1304">
        <v>0</v>
      </c>
      <c r="BM1304">
        <v>0</v>
      </c>
      <c r="BN1304">
        <v>0</v>
      </c>
      <c r="BO1304">
        <v>0</v>
      </c>
      <c r="BP1304">
        <v>0</v>
      </c>
      <c r="BQ1304">
        <v>0</v>
      </c>
      <c r="BR1304">
        <v>1</v>
      </c>
    </row>
    <row r="1305" spans="1:72" x14ac:dyDescent="0.2">
      <c r="A1305" s="1">
        <v>44579.936111111114</v>
      </c>
      <c r="B1305" s="1">
        <v>44579.938194444447</v>
      </c>
      <c r="C1305">
        <v>0</v>
      </c>
      <c r="D1305">
        <v>1</v>
      </c>
      <c r="E1305">
        <v>0</v>
      </c>
      <c r="F1305">
        <v>0</v>
      </c>
      <c r="H1305">
        <v>0</v>
      </c>
      <c r="I1305">
        <v>1</v>
      </c>
      <c r="J1305">
        <v>1</v>
      </c>
      <c r="K1305">
        <v>1</v>
      </c>
      <c r="L1305">
        <v>0</v>
      </c>
      <c r="N1305" t="s">
        <v>88</v>
      </c>
      <c r="O1305" t="s">
        <v>89</v>
      </c>
      <c r="P1305">
        <v>0</v>
      </c>
      <c r="Q1305">
        <v>0</v>
      </c>
      <c r="R1305">
        <v>0</v>
      </c>
      <c r="S1305">
        <v>0</v>
      </c>
      <c r="T1305">
        <v>1</v>
      </c>
      <c r="U1305">
        <v>0</v>
      </c>
      <c r="V1305">
        <v>0</v>
      </c>
      <c r="W1305">
        <v>0</v>
      </c>
      <c r="X1305">
        <v>0</v>
      </c>
      <c r="Y1305">
        <v>0</v>
      </c>
      <c r="Z1305">
        <v>0</v>
      </c>
      <c r="AA1305">
        <v>0</v>
      </c>
      <c r="AM1305" t="s">
        <v>83</v>
      </c>
      <c r="AN1305" t="s">
        <v>82</v>
      </c>
      <c r="AO1305" t="s">
        <v>82</v>
      </c>
      <c r="AP1305" t="s">
        <v>82</v>
      </c>
      <c r="AQ1305" t="s">
        <v>83</v>
      </c>
      <c r="AR1305" t="s">
        <v>83</v>
      </c>
      <c r="AS1305" t="s">
        <v>90</v>
      </c>
      <c r="AT1305" t="s">
        <v>83</v>
      </c>
      <c r="AU1305" t="s">
        <v>88</v>
      </c>
      <c r="AV1305" t="s">
        <v>89</v>
      </c>
      <c r="AW1305" t="s">
        <v>100</v>
      </c>
      <c r="AX1305" t="s">
        <v>122</v>
      </c>
      <c r="AZ1305" t="s">
        <v>107</v>
      </c>
      <c r="BA1305" t="s">
        <v>87</v>
      </c>
      <c r="BB1305" t="s">
        <v>86</v>
      </c>
      <c r="BC1305" t="s">
        <v>86</v>
      </c>
      <c r="BD1305" t="s">
        <v>86</v>
      </c>
      <c r="BE1305" t="s">
        <v>86</v>
      </c>
      <c r="BF1305" t="s">
        <v>75</v>
      </c>
      <c r="BG1305" t="s">
        <v>76</v>
      </c>
      <c r="BH1305" t="s">
        <v>77</v>
      </c>
      <c r="BI1305" t="s">
        <v>107</v>
      </c>
      <c r="BJ1305" t="s">
        <v>114</v>
      </c>
      <c r="BK1305">
        <v>0</v>
      </c>
      <c r="BL1305">
        <v>0</v>
      </c>
      <c r="BM1305">
        <v>0</v>
      </c>
      <c r="BN1305">
        <v>0</v>
      </c>
      <c r="BO1305">
        <v>0</v>
      </c>
      <c r="BP1305">
        <v>0</v>
      </c>
      <c r="BQ1305">
        <v>0</v>
      </c>
      <c r="BR1305">
        <v>1</v>
      </c>
    </row>
    <row r="1306" spans="1:72" x14ac:dyDescent="0.2">
      <c r="A1306" s="1">
        <v>44580.672222222223</v>
      </c>
      <c r="B1306" s="1">
        <v>44580.674305555556</v>
      </c>
      <c r="C1306">
        <v>1</v>
      </c>
      <c r="D1306">
        <v>0</v>
      </c>
      <c r="E1306">
        <v>0</v>
      </c>
      <c r="F1306">
        <v>0</v>
      </c>
      <c r="H1306">
        <v>0</v>
      </c>
      <c r="I1306">
        <v>1</v>
      </c>
      <c r="J1306">
        <v>0</v>
      </c>
      <c r="K1306">
        <v>0</v>
      </c>
      <c r="L1306">
        <v>0</v>
      </c>
      <c r="N1306" t="s">
        <v>88</v>
      </c>
      <c r="O1306" t="s">
        <v>89</v>
      </c>
      <c r="P1306">
        <v>1</v>
      </c>
      <c r="Q1306">
        <v>0</v>
      </c>
      <c r="R1306">
        <v>0</v>
      </c>
      <c r="S1306">
        <v>0</v>
      </c>
      <c r="T1306">
        <v>0</v>
      </c>
      <c r="U1306">
        <v>0</v>
      </c>
      <c r="V1306">
        <v>0</v>
      </c>
      <c r="W1306">
        <v>0</v>
      </c>
      <c r="X1306">
        <v>0</v>
      </c>
      <c r="Y1306">
        <v>0</v>
      </c>
      <c r="Z1306">
        <v>0</v>
      </c>
      <c r="AA1306">
        <v>0</v>
      </c>
      <c r="AC1306">
        <v>0</v>
      </c>
      <c r="AD1306">
        <v>1</v>
      </c>
      <c r="AE1306">
        <v>0</v>
      </c>
      <c r="AF1306">
        <v>0</v>
      </c>
      <c r="AG1306">
        <v>0</v>
      </c>
      <c r="AH1306">
        <v>0</v>
      </c>
      <c r="AI1306">
        <v>0</v>
      </c>
      <c r="AJ1306">
        <v>0</v>
      </c>
      <c r="AK1306">
        <v>0</v>
      </c>
      <c r="AX1306" t="s">
        <v>128</v>
      </c>
      <c r="AZ1306" t="s">
        <v>73</v>
      </c>
      <c r="BA1306" t="s">
        <v>87</v>
      </c>
      <c r="BB1306" t="s">
        <v>87</v>
      </c>
      <c r="BC1306" t="s">
        <v>87</v>
      </c>
      <c r="BD1306" t="s">
        <v>87</v>
      </c>
      <c r="BE1306" t="s">
        <v>74</v>
      </c>
      <c r="BF1306" t="s">
        <v>75</v>
      </c>
      <c r="BG1306" t="s">
        <v>92</v>
      </c>
      <c r="BH1306" t="s">
        <v>77</v>
      </c>
      <c r="BI1306" t="s">
        <v>73</v>
      </c>
      <c r="BJ1306" t="s">
        <v>109</v>
      </c>
      <c r="BK1306">
        <v>0</v>
      </c>
      <c r="BL1306">
        <v>0</v>
      </c>
      <c r="BM1306">
        <v>0</v>
      </c>
      <c r="BN1306">
        <v>0</v>
      </c>
      <c r="BO1306">
        <v>0</v>
      </c>
      <c r="BP1306">
        <v>1</v>
      </c>
      <c r="BQ1306">
        <v>0</v>
      </c>
      <c r="BR1306">
        <v>0</v>
      </c>
    </row>
    <row r="1307" spans="1:72" x14ac:dyDescent="0.2">
      <c r="A1307" s="1">
        <v>44585.515277777777</v>
      </c>
      <c r="B1307" s="1">
        <v>44585.515972222223</v>
      </c>
      <c r="C1307">
        <v>0</v>
      </c>
      <c r="D1307">
        <v>1</v>
      </c>
      <c r="E1307">
        <v>0</v>
      </c>
      <c r="F1307">
        <v>0</v>
      </c>
      <c r="H1307">
        <v>1</v>
      </c>
      <c r="I1307">
        <v>0</v>
      </c>
      <c r="J1307">
        <v>0</v>
      </c>
      <c r="K1307">
        <v>0</v>
      </c>
      <c r="L1307">
        <v>0</v>
      </c>
      <c r="P1307">
        <v>0</v>
      </c>
      <c r="Q1307">
        <v>1</v>
      </c>
      <c r="R1307">
        <v>0</v>
      </c>
      <c r="S1307">
        <v>0</v>
      </c>
      <c r="T1307">
        <v>0</v>
      </c>
      <c r="U1307">
        <v>0</v>
      </c>
      <c r="V1307">
        <v>0</v>
      </c>
      <c r="W1307">
        <v>1</v>
      </c>
      <c r="X1307">
        <v>0</v>
      </c>
      <c r="Y1307">
        <v>0</v>
      </c>
      <c r="Z1307">
        <v>0</v>
      </c>
      <c r="AA1307">
        <v>0</v>
      </c>
      <c r="AM1307" t="s">
        <v>83</v>
      </c>
      <c r="AN1307" t="s">
        <v>83</v>
      </c>
      <c r="AO1307" t="s">
        <v>83</v>
      </c>
      <c r="AP1307" t="s">
        <v>83</v>
      </c>
      <c r="AQ1307" t="s">
        <v>83</v>
      </c>
      <c r="AR1307" t="s">
        <v>83</v>
      </c>
      <c r="AS1307" t="s">
        <v>83</v>
      </c>
      <c r="AT1307" t="s">
        <v>83</v>
      </c>
      <c r="AU1307" t="s">
        <v>127</v>
      </c>
      <c r="AV1307" t="s">
        <v>127</v>
      </c>
      <c r="AX1307" t="s">
        <v>122</v>
      </c>
      <c r="AZ1307" t="s">
        <v>73</v>
      </c>
      <c r="BA1307" t="s">
        <v>74</v>
      </c>
      <c r="BF1307" t="s">
        <v>75</v>
      </c>
      <c r="BG1307" t="s">
        <v>92</v>
      </c>
      <c r="BH1307" t="s">
        <v>77</v>
      </c>
      <c r="BI1307" t="s">
        <v>73</v>
      </c>
      <c r="BJ1307" t="s">
        <v>78</v>
      </c>
      <c r="BK1307">
        <v>0</v>
      </c>
      <c r="BL1307">
        <v>0</v>
      </c>
      <c r="BM1307">
        <v>0</v>
      </c>
      <c r="BN1307">
        <v>0</v>
      </c>
      <c r="BO1307">
        <v>0</v>
      </c>
      <c r="BP1307">
        <v>1</v>
      </c>
      <c r="BQ1307">
        <v>0</v>
      </c>
      <c r="BR1307">
        <v>0</v>
      </c>
    </row>
    <row r="1308" spans="1:72" x14ac:dyDescent="0.2">
      <c r="A1308" s="1">
        <v>44579.917361111111</v>
      </c>
      <c r="B1308" s="1">
        <v>44579.918749999997</v>
      </c>
      <c r="C1308">
        <v>1</v>
      </c>
      <c r="D1308">
        <v>0</v>
      </c>
      <c r="E1308">
        <v>0</v>
      </c>
      <c r="F1308">
        <v>0</v>
      </c>
      <c r="H1308">
        <v>0</v>
      </c>
      <c r="I1308">
        <v>1</v>
      </c>
      <c r="J1308">
        <v>0</v>
      </c>
      <c r="K1308">
        <v>0</v>
      </c>
      <c r="L1308">
        <v>0</v>
      </c>
      <c r="N1308" t="s">
        <v>88</v>
      </c>
      <c r="O1308" t="s">
        <v>89</v>
      </c>
      <c r="P1308">
        <v>0</v>
      </c>
      <c r="Q1308">
        <v>0</v>
      </c>
      <c r="R1308">
        <v>1</v>
      </c>
      <c r="S1308">
        <v>0</v>
      </c>
      <c r="T1308">
        <v>0</v>
      </c>
      <c r="U1308">
        <v>0</v>
      </c>
      <c r="V1308">
        <v>0</v>
      </c>
      <c r="W1308">
        <v>0</v>
      </c>
      <c r="X1308">
        <v>0</v>
      </c>
      <c r="Y1308">
        <v>0</v>
      </c>
      <c r="Z1308">
        <v>0</v>
      </c>
      <c r="AA1308">
        <v>0</v>
      </c>
      <c r="AM1308" t="s">
        <v>83</v>
      </c>
      <c r="AN1308" t="s">
        <v>82</v>
      </c>
      <c r="AO1308" t="s">
        <v>83</v>
      </c>
      <c r="AP1308" t="s">
        <v>81</v>
      </c>
      <c r="AQ1308" t="s">
        <v>82</v>
      </c>
      <c r="AR1308" t="s">
        <v>83</v>
      </c>
      <c r="AS1308" t="s">
        <v>81</v>
      </c>
      <c r="AT1308" t="s">
        <v>81</v>
      </c>
      <c r="AU1308" t="s">
        <v>88</v>
      </c>
      <c r="AV1308" t="s">
        <v>89</v>
      </c>
      <c r="AW1308" t="s">
        <v>85</v>
      </c>
      <c r="AX1308" t="s">
        <v>242</v>
      </c>
      <c r="AZ1308" t="s">
        <v>73</v>
      </c>
      <c r="BA1308" t="s">
        <v>87</v>
      </c>
      <c r="BB1308" t="s">
        <v>87</v>
      </c>
      <c r="BC1308" t="s">
        <v>87</v>
      </c>
      <c r="BD1308" t="s">
        <v>74</v>
      </c>
      <c r="BE1308" t="s">
        <v>86</v>
      </c>
      <c r="BF1308" t="s">
        <v>75</v>
      </c>
      <c r="BG1308" t="s">
        <v>92</v>
      </c>
      <c r="BH1308" t="s">
        <v>77</v>
      </c>
      <c r="BI1308" t="s">
        <v>73</v>
      </c>
      <c r="BJ1308" t="s">
        <v>94</v>
      </c>
      <c r="BK1308">
        <v>0</v>
      </c>
      <c r="BL1308">
        <v>0</v>
      </c>
      <c r="BM1308">
        <v>0</v>
      </c>
      <c r="BN1308">
        <v>0</v>
      </c>
      <c r="BO1308">
        <v>0</v>
      </c>
      <c r="BP1308">
        <v>1</v>
      </c>
      <c r="BQ1308">
        <v>0</v>
      </c>
      <c r="BR1308">
        <v>0</v>
      </c>
    </row>
    <row r="1309" spans="1:72" x14ac:dyDescent="0.2">
      <c r="A1309" s="1">
        <v>44579.87777777778</v>
      </c>
      <c r="B1309" s="1">
        <v>44579.879166666666</v>
      </c>
      <c r="C1309">
        <v>1</v>
      </c>
      <c r="D1309">
        <v>0</v>
      </c>
      <c r="E1309">
        <v>0</v>
      </c>
      <c r="F1309">
        <v>0</v>
      </c>
      <c r="H1309">
        <v>0</v>
      </c>
      <c r="I1309">
        <v>1</v>
      </c>
      <c r="J1309">
        <v>0</v>
      </c>
      <c r="K1309">
        <v>0</v>
      </c>
      <c r="L1309">
        <v>0</v>
      </c>
      <c r="N1309" t="s">
        <v>79</v>
      </c>
      <c r="O1309" t="s">
        <v>80</v>
      </c>
      <c r="P1309">
        <v>1</v>
      </c>
      <c r="Q1309">
        <v>0</v>
      </c>
      <c r="R1309">
        <v>0</v>
      </c>
      <c r="S1309">
        <v>0</v>
      </c>
      <c r="T1309">
        <v>0</v>
      </c>
      <c r="U1309">
        <v>0</v>
      </c>
      <c r="V1309">
        <v>0</v>
      </c>
      <c r="W1309">
        <v>0</v>
      </c>
      <c r="X1309">
        <v>0</v>
      </c>
      <c r="Y1309">
        <v>0</v>
      </c>
      <c r="Z1309">
        <v>0</v>
      </c>
      <c r="AA1309">
        <v>0</v>
      </c>
      <c r="AC1309">
        <v>0</v>
      </c>
      <c r="AD1309">
        <v>0</v>
      </c>
      <c r="AE1309">
        <v>0</v>
      </c>
      <c r="AF1309">
        <v>0</v>
      </c>
      <c r="AG1309">
        <v>0</v>
      </c>
      <c r="AH1309">
        <v>0</v>
      </c>
      <c r="AI1309">
        <v>0</v>
      </c>
      <c r="AJ1309">
        <v>1</v>
      </c>
      <c r="AK1309">
        <v>0</v>
      </c>
      <c r="AX1309" t="s">
        <v>118</v>
      </c>
      <c r="AZ1309" t="s">
        <v>73</v>
      </c>
      <c r="BA1309" t="s">
        <v>86</v>
      </c>
      <c r="BB1309" t="s">
        <v>74</v>
      </c>
      <c r="BC1309" t="s">
        <v>86</v>
      </c>
      <c r="BD1309" t="s">
        <v>74</v>
      </c>
      <c r="BE1309" t="s">
        <v>86</v>
      </c>
      <c r="BF1309" t="s">
        <v>75</v>
      </c>
      <c r="BG1309" t="s">
        <v>76</v>
      </c>
      <c r="BH1309" t="s">
        <v>98</v>
      </c>
      <c r="BI1309" t="s">
        <v>73</v>
      </c>
      <c r="BJ1309" t="s">
        <v>78</v>
      </c>
      <c r="BK1309">
        <v>0</v>
      </c>
      <c r="BL1309">
        <v>0</v>
      </c>
      <c r="BM1309">
        <v>0</v>
      </c>
      <c r="BN1309">
        <v>0</v>
      </c>
      <c r="BO1309">
        <v>0</v>
      </c>
      <c r="BP1309">
        <v>1</v>
      </c>
      <c r="BQ1309">
        <v>0</v>
      </c>
      <c r="BR1309">
        <v>0</v>
      </c>
    </row>
    <row r="1310" spans="1:72" x14ac:dyDescent="0.2">
      <c r="A1310" s="1">
        <v>44580.464583333334</v>
      </c>
      <c r="B1310" s="1">
        <v>44580.46597222222</v>
      </c>
      <c r="C1310">
        <v>0</v>
      </c>
      <c r="D1310">
        <v>1</v>
      </c>
      <c r="E1310">
        <v>0</v>
      </c>
      <c r="F1310">
        <v>0</v>
      </c>
      <c r="H1310">
        <v>0</v>
      </c>
      <c r="I1310">
        <v>1</v>
      </c>
      <c r="J1310">
        <v>1</v>
      </c>
      <c r="K1310">
        <v>1</v>
      </c>
      <c r="L1310">
        <v>0</v>
      </c>
      <c r="N1310" t="s">
        <v>88</v>
      </c>
      <c r="O1310" t="s">
        <v>89</v>
      </c>
      <c r="P1310">
        <v>0</v>
      </c>
      <c r="Q1310">
        <v>0</v>
      </c>
      <c r="R1310">
        <v>0</v>
      </c>
      <c r="S1310">
        <v>1</v>
      </c>
      <c r="T1310">
        <v>0</v>
      </c>
      <c r="U1310">
        <v>1</v>
      </c>
      <c r="V1310">
        <v>0</v>
      </c>
      <c r="W1310">
        <v>0</v>
      </c>
      <c r="X1310">
        <v>0</v>
      </c>
      <c r="Y1310">
        <v>0</v>
      </c>
      <c r="Z1310">
        <v>0</v>
      </c>
      <c r="AA1310">
        <v>0</v>
      </c>
      <c r="AM1310" t="s">
        <v>83</v>
      </c>
      <c r="AN1310" t="s">
        <v>82</v>
      </c>
      <c r="AO1310" t="s">
        <v>82</v>
      </c>
      <c r="AP1310" t="s">
        <v>82</v>
      </c>
      <c r="AQ1310" t="s">
        <v>83</v>
      </c>
      <c r="AR1310" t="s">
        <v>83</v>
      </c>
      <c r="AS1310" t="s">
        <v>83</v>
      </c>
      <c r="AT1310" t="s">
        <v>83</v>
      </c>
      <c r="AU1310" t="s">
        <v>88</v>
      </c>
      <c r="AV1310" t="s">
        <v>89</v>
      </c>
      <c r="AW1310" t="s">
        <v>100</v>
      </c>
      <c r="AX1310" t="s">
        <v>91</v>
      </c>
      <c r="AZ1310" t="s">
        <v>73</v>
      </c>
      <c r="BA1310" t="s">
        <v>87</v>
      </c>
      <c r="BB1310" t="s">
        <v>87</v>
      </c>
      <c r="BC1310" t="s">
        <v>87</v>
      </c>
      <c r="BD1310" t="s">
        <v>87</v>
      </c>
      <c r="BE1310" t="s">
        <v>87</v>
      </c>
      <c r="BF1310" t="s">
        <v>75</v>
      </c>
      <c r="BG1310" t="s">
        <v>92</v>
      </c>
      <c r="BH1310" t="s">
        <v>77</v>
      </c>
      <c r="BI1310" t="s">
        <v>73</v>
      </c>
      <c r="BJ1310" t="s">
        <v>78</v>
      </c>
      <c r="BK1310">
        <v>0</v>
      </c>
      <c r="BL1310">
        <v>0</v>
      </c>
      <c r="BM1310">
        <v>0</v>
      </c>
      <c r="BN1310">
        <v>0</v>
      </c>
      <c r="BO1310">
        <v>0</v>
      </c>
      <c r="BP1310">
        <v>1</v>
      </c>
      <c r="BQ1310">
        <v>0</v>
      </c>
      <c r="BR1310">
        <v>0</v>
      </c>
    </row>
    <row r="1311" spans="1:72" x14ac:dyDescent="0.2">
      <c r="A1311" s="1">
        <v>44585.659722222219</v>
      </c>
      <c r="B1311" s="1">
        <v>44585.661111111112</v>
      </c>
      <c r="C1311">
        <v>1</v>
      </c>
      <c r="D1311">
        <v>0</v>
      </c>
      <c r="E1311">
        <v>0</v>
      </c>
      <c r="F1311">
        <v>0</v>
      </c>
      <c r="H1311">
        <v>0</v>
      </c>
      <c r="I1311">
        <v>1</v>
      </c>
      <c r="J1311">
        <v>1</v>
      </c>
      <c r="K1311">
        <v>1</v>
      </c>
      <c r="L1311">
        <v>0</v>
      </c>
      <c r="N1311" t="s">
        <v>79</v>
      </c>
      <c r="O1311" t="s">
        <v>80</v>
      </c>
      <c r="P1311">
        <v>0</v>
      </c>
      <c r="Q1311">
        <v>1</v>
      </c>
      <c r="R1311">
        <v>1</v>
      </c>
      <c r="S1311">
        <v>0</v>
      </c>
      <c r="T1311">
        <v>0</v>
      </c>
      <c r="U1311">
        <v>0</v>
      </c>
      <c r="V1311">
        <v>0</v>
      </c>
      <c r="W1311">
        <v>0</v>
      </c>
      <c r="X1311">
        <v>0</v>
      </c>
      <c r="Y1311">
        <v>0</v>
      </c>
      <c r="Z1311">
        <v>0</v>
      </c>
      <c r="AA1311">
        <v>0</v>
      </c>
      <c r="AM1311" t="s">
        <v>83</v>
      </c>
      <c r="AN1311" t="s">
        <v>82</v>
      </c>
      <c r="AO1311" t="s">
        <v>82</v>
      </c>
      <c r="AP1311" t="s">
        <v>82</v>
      </c>
      <c r="AQ1311" t="s">
        <v>81</v>
      </c>
      <c r="AR1311" t="s">
        <v>83</v>
      </c>
      <c r="AS1311" t="s">
        <v>83</v>
      </c>
      <c r="AT1311" t="s">
        <v>83</v>
      </c>
      <c r="AU1311" t="s">
        <v>88</v>
      </c>
      <c r="AV1311" t="s">
        <v>89</v>
      </c>
      <c r="AW1311" t="s">
        <v>100</v>
      </c>
      <c r="AX1311" t="s">
        <v>110</v>
      </c>
      <c r="AY1311" t="s">
        <v>547</v>
      </c>
      <c r="AZ1311" t="s">
        <v>107</v>
      </c>
      <c r="BA1311" t="s">
        <v>74</v>
      </c>
      <c r="BF1311" t="s">
        <v>75</v>
      </c>
      <c r="BG1311" t="s">
        <v>92</v>
      </c>
      <c r="BH1311" t="s">
        <v>77</v>
      </c>
      <c r="BI1311" t="s">
        <v>107</v>
      </c>
      <c r="BJ1311" t="s">
        <v>78</v>
      </c>
      <c r="BK1311">
        <v>0</v>
      </c>
      <c r="BL1311">
        <v>0</v>
      </c>
      <c r="BM1311">
        <v>0</v>
      </c>
      <c r="BN1311">
        <v>0</v>
      </c>
      <c r="BO1311">
        <v>0</v>
      </c>
      <c r="BP1311">
        <v>1</v>
      </c>
      <c r="BQ1311">
        <v>0</v>
      </c>
      <c r="BR1311">
        <v>0</v>
      </c>
    </row>
    <row r="1312" spans="1:72" x14ac:dyDescent="0.2">
      <c r="A1312" s="1">
        <v>44588.887499999997</v>
      </c>
      <c r="B1312" s="1">
        <v>44588.88958333333</v>
      </c>
      <c r="C1312">
        <v>1</v>
      </c>
      <c r="D1312">
        <v>0</v>
      </c>
      <c r="E1312">
        <v>0</v>
      </c>
      <c r="F1312">
        <v>0</v>
      </c>
      <c r="H1312">
        <v>0</v>
      </c>
      <c r="I1312">
        <v>1</v>
      </c>
      <c r="J1312">
        <v>0</v>
      </c>
      <c r="K1312">
        <v>0</v>
      </c>
      <c r="L1312">
        <v>0</v>
      </c>
      <c r="N1312" t="s">
        <v>79</v>
      </c>
      <c r="O1312" t="s">
        <v>142</v>
      </c>
      <c r="P1312">
        <v>0</v>
      </c>
      <c r="Q1312">
        <v>1</v>
      </c>
      <c r="R1312">
        <v>1</v>
      </c>
      <c r="S1312">
        <v>0</v>
      </c>
      <c r="T1312">
        <v>0</v>
      </c>
      <c r="U1312">
        <v>0</v>
      </c>
      <c r="V1312">
        <v>0</v>
      </c>
      <c r="W1312">
        <v>0</v>
      </c>
      <c r="X1312">
        <v>0</v>
      </c>
      <c r="Y1312">
        <v>0</v>
      </c>
      <c r="Z1312">
        <v>0</v>
      </c>
      <c r="AA1312">
        <v>0</v>
      </c>
      <c r="AM1312" t="s">
        <v>82</v>
      </c>
      <c r="AN1312" t="s">
        <v>82</v>
      </c>
      <c r="AO1312" t="s">
        <v>83</v>
      </c>
      <c r="AP1312" t="s">
        <v>81</v>
      </c>
      <c r="AQ1312" t="s">
        <v>82</v>
      </c>
      <c r="AR1312" t="s">
        <v>81</v>
      </c>
      <c r="AS1312" t="s">
        <v>82</v>
      </c>
      <c r="AT1312" t="s">
        <v>81</v>
      </c>
      <c r="AU1312" t="s">
        <v>135</v>
      </c>
      <c r="AV1312" t="s">
        <v>80</v>
      </c>
      <c r="AW1312" t="s">
        <v>85</v>
      </c>
      <c r="AX1312" t="s">
        <v>119</v>
      </c>
      <c r="AZ1312" t="s">
        <v>73</v>
      </c>
      <c r="BA1312" t="s">
        <v>87</v>
      </c>
      <c r="BB1312" t="s">
        <v>87</v>
      </c>
      <c r="BC1312" t="s">
        <v>87</v>
      </c>
      <c r="BD1312" t="s">
        <v>87</v>
      </c>
      <c r="BE1312" t="s">
        <v>87</v>
      </c>
      <c r="BF1312" t="s">
        <v>75</v>
      </c>
      <c r="BG1312" t="s">
        <v>76</v>
      </c>
      <c r="BH1312" t="s">
        <v>77</v>
      </c>
      <c r="BI1312" t="s">
        <v>73</v>
      </c>
      <c r="BK1312">
        <v>1</v>
      </c>
      <c r="BL1312">
        <v>0</v>
      </c>
      <c r="BM1312">
        <v>0</v>
      </c>
      <c r="BN1312">
        <v>0</v>
      </c>
      <c r="BO1312">
        <v>0</v>
      </c>
      <c r="BP1312">
        <v>0</v>
      </c>
      <c r="BQ1312">
        <v>0</v>
      </c>
      <c r="BR1312">
        <v>0</v>
      </c>
      <c r="BT1312" t="s">
        <v>109</v>
      </c>
    </row>
    <row r="1313" spans="1:70" x14ac:dyDescent="0.2">
      <c r="A1313" s="1">
        <v>44579.798611111109</v>
      </c>
      <c r="B1313" s="1">
        <v>44579.802777777775</v>
      </c>
      <c r="C1313">
        <v>0</v>
      </c>
      <c r="D1313">
        <v>1</v>
      </c>
      <c r="E1313">
        <v>0</v>
      </c>
      <c r="F1313">
        <v>0</v>
      </c>
      <c r="H1313">
        <v>0</v>
      </c>
      <c r="I1313">
        <v>1</v>
      </c>
      <c r="J1313">
        <v>0</v>
      </c>
      <c r="K1313">
        <v>1</v>
      </c>
      <c r="L1313">
        <v>0</v>
      </c>
      <c r="N1313" t="s">
        <v>88</v>
      </c>
      <c r="O1313" t="s">
        <v>89</v>
      </c>
      <c r="P1313">
        <v>1</v>
      </c>
      <c r="Q1313">
        <v>0</v>
      </c>
      <c r="R1313">
        <v>0</v>
      </c>
      <c r="S1313">
        <v>0</v>
      </c>
      <c r="T1313">
        <v>0</v>
      </c>
      <c r="U1313">
        <v>0</v>
      </c>
      <c r="V1313">
        <v>0</v>
      </c>
      <c r="W1313">
        <v>0</v>
      </c>
      <c r="X1313">
        <v>0</v>
      </c>
      <c r="Y1313">
        <v>0</v>
      </c>
      <c r="Z1313">
        <v>0</v>
      </c>
      <c r="AA1313">
        <v>0</v>
      </c>
      <c r="AC1313">
        <v>0</v>
      </c>
      <c r="AD1313">
        <v>0</v>
      </c>
      <c r="AE1313">
        <v>0</v>
      </c>
      <c r="AF1313">
        <v>0</v>
      </c>
      <c r="AG1313">
        <v>0</v>
      </c>
      <c r="AH1313">
        <v>0</v>
      </c>
      <c r="AI1313">
        <v>0</v>
      </c>
      <c r="AJ1313">
        <v>0</v>
      </c>
      <c r="AK1313">
        <v>1</v>
      </c>
      <c r="AL1313" t="s">
        <v>548</v>
      </c>
      <c r="AX1313" t="s">
        <v>128</v>
      </c>
      <c r="AZ1313" t="s">
        <v>73</v>
      </c>
      <c r="BA1313" t="s">
        <v>86</v>
      </c>
      <c r="BB1313" t="s">
        <v>86</v>
      </c>
      <c r="BC1313" t="s">
        <v>86</v>
      </c>
      <c r="BD1313" t="s">
        <v>86</v>
      </c>
      <c r="BE1313" t="s">
        <v>86</v>
      </c>
      <c r="BF1313" t="s">
        <v>75</v>
      </c>
      <c r="BG1313" t="s">
        <v>92</v>
      </c>
      <c r="BH1313" t="s">
        <v>77</v>
      </c>
      <c r="BI1313" t="s">
        <v>73</v>
      </c>
      <c r="BJ1313" t="s">
        <v>94</v>
      </c>
      <c r="BK1313">
        <v>0</v>
      </c>
      <c r="BL1313">
        <v>0</v>
      </c>
      <c r="BM1313">
        <v>0</v>
      </c>
      <c r="BN1313">
        <v>0</v>
      </c>
      <c r="BO1313">
        <v>0</v>
      </c>
      <c r="BP1313">
        <v>1</v>
      </c>
      <c r="BQ1313">
        <v>0</v>
      </c>
      <c r="BR1313">
        <v>0</v>
      </c>
    </row>
    <row r="1314" spans="1:70" x14ac:dyDescent="0.2">
      <c r="A1314" s="1">
        <v>44579.895138888889</v>
      </c>
      <c r="B1314" s="1">
        <v>44579.897222222222</v>
      </c>
      <c r="C1314">
        <v>0</v>
      </c>
      <c r="D1314">
        <v>1</v>
      </c>
      <c r="E1314">
        <v>0</v>
      </c>
      <c r="F1314">
        <v>0</v>
      </c>
      <c r="H1314">
        <v>0</v>
      </c>
      <c r="I1314">
        <v>1</v>
      </c>
      <c r="J1314">
        <v>0</v>
      </c>
      <c r="K1314">
        <v>0</v>
      </c>
      <c r="L1314">
        <v>0</v>
      </c>
      <c r="N1314" t="s">
        <v>88</v>
      </c>
      <c r="O1314" t="s">
        <v>89</v>
      </c>
      <c r="P1314">
        <v>1</v>
      </c>
      <c r="Q1314">
        <v>0</v>
      </c>
      <c r="R1314">
        <v>0</v>
      </c>
      <c r="S1314">
        <v>0</v>
      </c>
      <c r="T1314">
        <v>0</v>
      </c>
      <c r="U1314">
        <v>0</v>
      </c>
      <c r="V1314">
        <v>0</v>
      </c>
      <c r="W1314">
        <v>0</v>
      </c>
      <c r="X1314">
        <v>0</v>
      </c>
      <c r="Y1314">
        <v>0</v>
      </c>
      <c r="Z1314">
        <v>0</v>
      </c>
      <c r="AA1314">
        <v>0</v>
      </c>
      <c r="AC1314">
        <v>0</v>
      </c>
      <c r="AD1314">
        <v>0</v>
      </c>
      <c r="AE1314">
        <v>1</v>
      </c>
      <c r="AF1314">
        <v>0</v>
      </c>
      <c r="AG1314">
        <v>0</v>
      </c>
      <c r="AH1314">
        <v>0</v>
      </c>
      <c r="AI1314">
        <v>0</v>
      </c>
      <c r="AJ1314">
        <v>0</v>
      </c>
      <c r="AK1314">
        <v>1</v>
      </c>
      <c r="AL1314" t="s">
        <v>549</v>
      </c>
      <c r="AX1314" t="s">
        <v>122</v>
      </c>
      <c r="AZ1314" t="s">
        <v>73</v>
      </c>
      <c r="BA1314" t="s">
        <v>87</v>
      </c>
      <c r="BB1314" t="s">
        <v>74</v>
      </c>
      <c r="BC1314" t="s">
        <v>87</v>
      </c>
      <c r="BD1314" t="s">
        <v>74</v>
      </c>
      <c r="BE1314" t="s">
        <v>74</v>
      </c>
      <c r="BF1314" t="s">
        <v>75</v>
      </c>
      <c r="BG1314" t="s">
        <v>92</v>
      </c>
      <c r="BH1314" t="s">
        <v>77</v>
      </c>
      <c r="BI1314" t="s">
        <v>73</v>
      </c>
      <c r="BJ1314" t="s">
        <v>78</v>
      </c>
      <c r="BK1314">
        <v>0</v>
      </c>
      <c r="BL1314">
        <v>0</v>
      </c>
      <c r="BM1314">
        <v>0</v>
      </c>
      <c r="BN1314">
        <v>0</v>
      </c>
      <c r="BO1314">
        <v>0</v>
      </c>
      <c r="BP1314">
        <v>1</v>
      </c>
      <c r="BQ1314">
        <v>0</v>
      </c>
      <c r="BR1314">
        <v>0</v>
      </c>
    </row>
    <row r="1315" spans="1:70" x14ac:dyDescent="0.2">
      <c r="A1315" s="1">
        <v>44579.877083333333</v>
      </c>
      <c r="B1315" s="1">
        <v>44579.881944444445</v>
      </c>
      <c r="C1315">
        <v>1</v>
      </c>
      <c r="D1315">
        <v>0</v>
      </c>
      <c r="E1315">
        <v>0</v>
      </c>
      <c r="F1315">
        <v>0</v>
      </c>
      <c r="H1315">
        <v>1</v>
      </c>
      <c r="I1315">
        <v>0</v>
      </c>
      <c r="J1315">
        <v>0</v>
      </c>
      <c r="K1315">
        <v>0</v>
      </c>
      <c r="L1315">
        <v>0</v>
      </c>
      <c r="P1315">
        <v>1</v>
      </c>
      <c r="Q1315">
        <v>0</v>
      </c>
      <c r="R1315">
        <v>0</v>
      </c>
      <c r="S1315">
        <v>0</v>
      </c>
      <c r="T1315">
        <v>0</v>
      </c>
      <c r="U1315">
        <v>0</v>
      </c>
      <c r="V1315">
        <v>0</v>
      </c>
      <c r="W1315">
        <v>0</v>
      </c>
      <c r="X1315">
        <v>0</v>
      </c>
      <c r="Y1315">
        <v>0</v>
      </c>
      <c r="Z1315">
        <v>0</v>
      </c>
      <c r="AA1315">
        <v>0</v>
      </c>
      <c r="AC1315">
        <v>0</v>
      </c>
      <c r="AD1315">
        <v>0</v>
      </c>
      <c r="AE1315">
        <v>0</v>
      </c>
      <c r="AF1315">
        <v>0</v>
      </c>
      <c r="AG1315">
        <v>0</v>
      </c>
      <c r="AH1315">
        <v>0</v>
      </c>
      <c r="AI1315">
        <v>1</v>
      </c>
      <c r="AJ1315">
        <v>1</v>
      </c>
      <c r="AK1315">
        <v>0</v>
      </c>
      <c r="AX1315" t="s">
        <v>110</v>
      </c>
      <c r="AY1315" t="s">
        <v>282</v>
      </c>
      <c r="AZ1315" t="s">
        <v>73</v>
      </c>
      <c r="BA1315" t="s">
        <v>86</v>
      </c>
      <c r="BB1315" t="s">
        <v>87</v>
      </c>
      <c r="BC1315" t="s">
        <v>87</v>
      </c>
      <c r="BD1315" t="s">
        <v>74</v>
      </c>
      <c r="BE1315" t="s">
        <v>87</v>
      </c>
      <c r="BF1315" t="s">
        <v>75</v>
      </c>
      <c r="BG1315" t="s">
        <v>92</v>
      </c>
      <c r="BH1315" t="s">
        <v>77</v>
      </c>
      <c r="BI1315" t="s">
        <v>73</v>
      </c>
      <c r="BJ1315" t="s">
        <v>94</v>
      </c>
      <c r="BK1315">
        <v>0</v>
      </c>
      <c r="BL1315">
        <v>0</v>
      </c>
      <c r="BM1315">
        <v>0</v>
      </c>
      <c r="BN1315">
        <v>0</v>
      </c>
      <c r="BO1315">
        <v>0</v>
      </c>
      <c r="BP1315">
        <v>0</v>
      </c>
      <c r="BQ1315">
        <v>0</v>
      </c>
      <c r="BR1315">
        <v>1</v>
      </c>
    </row>
    <row r="1316" spans="1:70" x14ac:dyDescent="0.2">
      <c r="A1316" s="1">
        <v>44581.686805555553</v>
      </c>
      <c r="B1316" s="1">
        <v>44581.690972222219</v>
      </c>
      <c r="C1316">
        <v>1</v>
      </c>
      <c r="D1316">
        <v>0</v>
      </c>
      <c r="E1316">
        <v>0</v>
      </c>
      <c r="F1316">
        <v>0</v>
      </c>
      <c r="H1316">
        <v>0</v>
      </c>
      <c r="I1316">
        <v>1</v>
      </c>
      <c r="J1316">
        <v>0</v>
      </c>
      <c r="K1316">
        <v>1</v>
      </c>
      <c r="L1316">
        <v>0</v>
      </c>
      <c r="N1316" t="s">
        <v>88</v>
      </c>
      <c r="O1316" t="s">
        <v>89</v>
      </c>
      <c r="P1316">
        <v>0</v>
      </c>
      <c r="Q1316">
        <v>0</v>
      </c>
      <c r="R1316">
        <v>1</v>
      </c>
      <c r="S1316">
        <v>0</v>
      </c>
      <c r="T1316">
        <v>0</v>
      </c>
      <c r="U1316">
        <v>0</v>
      </c>
      <c r="V1316">
        <v>0</v>
      </c>
      <c r="W1316">
        <v>0</v>
      </c>
      <c r="X1316">
        <v>0</v>
      </c>
      <c r="Y1316">
        <v>0</v>
      </c>
      <c r="Z1316">
        <v>0</v>
      </c>
      <c r="AA1316">
        <v>0</v>
      </c>
      <c r="AM1316" t="s">
        <v>90</v>
      </c>
      <c r="AN1316" t="s">
        <v>82</v>
      </c>
      <c r="AO1316" t="s">
        <v>81</v>
      </c>
      <c r="AP1316" t="s">
        <v>81</v>
      </c>
      <c r="AQ1316" t="s">
        <v>81</v>
      </c>
      <c r="AR1316" t="s">
        <v>90</v>
      </c>
      <c r="AS1316" t="s">
        <v>90</v>
      </c>
      <c r="AT1316" t="s">
        <v>90</v>
      </c>
      <c r="AU1316" t="s">
        <v>88</v>
      </c>
      <c r="AV1316" t="s">
        <v>89</v>
      </c>
      <c r="AW1316" t="s">
        <v>85</v>
      </c>
      <c r="AZ1316" t="s">
        <v>107</v>
      </c>
      <c r="BA1316" t="s">
        <v>74</v>
      </c>
      <c r="BF1316" t="s">
        <v>97</v>
      </c>
      <c r="BG1316" t="s">
        <v>92</v>
      </c>
      <c r="BH1316" t="s">
        <v>98</v>
      </c>
      <c r="BI1316" t="s">
        <v>107</v>
      </c>
      <c r="BJ1316" t="s">
        <v>78</v>
      </c>
      <c r="BK1316">
        <v>0</v>
      </c>
      <c r="BL1316">
        <v>0</v>
      </c>
      <c r="BM1316">
        <v>0</v>
      </c>
      <c r="BN1316">
        <v>0</v>
      </c>
      <c r="BO1316">
        <v>0</v>
      </c>
      <c r="BP1316">
        <v>0</v>
      </c>
      <c r="BQ1316">
        <v>0</v>
      </c>
      <c r="BR1316">
        <v>1</v>
      </c>
    </row>
    <row r="1317" spans="1:70" x14ac:dyDescent="0.2">
      <c r="A1317" s="1">
        <v>44585.565972222219</v>
      </c>
      <c r="B1317" s="1">
        <v>44585.565972222219</v>
      </c>
      <c r="C1317">
        <v>1</v>
      </c>
      <c r="D1317">
        <v>0</v>
      </c>
      <c r="E1317">
        <v>0</v>
      </c>
      <c r="F1317">
        <v>0</v>
      </c>
      <c r="H1317">
        <v>1</v>
      </c>
      <c r="I1317">
        <v>0</v>
      </c>
      <c r="J1317">
        <v>0</v>
      </c>
      <c r="K1317">
        <v>0</v>
      </c>
      <c r="L1317">
        <v>0</v>
      </c>
      <c r="P1317">
        <v>1</v>
      </c>
      <c r="Q1317">
        <v>0</v>
      </c>
      <c r="R1317">
        <v>0</v>
      </c>
      <c r="S1317">
        <v>0</v>
      </c>
      <c r="T1317">
        <v>0</v>
      </c>
      <c r="U1317">
        <v>0</v>
      </c>
      <c r="V1317">
        <v>0</v>
      </c>
      <c r="W1317">
        <v>0</v>
      </c>
      <c r="X1317">
        <v>0</v>
      </c>
      <c r="Y1317">
        <v>0</v>
      </c>
      <c r="Z1317">
        <v>0</v>
      </c>
      <c r="AA1317">
        <v>0</v>
      </c>
      <c r="AC1317">
        <v>0</v>
      </c>
      <c r="AD1317">
        <v>1</v>
      </c>
      <c r="AE1317">
        <v>0</v>
      </c>
      <c r="AF1317">
        <v>0</v>
      </c>
      <c r="AG1317">
        <v>0</v>
      </c>
      <c r="AH1317">
        <v>0</v>
      </c>
      <c r="AI1317">
        <v>0</v>
      </c>
      <c r="AJ1317">
        <v>0</v>
      </c>
      <c r="AK1317">
        <v>0</v>
      </c>
      <c r="AX1317" t="s">
        <v>118</v>
      </c>
      <c r="AZ1317" t="s">
        <v>73</v>
      </c>
      <c r="BA1317" t="s">
        <v>74</v>
      </c>
      <c r="BF1317" t="s">
        <v>75</v>
      </c>
      <c r="BG1317" t="s">
        <v>92</v>
      </c>
      <c r="BH1317" t="s">
        <v>93</v>
      </c>
      <c r="BI1317" t="s">
        <v>73</v>
      </c>
      <c r="BJ1317" t="s">
        <v>78</v>
      </c>
      <c r="BK1317">
        <v>0</v>
      </c>
      <c r="BL1317">
        <v>0</v>
      </c>
      <c r="BM1317">
        <v>0</v>
      </c>
      <c r="BN1317">
        <v>0</v>
      </c>
      <c r="BO1317">
        <v>0</v>
      </c>
      <c r="BP1317">
        <v>1</v>
      </c>
      <c r="BQ1317">
        <v>0</v>
      </c>
      <c r="BR1317">
        <v>0</v>
      </c>
    </row>
    <row r="1318" spans="1:70" x14ac:dyDescent="0.2">
      <c r="A1318" s="1">
        <v>44588.986805555556</v>
      </c>
      <c r="B1318" s="1">
        <v>44588.988888888889</v>
      </c>
      <c r="C1318">
        <v>0</v>
      </c>
      <c r="D1318">
        <v>1</v>
      </c>
      <c r="E1318">
        <v>0</v>
      </c>
      <c r="F1318">
        <v>0</v>
      </c>
      <c r="H1318">
        <v>1</v>
      </c>
      <c r="I1318">
        <v>0</v>
      </c>
      <c r="J1318">
        <v>0</v>
      </c>
      <c r="K1318">
        <v>0</v>
      </c>
      <c r="L1318">
        <v>0</v>
      </c>
      <c r="P1318">
        <v>0</v>
      </c>
      <c r="Q1318">
        <v>0</v>
      </c>
      <c r="R1318">
        <v>0</v>
      </c>
      <c r="S1318">
        <v>0</v>
      </c>
      <c r="T1318">
        <v>1</v>
      </c>
      <c r="U1318">
        <v>0</v>
      </c>
      <c r="V1318">
        <v>0</v>
      </c>
      <c r="W1318">
        <v>0</v>
      </c>
      <c r="X1318">
        <v>0</v>
      </c>
      <c r="Y1318">
        <v>0</v>
      </c>
      <c r="Z1318">
        <v>0</v>
      </c>
      <c r="AA1318">
        <v>0</v>
      </c>
      <c r="AM1318" t="s">
        <v>81</v>
      </c>
      <c r="AN1318" t="s">
        <v>90</v>
      </c>
      <c r="AO1318" t="s">
        <v>83</v>
      </c>
      <c r="AP1318" t="s">
        <v>83</v>
      </c>
      <c r="AQ1318" t="s">
        <v>82</v>
      </c>
      <c r="AR1318" t="s">
        <v>81</v>
      </c>
      <c r="AS1318" t="s">
        <v>82</v>
      </c>
      <c r="AT1318" t="s">
        <v>83</v>
      </c>
      <c r="AU1318" t="s">
        <v>88</v>
      </c>
      <c r="AV1318" t="s">
        <v>142</v>
      </c>
      <c r="AW1318" t="s">
        <v>85</v>
      </c>
      <c r="AX1318" t="s">
        <v>191</v>
      </c>
      <c r="AZ1318" t="s">
        <v>120</v>
      </c>
      <c r="BA1318" t="s">
        <v>74</v>
      </c>
      <c r="BF1318" t="s">
        <v>108</v>
      </c>
      <c r="BG1318" t="s">
        <v>92</v>
      </c>
      <c r="BH1318" t="s">
        <v>77</v>
      </c>
      <c r="BI1318" t="s">
        <v>120</v>
      </c>
      <c r="BJ1318" t="s">
        <v>114</v>
      </c>
      <c r="BK1318">
        <v>0</v>
      </c>
      <c r="BL1318">
        <v>0</v>
      </c>
      <c r="BM1318">
        <v>0</v>
      </c>
      <c r="BN1318">
        <v>0</v>
      </c>
      <c r="BO1318">
        <v>0</v>
      </c>
      <c r="BP1318">
        <v>1</v>
      </c>
      <c r="BQ1318">
        <v>0</v>
      </c>
      <c r="BR1318">
        <v>0</v>
      </c>
    </row>
    <row r="1319" spans="1:70" x14ac:dyDescent="0.2">
      <c r="A1319" s="1">
        <v>44579.9</v>
      </c>
      <c r="B1319" s="1">
        <v>44579.902083333334</v>
      </c>
      <c r="C1319">
        <v>0</v>
      </c>
      <c r="D1319">
        <v>1</v>
      </c>
      <c r="E1319">
        <v>0</v>
      </c>
      <c r="F1319">
        <v>0</v>
      </c>
      <c r="H1319">
        <v>0</v>
      </c>
      <c r="I1319">
        <v>0</v>
      </c>
      <c r="J1319">
        <v>0</v>
      </c>
      <c r="K1319">
        <v>1</v>
      </c>
      <c r="L1319">
        <v>0</v>
      </c>
      <c r="N1319" t="s">
        <v>79</v>
      </c>
      <c r="O1319" t="s">
        <v>127</v>
      </c>
      <c r="P1319">
        <v>1</v>
      </c>
      <c r="Q1319">
        <v>0</v>
      </c>
      <c r="R1319">
        <v>0</v>
      </c>
      <c r="S1319">
        <v>0</v>
      </c>
      <c r="T1319">
        <v>0</v>
      </c>
      <c r="U1319">
        <v>0</v>
      </c>
      <c r="V1319">
        <v>0</v>
      </c>
      <c r="W1319">
        <v>0</v>
      </c>
      <c r="X1319">
        <v>0</v>
      </c>
      <c r="Y1319">
        <v>0</v>
      </c>
      <c r="Z1319">
        <v>0</v>
      </c>
      <c r="AA1319">
        <v>0</v>
      </c>
      <c r="AC1319">
        <v>0</v>
      </c>
      <c r="AD1319">
        <v>1</v>
      </c>
      <c r="AE1319">
        <v>0</v>
      </c>
      <c r="AF1319">
        <v>0</v>
      </c>
      <c r="AG1319">
        <v>0</v>
      </c>
      <c r="AH1319">
        <v>0</v>
      </c>
      <c r="AI1319">
        <v>0</v>
      </c>
      <c r="AJ1319">
        <v>0</v>
      </c>
      <c r="AK1319">
        <v>0</v>
      </c>
      <c r="AX1319" t="s">
        <v>118</v>
      </c>
      <c r="AZ1319" t="s">
        <v>107</v>
      </c>
      <c r="BA1319" t="s">
        <v>86</v>
      </c>
      <c r="BB1319" t="s">
        <v>86</v>
      </c>
      <c r="BC1319" t="s">
        <v>74</v>
      </c>
      <c r="BD1319" t="s">
        <v>87</v>
      </c>
      <c r="BE1319" t="s">
        <v>74</v>
      </c>
      <c r="BF1319" t="s">
        <v>75</v>
      </c>
      <c r="BG1319" t="s">
        <v>76</v>
      </c>
      <c r="BH1319" t="s">
        <v>77</v>
      </c>
      <c r="BI1319" t="s">
        <v>107</v>
      </c>
      <c r="BJ1319" t="s">
        <v>114</v>
      </c>
      <c r="BK1319">
        <v>0</v>
      </c>
      <c r="BL1319">
        <v>0</v>
      </c>
      <c r="BM1319">
        <v>0</v>
      </c>
      <c r="BN1319">
        <v>0</v>
      </c>
      <c r="BO1319">
        <v>0</v>
      </c>
      <c r="BP1319">
        <v>1</v>
      </c>
      <c r="BQ1319">
        <v>0</v>
      </c>
      <c r="BR1319">
        <v>0</v>
      </c>
    </row>
    <row r="1320" spans="1:70" x14ac:dyDescent="0.2">
      <c r="A1320" s="1">
        <v>44580.951388888891</v>
      </c>
      <c r="B1320" s="1">
        <v>44580.953472222223</v>
      </c>
      <c r="C1320">
        <v>1</v>
      </c>
      <c r="D1320">
        <v>0</v>
      </c>
      <c r="E1320">
        <v>0</v>
      </c>
      <c r="F1320">
        <v>0</v>
      </c>
      <c r="H1320">
        <v>1</v>
      </c>
      <c r="I1320">
        <v>0</v>
      </c>
      <c r="J1320">
        <v>0</v>
      </c>
      <c r="K1320">
        <v>0</v>
      </c>
      <c r="L1320">
        <v>0</v>
      </c>
      <c r="P1320">
        <v>0</v>
      </c>
      <c r="Q1320">
        <v>0</v>
      </c>
      <c r="R1320">
        <v>0</v>
      </c>
      <c r="S1320">
        <v>1</v>
      </c>
      <c r="T1320">
        <v>0</v>
      </c>
      <c r="U1320">
        <v>0</v>
      </c>
      <c r="V1320">
        <v>0</v>
      </c>
      <c r="W1320">
        <v>0</v>
      </c>
      <c r="X1320">
        <v>0</v>
      </c>
      <c r="Y1320">
        <v>0</v>
      </c>
      <c r="Z1320">
        <v>0</v>
      </c>
      <c r="AA1320">
        <v>0</v>
      </c>
      <c r="AM1320" t="s">
        <v>90</v>
      </c>
      <c r="AN1320" t="s">
        <v>82</v>
      </c>
      <c r="AO1320" t="s">
        <v>90</v>
      </c>
      <c r="AP1320" t="s">
        <v>90</v>
      </c>
      <c r="AQ1320" t="s">
        <v>90</v>
      </c>
      <c r="AR1320" t="s">
        <v>90</v>
      </c>
      <c r="AS1320" t="s">
        <v>90</v>
      </c>
      <c r="AT1320" t="s">
        <v>81</v>
      </c>
      <c r="AU1320" t="s">
        <v>135</v>
      </c>
      <c r="AV1320" t="s">
        <v>80</v>
      </c>
      <c r="AW1320" t="s">
        <v>85</v>
      </c>
      <c r="AZ1320" t="s">
        <v>73</v>
      </c>
      <c r="BA1320" t="s">
        <v>87</v>
      </c>
      <c r="BB1320" t="s">
        <v>74</v>
      </c>
      <c r="BC1320" t="s">
        <v>86</v>
      </c>
      <c r="BD1320" t="s">
        <v>86</v>
      </c>
      <c r="BE1320" t="s">
        <v>86</v>
      </c>
      <c r="BF1320" t="s">
        <v>101</v>
      </c>
      <c r="BG1320" t="s">
        <v>225</v>
      </c>
      <c r="BH1320" t="s">
        <v>77</v>
      </c>
      <c r="BI1320" t="s">
        <v>73</v>
      </c>
      <c r="BJ1320" t="s">
        <v>109</v>
      </c>
      <c r="BK1320">
        <v>0</v>
      </c>
      <c r="BL1320">
        <v>0</v>
      </c>
      <c r="BM1320">
        <v>0</v>
      </c>
      <c r="BN1320">
        <v>0</v>
      </c>
      <c r="BO1320">
        <v>0</v>
      </c>
      <c r="BP1320">
        <v>0</v>
      </c>
      <c r="BQ1320">
        <v>0</v>
      </c>
      <c r="BR1320">
        <v>1</v>
      </c>
    </row>
    <row r="1321" spans="1:70" x14ac:dyDescent="0.2">
      <c r="A1321" s="1">
        <v>44580.353472222225</v>
      </c>
      <c r="B1321" s="1">
        <v>44580.354861111111</v>
      </c>
      <c r="C1321">
        <v>1</v>
      </c>
      <c r="D1321">
        <v>0</v>
      </c>
      <c r="E1321">
        <v>0</v>
      </c>
      <c r="F1321">
        <v>0</v>
      </c>
      <c r="H1321">
        <v>0</v>
      </c>
      <c r="I1321">
        <v>1</v>
      </c>
      <c r="J1321">
        <v>0</v>
      </c>
      <c r="K1321">
        <v>0</v>
      </c>
      <c r="L1321">
        <v>0</v>
      </c>
      <c r="N1321" t="s">
        <v>88</v>
      </c>
      <c r="O1321" t="s">
        <v>89</v>
      </c>
      <c r="P1321">
        <v>1</v>
      </c>
      <c r="Q1321">
        <v>0</v>
      </c>
      <c r="R1321">
        <v>0</v>
      </c>
      <c r="S1321">
        <v>0</v>
      </c>
      <c r="T1321">
        <v>0</v>
      </c>
      <c r="U1321">
        <v>0</v>
      </c>
      <c r="V1321">
        <v>0</v>
      </c>
      <c r="W1321">
        <v>0</v>
      </c>
      <c r="X1321">
        <v>0</v>
      </c>
      <c r="Y1321">
        <v>0</v>
      </c>
      <c r="Z1321">
        <v>0</v>
      </c>
      <c r="AA1321">
        <v>0</v>
      </c>
      <c r="AC1321">
        <v>0</v>
      </c>
      <c r="AD1321">
        <v>0</v>
      </c>
      <c r="AE1321">
        <v>1</v>
      </c>
      <c r="AF1321">
        <v>0</v>
      </c>
      <c r="AG1321">
        <v>0</v>
      </c>
      <c r="AH1321">
        <v>0</v>
      </c>
      <c r="AI1321">
        <v>0</v>
      </c>
      <c r="AJ1321">
        <v>1</v>
      </c>
      <c r="AK1321">
        <v>0</v>
      </c>
      <c r="AZ1321" t="s">
        <v>73</v>
      </c>
      <c r="BA1321" t="s">
        <v>74</v>
      </c>
      <c r="BF1321" t="s">
        <v>159</v>
      </c>
      <c r="BG1321" t="s">
        <v>76</v>
      </c>
      <c r="BH1321" t="s">
        <v>98</v>
      </c>
      <c r="BI1321" t="s">
        <v>73</v>
      </c>
      <c r="BJ1321" t="s">
        <v>165</v>
      </c>
      <c r="BK1321">
        <v>0</v>
      </c>
      <c r="BL1321">
        <v>0</v>
      </c>
      <c r="BM1321">
        <v>0</v>
      </c>
      <c r="BN1321">
        <v>0</v>
      </c>
      <c r="BO1321">
        <v>0</v>
      </c>
      <c r="BP1321">
        <v>1</v>
      </c>
      <c r="BQ1321">
        <v>0</v>
      </c>
      <c r="BR1321">
        <v>0</v>
      </c>
    </row>
    <row r="1322" spans="1:70" x14ac:dyDescent="0.2">
      <c r="A1322" s="1">
        <v>44580.175694444442</v>
      </c>
      <c r="B1322" s="1">
        <v>44580.179166666669</v>
      </c>
      <c r="C1322">
        <v>0</v>
      </c>
      <c r="D1322">
        <v>1</v>
      </c>
      <c r="E1322">
        <v>0</v>
      </c>
      <c r="F1322">
        <v>0</v>
      </c>
      <c r="H1322">
        <v>0</v>
      </c>
      <c r="I1322">
        <v>1</v>
      </c>
      <c r="J1322">
        <v>1</v>
      </c>
      <c r="K1322">
        <v>1</v>
      </c>
      <c r="L1322">
        <v>0</v>
      </c>
      <c r="N1322" t="s">
        <v>88</v>
      </c>
      <c r="O1322" t="s">
        <v>89</v>
      </c>
      <c r="P1322">
        <v>0</v>
      </c>
      <c r="Q1322">
        <v>1</v>
      </c>
      <c r="R1322">
        <v>0</v>
      </c>
      <c r="S1322">
        <v>0</v>
      </c>
      <c r="T1322">
        <v>0</v>
      </c>
      <c r="U1322">
        <v>0</v>
      </c>
      <c r="V1322">
        <v>0</v>
      </c>
      <c r="W1322">
        <v>0</v>
      </c>
      <c r="X1322">
        <v>0</v>
      </c>
      <c r="Y1322">
        <v>0</v>
      </c>
      <c r="Z1322">
        <v>0</v>
      </c>
      <c r="AA1322">
        <v>0</v>
      </c>
      <c r="AM1322" t="s">
        <v>90</v>
      </c>
      <c r="AN1322" t="s">
        <v>82</v>
      </c>
      <c r="AO1322" t="s">
        <v>81</v>
      </c>
      <c r="AP1322" t="s">
        <v>81</v>
      </c>
      <c r="AQ1322" t="s">
        <v>90</v>
      </c>
      <c r="AR1322" t="s">
        <v>90</v>
      </c>
      <c r="AS1322" t="s">
        <v>90</v>
      </c>
      <c r="AT1322" t="s">
        <v>83</v>
      </c>
      <c r="AU1322" t="s">
        <v>88</v>
      </c>
      <c r="AV1322" t="s">
        <v>80</v>
      </c>
      <c r="AW1322" t="s">
        <v>117</v>
      </c>
      <c r="AX1322" t="s">
        <v>128</v>
      </c>
      <c r="AZ1322" t="s">
        <v>107</v>
      </c>
      <c r="BA1322" t="s">
        <v>74</v>
      </c>
      <c r="BF1322" t="s">
        <v>75</v>
      </c>
      <c r="BG1322" t="s">
        <v>76</v>
      </c>
      <c r="BH1322" t="s">
        <v>77</v>
      </c>
      <c r="BI1322" t="s">
        <v>107</v>
      </c>
      <c r="BJ1322" t="s">
        <v>114</v>
      </c>
      <c r="BK1322">
        <v>0</v>
      </c>
      <c r="BL1322">
        <v>0</v>
      </c>
      <c r="BM1322">
        <v>0</v>
      </c>
      <c r="BN1322">
        <v>1</v>
      </c>
      <c r="BO1322">
        <v>0</v>
      </c>
      <c r="BP1322">
        <v>0</v>
      </c>
      <c r="BQ1322">
        <v>0</v>
      </c>
      <c r="BR1322">
        <v>0</v>
      </c>
    </row>
    <row r="1323" spans="1:70" x14ac:dyDescent="0.2">
      <c r="A1323" s="1">
        <v>44580.150694444441</v>
      </c>
      <c r="B1323" s="1">
        <v>44580.15347222222</v>
      </c>
      <c r="C1323">
        <v>0</v>
      </c>
      <c r="D1323">
        <v>1</v>
      </c>
      <c r="E1323">
        <v>0</v>
      </c>
      <c r="F1323">
        <v>0</v>
      </c>
      <c r="H1323">
        <v>1</v>
      </c>
      <c r="I1323">
        <v>0</v>
      </c>
      <c r="J1323">
        <v>0</v>
      </c>
      <c r="K1323">
        <v>0</v>
      </c>
      <c r="L1323">
        <v>0</v>
      </c>
      <c r="P1323">
        <v>1</v>
      </c>
      <c r="Q1323">
        <v>0</v>
      </c>
      <c r="R1323">
        <v>0</v>
      </c>
      <c r="S1323">
        <v>0</v>
      </c>
      <c r="T1323">
        <v>0</v>
      </c>
      <c r="U1323">
        <v>0</v>
      </c>
      <c r="V1323">
        <v>0</v>
      </c>
      <c r="W1323">
        <v>0</v>
      </c>
      <c r="X1323">
        <v>0</v>
      </c>
      <c r="Y1323">
        <v>0</v>
      </c>
      <c r="Z1323">
        <v>0</v>
      </c>
      <c r="AA1323">
        <v>0</v>
      </c>
      <c r="AC1323">
        <v>0</v>
      </c>
      <c r="AD1323">
        <v>0</v>
      </c>
      <c r="AE1323">
        <v>0</v>
      </c>
      <c r="AF1323">
        <v>0</v>
      </c>
      <c r="AG1323">
        <v>1</v>
      </c>
      <c r="AH1323">
        <v>0</v>
      </c>
      <c r="AI1323">
        <v>0</v>
      </c>
      <c r="AJ1323">
        <v>0</v>
      </c>
      <c r="AK1323">
        <v>0</v>
      </c>
      <c r="AX1323" t="s">
        <v>72</v>
      </c>
      <c r="AZ1323" t="s">
        <v>73</v>
      </c>
      <c r="BA1323" t="s">
        <v>87</v>
      </c>
      <c r="BB1323" t="s">
        <v>87</v>
      </c>
      <c r="BC1323" t="s">
        <v>87</v>
      </c>
      <c r="BD1323" t="s">
        <v>87</v>
      </c>
      <c r="BE1323" t="s">
        <v>87</v>
      </c>
      <c r="BF1323" t="s">
        <v>75</v>
      </c>
      <c r="BG1323" t="s">
        <v>76</v>
      </c>
      <c r="BH1323" t="s">
        <v>93</v>
      </c>
      <c r="BI1323" t="s">
        <v>73</v>
      </c>
      <c r="BJ1323" t="s">
        <v>114</v>
      </c>
      <c r="BK1323">
        <v>0</v>
      </c>
      <c r="BL1323">
        <v>0</v>
      </c>
      <c r="BM1323">
        <v>0</v>
      </c>
      <c r="BN1323">
        <v>0</v>
      </c>
      <c r="BO1323">
        <v>0</v>
      </c>
      <c r="BP1323">
        <v>1</v>
      </c>
      <c r="BQ1323">
        <v>0</v>
      </c>
      <c r="BR1323">
        <v>0</v>
      </c>
    </row>
    <row r="1324" spans="1:70" x14ac:dyDescent="0.2">
      <c r="A1324" s="1">
        <v>44579.951388888891</v>
      </c>
      <c r="B1324" s="1">
        <v>44579.953472222223</v>
      </c>
      <c r="C1324">
        <v>1</v>
      </c>
      <c r="D1324">
        <v>0</v>
      </c>
      <c r="E1324">
        <v>0</v>
      </c>
      <c r="F1324">
        <v>0</v>
      </c>
      <c r="H1324">
        <v>0</v>
      </c>
      <c r="I1324">
        <v>0</v>
      </c>
      <c r="J1324">
        <v>0</v>
      </c>
      <c r="K1324">
        <v>0</v>
      </c>
      <c r="L1324">
        <v>1</v>
      </c>
      <c r="M1324" t="s">
        <v>550</v>
      </c>
      <c r="N1324" t="s">
        <v>88</v>
      </c>
      <c r="O1324" t="s">
        <v>89</v>
      </c>
      <c r="P1324">
        <v>0</v>
      </c>
      <c r="Q1324">
        <v>1</v>
      </c>
      <c r="R1324">
        <v>0</v>
      </c>
      <c r="S1324">
        <v>0</v>
      </c>
      <c r="T1324">
        <v>0</v>
      </c>
      <c r="U1324">
        <v>0</v>
      </c>
      <c r="V1324">
        <v>0</v>
      </c>
      <c r="W1324">
        <v>0</v>
      </c>
      <c r="X1324">
        <v>0</v>
      </c>
      <c r="Y1324">
        <v>0</v>
      </c>
      <c r="Z1324">
        <v>0</v>
      </c>
      <c r="AA1324">
        <v>0</v>
      </c>
      <c r="AM1324" t="s">
        <v>83</v>
      </c>
      <c r="AN1324" t="s">
        <v>82</v>
      </c>
      <c r="AO1324" t="s">
        <v>81</v>
      </c>
      <c r="AP1324" t="s">
        <v>81</v>
      </c>
      <c r="AQ1324" t="s">
        <v>83</v>
      </c>
      <c r="AR1324" t="s">
        <v>83</v>
      </c>
      <c r="AS1324" t="s">
        <v>81</v>
      </c>
      <c r="AT1324" t="s">
        <v>83</v>
      </c>
      <c r="AU1324" t="s">
        <v>127</v>
      </c>
      <c r="AV1324" t="s">
        <v>127</v>
      </c>
      <c r="AZ1324" t="s">
        <v>107</v>
      </c>
      <c r="BA1324" t="s">
        <v>86</v>
      </c>
      <c r="BB1324" t="s">
        <v>86</v>
      </c>
      <c r="BC1324" t="s">
        <v>86</v>
      </c>
      <c r="BD1324" t="s">
        <v>86</v>
      </c>
      <c r="BE1324" t="s">
        <v>86</v>
      </c>
      <c r="BF1324" t="s">
        <v>97</v>
      </c>
      <c r="BG1324" t="s">
        <v>76</v>
      </c>
      <c r="BH1324" t="s">
        <v>98</v>
      </c>
      <c r="BI1324" t="s">
        <v>107</v>
      </c>
      <c r="BJ1324" t="s">
        <v>114</v>
      </c>
      <c r="BK1324">
        <v>0</v>
      </c>
      <c r="BL1324">
        <v>0</v>
      </c>
      <c r="BM1324">
        <v>0</v>
      </c>
      <c r="BN1324">
        <v>0</v>
      </c>
      <c r="BO1324">
        <v>0</v>
      </c>
      <c r="BP1324">
        <v>1</v>
      </c>
      <c r="BQ1324">
        <v>0</v>
      </c>
      <c r="BR1324">
        <v>0</v>
      </c>
    </row>
    <row r="1325" spans="1:70" x14ac:dyDescent="0.2">
      <c r="A1325" s="1">
        <v>44580.363888888889</v>
      </c>
      <c r="B1325" s="1">
        <v>44580.365972222222</v>
      </c>
      <c r="C1325">
        <v>0</v>
      </c>
      <c r="D1325">
        <v>1</v>
      </c>
      <c r="E1325">
        <v>0</v>
      </c>
      <c r="F1325">
        <v>0</v>
      </c>
      <c r="H1325">
        <v>0</v>
      </c>
      <c r="I1325">
        <v>1</v>
      </c>
      <c r="J1325">
        <v>0</v>
      </c>
      <c r="K1325">
        <v>0</v>
      </c>
      <c r="L1325">
        <v>0</v>
      </c>
      <c r="N1325" t="s">
        <v>88</v>
      </c>
      <c r="O1325" t="s">
        <v>89</v>
      </c>
      <c r="P1325">
        <v>0</v>
      </c>
      <c r="Q1325">
        <v>0</v>
      </c>
      <c r="R1325">
        <v>0</v>
      </c>
      <c r="S1325">
        <v>1</v>
      </c>
      <c r="T1325">
        <v>0</v>
      </c>
      <c r="U1325">
        <v>0</v>
      </c>
      <c r="V1325">
        <v>0</v>
      </c>
      <c r="W1325">
        <v>0</v>
      </c>
      <c r="X1325">
        <v>0</v>
      </c>
      <c r="Y1325">
        <v>0</v>
      </c>
      <c r="Z1325">
        <v>0</v>
      </c>
      <c r="AA1325">
        <v>0</v>
      </c>
      <c r="AM1325" t="s">
        <v>90</v>
      </c>
      <c r="AN1325" t="s">
        <v>82</v>
      </c>
      <c r="AO1325" t="s">
        <v>81</v>
      </c>
      <c r="AP1325" t="s">
        <v>90</v>
      </c>
      <c r="AQ1325" t="s">
        <v>83</v>
      </c>
      <c r="AR1325" t="s">
        <v>90</v>
      </c>
      <c r="AS1325" t="s">
        <v>90</v>
      </c>
      <c r="AT1325" t="s">
        <v>83</v>
      </c>
      <c r="AU1325" t="s">
        <v>88</v>
      </c>
      <c r="AV1325" t="s">
        <v>89</v>
      </c>
      <c r="AW1325" t="s">
        <v>100</v>
      </c>
      <c r="AZ1325" t="s">
        <v>107</v>
      </c>
      <c r="BA1325" t="s">
        <v>86</v>
      </c>
      <c r="BB1325" t="s">
        <v>74</v>
      </c>
      <c r="BC1325" t="s">
        <v>87</v>
      </c>
      <c r="BD1325" t="s">
        <v>87</v>
      </c>
      <c r="BE1325" t="s">
        <v>74</v>
      </c>
      <c r="BF1325" t="s">
        <v>97</v>
      </c>
      <c r="BG1325" t="s">
        <v>76</v>
      </c>
      <c r="BH1325" t="s">
        <v>158</v>
      </c>
      <c r="BI1325" t="s">
        <v>107</v>
      </c>
      <c r="BJ1325" t="s">
        <v>94</v>
      </c>
      <c r="BK1325">
        <v>0</v>
      </c>
      <c r="BL1325">
        <v>0</v>
      </c>
      <c r="BM1325">
        <v>0</v>
      </c>
      <c r="BN1325">
        <v>0</v>
      </c>
      <c r="BO1325">
        <v>0</v>
      </c>
      <c r="BP1325">
        <v>1</v>
      </c>
      <c r="BQ1325">
        <v>0</v>
      </c>
      <c r="BR1325">
        <v>0</v>
      </c>
    </row>
    <row r="1326" spans="1:70" x14ac:dyDescent="0.2">
      <c r="A1326" s="1">
        <v>44579.936111111114</v>
      </c>
      <c r="B1326" s="1">
        <v>44579.938194444447</v>
      </c>
      <c r="C1326">
        <v>0</v>
      </c>
      <c r="D1326">
        <v>1</v>
      </c>
      <c r="E1326">
        <v>0</v>
      </c>
      <c r="F1326">
        <v>0</v>
      </c>
      <c r="H1326">
        <v>1</v>
      </c>
      <c r="I1326">
        <v>0</v>
      </c>
      <c r="J1326">
        <v>0</v>
      </c>
      <c r="K1326">
        <v>0</v>
      </c>
      <c r="L1326">
        <v>0</v>
      </c>
      <c r="P1326">
        <v>1</v>
      </c>
      <c r="Q1326">
        <v>0</v>
      </c>
      <c r="R1326">
        <v>0</v>
      </c>
      <c r="S1326">
        <v>0</v>
      </c>
      <c r="T1326">
        <v>0</v>
      </c>
      <c r="U1326">
        <v>0</v>
      </c>
      <c r="V1326">
        <v>0</v>
      </c>
      <c r="W1326">
        <v>0</v>
      </c>
      <c r="X1326">
        <v>0</v>
      </c>
      <c r="Y1326">
        <v>0</v>
      </c>
      <c r="Z1326">
        <v>0</v>
      </c>
      <c r="AA1326">
        <v>0</v>
      </c>
      <c r="AC1326">
        <v>0</v>
      </c>
      <c r="AD1326">
        <v>1</v>
      </c>
      <c r="AE1326">
        <v>0</v>
      </c>
      <c r="AF1326">
        <v>0</v>
      </c>
      <c r="AG1326">
        <v>0</v>
      </c>
      <c r="AH1326">
        <v>0</v>
      </c>
      <c r="AI1326">
        <v>0</v>
      </c>
      <c r="AJ1326">
        <v>0</v>
      </c>
      <c r="AK1326">
        <v>0</v>
      </c>
      <c r="AZ1326" t="s">
        <v>120</v>
      </c>
      <c r="BA1326" t="s">
        <v>86</v>
      </c>
      <c r="BB1326" t="s">
        <v>86</v>
      </c>
      <c r="BC1326" t="s">
        <v>86</v>
      </c>
      <c r="BD1326" t="s">
        <v>86</v>
      </c>
      <c r="BE1326" t="s">
        <v>86</v>
      </c>
      <c r="BF1326" t="s">
        <v>97</v>
      </c>
      <c r="BG1326" t="s">
        <v>76</v>
      </c>
      <c r="BH1326" t="s">
        <v>98</v>
      </c>
      <c r="BI1326" t="s">
        <v>120</v>
      </c>
      <c r="BJ1326" t="s">
        <v>102</v>
      </c>
      <c r="BK1326">
        <v>0</v>
      </c>
      <c r="BL1326">
        <v>0</v>
      </c>
      <c r="BM1326">
        <v>0</v>
      </c>
      <c r="BN1326">
        <v>0</v>
      </c>
      <c r="BO1326">
        <v>0</v>
      </c>
      <c r="BP1326">
        <v>1</v>
      </c>
      <c r="BQ1326">
        <v>0</v>
      </c>
      <c r="BR1326">
        <v>0</v>
      </c>
    </row>
    <row r="1327" spans="1:70" x14ac:dyDescent="0.2">
      <c r="A1327" s="1">
        <v>44582.612500000003</v>
      </c>
      <c r="B1327" s="1">
        <v>44582.614583333336</v>
      </c>
      <c r="C1327">
        <v>0</v>
      </c>
      <c r="D1327">
        <v>1</v>
      </c>
      <c r="E1327">
        <v>0</v>
      </c>
      <c r="F1327">
        <v>0</v>
      </c>
      <c r="H1327">
        <v>0</v>
      </c>
      <c r="I1327">
        <v>1</v>
      </c>
      <c r="J1327">
        <v>0</v>
      </c>
      <c r="K1327">
        <v>1</v>
      </c>
      <c r="L1327">
        <v>0</v>
      </c>
      <c r="N1327" t="s">
        <v>88</v>
      </c>
      <c r="O1327" t="s">
        <v>89</v>
      </c>
      <c r="P1327">
        <v>0</v>
      </c>
      <c r="Q1327">
        <v>0</v>
      </c>
      <c r="R1327">
        <v>0</v>
      </c>
      <c r="S1327">
        <v>0</v>
      </c>
      <c r="T1327">
        <v>0</v>
      </c>
      <c r="U1327">
        <v>0</v>
      </c>
      <c r="V1327">
        <v>0</v>
      </c>
      <c r="W1327">
        <v>0</v>
      </c>
      <c r="X1327">
        <v>0</v>
      </c>
      <c r="Y1327">
        <v>0</v>
      </c>
      <c r="Z1327">
        <v>0</v>
      </c>
      <c r="AA1327">
        <v>1</v>
      </c>
      <c r="AB1327" t="s">
        <v>551</v>
      </c>
      <c r="AM1327" t="s">
        <v>83</v>
      </c>
      <c r="AN1327" t="s">
        <v>82</v>
      </c>
      <c r="AO1327" t="s">
        <v>81</v>
      </c>
      <c r="AP1327" t="s">
        <v>82</v>
      </c>
      <c r="AQ1327" t="s">
        <v>82</v>
      </c>
      <c r="AR1327" t="s">
        <v>83</v>
      </c>
      <c r="AS1327" t="s">
        <v>81</v>
      </c>
      <c r="AT1327" t="s">
        <v>83</v>
      </c>
      <c r="AU1327" t="s">
        <v>127</v>
      </c>
      <c r="AV1327" t="s">
        <v>127</v>
      </c>
      <c r="AX1327" t="s">
        <v>242</v>
      </c>
      <c r="AZ1327" t="s">
        <v>96</v>
      </c>
      <c r="BA1327" t="s">
        <v>87</v>
      </c>
      <c r="BB1327" t="s">
        <v>87</v>
      </c>
      <c r="BC1327" t="s">
        <v>87</v>
      </c>
      <c r="BD1327" t="s">
        <v>87</v>
      </c>
      <c r="BE1327" t="s">
        <v>87</v>
      </c>
      <c r="BF1327" t="s">
        <v>75</v>
      </c>
      <c r="BG1327" t="s">
        <v>92</v>
      </c>
      <c r="BH1327" t="s">
        <v>77</v>
      </c>
      <c r="BI1327" t="s">
        <v>96</v>
      </c>
      <c r="BJ1327" t="s">
        <v>147</v>
      </c>
      <c r="BK1327">
        <v>0</v>
      </c>
      <c r="BL1327">
        <v>0</v>
      </c>
      <c r="BM1327">
        <v>0</v>
      </c>
      <c r="BN1327">
        <v>0</v>
      </c>
      <c r="BO1327">
        <v>0</v>
      </c>
      <c r="BP1327">
        <v>1</v>
      </c>
      <c r="BQ1327">
        <v>0</v>
      </c>
      <c r="BR1327">
        <v>0</v>
      </c>
    </row>
    <row r="1328" spans="1:70" x14ac:dyDescent="0.2">
      <c r="A1328" s="1">
        <v>44580.165972222225</v>
      </c>
      <c r="B1328" s="1">
        <v>44580.168749999997</v>
      </c>
      <c r="C1328">
        <v>1</v>
      </c>
      <c r="D1328">
        <v>0</v>
      </c>
      <c r="E1328">
        <v>0</v>
      </c>
      <c r="F1328">
        <v>0</v>
      </c>
      <c r="H1328">
        <v>0</v>
      </c>
      <c r="I1328">
        <v>0</v>
      </c>
      <c r="J1328">
        <v>1</v>
      </c>
      <c r="K1328">
        <v>1</v>
      </c>
      <c r="L1328">
        <v>1</v>
      </c>
      <c r="M1328" t="s">
        <v>552</v>
      </c>
      <c r="N1328" t="s">
        <v>88</v>
      </c>
      <c r="O1328" t="s">
        <v>89</v>
      </c>
      <c r="P1328">
        <v>0</v>
      </c>
      <c r="Q1328">
        <v>0</v>
      </c>
      <c r="R1328">
        <v>1</v>
      </c>
      <c r="S1328">
        <v>0</v>
      </c>
      <c r="T1328">
        <v>0</v>
      </c>
      <c r="U1328">
        <v>0</v>
      </c>
      <c r="V1328">
        <v>0</v>
      </c>
      <c r="W1328">
        <v>0</v>
      </c>
      <c r="X1328">
        <v>0</v>
      </c>
      <c r="Y1328">
        <v>0</v>
      </c>
      <c r="Z1328">
        <v>0</v>
      </c>
      <c r="AA1328">
        <v>0</v>
      </c>
      <c r="AM1328" t="s">
        <v>90</v>
      </c>
      <c r="AN1328" t="s">
        <v>81</v>
      </c>
      <c r="AO1328" t="s">
        <v>81</v>
      </c>
      <c r="AP1328" t="s">
        <v>82</v>
      </c>
      <c r="AQ1328" t="s">
        <v>83</v>
      </c>
      <c r="AR1328" t="s">
        <v>90</v>
      </c>
      <c r="AS1328" t="s">
        <v>83</v>
      </c>
      <c r="AT1328" t="s">
        <v>90</v>
      </c>
      <c r="AU1328" t="s">
        <v>88</v>
      </c>
      <c r="AV1328" t="s">
        <v>89</v>
      </c>
      <c r="AW1328" t="s">
        <v>85</v>
      </c>
      <c r="AZ1328" t="s">
        <v>107</v>
      </c>
      <c r="BA1328" t="s">
        <v>86</v>
      </c>
      <c r="BB1328" t="s">
        <v>86</v>
      </c>
      <c r="BC1328" t="s">
        <v>86</v>
      </c>
      <c r="BD1328" t="s">
        <v>87</v>
      </c>
      <c r="BE1328" t="s">
        <v>86</v>
      </c>
      <c r="BF1328" t="s">
        <v>97</v>
      </c>
      <c r="BG1328" t="s">
        <v>92</v>
      </c>
      <c r="BH1328" t="s">
        <v>98</v>
      </c>
      <c r="BI1328" t="s">
        <v>107</v>
      </c>
      <c r="BK1328">
        <v>0</v>
      </c>
      <c r="BL1328">
        <v>0</v>
      </c>
      <c r="BM1328">
        <v>0</v>
      </c>
      <c r="BN1328">
        <v>0</v>
      </c>
      <c r="BO1328">
        <v>0</v>
      </c>
      <c r="BP1328">
        <v>1</v>
      </c>
      <c r="BQ1328">
        <v>0</v>
      </c>
      <c r="BR1328">
        <v>0</v>
      </c>
    </row>
    <row r="1329" spans="1:72" x14ac:dyDescent="0.2">
      <c r="A1329" s="1">
        <v>44585.568055555559</v>
      </c>
      <c r="B1329" s="1">
        <v>44585.570138888892</v>
      </c>
      <c r="C1329">
        <v>1</v>
      </c>
      <c r="D1329">
        <v>0</v>
      </c>
      <c r="E1329">
        <v>0</v>
      </c>
      <c r="F1329">
        <v>0</v>
      </c>
      <c r="H1329">
        <v>0</v>
      </c>
      <c r="I1329">
        <v>1</v>
      </c>
      <c r="J1329">
        <v>0</v>
      </c>
      <c r="K1329">
        <v>1</v>
      </c>
      <c r="L1329">
        <v>0</v>
      </c>
      <c r="N1329" t="s">
        <v>88</v>
      </c>
      <c r="O1329" t="s">
        <v>80</v>
      </c>
      <c r="P1329">
        <v>1</v>
      </c>
      <c r="Q1329">
        <v>0</v>
      </c>
      <c r="R1329">
        <v>0</v>
      </c>
      <c r="S1329">
        <v>0</v>
      </c>
      <c r="T1329">
        <v>0</v>
      </c>
      <c r="U1329">
        <v>0</v>
      </c>
      <c r="V1329">
        <v>0</v>
      </c>
      <c r="W1329">
        <v>0</v>
      </c>
      <c r="X1329">
        <v>0</v>
      </c>
      <c r="Y1329">
        <v>0</v>
      </c>
      <c r="Z1329">
        <v>0</v>
      </c>
      <c r="AA1329">
        <v>0</v>
      </c>
      <c r="AC1329">
        <v>0</v>
      </c>
      <c r="AD1329">
        <v>1</v>
      </c>
      <c r="AE1329">
        <v>0</v>
      </c>
      <c r="AF1329">
        <v>0</v>
      </c>
      <c r="AG1329">
        <v>0</v>
      </c>
      <c r="AH1329">
        <v>0</v>
      </c>
      <c r="AI1329">
        <v>0</v>
      </c>
      <c r="AJ1329">
        <v>0</v>
      </c>
      <c r="AK1329">
        <v>0</v>
      </c>
      <c r="AZ1329" t="s">
        <v>96</v>
      </c>
      <c r="BA1329" t="s">
        <v>86</v>
      </c>
      <c r="BB1329" t="s">
        <v>86</v>
      </c>
      <c r="BC1329" t="s">
        <v>74</v>
      </c>
      <c r="BD1329" t="s">
        <v>87</v>
      </c>
      <c r="BE1329" t="s">
        <v>74</v>
      </c>
      <c r="BF1329" t="s">
        <v>97</v>
      </c>
      <c r="BG1329" t="s">
        <v>76</v>
      </c>
      <c r="BH1329" t="s">
        <v>98</v>
      </c>
      <c r="BI1329" t="s">
        <v>96</v>
      </c>
      <c r="BJ1329" t="s">
        <v>78</v>
      </c>
      <c r="BK1329">
        <v>0</v>
      </c>
      <c r="BL1329">
        <v>0</v>
      </c>
      <c r="BM1329">
        <v>0</v>
      </c>
      <c r="BN1329">
        <v>0</v>
      </c>
      <c r="BO1329">
        <v>0</v>
      </c>
      <c r="BP1329">
        <v>1</v>
      </c>
      <c r="BQ1329">
        <v>0</v>
      </c>
      <c r="BR1329">
        <v>0</v>
      </c>
    </row>
    <row r="1330" spans="1:72" x14ac:dyDescent="0.2">
      <c r="A1330" s="1">
        <v>44579.94027777778</v>
      </c>
      <c r="B1330" s="1">
        <v>44579.943749999999</v>
      </c>
      <c r="C1330">
        <v>1</v>
      </c>
      <c r="D1330">
        <v>0</v>
      </c>
      <c r="E1330">
        <v>0</v>
      </c>
      <c r="F1330">
        <v>0</v>
      </c>
      <c r="H1330">
        <v>0</v>
      </c>
      <c r="I1330">
        <v>1</v>
      </c>
      <c r="J1330">
        <v>1</v>
      </c>
      <c r="K1330">
        <v>1</v>
      </c>
      <c r="L1330">
        <v>1</v>
      </c>
      <c r="M1330" t="s">
        <v>553</v>
      </c>
      <c r="N1330" t="s">
        <v>88</v>
      </c>
      <c r="O1330" t="s">
        <v>89</v>
      </c>
      <c r="P1330">
        <v>0</v>
      </c>
      <c r="Q1330">
        <v>0</v>
      </c>
      <c r="R1330">
        <v>1</v>
      </c>
      <c r="S1330">
        <v>0</v>
      </c>
      <c r="T1330">
        <v>0</v>
      </c>
      <c r="U1330">
        <v>0</v>
      </c>
      <c r="V1330">
        <v>0</v>
      </c>
      <c r="W1330">
        <v>0</v>
      </c>
      <c r="X1330">
        <v>0</v>
      </c>
      <c r="Y1330">
        <v>0</v>
      </c>
      <c r="Z1330">
        <v>0</v>
      </c>
      <c r="AA1330">
        <v>0</v>
      </c>
      <c r="AM1330" t="s">
        <v>82</v>
      </c>
      <c r="AN1330" t="s">
        <v>82</v>
      </c>
      <c r="AO1330" t="s">
        <v>82</v>
      </c>
      <c r="AP1330" t="s">
        <v>82</v>
      </c>
      <c r="AQ1330" t="s">
        <v>81</v>
      </c>
      <c r="AR1330" t="s">
        <v>81</v>
      </c>
      <c r="AS1330" t="s">
        <v>81</v>
      </c>
      <c r="AT1330" t="s">
        <v>83</v>
      </c>
      <c r="AU1330" t="s">
        <v>88</v>
      </c>
      <c r="AV1330" t="s">
        <v>89</v>
      </c>
      <c r="AW1330" t="s">
        <v>85</v>
      </c>
      <c r="AZ1330" t="s">
        <v>73</v>
      </c>
      <c r="BA1330" t="s">
        <v>87</v>
      </c>
      <c r="BB1330" t="s">
        <v>87</v>
      </c>
      <c r="BC1330" t="s">
        <v>87</v>
      </c>
      <c r="BD1330" t="s">
        <v>87</v>
      </c>
      <c r="BE1330" t="s">
        <v>87</v>
      </c>
      <c r="BF1330" t="s">
        <v>97</v>
      </c>
      <c r="BG1330" t="s">
        <v>76</v>
      </c>
      <c r="BH1330" t="s">
        <v>158</v>
      </c>
      <c r="BI1330" t="s">
        <v>73</v>
      </c>
      <c r="BK1330">
        <v>0</v>
      </c>
      <c r="BL1330">
        <v>0</v>
      </c>
      <c r="BM1330">
        <v>0</v>
      </c>
      <c r="BN1330">
        <v>0</v>
      </c>
      <c r="BO1330">
        <v>0</v>
      </c>
      <c r="BP1330">
        <v>1</v>
      </c>
      <c r="BQ1330">
        <v>0</v>
      </c>
      <c r="BR1330">
        <v>0</v>
      </c>
    </row>
    <row r="1331" spans="1:72" x14ac:dyDescent="0.2">
      <c r="A1331" s="1">
        <v>44589.598611111112</v>
      </c>
      <c r="B1331" s="1">
        <v>44589.600694444445</v>
      </c>
      <c r="C1331">
        <v>0</v>
      </c>
      <c r="D1331">
        <v>1</v>
      </c>
      <c r="E1331">
        <v>0</v>
      </c>
      <c r="F1331">
        <v>0</v>
      </c>
      <c r="H1331">
        <v>1</v>
      </c>
      <c r="I1331">
        <v>0</v>
      </c>
      <c r="J1331">
        <v>0</v>
      </c>
      <c r="K1331">
        <v>0</v>
      </c>
      <c r="L1331">
        <v>0</v>
      </c>
      <c r="P1331">
        <v>1</v>
      </c>
      <c r="Q1331">
        <v>0</v>
      </c>
      <c r="R1331">
        <v>0</v>
      </c>
      <c r="S1331">
        <v>0</v>
      </c>
      <c r="T1331">
        <v>0</v>
      </c>
      <c r="U1331">
        <v>0</v>
      </c>
      <c r="V1331">
        <v>0</v>
      </c>
      <c r="W1331">
        <v>0</v>
      </c>
      <c r="X1331">
        <v>0</v>
      </c>
      <c r="Y1331">
        <v>0</v>
      </c>
      <c r="Z1331">
        <v>0</v>
      </c>
      <c r="AA1331">
        <v>0</v>
      </c>
      <c r="AC1331">
        <v>0</v>
      </c>
      <c r="AD1331">
        <v>0</v>
      </c>
      <c r="AE1331">
        <v>0</v>
      </c>
      <c r="AF1331">
        <v>0</v>
      </c>
      <c r="AG1331">
        <v>0</v>
      </c>
      <c r="AH1331">
        <v>1</v>
      </c>
      <c r="AI1331">
        <v>0</v>
      </c>
      <c r="AJ1331">
        <v>0</v>
      </c>
      <c r="AK1331">
        <v>0</v>
      </c>
      <c r="AZ1331" t="s">
        <v>107</v>
      </c>
      <c r="BA1331" t="s">
        <v>86</v>
      </c>
      <c r="BB1331" t="s">
        <v>86</v>
      </c>
      <c r="BC1331" t="s">
        <v>86</v>
      </c>
      <c r="BD1331" t="s">
        <v>86</v>
      </c>
      <c r="BE1331" t="s">
        <v>86</v>
      </c>
      <c r="BF1331" t="s">
        <v>97</v>
      </c>
      <c r="BG1331" t="s">
        <v>76</v>
      </c>
      <c r="BH1331" t="s">
        <v>98</v>
      </c>
      <c r="BI1331" t="s">
        <v>107</v>
      </c>
      <c r="BJ1331" t="s">
        <v>78</v>
      </c>
      <c r="BK1331">
        <v>0</v>
      </c>
      <c r="BL1331">
        <v>0</v>
      </c>
      <c r="BM1331">
        <v>0</v>
      </c>
      <c r="BN1331">
        <v>0</v>
      </c>
      <c r="BO1331">
        <v>0</v>
      </c>
      <c r="BP1331">
        <v>1</v>
      </c>
      <c r="BQ1331">
        <v>0</v>
      </c>
      <c r="BR1331">
        <v>0</v>
      </c>
    </row>
    <row r="1332" spans="1:72" x14ac:dyDescent="0.2">
      <c r="A1332" s="1">
        <v>44579.900694444441</v>
      </c>
      <c r="B1332" s="1">
        <v>44579.902777777781</v>
      </c>
      <c r="C1332">
        <v>1</v>
      </c>
      <c r="D1332">
        <v>0</v>
      </c>
      <c r="E1332">
        <v>0</v>
      </c>
      <c r="F1332">
        <v>0</v>
      </c>
      <c r="H1332">
        <v>0</v>
      </c>
      <c r="I1332">
        <v>1</v>
      </c>
      <c r="J1332">
        <v>0</v>
      </c>
      <c r="K1332">
        <v>0</v>
      </c>
      <c r="L1332">
        <v>0</v>
      </c>
      <c r="N1332" t="s">
        <v>135</v>
      </c>
      <c r="O1332" t="s">
        <v>80</v>
      </c>
      <c r="P1332">
        <v>1</v>
      </c>
      <c r="Q1332">
        <v>0</v>
      </c>
      <c r="R1332">
        <v>0</v>
      </c>
      <c r="S1332">
        <v>0</v>
      </c>
      <c r="T1332">
        <v>0</v>
      </c>
      <c r="U1332">
        <v>0</v>
      </c>
      <c r="V1332">
        <v>0</v>
      </c>
      <c r="W1332">
        <v>0</v>
      </c>
      <c r="X1332">
        <v>0</v>
      </c>
      <c r="Y1332">
        <v>0</v>
      </c>
      <c r="Z1332">
        <v>0</v>
      </c>
      <c r="AA1332">
        <v>0</v>
      </c>
      <c r="AC1332">
        <v>0</v>
      </c>
      <c r="AD1332">
        <v>0</v>
      </c>
      <c r="AE1332">
        <v>1</v>
      </c>
      <c r="AF1332">
        <v>0</v>
      </c>
      <c r="AG1332">
        <v>0</v>
      </c>
      <c r="AH1332">
        <v>0</v>
      </c>
      <c r="AI1332">
        <v>0</v>
      </c>
      <c r="AJ1332">
        <v>0</v>
      </c>
      <c r="AK1332">
        <v>0</v>
      </c>
      <c r="AX1332" t="s">
        <v>110</v>
      </c>
      <c r="AY1332" t="s">
        <v>226</v>
      </c>
      <c r="AZ1332" t="s">
        <v>120</v>
      </c>
      <c r="BA1332" t="s">
        <v>87</v>
      </c>
      <c r="BB1332" t="s">
        <v>86</v>
      </c>
      <c r="BC1332" t="s">
        <v>87</v>
      </c>
      <c r="BD1332" t="s">
        <v>74</v>
      </c>
      <c r="BE1332" t="s">
        <v>74</v>
      </c>
      <c r="BF1332" t="s">
        <v>108</v>
      </c>
      <c r="BG1332" t="s">
        <v>92</v>
      </c>
      <c r="BH1332" t="s">
        <v>98</v>
      </c>
      <c r="BI1332" t="s">
        <v>120</v>
      </c>
      <c r="BK1332">
        <v>0</v>
      </c>
      <c r="BL1332">
        <v>0</v>
      </c>
      <c r="BM1332">
        <v>0</v>
      </c>
      <c r="BN1332">
        <v>0</v>
      </c>
      <c r="BO1332">
        <v>0</v>
      </c>
      <c r="BP1332">
        <v>1</v>
      </c>
      <c r="BQ1332">
        <v>0</v>
      </c>
      <c r="BR1332">
        <v>0</v>
      </c>
      <c r="BT1332" t="s">
        <v>109</v>
      </c>
    </row>
    <row r="1333" spans="1:72" x14ac:dyDescent="0.2">
      <c r="A1333" s="1">
        <v>44585.934027777781</v>
      </c>
      <c r="B1333" s="1">
        <v>44585.9375</v>
      </c>
      <c r="C1333">
        <v>0</v>
      </c>
      <c r="D1333">
        <v>1</v>
      </c>
      <c r="E1333">
        <v>0</v>
      </c>
      <c r="F1333">
        <v>0</v>
      </c>
      <c r="H1333">
        <v>0</v>
      </c>
      <c r="I1333">
        <v>1</v>
      </c>
      <c r="J1333">
        <v>0</v>
      </c>
      <c r="K1333">
        <v>0</v>
      </c>
      <c r="L1333">
        <v>0</v>
      </c>
      <c r="N1333" t="s">
        <v>88</v>
      </c>
      <c r="O1333" t="s">
        <v>89</v>
      </c>
      <c r="P1333">
        <v>0</v>
      </c>
      <c r="Q1333">
        <v>1</v>
      </c>
      <c r="R1333">
        <v>0</v>
      </c>
      <c r="S1333">
        <v>0</v>
      </c>
      <c r="T1333">
        <v>0</v>
      </c>
      <c r="U1333">
        <v>0</v>
      </c>
      <c r="V1333">
        <v>0</v>
      </c>
      <c r="W1333">
        <v>0</v>
      </c>
      <c r="X1333">
        <v>0</v>
      </c>
      <c r="Y1333">
        <v>0</v>
      </c>
      <c r="Z1333">
        <v>0</v>
      </c>
      <c r="AA1333">
        <v>0</v>
      </c>
      <c r="AM1333" t="s">
        <v>83</v>
      </c>
      <c r="AN1333" t="s">
        <v>82</v>
      </c>
      <c r="AO1333" t="s">
        <v>82</v>
      </c>
      <c r="AP1333" t="s">
        <v>90</v>
      </c>
      <c r="AQ1333" t="s">
        <v>81</v>
      </c>
      <c r="AR1333" t="s">
        <v>81</v>
      </c>
      <c r="AS1333" t="s">
        <v>83</v>
      </c>
      <c r="AT1333" t="s">
        <v>83</v>
      </c>
      <c r="AU1333" t="s">
        <v>88</v>
      </c>
      <c r="AV1333" t="s">
        <v>89</v>
      </c>
      <c r="AW1333" t="s">
        <v>100</v>
      </c>
      <c r="AZ1333" t="s">
        <v>96</v>
      </c>
      <c r="BA1333" t="s">
        <v>87</v>
      </c>
      <c r="BB1333" t="s">
        <v>74</v>
      </c>
      <c r="BC1333" t="s">
        <v>87</v>
      </c>
      <c r="BD1333" t="s">
        <v>87</v>
      </c>
      <c r="BE1333" t="s">
        <v>74</v>
      </c>
      <c r="BF1333" t="s">
        <v>101</v>
      </c>
      <c r="BG1333" t="s">
        <v>92</v>
      </c>
      <c r="BH1333" t="s">
        <v>98</v>
      </c>
      <c r="BI1333" t="s">
        <v>96</v>
      </c>
      <c r="BJ1333" t="s">
        <v>129</v>
      </c>
      <c r="BK1333">
        <v>0</v>
      </c>
      <c r="BL1333">
        <v>0</v>
      </c>
      <c r="BM1333">
        <v>0</v>
      </c>
      <c r="BN1333">
        <v>0</v>
      </c>
      <c r="BO1333">
        <v>0</v>
      </c>
      <c r="BP1333">
        <v>1</v>
      </c>
      <c r="BQ1333">
        <v>0</v>
      </c>
      <c r="BR1333">
        <v>0</v>
      </c>
    </row>
    <row r="1334" spans="1:72" x14ac:dyDescent="0.2">
      <c r="A1334" s="1">
        <v>44579.87777777778</v>
      </c>
      <c r="B1334" s="1">
        <v>44579.879166666666</v>
      </c>
      <c r="C1334">
        <v>1</v>
      </c>
      <c r="D1334">
        <v>0</v>
      </c>
      <c r="E1334">
        <v>0</v>
      </c>
      <c r="F1334">
        <v>0</v>
      </c>
      <c r="H1334">
        <v>0</v>
      </c>
      <c r="I1334">
        <v>0</v>
      </c>
      <c r="J1334">
        <v>0</v>
      </c>
      <c r="K1334">
        <v>0</v>
      </c>
      <c r="L1334">
        <v>1</v>
      </c>
      <c r="M1334" t="s">
        <v>554</v>
      </c>
      <c r="N1334" t="s">
        <v>88</v>
      </c>
      <c r="O1334" t="s">
        <v>89</v>
      </c>
      <c r="P1334">
        <v>1</v>
      </c>
      <c r="Q1334">
        <v>0</v>
      </c>
      <c r="R1334">
        <v>0</v>
      </c>
      <c r="S1334">
        <v>0</v>
      </c>
      <c r="T1334">
        <v>0</v>
      </c>
      <c r="U1334">
        <v>0</v>
      </c>
      <c r="V1334">
        <v>0</v>
      </c>
      <c r="W1334">
        <v>0</v>
      </c>
      <c r="X1334">
        <v>0</v>
      </c>
      <c r="Y1334">
        <v>0</v>
      </c>
      <c r="Z1334">
        <v>0</v>
      </c>
      <c r="AA1334">
        <v>0</v>
      </c>
      <c r="AC1334">
        <v>0</v>
      </c>
      <c r="AD1334">
        <v>1</v>
      </c>
      <c r="AE1334">
        <v>0</v>
      </c>
      <c r="AF1334">
        <v>0</v>
      </c>
      <c r="AG1334">
        <v>0</v>
      </c>
      <c r="AH1334">
        <v>0</v>
      </c>
      <c r="AI1334">
        <v>0</v>
      </c>
      <c r="AJ1334">
        <v>0</v>
      </c>
      <c r="AK1334">
        <v>0</v>
      </c>
      <c r="AZ1334" t="s">
        <v>96</v>
      </c>
      <c r="BA1334" t="s">
        <v>86</v>
      </c>
      <c r="BB1334" t="s">
        <v>74</v>
      </c>
      <c r="BC1334" t="s">
        <v>87</v>
      </c>
      <c r="BD1334" t="s">
        <v>86</v>
      </c>
      <c r="BE1334" t="s">
        <v>86</v>
      </c>
      <c r="BF1334" t="s">
        <v>159</v>
      </c>
      <c r="BG1334" t="s">
        <v>76</v>
      </c>
      <c r="BH1334" t="s">
        <v>98</v>
      </c>
      <c r="BI1334" t="s">
        <v>96</v>
      </c>
      <c r="BJ1334" t="s">
        <v>147</v>
      </c>
      <c r="BK1334">
        <v>0</v>
      </c>
      <c r="BL1334">
        <v>0</v>
      </c>
      <c r="BM1334">
        <v>0</v>
      </c>
      <c r="BN1334">
        <v>0</v>
      </c>
      <c r="BO1334">
        <v>0</v>
      </c>
      <c r="BP1334">
        <v>1</v>
      </c>
      <c r="BQ1334">
        <v>0</v>
      </c>
      <c r="BR1334">
        <v>0</v>
      </c>
    </row>
    <row r="1335" spans="1:72" x14ac:dyDescent="0.2">
      <c r="A1335" s="1">
        <v>44580.130555555559</v>
      </c>
      <c r="B1335" s="1">
        <v>44580.132638888892</v>
      </c>
      <c r="C1335">
        <v>1</v>
      </c>
      <c r="D1335">
        <v>0</v>
      </c>
      <c r="E1335">
        <v>0</v>
      </c>
      <c r="F1335">
        <v>0</v>
      </c>
      <c r="H1335">
        <v>0</v>
      </c>
      <c r="I1335">
        <v>0</v>
      </c>
      <c r="J1335">
        <v>0</v>
      </c>
      <c r="K1335">
        <v>0</v>
      </c>
      <c r="L1335">
        <v>1</v>
      </c>
      <c r="M1335" t="s">
        <v>555</v>
      </c>
      <c r="N1335" t="s">
        <v>79</v>
      </c>
      <c r="O1335" t="s">
        <v>80</v>
      </c>
      <c r="P1335">
        <v>1</v>
      </c>
      <c r="Q1335">
        <v>0</v>
      </c>
      <c r="R1335">
        <v>0</v>
      </c>
      <c r="S1335">
        <v>0</v>
      </c>
      <c r="T1335">
        <v>0</v>
      </c>
      <c r="U1335">
        <v>0</v>
      </c>
      <c r="V1335">
        <v>0</v>
      </c>
      <c r="W1335">
        <v>0</v>
      </c>
      <c r="X1335">
        <v>0</v>
      </c>
      <c r="Y1335">
        <v>0</v>
      </c>
      <c r="Z1335">
        <v>0</v>
      </c>
      <c r="AA1335">
        <v>0</v>
      </c>
      <c r="AC1335">
        <v>0</v>
      </c>
      <c r="AD1335">
        <v>0</v>
      </c>
      <c r="AE1335">
        <v>0</v>
      </c>
      <c r="AF1335">
        <v>0</v>
      </c>
      <c r="AG1335">
        <v>0</v>
      </c>
      <c r="AH1335">
        <v>0</v>
      </c>
      <c r="AI1335">
        <v>0</v>
      </c>
      <c r="AJ1335">
        <v>0</v>
      </c>
      <c r="AK1335">
        <v>1</v>
      </c>
      <c r="AL1335" t="s">
        <v>556</v>
      </c>
      <c r="AZ1335" t="s">
        <v>73</v>
      </c>
      <c r="BA1335" t="s">
        <v>86</v>
      </c>
      <c r="BB1335" t="s">
        <v>86</v>
      </c>
      <c r="BC1335" t="s">
        <v>74</v>
      </c>
      <c r="BD1335" t="s">
        <v>74</v>
      </c>
      <c r="BE1335" t="s">
        <v>87</v>
      </c>
      <c r="BF1335" t="s">
        <v>97</v>
      </c>
      <c r="BG1335" t="s">
        <v>225</v>
      </c>
      <c r="BH1335" t="s">
        <v>158</v>
      </c>
      <c r="BI1335" t="s">
        <v>73</v>
      </c>
      <c r="BJ1335" t="s">
        <v>165</v>
      </c>
      <c r="BK1335">
        <v>0</v>
      </c>
      <c r="BL1335">
        <v>0</v>
      </c>
      <c r="BM1335">
        <v>0</v>
      </c>
      <c r="BN1335">
        <v>0</v>
      </c>
      <c r="BO1335">
        <v>0</v>
      </c>
      <c r="BP1335">
        <v>0</v>
      </c>
      <c r="BQ1335">
        <v>0</v>
      </c>
      <c r="BR1335">
        <v>1</v>
      </c>
    </row>
    <row r="1336" spans="1:72" ht="32" x14ac:dyDescent="0.2">
      <c r="A1336" s="1">
        <v>44579.916666666664</v>
      </c>
      <c r="B1336" s="1">
        <v>44579.918749999997</v>
      </c>
      <c r="C1336">
        <v>0</v>
      </c>
      <c r="D1336">
        <v>0</v>
      </c>
      <c r="E1336">
        <v>1</v>
      </c>
      <c r="F1336">
        <v>0</v>
      </c>
      <c r="G1336" t="s">
        <v>557</v>
      </c>
      <c r="H1336">
        <v>1</v>
      </c>
      <c r="I1336">
        <v>0</v>
      </c>
      <c r="J1336">
        <v>0</v>
      </c>
      <c r="K1336">
        <v>0</v>
      </c>
      <c r="L1336">
        <v>0</v>
      </c>
      <c r="P1336">
        <v>1</v>
      </c>
      <c r="Q1336">
        <v>0</v>
      </c>
      <c r="R1336">
        <v>0</v>
      </c>
      <c r="S1336">
        <v>0</v>
      </c>
      <c r="T1336">
        <v>0</v>
      </c>
      <c r="U1336">
        <v>0</v>
      </c>
      <c r="V1336">
        <v>0</v>
      </c>
      <c r="W1336">
        <v>0</v>
      </c>
      <c r="X1336">
        <v>0</v>
      </c>
      <c r="Y1336">
        <v>0</v>
      </c>
      <c r="Z1336">
        <v>0</v>
      </c>
      <c r="AA1336">
        <v>0</v>
      </c>
      <c r="AC1336">
        <v>0</v>
      </c>
      <c r="AD1336">
        <v>0</v>
      </c>
      <c r="AE1336">
        <v>1</v>
      </c>
      <c r="AF1336">
        <v>0</v>
      </c>
      <c r="AG1336">
        <v>0</v>
      </c>
      <c r="AH1336">
        <v>1</v>
      </c>
      <c r="AI1336">
        <v>0</v>
      </c>
      <c r="AJ1336">
        <v>0</v>
      </c>
      <c r="AK1336">
        <v>1</v>
      </c>
      <c r="AL1336" s="2" t="s">
        <v>558</v>
      </c>
      <c r="AX1336" t="s">
        <v>110</v>
      </c>
      <c r="AY1336" t="s">
        <v>559</v>
      </c>
      <c r="AZ1336" t="s">
        <v>73</v>
      </c>
      <c r="BA1336" t="s">
        <v>86</v>
      </c>
      <c r="BB1336" t="s">
        <v>87</v>
      </c>
      <c r="BC1336" t="s">
        <v>87</v>
      </c>
      <c r="BD1336" t="s">
        <v>87</v>
      </c>
      <c r="BE1336" t="s">
        <v>87</v>
      </c>
      <c r="BF1336" t="s">
        <v>108</v>
      </c>
      <c r="BG1336" t="s">
        <v>76</v>
      </c>
      <c r="BH1336" t="s">
        <v>158</v>
      </c>
      <c r="BI1336" t="s">
        <v>73</v>
      </c>
      <c r="BJ1336" t="s">
        <v>114</v>
      </c>
      <c r="BK1336">
        <v>0</v>
      </c>
      <c r="BL1336">
        <v>0</v>
      </c>
      <c r="BM1336">
        <v>0</v>
      </c>
      <c r="BN1336">
        <v>0</v>
      </c>
      <c r="BO1336">
        <v>0</v>
      </c>
      <c r="BP1336">
        <v>1</v>
      </c>
      <c r="BQ1336">
        <v>0</v>
      </c>
      <c r="BR1336">
        <v>0</v>
      </c>
    </row>
    <row r="1337" spans="1:72" x14ac:dyDescent="0.2">
      <c r="A1337" s="1">
        <v>44581.97152777778</v>
      </c>
      <c r="B1337" s="1">
        <v>44581.974305555559</v>
      </c>
      <c r="C1337">
        <v>0</v>
      </c>
      <c r="D1337">
        <v>1</v>
      </c>
      <c r="E1337">
        <v>0</v>
      </c>
      <c r="F1337">
        <v>0</v>
      </c>
      <c r="H1337">
        <v>0</v>
      </c>
      <c r="I1337">
        <v>1</v>
      </c>
      <c r="J1337">
        <v>0</v>
      </c>
      <c r="K1337">
        <v>0</v>
      </c>
      <c r="L1337">
        <v>0</v>
      </c>
      <c r="N1337" t="s">
        <v>88</v>
      </c>
      <c r="O1337" t="s">
        <v>80</v>
      </c>
      <c r="P1337">
        <v>0</v>
      </c>
      <c r="Q1337">
        <v>1</v>
      </c>
      <c r="R1337">
        <v>0</v>
      </c>
      <c r="S1337">
        <v>0</v>
      </c>
      <c r="T1337">
        <v>0</v>
      </c>
      <c r="U1337">
        <v>0</v>
      </c>
      <c r="V1337">
        <v>0</v>
      </c>
      <c r="W1337">
        <v>0</v>
      </c>
      <c r="X1337">
        <v>0</v>
      </c>
      <c r="Y1337">
        <v>0</v>
      </c>
      <c r="Z1337">
        <v>0</v>
      </c>
      <c r="AA1337">
        <v>0</v>
      </c>
      <c r="AM1337" t="s">
        <v>83</v>
      </c>
      <c r="AN1337" t="s">
        <v>81</v>
      </c>
      <c r="AO1337" t="s">
        <v>82</v>
      </c>
      <c r="AP1337" t="s">
        <v>83</v>
      </c>
      <c r="AQ1337" t="s">
        <v>83</v>
      </c>
      <c r="AR1337" t="s">
        <v>83</v>
      </c>
      <c r="AS1337" t="s">
        <v>83</v>
      </c>
      <c r="AT1337" t="s">
        <v>83</v>
      </c>
      <c r="AU1337" t="s">
        <v>88</v>
      </c>
      <c r="AV1337" t="s">
        <v>89</v>
      </c>
      <c r="AW1337" t="s">
        <v>100</v>
      </c>
      <c r="AX1337" t="s">
        <v>170</v>
      </c>
      <c r="AZ1337" t="s">
        <v>107</v>
      </c>
      <c r="BA1337" t="s">
        <v>87</v>
      </c>
      <c r="BB1337" t="s">
        <v>87</v>
      </c>
      <c r="BC1337" t="s">
        <v>87</v>
      </c>
      <c r="BD1337" t="s">
        <v>87</v>
      </c>
      <c r="BE1337" t="s">
        <v>87</v>
      </c>
      <c r="BF1337" t="s">
        <v>75</v>
      </c>
      <c r="BG1337" t="s">
        <v>76</v>
      </c>
      <c r="BH1337" t="s">
        <v>77</v>
      </c>
      <c r="BI1337" t="s">
        <v>107</v>
      </c>
      <c r="BJ1337" t="s">
        <v>94</v>
      </c>
      <c r="BK1337">
        <v>0</v>
      </c>
      <c r="BL1337">
        <v>0</v>
      </c>
      <c r="BM1337">
        <v>0</v>
      </c>
      <c r="BN1337">
        <v>0</v>
      </c>
      <c r="BO1337">
        <v>0</v>
      </c>
      <c r="BP1337">
        <v>1</v>
      </c>
      <c r="BQ1337">
        <v>0</v>
      </c>
      <c r="BR1337">
        <v>0</v>
      </c>
    </row>
    <row r="1338" spans="1:72" x14ac:dyDescent="0.2">
      <c r="A1338" s="1">
        <v>44579.984722222223</v>
      </c>
      <c r="B1338" s="1">
        <v>44579.986805555556</v>
      </c>
      <c r="C1338">
        <v>0</v>
      </c>
      <c r="D1338">
        <v>1</v>
      </c>
      <c r="E1338">
        <v>0</v>
      </c>
      <c r="F1338">
        <v>0</v>
      </c>
      <c r="H1338">
        <v>1</v>
      </c>
      <c r="I1338">
        <v>0</v>
      </c>
      <c r="J1338">
        <v>0</v>
      </c>
      <c r="K1338">
        <v>0</v>
      </c>
      <c r="L1338">
        <v>0</v>
      </c>
      <c r="P1338">
        <v>1</v>
      </c>
      <c r="Q1338">
        <v>0</v>
      </c>
      <c r="R1338">
        <v>0</v>
      </c>
      <c r="S1338">
        <v>0</v>
      </c>
      <c r="T1338">
        <v>0</v>
      </c>
      <c r="U1338">
        <v>0</v>
      </c>
      <c r="V1338">
        <v>0</v>
      </c>
      <c r="W1338">
        <v>0</v>
      </c>
      <c r="X1338">
        <v>0</v>
      </c>
      <c r="Y1338">
        <v>0</v>
      </c>
      <c r="Z1338">
        <v>0</v>
      </c>
      <c r="AA1338">
        <v>0</v>
      </c>
      <c r="AC1338">
        <v>0</v>
      </c>
      <c r="AD1338">
        <v>0</v>
      </c>
      <c r="AE1338">
        <v>1</v>
      </c>
      <c r="AF1338">
        <v>1</v>
      </c>
      <c r="AG1338">
        <v>1</v>
      </c>
      <c r="AH1338">
        <v>0</v>
      </c>
      <c r="AI1338">
        <v>0</v>
      </c>
      <c r="AJ1338">
        <v>0</v>
      </c>
      <c r="AK1338">
        <v>0</v>
      </c>
      <c r="AZ1338" t="s">
        <v>107</v>
      </c>
      <c r="BA1338" t="s">
        <v>86</v>
      </c>
      <c r="BB1338" t="s">
        <v>86</v>
      </c>
      <c r="BC1338" t="s">
        <v>86</v>
      </c>
      <c r="BD1338" t="s">
        <v>87</v>
      </c>
      <c r="BE1338" t="s">
        <v>86</v>
      </c>
      <c r="BF1338" t="s">
        <v>97</v>
      </c>
      <c r="BG1338" t="s">
        <v>76</v>
      </c>
      <c r="BH1338" t="s">
        <v>98</v>
      </c>
      <c r="BI1338" t="s">
        <v>107</v>
      </c>
      <c r="BJ1338" t="s">
        <v>94</v>
      </c>
      <c r="BK1338">
        <v>0</v>
      </c>
      <c r="BL1338">
        <v>0</v>
      </c>
      <c r="BM1338">
        <v>0</v>
      </c>
      <c r="BN1338">
        <v>0</v>
      </c>
      <c r="BO1338">
        <v>0</v>
      </c>
      <c r="BP1338">
        <v>1</v>
      </c>
      <c r="BQ1338">
        <v>0</v>
      </c>
      <c r="BR1338">
        <v>0</v>
      </c>
    </row>
    <row r="1339" spans="1:72" x14ac:dyDescent="0.2">
      <c r="A1339" s="1">
        <v>44588.928472222222</v>
      </c>
      <c r="B1339" s="1">
        <v>44588.931250000001</v>
      </c>
      <c r="C1339">
        <v>0</v>
      </c>
      <c r="D1339">
        <v>1</v>
      </c>
      <c r="E1339">
        <v>0</v>
      </c>
      <c r="F1339">
        <v>0</v>
      </c>
      <c r="H1339">
        <v>0</v>
      </c>
      <c r="I1339">
        <v>1</v>
      </c>
      <c r="J1339">
        <v>0</v>
      </c>
      <c r="K1339">
        <v>0</v>
      </c>
      <c r="L1339">
        <v>0</v>
      </c>
      <c r="N1339" t="s">
        <v>88</v>
      </c>
      <c r="O1339" t="s">
        <v>80</v>
      </c>
      <c r="P1339">
        <v>0</v>
      </c>
      <c r="Q1339">
        <v>1</v>
      </c>
      <c r="R1339">
        <v>0</v>
      </c>
      <c r="S1339">
        <v>0</v>
      </c>
      <c r="T1339">
        <v>0</v>
      </c>
      <c r="U1339">
        <v>0</v>
      </c>
      <c r="V1339">
        <v>0</v>
      </c>
      <c r="W1339">
        <v>0</v>
      </c>
      <c r="X1339">
        <v>0</v>
      </c>
      <c r="Y1339">
        <v>0</v>
      </c>
      <c r="Z1339">
        <v>0</v>
      </c>
      <c r="AA1339">
        <v>0</v>
      </c>
      <c r="AM1339" t="s">
        <v>83</v>
      </c>
      <c r="AN1339" t="s">
        <v>82</v>
      </c>
      <c r="AO1339" t="s">
        <v>82</v>
      </c>
      <c r="AP1339" t="s">
        <v>82</v>
      </c>
      <c r="AQ1339" t="s">
        <v>83</v>
      </c>
      <c r="AR1339" t="s">
        <v>82</v>
      </c>
      <c r="AS1339" t="s">
        <v>90</v>
      </c>
      <c r="AT1339" t="s">
        <v>82</v>
      </c>
      <c r="AU1339" t="s">
        <v>88</v>
      </c>
      <c r="AV1339" t="s">
        <v>80</v>
      </c>
      <c r="AW1339" t="s">
        <v>100</v>
      </c>
      <c r="AZ1339" t="s">
        <v>120</v>
      </c>
      <c r="BA1339" t="s">
        <v>87</v>
      </c>
      <c r="BB1339" t="s">
        <v>87</v>
      </c>
      <c r="BC1339" t="s">
        <v>87</v>
      </c>
      <c r="BD1339" t="s">
        <v>87</v>
      </c>
      <c r="BE1339" t="s">
        <v>87</v>
      </c>
      <c r="BF1339" t="s">
        <v>97</v>
      </c>
      <c r="BG1339" t="s">
        <v>92</v>
      </c>
      <c r="BH1339" t="s">
        <v>98</v>
      </c>
      <c r="BI1339" t="s">
        <v>120</v>
      </c>
      <c r="BJ1339" t="s">
        <v>114</v>
      </c>
      <c r="BK1339">
        <v>0</v>
      </c>
      <c r="BL1339">
        <v>0</v>
      </c>
      <c r="BM1339">
        <v>0</v>
      </c>
      <c r="BN1339">
        <v>0</v>
      </c>
      <c r="BO1339">
        <v>1</v>
      </c>
      <c r="BP1339">
        <v>0</v>
      </c>
      <c r="BQ1339">
        <v>0</v>
      </c>
      <c r="BR1339">
        <v>0</v>
      </c>
    </row>
    <row r="1340" spans="1:72" x14ac:dyDescent="0.2">
      <c r="A1340" s="1">
        <v>44579.914583333331</v>
      </c>
      <c r="B1340" s="1">
        <v>44579.915972222225</v>
      </c>
      <c r="C1340">
        <v>1</v>
      </c>
      <c r="D1340">
        <v>0</v>
      </c>
      <c r="E1340">
        <v>0</v>
      </c>
      <c r="F1340">
        <v>0</v>
      </c>
      <c r="H1340">
        <v>1</v>
      </c>
      <c r="I1340">
        <v>0</v>
      </c>
      <c r="J1340">
        <v>0</v>
      </c>
      <c r="K1340">
        <v>0</v>
      </c>
      <c r="L1340">
        <v>0</v>
      </c>
      <c r="P1340">
        <v>1</v>
      </c>
      <c r="Q1340">
        <v>0</v>
      </c>
      <c r="R1340">
        <v>0</v>
      </c>
      <c r="S1340">
        <v>0</v>
      </c>
      <c r="T1340">
        <v>0</v>
      </c>
      <c r="U1340">
        <v>0</v>
      </c>
      <c r="V1340">
        <v>0</v>
      </c>
      <c r="W1340">
        <v>0</v>
      </c>
      <c r="X1340">
        <v>0</v>
      </c>
      <c r="Y1340">
        <v>0</v>
      </c>
      <c r="Z1340">
        <v>0</v>
      </c>
      <c r="AA1340">
        <v>0</v>
      </c>
      <c r="AC1340">
        <v>0</v>
      </c>
      <c r="AD1340">
        <v>0</v>
      </c>
      <c r="AE1340">
        <v>1</v>
      </c>
      <c r="AF1340">
        <v>1</v>
      </c>
      <c r="AG1340">
        <v>0</v>
      </c>
      <c r="AH1340">
        <v>1</v>
      </c>
      <c r="AI1340">
        <v>0</v>
      </c>
      <c r="AJ1340">
        <v>0</v>
      </c>
      <c r="AK1340">
        <v>0</v>
      </c>
      <c r="AZ1340" t="s">
        <v>73</v>
      </c>
      <c r="BA1340" t="s">
        <v>74</v>
      </c>
      <c r="BF1340" t="s">
        <v>97</v>
      </c>
      <c r="BG1340" t="s">
        <v>76</v>
      </c>
      <c r="BH1340" t="s">
        <v>158</v>
      </c>
      <c r="BI1340" t="s">
        <v>73</v>
      </c>
      <c r="BJ1340" t="s">
        <v>78</v>
      </c>
      <c r="BK1340">
        <v>0</v>
      </c>
      <c r="BL1340">
        <v>0</v>
      </c>
      <c r="BM1340">
        <v>0</v>
      </c>
      <c r="BN1340">
        <v>0</v>
      </c>
      <c r="BO1340">
        <v>0</v>
      </c>
      <c r="BP1340">
        <v>1</v>
      </c>
      <c r="BQ1340">
        <v>0</v>
      </c>
      <c r="BR1340">
        <v>0</v>
      </c>
    </row>
    <row r="1341" spans="1:72" x14ac:dyDescent="0.2">
      <c r="A1341" s="1">
        <v>44580.746527777781</v>
      </c>
      <c r="B1341" s="1">
        <v>44580.747916666667</v>
      </c>
      <c r="C1341">
        <v>0</v>
      </c>
      <c r="D1341">
        <v>1</v>
      </c>
      <c r="E1341">
        <v>0</v>
      </c>
      <c r="F1341">
        <v>0</v>
      </c>
      <c r="H1341">
        <v>0</v>
      </c>
      <c r="I1341">
        <v>1</v>
      </c>
      <c r="J1341">
        <v>0</v>
      </c>
      <c r="K1341">
        <v>1</v>
      </c>
      <c r="L1341">
        <v>0</v>
      </c>
      <c r="N1341" t="s">
        <v>88</v>
      </c>
      <c r="O1341" t="s">
        <v>89</v>
      </c>
      <c r="P1341">
        <v>1</v>
      </c>
      <c r="Q1341">
        <v>0</v>
      </c>
      <c r="R1341">
        <v>0</v>
      </c>
      <c r="S1341">
        <v>0</v>
      </c>
      <c r="T1341">
        <v>0</v>
      </c>
      <c r="U1341">
        <v>0</v>
      </c>
      <c r="V1341">
        <v>0</v>
      </c>
      <c r="W1341">
        <v>0</v>
      </c>
      <c r="X1341">
        <v>0</v>
      </c>
      <c r="Y1341">
        <v>0</v>
      </c>
      <c r="Z1341">
        <v>0</v>
      </c>
      <c r="AA1341">
        <v>0</v>
      </c>
      <c r="AC1341">
        <v>0</v>
      </c>
      <c r="AD1341">
        <v>0</v>
      </c>
      <c r="AE1341">
        <v>0</v>
      </c>
      <c r="AF1341">
        <v>0</v>
      </c>
      <c r="AG1341">
        <v>0</v>
      </c>
      <c r="AH1341">
        <v>0</v>
      </c>
      <c r="AI1341">
        <v>0</v>
      </c>
      <c r="AJ1341">
        <v>0</v>
      </c>
      <c r="AK1341">
        <v>1</v>
      </c>
      <c r="AL1341" t="s">
        <v>560</v>
      </c>
      <c r="AZ1341" t="s">
        <v>107</v>
      </c>
      <c r="BA1341" t="s">
        <v>74</v>
      </c>
      <c r="BF1341" t="s">
        <v>159</v>
      </c>
      <c r="BG1341" t="s">
        <v>76</v>
      </c>
      <c r="BH1341" t="s">
        <v>158</v>
      </c>
      <c r="BI1341" t="s">
        <v>107</v>
      </c>
      <c r="BJ1341" t="s">
        <v>114</v>
      </c>
      <c r="BK1341">
        <v>0</v>
      </c>
      <c r="BL1341">
        <v>0</v>
      </c>
      <c r="BM1341">
        <v>0</v>
      </c>
      <c r="BN1341">
        <v>0</v>
      </c>
      <c r="BO1341">
        <v>0</v>
      </c>
      <c r="BP1341">
        <v>1</v>
      </c>
      <c r="BQ1341">
        <v>0</v>
      </c>
      <c r="BR1341">
        <v>0</v>
      </c>
    </row>
    <row r="1342" spans="1:72" x14ac:dyDescent="0.2">
      <c r="A1342" s="1">
        <v>44585.638194444444</v>
      </c>
      <c r="B1342" s="1">
        <v>44585.640277777777</v>
      </c>
      <c r="C1342">
        <v>0</v>
      </c>
      <c r="D1342">
        <v>1</v>
      </c>
      <c r="E1342">
        <v>0</v>
      </c>
      <c r="F1342">
        <v>0</v>
      </c>
      <c r="H1342">
        <v>1</v>
      </c>
      <c r="I1342">
        <v>0</v>
      </c>
      <c r="J1342">
        <v>0</v>
      </c>
      <c r="K1342">
        <v>0</v>
      </c>
      <c r="L1342">
        <v>0</v>
      </c>
      <c r="P1342">
        <v>1</v>
      </c>
      <c r="Q1342">
        <v>0</v>
      </c>
      <c r="R1342">
        <v>0</v>
      </c>
      <c r="S1342">
        <v>0</v>
      </c>
      <c r="T1342">
        <v>0</v>
      </c>
      <c r="U1342">
        <v>0</v>
      </c>
      <c r="V1342">
        <v>0</v>
      </c>
      <c r="W1342">
        <v>0</v>
      </c>
      <c r="X1342">
        <v>0</v>
      </c>
      <c r="Y1342">
        <v>0</v>
      </c>
      <c r="Z1342">
        <v>0</v>
      </c>
      <c r="AA1342">
        <v>0</v>
      </c>
      <c r="AC1342">
        <v>0</v>
      </c>
      <c r="AD1342">
        <v>0</v>
      </c>
      <c r="AE1342">
        <v>0</v>
      </c>
      <c r="AF1342">
        <v>0</v>
      </c>
      <c r="AG1342">
        <v>0</v>
      </c>
      <c r="AH1342">
        <v>1</v>
      </c>
      <c r="AI1342">
        <v>0</v>
      </c>
      <c r="AJ1342">
        <v>0</v>
      </c>
      <c r="AK1342">
        <v>1</v>
      </c>
      <c r="AL1342" t="s">
        <v>561</v>
      </c>
      <c r="AX1342" t="s">
        <v>110</v>
      </c>
      <c r="AY1342" t="s">
        <v>226</v>
      </c>
      <c r="AZ1342" t="s">
        <v>96</v>
      </c>
      <c r="BA1342" t="s">
        <v>74</v>
      </c>
      <c r="BF1342" t="s">
        <v>113</v>
      </c>
      <c r="BG1342" t="s">
        <v>76</v>
      </c>
      <c r="BH1342" t="s">
        <v>158</v>
      </c>
      <c r="BI1342" t="s">
        <v>96</v>
      </c>
      <c r="BJ1342" t="s">
        <v>78</v>
      </c>
      <c r="BK1342">
        <v>0</v>
      </c>
      <c r="BL1342">
        <v>0</v>
      </c>
      <c r="BM1342">
        <v>0</v>
      </c>
      <c r="BN1342">
        <v>0</v>
      </c>
      <c r="BO1342">
        <v>0</v>
      </c>
      <c r="BP1342">
        <v>1</v>
      </c>
      <c r="BQ1342">
        <v>0</v>
      </c>
      <c r="BR1342">
        <v>0</v>
      </c>
    </row>
    <row r="1343" spans="1:72" x14ac:dyDescent="0.2">
      <c r="A1343" s="1">
        <v>44580.066666666666</v>
      </c>
      <c r="B1343" s="1">
        <v>44580.075694444444</v>
      </c>
      <c r="C1343">
        <v>1</v>
      </c>
      <c r="D1343">
        <v>0</v>
      </c>
      <c r="E1343">
        <v>0</v>
      </c>
      <c r="F1343">
        <v>0</v>
      </c>
      <c r="H1343">
        <v>0</v>
      </c>
      <c r="I1343">
        <v>1</v>
      </c>
      <c r="J1343">
        <v>0</v>
      </c>
      <c r="K1343">
        <v>0</v>
      </c>
      <c r="L1343">
        <v>0</v>
      </c>
      <c r="N1343" t="s">
        <v>79</v>
      </c>
      <c r="O1343" t="s">
        <v>80</v>
      </c>
      <c r="P1343">
        <v>0</v>
      </c>
      <c r="Q1343">
        <v>0</v>
      </c>
      <c r="R1343">
        <v>1</v>
      </c>
      <c r="S1343">
        <v>0</v>
      </c>
      <c r="T1343">
        <v>0</v>
      </c>
      <c r="U1343">
        <v>0</v>
      </c>
      <c r="V1343">
        <v>0</v>
      </c>
      <c r="W1343">
        <v>0</v>
      </c>
      <c r="X1343">
        <v>0</v>
      </c>
      <c r="Y1343">
        <v>0</v>
      </c>
      <c r="Z1343">
        <v>0</v>
      </c>
      <c r="AA1343">
        <v>1</v>
      </c>
      <c r="AB1343" t="s">
        <v>562</v>
      </c>
      <c r="AM1343" t="s">
        <v>82</v>
      </c>
      <c r="AN1343" t="s">
        <v>82</v>
      </c>
      <c r="AO1343" t="s">
        <v>82</v>
      </c>
      <c r="AP1343" t="s">
        <v>81</v>
      </c>
      <c r="AQ1343" t="s">
        <v>82</v>
      </c>
      <c r="AR1343" t="s">
        <v>83</v>
      </c>
      <c r="AS1343" t="s">
        <v>82</v>
      </c>
      <c r="AT1343" t="s">
        <v>90</v>
      </c>
      <c r="AU1343" t="s">
        <v>88</v>
      </c>
      <c r="AV1343" t="s">
        <v>89</v>
      </c>
      <c r="AW1343" t="s">
        <v>100</v>
      </c>
      <c r="AZ1343" t="s">
        <v>73</v>
      </c>
      <c r="BA1343" t="s">
        <v>87</v>
      </c>
      <c r="BB1343" t="s">
        <v>87</v>
      </c>
      <c r="BC1343" t="s">
        <v>87</v>
      </c>
      <c r="BD1343" t="s">
        <v>87</v>
      </c>
      <c r="BE1343" t="s">
        <v>87</v>
      </c>
      <c r="BF1343" t="s">
        <v>97</v>
      </c>
      <c r="BG1343" t="s">
        <v>76</v>
      </c>
      <c r="BH1343" t="s">
        <v>98</v>
      </c>
      <c r="BI1343" t="s">
        <v>73</v>
      </c>
      <c r="BK1343">
        <v>1</v>
      </c>
      <c r="BL1343">
        <v>0</v>
      </c>
      <c r="BM1343">
        <v>0</v>
      </c>
      <c r="BN1343">
        <v>0</v>
      </c>
      <c r="BO1343">
        <v>0</v>
      </c>
      <c r="BP1343">
        <v>0</v>
      </c>
      <c r="BQ1343">
        <v>0</v>
      </c>
      <c r="BR1343">
        <v>0</v>
      </c>
      <c r="BT1343" t="s">
        <v>188</v>
      </c>
    </row>
    <row r="1344" spans="1:72" x14ac:dyDescent="0.2">
      <c r="A1344" s="1">
        <v>44580.548611111109</v>
      </c>
      <c r="B1344" s="1">
        <v>44580.55</v>
      </c>
      <c r="C1344">
        <v>0</v>
      </c>
      <c r="D1344">
        <v>1</v>
      </c>
      <c r="E1344">
        <v>0</v>
      </c>
      <c r="F1344">
        <v>0</v>
      </c>
      <c r="H1344">
        <v>1</v>
      </c>
      <c r="I1344">
        <v>0</v>
      </c>
      <c r="J1344">
        <v>0</v>
      </c>
      <c r="K1344">
        <v>0</v>
      </c>
      <c r="L1344">
        <v>0</v>
      </c>
      <c r="P1344">
        <v>1</v>
      </c>
      <c r="Q1344">
        <v>0</v>
      </c>
      <c r="R1344">
        <v>0</v>
      </c>
      <c r="S1344">
        <v>0</v>
      </c>
      <c r="T1344">
        <v>0</v>
      </c>
      <c r="U1344">
        <v>0</v>
      </c>
      <c r="V1344">
        <v>0</v>
      </c>
      <c r="W1344">
        <v>0</v>
      </c>
      <c r="X1344">
        <v>0</v>
      </c>
      <c r="Y1344">
        <v>0</v>
      </c>
      <c r="Z1344">
        <v>0</v>
      </c>
      <c r="AA1344">
        <v>0</v>
      </c>
      <c r="AC1344">
        <v>0</v>
      </c>
      <c r="AD1344">
        <v>0</v>
      </c>
      <c r="AE1344">
        <v>0</v>
      </c>
      <c r="AF1344">
        <v>0</v>
      </c>
      <c r="AG1344">
        <v>0</v>
      </c>
      <c r="AH1344">
        <v>0</v>
      </c>
      <c r="AI1344">
        <v>1</v>
      </c>
      <c r="AJ1344">
        <v>0</v>
      </c>
      <c r="AK1344">
        <v>0</v>
      </c>
      <c r="AZ1344" t="s">
        <v>107</v>
      </c>
      <c r="BA1344" t="s">
        <v>74</v>
      </c>
      <c r="BF1344" t="s">
        <v>97</v>
      </c>
      <c r="BG1344" t="s">
        <v>76</v>
      </c>
      <c r="BH1344" t="s">
        <v>98</v>
      </c>
      <c r="BI1344" t="s">
        <v>107</v>
      </c>
      <c r="BJ1344" t="s">
        <v>167</v>
      </c>
      <c r="BK1344">
        <v>0</v>
      </c>
      <c r="BL1344">
        <v>0</v>
      </c>
      <c r="BM1344">
        <v>0</v>
      </c>
      <c r="BN1344">
        <v>0</v>
      </c>
      <c r="BO1344">
        <v>0</v>
      </c>
      <c r="BP1344">
        <v>1</v>
      </c>
      <c r="BQ1344">
        <v>0</v>
      </c>
      <c r="BR1344">
        <v>0</v>
      </c>
    </row>
    <row r="1345" spans="1:70" x14ac:dyDescent="0.2">
      <c r="A1345" s="1">
        <v>44585.638194444444</v>
      </c>
      <c r="B1345" s="1">
        <v>44585.63958333333</v>
      </c>
      <c r="C1345">
        <v>0</v>
      </c>
      <c r="D1345">
        <v>0</v>
      </c>
      <c r="E1345">
        <v>0</v>
      </c>
      <c r="F1345">
        <v>1</v>
      </c>
      <c r="P1345">
        <v>1</v>
      </c>
      <c r="Q1345">
        <v>0</v>
      </c>
      <c r="R1345">
        <v>0</v>
      </c>
      <c r="S1345">
        <v>0</v>
      </c>
      <c r="T1345">
        <v>0</v>
      </c>
      <c r="U1345">
        <v>0</v>
      </c>
      <c r="V1345">
        <v>0</v>
      </c>
      <c r="W1345">
        <v>0</v>
      </c>
      <c r="X1345">
        <v>0</v>
      </c>
      <c r="Y1345">
        <v>0</v>
      </c>
      <c r="Z1345">
        <v>0</v>
      </c>
      <c r="AA1345">
        <v>0</v>
      </c>
      <c r="AC1345">
        <v>0</v>
      </c>
      <c r="AD1345">
        <v>1</v>
      </c>
      <c r="AE1345">
        <v>0</v>
      </c>
      <c r="AF1345">
        <v>0</v>
      </c>
      <c r="AG1345">
        <v>0</v>
      </c>
      <c r="AH1345">
        <v>0</v>
      </c>
      <c r="AI1345">
        <v>0</v>
      </c>
      <c r="AJ1345">
        <v>0</v>
      </c>
      <c r="AK1345">
        <v>0</v>
      </c>
      <c r="AZ1345" t="s">
        <v>96</v>
      </c>
      <c r="BF1345" t="s">
        <v>97</v>
      </c>
      <c r="BG1345" t="s">
        <v>76</v>
      </c>
      <c r="BH1345" t="s">
        <v>158</v>
      </c>
      <c r="BI1345" t="s">
        <v>96</v>
      </c>
      <c r="BJ1345" t="s">
        <v>114</v>
      </c>
      <c r="BK1345">
        <v>0</v>
      </c>
      <c r="BL1345">
        <v>0</v>
      </c>
      <c r="BM1345">
        <v>0</v>
      </c>
      <c r="BN1345">
        <v>0</v>
      </c>
      <c r="BO1345">
        <v>0</v>
      </c>
      <c r="BP1345">
        <v>1</v>
      </c>
      <c r="BQ1345">
        <v>0</v>
      </c>
      <c r="BR1345">
        <v>0</v>
      </c>
    </row>
    <row r="1346" spans="1:70" x14ac:dyDescent="0.2">
      <c r="A1346" s="1">
        <v>44586.176388888889</v>
      </c>
      <c r="B1346" s="1">
        <v>44586.181250000001</v>
      </c>
      <c r="C1346">
        <v>1</v>
      </c>
      <c r="D1346">
        <v>0</v>
      </c>
      <c r="E1346">
        <v>0</v>
      </c>
      <c r="F1346">
        <v>0</v>
      </c>
      <c r="H1346">
        <v>1</v>
      </c>
      <c r="I1346">
        <v>0</v>
      </c>
      <c r="J1346">
        <v>0</v>
      </c>
      <c r="K1346">
        <v>0</v>
      </c>
      <c r="L1346">
        <v>0</v>
      </c>
      <c r="P1346">
        <v>0</v>
      </c>
      <c r="Q1346">
        <v>0</v>
      </c>
      <c r="R1346">
        <v>1</v>
      </c>
      <c r="S1346">
        <v>0</v>
      </c>
      <c r="T1346">
        <v>0</v>
      </c>
      <c r="U1346">
        <v>0</v>
      </c>
      <c r="V1346">
        <v>0</v>
      </c>
      <c r="W1346">
        <v>0</v>
      </c>
      <c r="X1346">
        <v>0</v>
      </c>
      <c r="Y1346">
        <v>0</v>
      </c>
      <c r="Z1346">
        <v>0</v>
      </c>
      <c r="AA1346">
        <v>0</v>
      </c>
      <c r="AM1346" t="s">
        <v>81</v>
      </c>
      <c r="AN1346" t="s">
        <v>81</v>
      </c>
      <c r="AO1346" t="s">
        <v>81</v>
      </c>
      <c r="AP1346" t="s">
        <v>81</v>
      </c>
      <c r="AQ1346" t="s">
        <v>82</v>
      </c>
      <c r="AR1346" t="s">
        <v>83</v>
      </c>
      <c r="AS1346" t="s">
        <v>81</v>
      </c>
      <c r="AT1346" t="s">
        <v>83</v>
      </c>
      <c r="AU1346" t="s">
        <v>88</v>
      </c>
      <c r="AV1346" t="s">
        <v>89</v>
      </c>
      <c r="AW1346" t="s">
        <v>100</v>
      </c>
      <c r="AZ1346" t="s">
        <v>96</v>
      </c>
      <c r="BA1346" t="s">
        <v>74</v>
      </c>
      <c r="BF1346" t="s">
        <v>97</v>
      </c>
      <c r="BG1346" t="s">
        <v>76</v>
      </c>
      <c r="BH1346" t="s">
        <v>98</v>
      </c>
      <c r="BI1346" t="s">
        <v>96</v>
      </c>
      <c r="BJ1346" t="s">
        <v>165</v>
      </c>
      <c r="BK1346">
        <v>0</v>
      </c>
      <c r="BL1346">
        <v>0</v>
      </c>
      <c r="BM1346">
        <v>0</v>
      </c>
      <c r="BN1346">
        <v>0</v>
      </c>
      <c r="BO1346">
        <v>0</v>
      </c>
      <c r="BP1346">
        <v>1</v>
      </c>
      <c r="BQ1346">
        <v>0</v>
      </c>
      <c r="BR1346">
        <v>0</v>
      </c>
    </row>
    <row r="1347" spans="1:70" x14ac:dyDescent="0.2">
      <c r="A1347" s="1">
        <v>44579.886111111111</v>
      </c>
      <c r="B1347" s="1">
        <v>44579.887499999997</v>
      </c>
      <c r="C1347">
        <v>1</v>
      </c>
      <c r="D1347">
        <v>0</v>
      </c>
      <c r="E1347">
        <v>0</v>
      </c>
      <c r="F1347">
        <v>0</v>
      </c>
      <c r="H1347">
        <v>1</v>
      </c>
      <c r="I1347">
        <v>0</v>
      </c>
      <c r="J1347">
        <v>0</v>
      </c>
      <c r="K1347">
        <v>0</v>
      </c>
      <c r="L1347">
        <v>0</v>
      </c>
      <c r="P1347">
        <v>1</v>
      </c>
      <c r="Q1347">
        <v>0</v>
      </c>
      <c r="R1347">
        <v>0</v>
      </c>
      <c r="S1347">
        <v>0</v>
      </c>
      <c r="T1347">
        <v>0</v>
      </c>
      <c r="U1347">
        <v>0</v>
      </c>
      <c r="V1347">
        <v>0</v>
      </c>
      <c r="W1347">
        <v>0</v>
      </c>
      <c r="X1347">
        <v>0</v>
      </c>
      <c r="Y1347">
        <v>0</v>
      </c>
      <c r="Z1347">
        <v>0</v>
      </c>
      <c r="AA1347">
        <v>0</v>
      </c>
      <c r="AC1347">
        <v>0</v>
      </c>
      <c r="AD1347">
        <v>0</v>
      </c>
      <c r="AE1347">
        <v>0</v>
      </c>
      <c r="AF1347">
        <v>0</v>
      </c>
      <c r="AG1347">
        <v>1</v>
      </c>
      <c r="AH1347">
        <v>0</v>
      </c>
      <c r="AI1347">
        <v>1</v>
      </c>
      <c r="AJ1347">
        <v>1</v>
      </c>
      <c r="AK1347">
        <v>0</v>
      </c>
      <c r="AZ1347" t="s">
        <v>73</v>
      </c>
      <c r="BA1347" t="s">
        <v>86</v>
      </c>
      <c r="BB1347" t="s">
        <v>74</v>
      </c>
      <c r="BC1347" t="s">
        <v>74</v>
      </c>
      <c r="BD1347" t="s">
        <v>74</v>
      </c>
      <c r="BE1347" t="s">
        <v>74</v>
      </c>
      <c r="BF1347" t="s">
        <v>97</v>
      </c>
      <c r="BG1347" t="s">
        <v>92</v>
      </c>
      <c r="BH1347" t="s">
        <v>98</v>
      </c>
      <c r="BI1347" t="s">
        <v>73</v>
      </c>
      <c r="BJ1347" t="s">
        <v>78</v>
      </c>
      <c r="BK1347">
        <v>0</v>
      </c>
      <c r="BL1347">
        <v>0</v>
      </c>
      <c r="BM1347">
        <v>0</v>
      </c>
      <c r="BN1347">
        <v>0</v>
      </c>
      <c r="BO1347">
        <v>0</v>
      </c>
      <c r="BP1347">
        <v>1</v>
      </c>
      <c r="BQ1347">
        <v>0</v>
      </c>
      <c r="BR1347">
        <v>0</v>
      </c>
    </row>
    <row r="1348" spans="1:70" x14ac:dyDescent="0.2">
      <c r="A1348" s="1">
        <v>44579.883333333331</v>
      </c>
      <c r="B1348" s="1">
        <v>44579.885416666664</v>
      </c>
      <c r="C1348">
        <v>1</v>
      </c>
      <c r="D1348">
        <v>0</v>
      </c>
      <c r="E1348">
        <v>0</v>
      </c>
      <c r="F1348">
        <v>0</v>
      </c>
      <c r="H1348">
        <v>0</v>
      </c>
      <c r="I1348">
        <v>1</v>
      </c>
      <c r="J1348">
        <v>0</v>
      </c>
      <c r="K1348">
        <v>1</v>
      </c>
      <c r="L1348">
        <v>1</v>
      </c>
      <c r="M1348" t="s">
        <v>563</v>
      </c>
      <c r="N1348" t="s">
        <v>88</v>
      </c>
      <c r="O1348" t="s">
        <v>89</v>
      </c>
      <c r="P1348">
        <v>1</v>
      </c>
      <c r="Q1348">
        <v>0</v>
      </c>
      <c r="R1348">
        <v>0</v>
      </c>
      <c r="S1348">
        <v>0</v>
      </c>
      <c r="T1348">
        <v>0</v>
      </c>
      <c r="U1348">
        <v>0</v>
      </c>
      <c r="V1348">
        <v>0</v>
      </c>
      <c r="W1348">
        <v>0</v>
      </c>
      <c r="X1348">
        <v>0</v>
      </c>
      <c r="Y1348">
        <v>0</v>
      </c>
      <c r="Z1348">
        <v>0</v>
      </c>
      <c r="AA1348">
        <v>0</v>
      </c>
      <c r="AC1348">
        <v>0</v>
      </c>
      <c r="AD1348">
        <v>0</v>
      </c>
      <c r="AE1348">
        <v>1</v>
      </c>
      <c r="AF1348">
        <v>0</v>
      </c>
      <c r="AG1348">
        <v>0</v>
      </c>
      <c r="AH1348">
        <v>0</v>
      </c>
      <c r="AI1348">
        <v>0</v>
      </c>
      <c r="AJ1348">
        <v>0</v>
      </c>
      <c r="AK1348">
        <v>0</v>
      </c>
      <c r="AX1348" t="s">
        <v>146</v>
      </c>
      <c r="AZ1348" t="s">
        <v>73</v>
      </c>
      <c r="BA1348" t="s">
        <v>86</v>
      </c>
      <c r="BB1348" t="s">
        <v>74</v>
      </c>
      <c r="BC1348" t="s">
        <v>86</v>
      </c>
      <c r="BD1348" t="s">
        <v>74</v>
      </c>
      <c r="BE1348" t="s">
        <v>86</v>
      </c>
      <c r="BF1348" t="s">
        <v>75</v>
      </c>
      <c r="BG1348" t="s">
        <v>76</v>
      </c>
      <c r="BH1348" t="s">
        <v>77</v>
      </c>
      <c r="BI1348" t="s">
        <v>73</v>
      </c>
      <c r="BJ1348" t="s">
        <v>78</v>
      </c>
      <c r="BK1348">
        <v>0</v>
      </c>
      <c r="BL1348">
        <v>0</v>
      </c>
      <c r="BM1348">
        <v>0</v>
      </c>
      <c r="BN1348">
        <v>0</v>
      </c>
      <c r="BO1348">
        <v>0</v>
      </c>
      <c r="BP1348">
        <v>1</v>
      </c>
      <c r="BQ1348">
        <v>0</v>
      </c>
      <c r="BR1348">
        <v>0</v>
      </c>
    </row>
    <row r="1349" spans="1:70" x14ac:dyDescent="0.2">
      <c r="A1349" s="1">
        <v>44579.927777777775</v>
      </c>
      <c r="B1349" s="1">
        <v>44579.929861111108</v>
      </c>
      <c r="C1349">
        <v>1</v>
      </c>
      <c r="D1349">
        <v>0</v>
      </c>
      <c r="E1349">
        <v>0</v>
      </c>
      <c r="F1349">
        <v>0</v>
      </c>
      <c r="H1349">
        <v>0</v>
      </c>
      <c r="I1349">
        <v>1</v>
      </c>
      <c r="J1349">
        <v>0</v>
      </c>
      <c r="K1349">
        <v>0</v>
      </c>
      <c r="L1349">
        <v>0</v>
      </c>
      <c r="N1349" t="s">
        <v>135</v>
      </c>
      <c r="O1349" t="s">
        <v>80</v>
      </c>
      <c r="P1349">
        <v>0</v>
      </c>
      <c r="Q1349">
        <v>0</v>
      </c>
      <c r="R1349">
        <v>1</v>
      </c>
      <c r="S1349">
        <v>0</v>
      </c>
      <c r="T1349">
        <v>0</v>
      </c>
      <c r="U1349">
        <v>0</v>
      </c>
      <c r="V1349">
        <v>0</v>
      </c>
      <c r="W1349">
        <v>0</v>
      </c>
      <c r="X1349">
        <v>0</v>
      </c>
      <c r="Y1349">
        <v>0</v>
      </c>
      <c r="Z1349">
        <v>0</v>
      </c>
      <c r="AA1349">
        <v>1</v>
      </c>
      <c r="AB1349" t="s">
        <v>564</v>
      </c>
      <c r="AM1349" t="s">
        <v>81</v>
      </c>
      <c r="AN1349" t="s">
        <v>82</v>
      </c>
      <c r="AO1349" t="s">
        <v>83</v>
      </c>
      <c r="AP1349" t="s">
        <v>81</v>
      </c>
      <c r="AQ1349" t="s">
        <v>82</v>
      </c>
      <c r="AR1349" t="s">
        <v>83</v>
      </c>
      <c r="AS1349" t="s">
        <v>81</v>
      </c>
      <c r="AT1349" t="s">
        <v>83</v>
      </c>
      <c r="AU1349" t="s">
        <v>88</v>
      </c>
      <c r="AV1349" t="s">
        <v>89</v>
      </c>
      <c r="AW1349" t="s">
        <v>85</v>
      </c>
      <c r="AZ1349" t="s">
        <v>73</v>
      </c>
      <c r="BA1349" t="s">
        <v>86</v>
      </c>
      <c r="BB1349" t="s">
        <v>86</v>
      </c>
      <c r="BC1349" t="s">
        <v>86</v>
      </c>
      <c r="BD1349" t="s">
        <v>86</v>
      </c>
      <c r="BE1349" t="s">
        <v>86</v>
      </c>
      <c r="BF1349" t="s">
        <v>97</v>
      </c>
      <c r="BG1349" t="s">
        <v>76</v>
      </c>
      <c r="BH1349" t="s">
        <v>98</v>
      </c>
      <c r="BI1349" t="s">
        <v>73</v>
      </c>
      <c r="BJ1349" t="s">
        <v>114</v>
      </c>
      <c r="BK1349">
        <v>0</v>
      </c>
      <c r="BL1349">
        <v>0</v>
      </c>
      <c r="BM1349">
        <v>0</v>
      </c>
      <c r="BN1349">
        <v>0</v>
      </c>
      <c r="BO1349">
        <v>0</v>
      </c>
      <c r="BP1349">
        <v>1</v>
      </c>
      <c r="BQ1349">
        <v>0</v>
      </c>
      <c r="BR1349">
        <v>0</v>
      </c>
    </row>
    <row r="1350" spans="1:70" x14ac:dyDescent="0.2">
      <c r="A1350" s="1">
        <v>44585.629166666666</v>
      </c>
      <c r="B1350" s="1">
        <v>44585.631249999999</v>
      </c>
      <c r="C1350">
        <v>0</v>
      </c>
      <c r="D1350">
        <v>1</v>
      </c>
      <c r="E1350">
        <v>0</v>
      </c>
      <c r="F1350">
        <v>0</v>
      </c>
      <c r="H1350">
        <v>1</v>
      </c>
      <c r="I1350">
        <v>0</v>
      </c>
      <c r="J1350">
        <v>0</v>
      </c>
      <c r="K1350">
        <v>0</v>
      </c>
      <c r="L1350">
        <v>0</v>
      </c>
      <c r="P1350">
        <v>0</v>
      </c>
      <c r="Q1350">
        <v>1</v>
      </c>
      <c r="R1350">
        <v>0</v>
      </c>
      <c r="S1350">
        <v>0</v>
      </c>
      <c r="T1350">
        <v>0</v>
      </c>
      <c r="U1350">
        <v>0</v>
      </c>
      <c r="V1350">
        <v>0</v>
      </c>
      <c r="W1350">
        <v>0</v>
      </c>
      <c r="X1350">
        <v>0</v>
      </c>
      <c r="Y1350">
        <v>0</v>
      </c>
      <c r="Z1350">
        <v>0</v>
      </c>
      <c r="AA1350">
        <v>0</v>
      </c>
      <c r="AM1350" t="s">
        <v>83</v>
      </c>
      <c r="AN1350" t="s">
        <v>82</v>
      </c>
      <c r="AO1350" t="s">
        <v>83</v>
      </c>
      <c r="AP1350" t="s">
        <v>82</v>
      </c>
      <c r="AQ1350" t="s">
        <v>90</v>
      </c>
      <c r="AR1350" t="s">
        <v>83</v>
      </c>
      <c r="AS1350" t="s">
        <v>83</v>
      </c>
      <c r="AT1350" t="s">
        <v>83</v>
      </c>
      <c r="AU1350" t="s">
        <v>84</v>
      </c>
      <c r="AV1350" t="s">
        <v>89</v>
      </c>
      <c r="AW1350" t="s">
        <v>117</v>
      </c>
      <c r="AZ1350" t="s">
        <v>96</v>
      </c>
      <c r="BA1350" t="s">
        <v>87</v>
      </c>
      <c r="BB1350" t="s">
        <v>87</v>
      </c>
      <c r="BC1350" t="s">
        <v>87</v>
      </c>
      <c r="BD1350" t="s">
        <v>87</v>
      </c>
      <c r="BE1350" t="s">
        <v>87</v>
      </c>
      <c r="BF1350" t="s">
        <v>101</v>
      </c>
      <c r="BG1350" t="s">
        <v>92</v>
      </c>
      <c r="BH1350" t="s">
        <v>98</v>
      </c>
      <c r="BI1350" t="s">
        <v>96</v>
      </c>
      <c r="BJ1350" t="s">
        <v>154</v>
      </c>
      <c r="BK1350">
        <v>0</v>
      </c>
      <c r="BL1350">
        <v>0</v>
      </c>
      <c r="BM1350">
        <v>0</v>
      </c>
      <c r="BN1350">
        <v>0</v>
      </c>
      <c r="BO1350">
        <v>0</v>
      </c>
      <c r="BP1350">
        <v>1</v>
      </c>
      <c r="BQ1350">
        <v>0</v>
      </c>
      <c r="BR1350">
        <v>0</v>
      </c>
    </row>
    <row r="1351" spans="1:70" x14ac:dyDescent="0.2">
      <c r="A1351" s="1">
        <v>44579.87777777778</v>
      </c>
      <c r="B1351" s="1">
        <v>44579.879166666666</v>
      </c>
      <c r="C1351">
        <v>1</v>
      </c>
      <c r="D1351">
        <v>0</v>
      </c>
      <c r="E1351">
        <v>0</v>
      </c>
      <c r="F1351">
        <v>0</v>
      </c>
      <c r="H1351">
        <v>0</v>
      </c>
      <c r="I1351">
        <v>1</v>
      </c>
      <c r="J1351">
        <v>0</v>
      </c>
      <c r="K1351">
        <v>0</v>
      </c>
      <c r="L1351">
        <v>0</v>
      </c>
      <c r="N1351" t="s">
        <v>88</v>
      </c>
      <c r="O1351" t="s">
        <v>223</v>
      </c>
      <c r="P1351">
        <v>1</v>
      </c>
      <c r="Q1351">
        <v>0</v>
      </c>
      <c r="R1351">
        <v>0</v>
      </c>
      <c r="S1351">
        <v>0</v>
      </c>
      <c r="T1351">
        <v>0</v>
      </c>
      <c r="U1351">
        <v>0</v>
      </c>
      <c r="V1351">
        <v>0</v>
      </c>
      <c r="W1351">
        <v>0</v>
      </c>
      <c r="X1351">
        <v>0</v>
      </c>
      <c r="Y1351">
        <v>0</v>
      </c>
      <c r="Z1351">
        <v>0</v>
      </c>
      <c r="AA1351">
        <v>0</v>
      </c>
      <c r="AC1351">
        <v>0</v>
      </c>
      <c r="AD1351">
        <v>1</v>
      </c>
      <c r="AE1351">
        <v>0</v>
      </c>
      <c r="AF1351">
        <v>0</v>
      </c>
      <c r="AG1351">
        <v>0</v>
      </c>
      <c r="AH1351">
        <v>0</v>
      </c>
      <c r="AI1351">
        <v>0</v>
      </c>
      <c r="AJ1351">
        <v>0</v>
      </c>
      <c r="AK1351">
        <v>0</v>
      </c>
      <c r="AZ1351" t="s">
        <v>73</v>
      </c>
      <c r="BA1351" t="s">
        <v>87</v>
      </c>
      <c r="BB1351" t="s">
        <v>74</v>
      </c>
      <c r="BC1351" t="s">
        <v>87</v>
      </c>
      <c r="BD1351" t="s">
        <v>74</v>
      </c>
      <c r="BE1351" t="s">
        <v>74</v>
      </c>
      <c r="BF1351" t="s">
        <v>97</v>
      </c>
      <c r="BG1351" t="s">
        <v>76</v>
      </c>
      <c r="BH1351" t="s">
        <v>98</v>
      </c>
      <c r="BI1351" t="s">
        <v>73</v>
      </c>
      <c r="BJ1351" t="s">
        <v>114</v>
      </c>
      <c r="BK1351">
        <v>0</v>
      </c>
      <c r="BL1351">
        <v>0</v>
      </c>
      <c r="BM1351">
        <v>0</v>
      </c>
      <c r="BN1351">
        <v>0</v>
      </c>
      <c r="BO1351">
        <v>0</v>
      </c>
      <c r="BP1351">
        <v>1</v>
      </c>
      <c r="BQ1351">
        <v>0</v>
      </c>
      <c r="BR1351">
        <v>0</v>
      </c>
    </row>
    <row r="1352" spans="1:70" x14ac:dyDescent="0.2">
      <c r="A1352" s="1">
        <v>44582.509027777778</v>
      </c>
      <c r="B1352" s="1">
        <v>44582.511805555558</v>
      </c>
      <c r="C1352">
        <v>1</v>
      </c>
      <c r="D1352">
        <v>0</v>
      </c>
      <c r="E1352">
        <v>0</v>
      </c>
      <c r="F1352">
        <v>0</v>
      </c>
      <c r="H1352">
        <v>0</v>
      </c>
      <c r="I1352">
        <v>1</v>
      </c>
      <c r="J1352">
        <v>0</v>
      </c>
      <c r="K1352">
        <v>0</v>
      </c>
      <c r="L1352">
        <v>0</v>
      </c>
      <c r="N1352" t="s">
        <v>88</v>
      </c>
      <c r="O1352" t="s">
        <v>127</v>
      </c>
      <c r="P1352">
        <v>1</v>
      </c>
      <c r="Q1352">
        <v>0</v>
      </c>
      <c r="R1352">
        <v>0</v>
      </c>
      <c r="S1352">
        <v>0</v>
      </c>
      <c r="T1352">
        <v>0</v>
      </c>
      <c r="U1352">
        <v>0</v>
      </c>
      <c r="V1352">
        <v>0</v>
      </c>
      <c r="W1352">
        <v>0</v>
      </c>
      <c r="X1352">
        <v>0</v>
      </c>
      <c r="Y1352">
        <v>0</v>
      </c>
      <c r="Z1352">
        <v>0</v>
      </c>
      <c r="AA1352">
        <v>0</v>
      </c>
      <c r="AC1352">
        <v>1</v>
      </c>
      <c r="AD1352">
        <v>0</v>
      </c>
      <c r="AE1352">
        <v>0</v>
      </c>
      <c r="AF1352">
        <v>0</v>
      </c>
      <c r="AG1352">
        <v>0</v>
      </c>
      <c r="AH1352">
        <v>0</v>
      </c>
      <c r="AI1352">
        <v>0</v>
      </c>
      <c r="AJ1352">
        <v>0</v>
      </c>
      <c r="AK1352">
        <v>0</v>
      </c>
      <c r="AX1352" t="s">
        <v>146</v>
      </c>
      <c r="AZ1352" t="s">
        <v>107</v>
      </c>
      <c r="BA1352" t="s">
        <v>86</v>
      </c>
      <c r="BB1352" t="s">
        <v>74</v>
      </c>
      <c r="BC1352" t="s">
        <v>87</v>
      </c>
      <c r="BD1352" t="s">
        <v>74</v>
      </c>
      <c r="BE1352" t="s">
        <v>74</v>
      </c>
      <c r="BF1352" t="s">
        <v>75</v>
      </c>
      <c r="BG1352" t="s">
        <v>92</v>
      </c>
      <c r="BH1352" t="s">
        <v>98</v>
      </c>
      <c r="BI1352" t="s">
        <v>107</v>
      </c>
      <c r="BJ1352" t="s">
        <v>78</v>
      </c>
      <c r="BK1352">
        <v>0</v>
      </c>
      <c r="BL1352">
        <v>0</v>
      </c>
      <c r="BM1352">
        <v>0</v>
      </c>
      <c r="BN1352">
        <v>0</v>
      </c>
      <c r="BO1352">
        <v>0</v>
      </c>
      <c r="BP1352">
        <v>1</v>
      </c>
      <c r="BQ1352">
        <v>0</v>
      </c>
      <c r="BR1352">
        <v>0</v>
      </c>
    </row>
    <row r="1353" spans="1:70" x14ac:dyDescent="0.2">
      <c r="A1353" s="1">
        <v>44579.898611111108</v>
      </c>
      <c r="B1353" s="1">
        <v>44579.899305555555</v>
      </c>
      <c r="C1353">
        <v>0</v>
      </c>
      <c r="D1353">
        <v>1</v>
      </c>
      <c r="E1353">
        <v>0</v>
      </c>
      <c r="F1353">
        <v>0</v>
      </c>
      <c r="H1353">
        <v>1</v>
      </c>
      <c r="I1353">
        <v>0</v>
      </c>
      <c r="J1353">
        <v>0</v>
      </c>
      <c r="K1353">
        <v>0</v>
      </c>
      <c r="L1353">
        <v>0</v>
      </c>
      <c r="P1353">
        <v>1</v>
      </c>
      <c r="Q1353">
        <v>0</v>
      </c>
      <c r="R1353">
        <v>0</v>
      </c>
      <c r="S1353">
        <v>0</v>
      </c>
      <c r="T1353">
        <v>0</v>
      </c>
      <c r="U1353">
        <v>0</v>
      </c>
      <c r="V1353">
        <v>0</v>
      </c>
      <c r="W1353">
        <v>0</v>
      </c>
      <c r="X1353">
        <v>0</v>
      </c>
      <c r="Y1353">
        <v>0</v>
      </c>
      <c r="Z1353">
        <v>0</v>
      </c>
      <c r="AA1353">
        <v>0</v>
      </c>
      <c r="AC1353">
        <v>0</v>
      </c>
      <c r="AD1353">
        <v>0</v>
      </c>
      <c r="AE1353">
        <v>0</v>
      </c>
      <c r="AF1353">
        <v>0</v>
      </c>
      <c r="AG1353">
        <v>0</v>
      </c>
      <c r="AH1353">
        <v>0</v>
      </c>
      <c r="AI1353">
        <v>1</v>
      </c>
      <c r="AJ1353">
        <v>0</v>
      </c>
      <c r="AK1353">
        <v>0</v>
      </c>
      <c r="AZ1353" t="s">
        <v>107</v>
      </c>
      <c r="BA1353" t="s">
        <v>74</v>
      </c>
      <c r="BF1353" t="s">
        <v>97</v>
      </c>
      <c r="BG1353" t="s">
        <v>92</v>
      </c>
      <c r="BH1353" t="s">
        <v>98</v>
      </c>
      <c r="BI1353" t="s">
        <v>107</v>
      </c>
      <c r="BJ1353" t="s">
        <v>114</v>
      </c>
      <c r="BK1353">
        <v>0</v>
      </c>
      <c r="BL1353">
        <v>0</v>
      </c>
      <c r="BM1353">
        <v>0</v>
      </c>
      <c r="BN1353">
        <v>0</v>
      </c>
      <c r="BO1353">
        <v>0</v>
      </c>
      <c r="BP1353">
        <v>1</v>
      </c>
      <c r="BQ1353">
        <v>0</v>
      </c>
      <c r="BR1353">
        <v>0</v>
      </c>
    </row>
    <row r="1354" spans="1:70" x14ac:dyDescent="0.2">
      <c r="A1354" s="1">
        <v>44580.09097222222</v>
      </c>
      <c r="B1354" s="1">
        <v>44580.09652777778</v>
      </c>
      <c r="C1354">
        <v>1</v>
      </c>
      <c r="D1354">
        <v>0</v>
      </c>
      <c r="E1354">
        <v>0</v>
      </c>
      <c r="F1354">
        <v>0</v>
      </c>
      <c r="H1354">
        <v>0</v>
      </c>
      <c r="I1354">
        <v>1</v>
      </c>
      <c r="J1354">
        <v>0</v>
      </c>
      <c r="K1354">
        <v>0</v>
      </c>
      <c r="L1354">
        <v>0</v>
      </c>
      <c r="N1354" t="s">
        <v>79</v>
      </c>
      <c r="O1354" t="s">
        <v>80</v>
      </c>
      <c r="P1354">
        <v>0</v>
      </c>
      <c r="Q1354">
        <v>0</v>
      </c>
      <c r="R1354">
        <v>1</v>
      </c>
      <c r="S1354">
        <v>0</v>
      </c>
      <c r="T1354">
        <v>0</v>
      </c>
      <c r="U1354">
        <v>0</v>
      </c>
      <c r="V1354">
        <v>0</v>
      </c>
      <c r="W1354">
        <v>0</v>
      </c>
      <c r="X1354">
        <v>0</v>
      </c>
      <c r="Y1354">
        <v>0</v>
      </c>
      <c r="Z1354">
        <v>0</v>
      </c>
      <c r="AA1354">
        <v>0</v>
      </c>
      <c r="AM1354" t="s">
        <v>83</v>
      </c>
      <c r="AN1354" t="s">
        <v>82</v>
      </c>
      <c r="AO1354" t="s">
        <v>81</v>
      </c>
      <c r="AP1354" t="s">
        <v>82</v>
      </c>
      <c r="AQ1354" t="s">
        <v>82</v>
      </c>
      <c r="AR1354" t="s">
        <v>82</v>
      </c>
      <c r="AS1354" t="s">
        <v>82</v>
      </c>
      <c r="AT1354" t="s">
        <v>90</v>
      </c>
      <c r="AU1354" t="s">
        <v>84</v>
      </c>
      <c r="AV1354" t="s">
        <v>80</v>
      </c>
      <c r="AW1354" t="s">
        <v>85</v>
      </c>
      <c r="AZ1354" t="s">
        <v>107</v>
      </c>
      <c r="BA1354" t="s">
        <v>87</v>
      </c>
      <c r="BB1354" t="s">
        <v>87</v>
      </c>
      <c r="BC1354" t="s">
        <v>87</v>
      </c>
      <c r="BD1354" t="s">
        <v>87</v>
      </c>
      <c r="BE1354" t="s">
        <v>87</v>
      </c>
      <c r="BF1354" t="s">
        <v>101</v>
      </c>
      <c r="BG1354" t="s">
        <v>92</v>
      </c>
      <c r="BH1354" t="s">
        <v>77</v>
      </c>
      <c r="BI1354" t="s">
        <v>107</v>
      </c>
      <c r="BJ1354" t="s">
        <v>109</v>
      </c>
      <c r="BK1354">
        <v>0</v>
      </c>
      <c r="BL1354">
        <v>0</v>
      </c>
      <c r="BM1354">
        <v>0</v>
      </c>
      <c r="BN1354">
        <v>0</v>
      </c>
      <c r="BO1354">
        <v>0</v>
      </c>
      <c r="BP1354">
        <v>1</v>
      </c>
      <c r="BQ1354">
        <v>0</v>
      </c>
      <c r="BR1354">
        <v>0</v>
      </c>
    </row>
    <row r="1355" spans="1:70" x14ac:dyDescent="0.2">
      <c r="A1355" s="1">
        <v>44585.570833333331</v>
      </c>
      <c r="B1355" s="1">
        <v>44585.576388888891</v>
      </c>
      <c r="C1355">
        <v>1</v>
      </c>
      <c r="D1355">
        <v>0</v>
      </c>
      <c r="E1355">
        <v>0</v>
      </c>
      <c r="F1355">
        <v>0</v>
      </c>
      <c r="H1355">
        <v>1</v>
      </c>
      <c r="I1355">
        <v>0</v>
      </c>
      <c r="J1355">
        <v>0</v>
      </c>
      <c r="K1355">
        <v>0</v>
      </c>
      <c r="L1355">
        <v>0</v>
      </c>
      <c r="P1355">
        <v>0</v>
      </c>
      <c r="Q1355">
        <v>0</v>
      </c>
      <c r="R1355">
        <v>1</v>
      </c>
      <c r="S1355">
        <v>0</v>
      </c>
      <c r="T1355">
        <v>0</v>
      </c>
      <c r="U1355">
        <v>0</v>
      </c>
      <c r="V1355">
        <v>0</v>
      </c>
      <c r="W1355">
        <v>0</v>
      </c>
      <c r="X1355">
        <v>0</v>
      </c>
      <c r="Y1355">
        <v>0</v>
      </c>
      <c r="Z1355">
        <v>0</v>
      </c>
      <c r="AA1355">
        <v>0</v>
      </c>
      <c r="AM1355" t="s">
        <v>90</v>
      </c>
      <c r="AN1355" t="s">
        <v>82</v>
      </c>
      <c r="AO1355" t="s">
        <v>90</v>
      </c>
      <c r="AP1355" t="s">
        <v>82</v>
      </c>
      <c r="AQ1355" t="s">
        <v>82</v>
      </c>
      <c r="AR1355" t="s">
        <v>90</v>
      </c>
      <c r="AS1355" t="s">
        <v>82</v>
      </c>
      <c r="AT1355" t="s">
        <v>90</v>
      </c>
      <c r="AU1355" t="s">
        <v>88</v>
      </c>
      <c r="AV1355" t="s">
        <v>89</v>
      </c>
      <c r="AW1355" t="s">
        <v>85</v>
      </c>
      <c r="AZ1355" t="s">
        <v>107</v>
      </c>
      <c r="BA1355" t="s">
        <v>86</v>
      </c>
      <c r="BB1355" t="s">
        <v>87</v>
      </c>
      <c r="BC1355" t="s">
        <v>87</v>
      </c>
      <c r="BD1355" t="s">
        <v>86</v>
      </c>
      <c r="BE1355" t="s">
        <v>87</v>
      </c>
      <c r="BF1355" t="s">
        <v>97</v>
      </c>
      <c r="BG1355" t="s">
        <v>76</v>
      </c>
      <c r="BH1355" t="s">
        <v>98</v>
      </c>
      <c r="BI1355" t="s">
        <v>107</v>
      </c>
      <c r="BJ1355" t="s">
        <v>114</v>
      </c>
      <c r="BK1355">
        <v>1</v>
      </c>
      <c r="BL1355">
        <v>1</v>
      </c>
      <c r="BM1355">
        <v>0</v>
      </c>
      <c r="BN1355">
        <v>0</v>
      </c>
      <c r="BO1355">
        <v>0</v>
      </c>
      <c r="BP1355">
        <v>1</v>
      </c>
      <c r="BQ1355">
        <v>0</v>
      </c>
      <c r="BR1355">
        <v>0</v>
      </c>
    </row>
    <row r="1356" spans="1:70" x14ac:dyDescent="0.2">
      <c r="A1356" s="1">
        <v>44579.94027777778</v>
      </c>
      <c r="B1356" s="1">
        <v>44579.941666666666</v>
      </c>
      <c r="C1356">
        <v>1</v>
      </c>
      <c r="D1356">
        <v>0</v>
      </c>
      <c r="E1356">
        <v>0</v>
      </c>
      <c r="F1356">
        <v>0</v>
      </c>
      <c r="H1356">
        <v>1</v>
      </c>
      <c r="I1356">
        <v>0</v>
      </c>
      <c r="J1356">
        <v>0</v>
      </c>
      <c r="K1356">
        <v>0</v>
      </c>
      <c r="L1356">
        <v>0</v>
      </c>
      <c r="P1356">
        <v>1</v>
      </c>
      <c r="Q1356">
        <v>0</v>
      </c>
      <c r="R1356">
        <v>0</v>
      </c>
      <c r="S1356">
        <v>0</v>
      </c>
      <c r="T1356">
        <v>0</v>
      </c>
      <c r="U1356">
        <v>0</v>
      </c>
      <c r="V1356">
        <v>0</v>
      </c>
      <c r="W1356">
        <v>0</v>
      </c>
      <c r="X1356">
        <v>0</v>
      </c>
      <c r="Y1356">
        <v>0</v>
      </c>
      <c r="Z1356">
        <v>0</v>
      </c>
      <c r="AA1356">
        <v>0</v>
      </c>
      <c r="AC1356">
        <v>0</v>
      </c>
      <c r="AD1356">
        <v>1</v>
      </c>
      <c r="AE1356">
        <v>0</v>
      </c>
      <c r="AF1356">
        <v>0</v>
      </c>
      <c r="AG1356">
        <v>0</v>
      </c>
      <c r="AH1356">
        <v>0</v>
      </c>
      <c r="AI1356">
        <v>0</v>
      </c>
      <c r="AJ1356">
        <v>0</v>
      </c>
      <c r="AK1356">
        <v>0</v>
      </c>
      <c r="AX1356" t="s">
        <v>110</v>
      </c>
      <c r="AY1356" t="s">
        <v>565</v>
      </c>
      <c r="AZ1356" t="s">
        <v>73</v>
      </c>
      <c r="BA1356" t="s">
        <v>86</v>
      </c>
      <c r="BB1356" t="s">
        <v>86</v>
      </c>
      <c r="BC1356" t="s">
        <v>86</v>
      </c>
      <c r="BD1356" t="s">
        <v>86</v>
      </c>
      <c r="BE1356" t="s">
        <v>86</v>
      </c>
      <c r="BF1356" t="s">
        <v>108</v>
      </c>
      <c r="BG1356" t="s">
        <v>92</v>
      </c>
      <c r="BH1356" t="s">
        <v>98</v>
      </c>
      <c r="BI1356" t="s">
        <v>73</v>
      </c>
      <c r="BJ1356" t="s">
        <v>114</v>
      </c>
      <c r="BK1356">
        <v>0</v>
      </c>
      <c r="BL1356">
        <v>0</v>
      </c>
      <c r="BM1356">
        <v>0</v>
      </c>
      <c r="BN1356">
        <v>0</v>
      </c>
      <c r="BO1356">
        <v>0</v>
      </c>
      <c r="BP1356">
        <v>1</v>
      </c>
      <c r="BQ1356">
        <v>0</v>
      </c>
      <c r="BR1356">
        <v>0</v>
      </c>
    </row>
    <row r="1357" spans="1:70" x14ac:dyDescent="0.2">
      <c r="A1357" s="1">
        <v>44580.001388888886</v>
      </c>
      <c r="B1357" s="1">
        <v>44580.00277777778</v>
      </c>
      <c r="C1357">
        <v>1</v>
      </c>
      <c r="D1357">
        <v>0</v>
      </c>
      <c r="E1357">
        <v>0</v>
      </c>
      <c r="F1357">
        <v>0</v>
      </c>
      <c r="H1357">
        <v>0</v>
      </c>
      <c r="I1357">
        <v>1</v>
      </c>
      <c r="J1357">
        <v>0</v>
      </c>
      <c r="K1357">
        <v>0</v>
      </c>
      <c r="L1357">
        <v>0</v>
      </c>
      <c r="N1357" t="s">
        <v>135</v>
      </c>
      <c r="O1357" t="s">
        <v>80</v>
      </c>
      <c r="P1357">
        <v>0</v>
      </c>
      <c r="Q1357">
        <v>0</v>
      </c>
      <c r="R1357">
        <v>1</v>
      </c>
      <c r="S1357">
        <v>0</v>
      </c>
      <c r="T1357">
        <v>0</v>
      </c>
      <c r="U1357">
        <v>0</v>
      </c>
      <c r="V1357">
        <v>0</v>
      </c>
      <c r="W1357">
        <v>0</v>
      </c>
      <c r="X1357">
        <v>0</v>
      </c>
      <c r="Y1357">
        <v>0</v>
      </c>
      <c r="Z1357">
        <v>0</v>
      </c>
      <c r="AA1357">
        <v>0</v>
      </c>
      <c r="AM1357" t="s">
        <v>83</v>
      </c>
      <c r="AN1357" t="s">
        <v>82</v>
      </c>
      <c r="AO1357" t="s">
        <v>83</v>
      </c>
      <c r="AP1357" t="s">
        <v>83</v>
      </c>
      <c r="AQ1357" t="s">
        <v>81</v>
      </c>
      <c r="AR1357" t="s">
        <v>81</v>
      </c>
      <c r="AS1357" t="s">
        <v>81</v>
      </c>
      <c r="AT1357" t="s">
        <v>83</v>
      </c>
      <c r="AU1357" t="s">
        <v>88</v>
      </c>
      <c r="AV1357" t="s">
        <v>89</v>
      </c>
      <c r="AW1357" t="s">
        <v>85</v>
      </c>
      <c r="AX1357" t="s">
        <v>122</v>
      </c>
      <c r="AZ1357" t="s">
        <v>73</v>
      </c>
      <c r="BA1357" t="s">
        <v>87</v>
      </c>
      <c r="BB1357" t="s">
        <v>87</v>
      </c>
      <c r="BC1357" t="s">
        <v>87</v>
      </c>
      <c r="BD1357" t="s">
        <v>86</v>
      </c>
      <c r="BE1357" t="s">
        <v>87</v>
      </c>
      <c r="BF1357" t="s">
        <v>113</v>
      </c>
      <c r="BG1357" t="s">
        <v>76</v>
      </c>
      <c r="BH1357" t="s">
        <v>77</v>
      </c>
      <c r="BI1357" t="s">
        <v>73</v>
      </c>
      <c r="BJ1357" t="s">
        <v>114</v>
      </c>
      <c r="BK1357">
        <v>0</v>
      </c>
      <c r="BL1357">
        <v>0</v>
      </c>
      <c r="BM1357">
        <v>0</v>
      </c>
      <c r="BN1357">
        <v>0</v>
      </c>
      <c r="BO1357">
        <v>0</v>
      </c>
      <c r="BP1357">
        <v>1</v>
      </c>
      <c r="BQ1357">
        <v>0</v>
      </c>
      <c r="BR1357">
        <v>0</v>
      </c>
    </row>
    <row r="1358" spans="1:70" x14ac:dyDescent="0.2">
      <c r="A1358" s="1">
        <v>44585.524305555555</v>
      </c>
      <c r="B1358" s="1">
        <v>44585.526388888888</v>
      </c>
      <c r="C1358">
        <v>1</v>
      </c>
      <c r="D1358">
        <v>0</v>
      </c>
      <c r="E1358">
        <v>0</v>
      </c>
      <c r="F1358">
        <v>0</v>
      </c>
      <c r="H1358">
        <v>1</v>
      </c>
      <c r="I1358">
        <v>0</v>
      </c>
      <c r="J1358">
        <v>0</v>
      </c>
      <c r="K1358">
        <v>0</v>
      </c>
      <c r="L1358">
        <v>0</v>
      </c>
      <c r="P1358">
        <v>1</v>
      </c>
      <c r="Q1358">
        <v>0</v>
      </c>
      <c r="R1358">
        <v>0</v>
      </c>
      <c r="S1358">
        <v>0</v>
      </c>
      <c r="T1358">
        <v>0</v>
      </c>
      <c r="U1358">
        <v>0</v>
      </c>
      <c r="V1358">
        <v>0</v>
      </c>
      <c r="W1358">
        <v>0</v>
      </c>
      <c r="X1358">
        <v>0</v>
      </c>
      <c r="Y1358">
        <v>0</v>
      </c>
      <c r="Z1358">
        <v>0</v>
      </c>
      <c r="AA1358">
        <v>0</v>
      </c>
      <c r="AC1358">
        <v>0</v>
      </c>
      <c r="AD1358">
        <v>0</v>
      </c>
      <c r="AE1358">
        <v>1</v>
      </c>
      <c r="AF1358">
        <v>0</v>
      </c>
      <c r="AG1358">
        <v>0</v>
      </c>
      <c r="AH1358">
        <v>0</v>
      </c>
      <c r="AI1358">
        <v>1</v>
      </c>
      <c r="AJ1358">
        <v>0</v>
      </c>
      <c r="AK1358">
        <v>0</v>
      </c>
      <c r="AZ1358" t="s">
        <v>107</v>
      </c>
      <c r="BA1358" t="s">
        <v>74</v>
      </c>
      <c r="BF1358" t="s">
        <v>97</v>
      </c>
      <c r="BG1358" t="s">
        <v>76</v>
      </c>
      <c r="BH1358" t="s">
        <v>158</v>
      </c>
      <c r="BI1358" t="s">
        <v>107</v>
      </c>
      <c r="BJ1358" t="s">
        <v>114</v>
      </c>
      <c r="BK1358">
        <v>0</v>
      </c>
      <c r="BL1358">
        <v>0</v>
      </c>
      <c r="BM1358">
        <v>0</v>
      </c>
      <c r="BN1358">
        <v>0</v>
      </c>
      <c r="BO1358">
        <v>0</v>
      </c>
      <c r="BP1358">
        <v>1</v>
      </c>
      <c r="BQ1358">
        <v>0</v>
      </c>
      <c r="BR1358">
        <v>0</v>
      </c>
    </row>
    <row r="1359" spans="1:70" x14ac:dyDescent="0.2">
      <c r="A1359" s="1">
        <v>44579.89166666667</v>
      </c>
      <c r="B1359" s="1">
        <v>44579.893750000003</v>
      </c>
      <c r="C1359">
        <v>1</v>
      </c>
      <c r="D1359">
        <v>0</v>
      </c>
      <c r="E1359">
        <v>0</v>
      </c>
      <c r="F1359">
        <v>0</v>
      </c>
      <c r="H1359">
        <v>1</v>
      </c>
      <c r="I1359">
        <v>0</v>
      </c>
      <c r="J1359">
        <v>0</v>
      </c>
      <c r="K1359">
        <v>0</v>
      </c>
      <c r="L1359">
        <v>0</v>
      </c>
      <c r="P1359">
        <v>1</v>
      </c>
      <c r="Q1359">
        <v>0</v>
      </c>
      <c r="R1359">
        <v>0</v>
      </c>
      <c r="S1359">
        <v>0</v>
      </c>
      <c r="T1359">
        <v>0</v>
      </c>
      <c r="U1359">
        <v>0</v>
      </c>
      <c r="V1359">
        <v>0</v>
      </c>
      <c r="W1359">
        <v>0</v>
      </c>
      <c r="X1359">
        <v>0</v>
      </c>
      <c r="Y1359">
        <v>0</v>
      </c>
      <c r="Z1359">
        <v>0</v>
      </c>
      <c r="AA1359">
        <v>0</v>
      </c>
      <c r="AC1359">
        <v>0</v>
      </c>
      <c r="AD1359">
        <v>0</v>
      </c>
      <c r="AE1359">
        <v>1</v>
      </c>
      <c r="AF1359">
        <v>0</v>
      </c>
      <c r="AG1359">
        <v>0</v>
      </c>
      <c r="AH1359">
        <v>0</v>
      </c>
      <c r="AI1359">
        <v>0</v>
      </c>
      <c r="AJ1359">
        <v>0</v>
      </c>
      <c r="AK1359">
        <v>0</v>
      </c>
      <c r="AZ1359" t="s">
        <v>73</v>
      </c>
      <c r="BA1359" t="s">
        <v>86</v>
      </c>
      <c r="BB1359" t="s">
        <v>74</v>
      </c>
      <c r="BC1359" t="s">
        <v>74</v>
      </c>
      <c r="BD1359" t="s">
        <v>87</v>
      </c>
      <c r="BE1359" t="s">
        <v>74</v>
      </c>
      <c r="BF1359" t="s">
        <v>97</v>
      </c>
      <c r="BG1359" t="s">
        <v>76</v>
      </c>
      <c r="BH1359" t="s">
        <v>566</v>
      </c>
      <c r="BI1359" t="s">
        <v>73</v>
      </c>
      <c r="BJ1359" t="s">
        <v>114</v>
      </c>
      <c r="BK1359">
        <v>0</v>
      </c>
      <c r="BL1359">
        <v>0</v>
      </c>
      <c r="BM1359">
        <v>0</v>
      </c>
      <c r="BN1359">
        <v>0</v>
      </c>
      <c r="BO1359">
        <v>0</v>
      </c>
      <c r="BP1359">
        <v>1</v>
      </c>
      <c r="BQ1359">
        <v>0</v>
      </c>
      <c r="BR1359">
        <v>0</v>
      </c>
    </row>
    <row r="1360" spans="1:70" x14ac:dyDescent="0.2">
      <c r="A1360" s="1">
        <v>44580.640277777777</v>
      </c>
      <c r="B1360" s="1">
        <v>44580.64166666667</v>
      </c>
      <c r="C1360">
        <v>1</v>
      </c>
      <c r="D1360">
        <v>0</v>
      </c>
      <c r="E1360">
        <v>0</v>
      </c>
      <c r="F1360">
        <v>0</v>
      </c>
      <c r="H1360">
        <v>1</v>
      </c>
      <c r="I1360">
        <v>0</v>
      </c>
      <c r="J1360">
        <v>0</v>
      </c>
      <c r="K1360">
        <v>0</v>
      </c>
      <c r="L1360">
        <v>0</v>
      </c>
      <c r="P1360">
        <v>1</v>
      </c>
      <c r="Q1360">
        <v>0</v>
      </c>
      <c r="R1360">
        <v>0</v>
      </c>
      <c r="S1360">
        <v>0</v>
      </c>
      <c r="T1360">
        <v>0</v>
      </c>
      <c r="U1360">
        <v>0</v>
      </c>
      <c r="V1360">
        <v>0</v>
      </c>
      <c r="W1360">
        <v>0</v>
      </c>
      <c r="X1360">
        <v>0</v>
      </c>
      <c r="Y1360">
        <v>0</v>
      </c>
      <c r="Z1360">
        <v>0</v>
      </c>
      <c r="AA1360">
        <v>0</v>
      </c>
      <c r="AC1360">
        <v>0</v>
      </c>
      <c r="AD1360">
        <v>0</v>
      </c>
      <c r="AE1360">
        <v>0</v>
      </c>
      <c r="AF1360">
        <v>0</v>
      </c>
      <c r="AG1360">
        <v>0</v>
      </c>
      <c r="AH1360">
        <v>0</v>
      </c>
      <c r="AI1360">
        <v>1</v>
      </c>
      <c r="AJ1360">
        <v>0</v>
      </c>
      <c r="AK1360">
        <v>0</v>
      </c>
      <c r="AZ1360" t="s">
        <v>96</v>
      </c>
      <c r="BA1360" t="s">
        <v>86</v>
      </c>
      <c r="BB1360" t="s">
        <v>74</v>
      </c>
      <c r="BC1360" t="s">
        <v>74</v>
      </c>
      <c r="BD1360" t="s">
        <v>86</v>
      </c>
      <c r="BE1360" t="s">
        <v>86</v>
      </c>
      <c r="BF1360" t="s">
        <v>97</v>
      </c>
      <c r="BG1360" t="s">
        <v>76</v>
      </c>
      <c r="BH1360" t="s">
        <v>98</v>
      </c>
      <c r="BI1360" t="s">
        <v>96</v>
      </c>
      <c r="BJ1360" t="s">
        <v>109</v>
      </c>
      <c r="BK1360">
        <v>0</v>
      </c>
      <c r="BL1360">
        <v>0</v>
      </c>
      <c r="BM1360">
        <v>0</v>
      </c>
      <c r="BN1360">
        <v>0</v>
      </c>
      <c r="BO1360">
        <v>0</v>
      </c>
      <c r="BP1360">
        <v>1</v>
      </c>
      <c r="BQ1360">
        <v>0</v>
      </c>
      <c r="BR1360">
        <v>0</v>
      </c>
    </row>
    <row r="1361" spans="1:72" x14ac:dyDescent="0.2">
      <c r="A1361" s="1">
        <v>44579.898611111108</v>
      </c>
      <c r="B1361" s="1">
        <v>44579.9</v>
      </c>
      <c r="C1361">
        <v>1</v>
      </c>
      <c r="D1361">
        <v>0</v>
      </c>
      <c r="E1361">
        <v>0</v>
      </c>
      <c r="F1361">
        <v>0</v>
      </c>
      <c r="H1361">
        <v>1</v>
      </c>
      <c r="I1361">
        <v>0</v>
      </c>
      <c r="J1361">
        <v>0</v>
      </c>
      <c r="K1361">
        <v>0</v>
      </c>
      <c r="L1361">
        <v>0</v>
      </c>
      <c r="P1361">
        <v>0</v>
      </c>
      <c r="Q1361">
        <v>1</v>
      </c>
      <c r="R1361">
        <v>0</v>
      </c>
      <c r="S1361">
        <v>0</v>
      </c>
      <c r="T1361">
        <v>0</v>
      </c>
      <c r="U1361">
        <v>0</v>
      </c>
      <c r="V1361">
        <v>0</v>
      </c>
      <c r="W1361">
        <v>0</v>
      </c>
      <c r="X1361">
        <v>0</v>
      </c>
      <c r="Y1361">
        <v>0</v>
      </c>
      <c r="Z1361">
        <v>0</v>
      </c>
      <c r="AA1361">
        <v>0</v>
      </c>
      <c r="AM1361" t="s">
        <v>90</v>
      </c>
      <c r="AN1361" t="s">
        <v>82</v>
      </c>
      <c r="AO1361" t="s">
        <v>90</v>
      </c>
      <c r="AP1361" t="s">
        <v>90</v>
      </c>
      <c r="AQ1361" t="s">
        <v>90</v>
      </c>
      <c r="AR1361" t="s">
        <v>90</v>
      </c>
      <c r="AS1361" t="s">
        <v>90</v>
      </c>
      <c r="AT1361" t="s">
        <v>90</v>
      </c>
      <c r="AU1361" t="s">
        <v>127</v>
      </c>
      <c r="AV1361" t="s">
        <v>127</v>
      </c>
      <c r="AZ1361" t="s">
        <v>73</v>
      </c>
      <c r="BA1361" t="s">
        <v>87</v>
      </c>
      <c r="BB1361" t="s">
        <v>87</v>
      </c>
      <c r="BC1361" t="s">
        <v>87</v>
      </c>
      <c r="BD1361" t="s">
        <v>86</v>
      </c>
      <c r="BE1361" t="s">
        <v>87</v>
      </c>
      <c r="BF1361" t="s">
        <v>97</v>
      </c>
      <c r="BG1361" t="s">
        <v>76</v>
      </c>
      <c r="BH1361" t="s">
        <v>98</v>
      </c>
      <c r="BI1361" t="s">
        <v>73</v>
      </c>
      <c r="BJ1361" t="s">
        <v>114</v>
      </c>
      <c r="BK1361">
        <v>0</v>
      </c>
      <c r="BL1361">
        <v>0</v>
      </c>
      <c r="BM1361">
        <v>0</v>
      </c>
      <c r="BN1361">
        <v>0</v>
      </c>
      <c r="BO1361">
        <v>0</v>
      </c>
      <c r="BP1361">
        <v>1</v>
      </c>
      <c r="BQ1361">
        <v>0</v>
      </c>
      <c r="BR1361">
        <v>0</v>
      </c>
    </row>
    <row r="1362" spans="1:72" x14ac:dyDescent="0.2">
      <c r="A1362" s="1">
        <v>44585.817361111112</v>
      </c>
      <c r="B1362" s="1">
        <v>44585.820138888892</v>
      </c>
      <c r="C1362">
        <v>1</v>
      </c>
      <c r="D1362">
        <v>0</v>
      </c>
      <c r="E1362">
        <v>0</v>
      </c>
      <c r="F1362">
        <v>0</v>
      </c>
      <c r="H1362">
        <v>0</v>
      </c>
      <c r="I1362">
        <v>1</v>
      </c>
      <c r="J1362">
        <v>1</v>
      </c>
      <c r="K1362">
        <v>1</v>
      </c>
      <c r="L1362">
        <v>0</v>
      </c>
      <c r="N1362" t="s">
        <v>88</v>
      </c>
      <c r="O1362" t="s">
        <v>89</v>
      </c>
      <c r="P1362">
        <v>0</v>
      </c>
      <c r="Q1362">
        <v>1</v>
      </c>
      <c r="R1362">
        <v>1</v>
      </c>
      <c r="S1362">
        <v>0</v>
      </c>
      <c r="T1362">
        <v>0</v>
      </c>
      <c r="U1362">
        <v>0</v>
      </c>
      <c r="V1362">
        <v>0</v>
      </c>
      <c r="W1362">
        <v>0</v>
      </c>
      <c r="X1362">
        <v>0</v>
      </c>
      <c r="Y1362">
        <v>0</v>
      </c>
      <c r="Z1362">
        <v>0</v>
      </c>
      <c r="AA1362">
        <v>0</v>
      </c>
      <c r="AM1362" t="s">
        <v>81</v>
      </c>
      <c r="AN1362" t="s">
        <v>82</v>
      </c>
      <c r="AO1362" t="s">
        <v>82</v>
      </c>
      <c r="AP1362" t="s">
        <v>82</v>
      </c>
      <c r="AQ1362" t="s">
        <v>82</v>
      </c>
      <c r="AR1362" t="s">
        <v>83</v>
      </c>
      <c r="AS1362" t="s">
        <v>83</v>
      </c>
      <c r="AT1362" t="s">
        <v>83</v>
      </c>
      <c r="AU1362" t="s">
        <v>88</v>
      </c>
      <c r="AV1362" t="s">
        <v>89</v>
      </c>
      <c r="AW1362" t="s">
        <v>100</v>
      </c>
      <c r="AX1362" t="s">
        <v>122</v>
      </c>
      <c r="AZ1362" t="s">
        <v>73</v>
      </c>
      <c r="BA1362" t="s">
        <v>87</v>
      </c>
      <c r="BB1362" t="s">
        <v>87</v>
      </c>
      <c r="BC1362" t="s">
        <v>87</v>
      </c>
      <c r="BD1362" t="s">
        <v>87</v>
      </c>
      <c r="BE1362" t="s">
        <v>87</v>
      </c>
      <c r="BF1362" t="s">
        <v>108</v>
      </c>
      <c r="BG1362" t="s">
        <v>92</v>
      </c>
      <c r="BH1362" t="s">
        <v>98</v>
      </c>
      <c r="BI1362" t="s">
        <v>73</v>
      </c>
      <c r="BJ1362" t="s">
        <v>109</v>
      </c>
      <c r="BK1362">
        <v>0</v>
      </c>
      <c r="BL1362">
        <v>0</v>
      </c>
      <c r="BM1362">
        <v>0</v>
      </c>
      <c r="BN1362">
        <v>0</v>
      </c>
      <c r="BO1362">
        <v>0</v>
      </c>
      <c r="BP1362">
        <v>1</v>
      </c>
      <c r="BQ1362">
        <v>0</v>
      </c>
      <c r="BR1362">
        <v>0</v>
      </c>
    </row>
    <row r="1363" spans="1:72" x14ac:dyDescent="0.2">
      <c r="A1363" s="1">
        <v>44579.999305555553</v>
      </c>
      <c r="B1363" s="1">
        <v>44586.007638888892</v>
      </c>
      <c r="C1363">
        <v>1</v>
      </c>
      <c r="D1363">
        <v>0</v>
      </c>
      <c r="E1363">
        <v>0</v>
      </c>
      <c r="F1363">
        <v>0</v>
      </c>
      <c r="H1363">
        <v>1</v>
      </c>
      <c r="I1363">
        <v>0</v>
      </c>
      <c r="J1363">
        <v>0</v>
      </c>
      <c r="K1363">
        <v>0</v>
      </c>
      <c r="L1363">
        <v>0</v>
      </c>
      <c r="P1363">
        <v>1</v>
      </c>
      <c r="Q1363">
        <v>0</v>
      </c>
      <c r="R1363">
        <v>0</v>
      </c>
      <c r="S1363">
        <v>0</v>
      </c>
      <c r="T1363">
        <v>0</v>
      </c>
      <c r="U1363">
        <v>0</v>
      </c>
      <c r="V1363">
        <v>0</v>
      </c>
      <c r="W1363">
        <v>0</v>
      </c>
      <c r="X1363">
        <v>0</v>
      </c>
      <c r="Y1363">
        <v>0</v>
      </c>
      <c r="Z1363">
        <v>0</v>
      </c>
      <c r="AA1363">
        <v>0</v>
      </c>
      <c r="AC1363">
        <v>0</v>
      </c>
      <c r="AD1363">
        <v>0</v>
      </c>
      <c r="AE1363">
        <v>0</v>
      </c>
      <c r="AF1363">
        <v>0</v>
      </c>
      <c r="AG1363">
        <v>0</v>
      </c>
      <c r="AH1363">
        <v>0</v>
      </c>
      <c r="AI1363">
        <v>0</v>
      </c>
      <c r="AJ1363">
        <v>0</v>
      </c>
      <c r="AK1363">
        <v>1</v>
      </c>
      <c r="AL1363" t="s">
        <v>567</v>
      </c>
      <c r="AZ1363" t="s">
        <v>73</v>
      </c>
      <c r="BA1363" t="s">
        <v>86</v>
      </c>
      <c r="BB1363" t="s">
        <v>74</v>
      </c>
      <c r="BC1363" t="s">
        <v>86</v>
      </c>
      <c r="BD1363" t="s">
        <v>74</v>
      </c>
      <c r="BE1363" t="s">
        <v>86</v>
      </c>
      <c r="BF1363" t="s">
        <v>97</v>
      </c>
      <c r="BG1363" t="s">
        <v>76</v>
      </c>
      <c r="BH1363" t="s">
        <v>98</v>
      </c>
      <c r="BI1363" t="s">
        <v>73</v>
      </c>
      <c r="BK1363">
        <v>0</v>
      </c>
      <c r="BL1363">
        <v>0</v>
      </c>
      <c r="BM1363">
        <v>0</v>
      </c>
      <c r="BN1363">
        <v>0</v>
      </c>
      <c r="BO1363">
        <v>0</v>
      </c>
      <c r="BP1363">
        <v>1</v>
      </c>
      <c r="BQ1363">
        <v>0</v>
      </c>
      <c r="BR1363">
        <v>0</v>
      </c>
      <c r="BT1363" t="s">
        <v>188</v>
      </c>
    </row>
    <row r="1364" spans="1:72" x14ac:dyDescent="0.2">
      <c r="A1364" s="1">
        <v>44588.943055555559</v>
      </c>
      <c r="B1364" s="1">
        <v>44588.948611111111</v>
      </c>
      <c r="C1364">
        <v>1</v>
      </c>
      <c r="D1364">
        <v>0</v>
      </c>
      <c r="E1364">
        <v>0</v>
      </c>
      <c r="F1364">
        <v>0</v>
      </c>
      <c r="H1364">
        <v>1</v>
      </c>
      <c r="I1364">
        <v>0</v>
      </c>
      <c r="J1364">
        <v>0</v>
      </c>
      <c r="K1364">
        <v>0</v>
      </c>
      <c r="L1364">
        <v>0</v>
      </c>
      <c r="P1364">
        <v>0</v>
      </c>
      <c r="Q1364">
        <v>0</v>
      </c>
      <c r="R1364">
        <v>1</v>
      </c>
      <c r="S1364">
        <v>0</v>
      </c>
      <c r="T1364">
        <v>0</v>
      </c>
      <c r="U1364">
        <v>0</v>
      </c>
      <c r="V1364">
        <v>0</v>
      </c>
      <c r="W1364">
        <v>0</v>
      </c>
      <c r="X1364">
        <v>0</v>
      </c>
      <c r="Y1364">
        <v>0</v>
      </c>
      <c r="Z1364">
        <v>0</v>
      </c>
      <c r="AA1364">
        <v>0</v>
      </c>
      <c r="AM1364" t="s">
        <v>83</v>
      </c>
      <c r="AN1364" t="s">
        <v>82</v>
      </c>
      <c r="AO1364" t="s">
        <v>83</v>
      </c>
      <c r="AP1364" t="s">
        <v>83</v>
      </c>
      <c r="AQ1364" t="s">
        <v>82</v>
      </c>
      <c r="AR1364" t="s">
        <v>83</v>
      </c>
      <c r="AS1364" t="s">
        <v>82</v>
      </c>
      <c r="AT1364" t="s">
        <v>90</v>
      </c>
      <c r="AU1364" t="s">
        <v>84</v>
      </c>
      <c r="AV1364" t="s">
        <v>89</v>
      </c>
      <c r="AW1364" t="s">
        <v>85</v>
      </c>
      <c r="AZ1364" t="s">
        <v>96</v>
      </c>
      <c r="BA1364" t="s">
        <v>87</v>
      </c>
      <c r="BB1364" t="s">
        <v>74</v>
      </c>
      <c r="BC1364" t="s">
        <v>86</v>
      </c>
      <c r="BD1364" t="s">
        <v>87</v>
      </c>
      <c r="BE1364" t="s">
        <v>86</v>
      </c>
      <c r="BF1364" t="s">
        <v>97</v>
      </c>
      <c r="BG1364" t="s">
        <v>76</v>
      </c>
      <c r="BH1364" t="s">
        <v>98</v>
      </c>
      <c r="BI1364" t="s">
        <v>96</v>
      </c>
      <c r="BJ1364" t="s">
        <v>114</v>
      </c>
      <c r="BK1364">
        <v>0</v>
      </c>
      <c r="BL1364">
        <v>0</v>
      </c>
      <c r="BM1364">
        <v>0</v>
      </c>
      <c r="BN1364">
        <v>0</v>
      </c>
      <c r="BO1364">
        <v>0</v>
      </c>
      <c r="BP1364">
        <v>1</v>
      </c>
      <c r="BQ1364">
        <v>0</v>
      </c>
      <c r="BR1364">
        <v>0</v>
      </c>
    </row>
    <row r="1365" spans="1:72" x14ac:dyDescent="0.2">
      <c r="A1365" s="1">
        <v>44589.125</v>
      </c>
      <c r="B1365" s="1">
        <v>44589.12777777778</v>
      </c>
      <c r="C1365">
        <v>1</v>
      </c>
      <c r="D1365">
        <v>0</v>
      </c>
      <c r="E1365">
        <v>0</v>
      </c>
      <c r="F1365">
        <v>0</v>
      </c>
      <c r="H1365">
        <v>0</v>
      </c>
      <c r="I1365">
        <v>0</v>
      </c>
      <c r="J1365">
        <v>1</v>
      </c>
      <c r="K1365">
        <v>0</v>
      </c>
      <c r="L1365">
        <v>0</v>
      </c>
      <c r="N1365" t="s">
        <v>135</v>
      </c>
      <c r="O1365" t="s">
        <v>127</v>
      </c>
      <c r="P1365">
        <v>1</v>
      </c>
      <c r="Q1365">
        <v>0</v>
      </c>
      <c r="R1365">
        <v>0</v>
      </c>
      <c r="S1365">
        <v>0</v>
      </c>
      <c r="T1365">
        <v>0</v>
      </c>
      <c r="U1365">
        <v>0</v>
      </c>
      <c r="V1365">
        <v>0</v>
      </c>
      <c r="W1365">
        <v>0</v>
      </c>
      <c r="X1365">
        <v>0</v>
      </c>
      <c r="Y1365">
        <v>0</v>
      </c>
      <c r="Z1365">
        <v>0</v>
      </c>
      <c r="AA1365">
        <v>0</v>
      </c>
      <c r="AC1365">
        <v>0</v>
      </c>
      <c r="AD1365">
        <v>1</v>
      </c>
      <c r="AE1365">
        <v>0</v>
      </c>
      <c r="AF1365">
        <v>0</v>
      </c>
      <c r="AG1365">
        <v>0</v>
      </c>
      <c r="AH1365">
        <v>0</v>
      </c>
      <c r="AI1365">
        <v>0</v>
      </c>
      <c r="AJ1365">
        <v>0</v>
      </c>
      <c r="AK1365">
        <v>0</v>
      </c>
      <c r="AZ1365" t="s">
        <v>96</v>
      </c>
      <c r="BA1365" t="s">
        <v>87</v>
      </c>
      <c r="BB1365" t="s">
        <v>87</v>
      </c>
      <c r="BC1365" t="s">
        <v>74</v>
      </c>
      <c r="BD1365" t="s">
        <v>74</v>
      </c>
      <c r="BE1365" t="s">
        <v>87</v>
      </c>
      <c r="BF1365" t="s">
        <v>97</v>
      </c>
      <c r="BG1365" t="s">
        <v>92</v>
      </c>
      <c r="BH1365" t="s">
        <v>98</v>
      </c>
      <c r="BI1365" t="s">
        <v>96</v>
      </c>
      <c r="BJ1365" t="s">
        <v>78</v>
      </c>
      <c r="BK1365">
        <v>0</v>
      </c>
      <c r="BL1365">
        <v>0</v>
      </c>
      <c r="BM1365">
        <v>0</v>
      </c>
      <c r="BN1365">
        <v>0</v>
      </c>
      <c r="BO1365">
        <v>0</v>
      </c>
      <c r="BP1365">
        <v>1</v>
      </c>
      <c r="BQ1365">
        <v>0</v>
      </c>
      <c r="BR1365">
        <v>0</v>
      </c>
    </row>
    <row r="1366" spans="1:72" x14ac:dyDescent="0.2">
      <c r="A1366" s="1">
        <v>44579.904861111114</v>
      </c>
      <c r="B1366" s="1">
        <v>44588.876388888886</v>
      </c>
      <c r="C1366">
        <v>1</v>
      </c>
      <c r="D1366">
        <v>0</v>
      </c>
      <c r="E1366">
        <v>0</v>
      </c>
      <c r="F1366">
        <v>0</v>
      </c>
      <c r="H1366">
        <v>1</v>
      </c>
      <c r="I1366">
        <v>0</v>
      </c>
      <c r="J1366">
        <v>0</v>
      </c>
      <c r="K1366">
        <v>0</v>
      </c>
      <c r="L1366">
        <v>0</v>
      </c>
      <c r="P1366">
        <v>1</v>
      </c>
      <c r="Q1366">
        <v>0</v>
      </c>
      <c r="R1366">
        <v>0</v>
      </c>
      <c r="S1366">
        <v>0</v>
      </c>
      <c r="T1366">
        <v>0</v>
      </c>
      <c r="U1366">
        <v>0</v>
      </c>
      <c r="V1366">
        <v>0</v>
      </c>
      <c r="W1366">
        <v>0</v>
      </c>
      <c r="X1366">
        <v>0</v>
      </c>
      <c r="Y1366">
        <v>0</v>
      </c>
      <c r="Z1366">
        <v>0</v>
      </c>
      <c r="AA1366">
        <v>0</v>
      </c>
      <c r="AC1366">
        <v>0</v>
      </c>
      <c r="AD1366">
        <v>0</v>
      </c>
      <c r="AE1366">
        <v>1</v>
      </c>
      <c r="AF1366">
        <v>0</v>
      </c>
      <c r="AG1366">
        <v>0</v>
      </c>
      <c r="AH1366">
        <v>1</v>
      </c>
      <c r="AI1366">
        <v>0</v>
      </c>
      <c r="AJ1366">
        <v>1</v>
      </c>
      <c r="AK1366">
        <v>0</v>
      </c>
      <c r="AX1366" t="s">
        <v>118</v>
      </c>
      <c r="AZ1366" t="s">
        <v>73</v>
      </c>
      <c r="BA1366" t="s">
        <v>74</v>
      </c>
      <c r="BF1366" t="s">
        <v>75</v>
      </c>
      <c r="BG1366" t="s">
        <v>92</v>
      </c>
      <c r="BH1366" t="s">
        <v>77</v>
      </c>
      <c r="BI1366" t="s">
        <v>73</v>
      </c>
      <c r="BJ1366" t="s">
        <v>114</v>
      </c>
      <c r="BK1366">
        <v>0</v>
      </c>
      <c r="BL1366">
        <v>0</v>
      </c>
      <c r="BM1366">
        <v>0</v>
      </c>
      <c r="BN1366">
        <v>0</v>
      </c>
      <c r="BO1366">
        <v>0</v>
      </c>
      <c r="BP1366">
        <v>1</v>
      </c>
      <c r="BQ1366">
        <v>0</v>
      </c>
      <c r="BR1366">
        <v>0</v>
      </c>
    </row>
    <row r="1367" spans="1:72" x14ac:dyDescent="0.2">
      <c r="A1367" s="1">
        <v>44581.711805555555</v>
      </c>
      <c r="B1367" s="1">
        <v>44581.713194444441</v>
      </c>
      <c r="C1367">
        <v>1</v>
      </c>
      <c r="D1367">
        <v>0</v>
      </c>
      <c r="E1367">
        <v>0</v>
      </c>
      <c r="F1367">
        <v>0</v>
      </c>
      <c r="H1367">
        <v>0</v>
      </c>
      <c r="I1367">
        <v>1</v>
      </c>
      <c r="J1367">
        <v>0</v>
      </c>
      <c r="K1367">
        <v>0</v>
      </c>
      <c r="L1367">
        <v>0</v>
      </c>
      <c r="N1367" t="s">
        <v>88</v>
      </c>
      <c r="O1367" t="s">
        <v>80</v>
      </c>
      <c r="P1367">
        <v>1</v>
      </c>
      <c r="Q1367">
        <v>0</v>
      </c>
      <c r="R1367">
        <v>0</v>
      </c>
      <c r="S1367">
        <v>0</v>
      </c>
      <c r="T1367">
        <v>0</v>
      </c>
      <c r="U1367">
        <v>0</v>
      </c>
      <c r="V1367">
        <v>0</v>
      </c>
      <c r="W1367">
        <v>0</v>
      </c>
      <c r="X1367">
        <v>0</v>
      </c>
      <c r="Y1367">
        <v>0</v>
      </c>
      <c r="Z1367">
        <v>0</v>
      </c>
      <c r="AA1367">
        <v>0</v>
      </c>
      <c r="AC1367">
        <v>1</v>
      </c>
      <c r="AD1367">
        <v>0</v>
      </c>
      <c r="AE1367">
        <v>0</v>
      </c>
      <c r="AF1367">
        <v>0</v>
      </c>
      <c r="AG1367">
        <v>0</v>
      </c>
      <c r="AH1367">
        <v>0</v>
      </c>
      <c r="AI1367">
        <v>0</v>
      </c>
      <c r="AJ1367">
        <v>0</v>
      </c>
      <c r="AK1367">
        <v>0</v>
      </c>
      <c r="AX1367" t="s">
        <v>146</v>
      </c>
      <c r="AZ1367" t="s">
        <v>73</v>
      </c>
      <c r="BA1367" t="s">
        <v>87</v>
      </c>
      <c r="BB1367" t="s">
        <v>87</v>
      </c>
      <c r="BC1367" t="s">
        <v>87</v>
      </c>
      <c r="BD1367" t="s">
        <v>87</v>
      </c>
      <c r="BE1367" t="s">
        <v>87</v>
      </c>
      <c r="BF1367" t="s">
        <v>75</v>
      </c>
      <c r="BG1367" t="s">
        <v>76</v>
      </c>
      <c r="BH1367" t="s">
        <v>77</v>
      </c>
      <c r="BI1367" t="s">
        <v>73</v>
      </c>
      <c r="BJ1367" t="s">
        <v>94</v>
      </c>
      <c r="BK1367">
        <v>0</v>
      </c>
      <c r="BL1367">
        <v>0</v>
      </c>
      <c r="BM1367">
        <v>0</v>
      </c>
      <c r="BN1367">
        <v>0</v>
      </c>
      <c r="BO1367">
        <v>0</v>
      </c>
      <c r="BP1367">
        <v>1</v>
      </c>
      <c r="BQ1367">
        <v>0</v>
      </c>
      <c r="BR1367">
        <v>0</v>
      </c>
    </row>
    <row r="1368" spans="1:72" x14ac:dyDescent="0.2">
      <c r="A1368" s="1">
        <v>44579.877083333333</v>
      </c>
      <c r="B1368" s="1">
        <v>44579.879166666666</v>
      </c>
      <c r="C1368">
        <v>0</v>
      </c>
      <c r="D1368">
        <v>1</v>
      </c>
      <c r="E1368">
        <v>0</v>
      </c>
      <c r="F1368">
        <v>0</v>
      </c>
      <c r="H1368">
        <v>0</v>
      </c>
      <c r="I1368">
        <v>1</v>
      </c>
      <c r="J1368">
        <v>0</v>
      </c>
      <c r="K1368">
        <v>1</v>
      </c>
      <c r="L1368">
        <v>0</v>
      </c>
      <c r="N1368" t="s">
        <v>88</v>
      </c>
      <c r="O1368" t="s">
        <v>89</v>
      </c>
      <c r="P1368">
        <v>0</v>
      </c>
      <c r="Q1368">
        <v>1</v>
      </c>
      <c r="R1368">
        <v>0</v>
      </c>
      <c r="S1368">
        <v>0</v>
      </c>
      <c r="T1368">
        <v>0</v>
      </c>
      <c r="U1368">
        <v>0</v>
      </c>
      <c r="V1368">
        <v>0</v>
      </c>
      <c r="W1368">
        <v>0</v>
      </c>
      <c r="X1368">
        <v>0</v>
      </c>
      <c r="Y1368">
        <v>0</v>
      </c>
      <c r="Z1368">
        <v>0</v>
      </c>
      <c r="AA1368">
        <v>0</v>
      </c>
      <c r="AM1368" t="s">
        <v>83</v>
      </c>
      <c r="AN1368" t="s">
        <v>82</v>
      </c>
      <c r="AO1368" t="s">
        <v>81</v>
      </c>
      <c r="AP1368" t="s">
        <v>81</v>
      </c>
      <c r="AQ1368" t="s">
        <v>83</v>
      </c>
      <c r="AR1368" t="s">
        <v>83</v>
      </c>
      <c r="AS1368" t="s">
        <v>83</v>
      </c>
      <c r="AT1368" t="s">
        <v>83</v>
      </c>
      <c r="AU1368" t="s">
        <v>88</v>
      </c>
      <c r="AV1368" t="s">
        <v>89</v>
      </c>
      <c r="AW1368" t="s">
        <v>100</v>
      </c>
      <c r="AZ1368" t="s">
        <v>73</v>
      </c>
      <c r="BA1368" t="s">
        <v>87</v>
      </c>
      <c r="BB1368" t="s">
        <v>74</v>
      </c>
      <c r="BC1368" t="s">
        <v>87</v>
      </c>
      <c r="BD1368" t="s">
        <v>87</v>
      </c>
      <c r="BE1368" t="s">
        <v>87</v>
      </c>
      <c r="BF1368" t="s">
        <v>97</v>
      </c>
      <c r="BG1368" t="s">
        <v>76</v>
      </c>
      <c r="BH1368" t="s">
        <v>98</v>
      </c>
      <c r="BI1368" t="s">
        <v>73</v>
      </c>
      <c r="BJ1368" t="s">
        <v>114</v>
      </c>
      <c r="BK1368">
        <v>0</v>
      </c>
      <c r="BL1368">
        <v>0</v>
      </c>
      <c r="BM1368">
        <v>0</v>
      </c>
      <c r="BN1368">
        <v>0</v>
      </c>
      <c r="BO1368">
        <v>0</v>
      </c>
      <c r="BP1368">
        <v>1</v>
      </c>
      <c r="BQ1368">
        <v>0</v>
      </c>
      <c r="BR1368">
        <v>0</v>
      </c>
    </row>
    <row r="1369" spans="1:72" x14ac:dyDescent="0.2">
      <c r="A1369" s="1">
        <v>44585.693055555559</v>
      </c>
      <c r="B1369" s="1">
        <v>44590.857638888891</v>
      </c>
      <c r="C1369">
        <v>1</v>
      </c>
      <c r="D1369">
        <v>0</v>
      </c>
      <c r="E1369">
        <v>0</v>
      </c>
      <c r="F1369">
        <v>0</v>
      </c>
      <c r="H1369">
        <v>0</v>
      </c>
      <c r="I1369">
        <v>1</v>
      </c>
      <c r="J1369">
        <v>0</v>
      </c>
      <c r="K1369">
        <v>0</v>
      </c>
      <c r="L1369">
        <v>0</v>
      </c>
      <c r="N1369" t="s">
        <v>88</v>
      </c>
      <c r="O1369" t="s">
        <v>80</v>
      </c>
      <c r="P1369">
        <v>0</v>
      </c>
      <c r="Q1369">
        <v>1</v>
      </c>
      <c r="R1369">
        <v>0</v>
      </c>
      <c r="S1369">
        <v>0</v>
      </c>
      <c r="T1369">
        <v>0</v>
      </c>
      <c r="U1369">
        <v>0</v>
      </c>
      <c r="V1369">
        <v>0</v>
      </c>
      <c r="W1369">
        <v>0</v>
      </c>
      <c r="X1369">
        <v>0</v>
      </c>
      <c r="Y1369">
        <v>0</v>
      </c>
      <c r="Z1369">
        <v>0</v>
      </c>
      <c r="AA1369">
        <v>0</v>
      </c>
      <c r="AM1369" t="s">
        <v>83</v>
      </c>
      <c r="AN1369" t="s">
        <v>83</v>
      </c>
      <c r="AO1369" t="s">
        <v>82</v>
      </c>
      <c r="AP1369" t="s">
        <v>82</v>
      </c>
      <c r="AQ1369" t="s">
        <v>83</v>
      </c>
      <c r="AR1369" t="s">
        <v>83</v>
      </c>
      <c r="AS1369" t="s">
        <v>83</v>
      </c>
      <c r="AT1369" t="s">
        <v>83</v>
      </c>
      <c r="AU1369" t="s">
        <v>88</v>
      </c>
      <c r="AV1369" t="s">
        <v>127</v>
      </c>
      <c r="AW1369" t="s">
        <v>100</v>
      </c>
      <c r="AZ1369" t="s">
        <v>73</v>
      </c>
      <c r="BA1369" t="s">
        <v>87</v>
      </c>
      <c r="BB1369" t="s">
        <v>87</v>
      </c>
      <c r="BC1369" t="s">
        <v>74</v>
      </c>
      <c r="BD1369" t="s">
        <v>74</v>
      </c>
      <c r="BE1369" t="s">
        <v>74</v>
      </c>
      <c r="BF1369" t="s">
        <v>97</v>
      </c>
      <c r="BG1369" t="s">
        <v>92</v>
      </c>
      <c r="BH1369" t="s">
        <v>158</v>
      </c>
      <c r="BI1369" t="s">
        <v>73</v>
      </c>
      <c r="BJ1369" t="s">
        <v>151</v>
      </c>
      <c r="BK1369">
        <v>0</v>
      </c>
      <c r="BL1369">
        <v>0</v>
      </c>
      <c r="BM1369">
        <v>0</v>
      </c>
      <c r="BN1369">
        <v>0</v>
      </c>
      <c r="BO1369">
        <v>0</v>
      </c>
      <c r="BP1369">
        <v>1</v>
      </c>
      <c r="BQ1369">
        <v>0</v>
      </c>
      <c r="BR1369">
        <v>0</v>
      </c>
    </row>
    <row r="1377" spans="58:61" x14ac:dyDescent="0.2">
      <c r="BF1377" t="s">
        <v>58</v>
      </c>
    </row>
    <row r="1378" spans="58:61" x14ac:dyDescent="0.2">
      <c r="BF1378" t="s">
        <v>92</v>
      </c>
      <c r="BG1378">
        <f>COUNTIF(BG2:BG1369,"Male")</f>
        <v>478</v>
      </c>
    </row>
    <row r="1379" spans="58:61" x14ac:dyDescent="0.2">
      <c r="BF1379" t="s">
        <v>76</v>
      </c>
      <c r="BG1379">
        <f>COUNTIF(BG2:BG1369,"Female")</f>
        <v>871</v>
      </c>
    </row>
    <row r="1380" spans="58:61" x14ac:dyDescent="0.2">
      <c r="BF1380" t="s">
        <v>568</v>
      </c>
    </row>
    <row r="1381" spans="58:61" x14ac:dyDescent="0.2">
      <c r="BF1381" t="s">
        <v>568</v>
      </c>
      <c r="BG1381" t="s">
        <v>569</v>
      </c>
      <c r="BH1381" t="s">
        <v>92</v>
      </c>
      <c r="BI1381" t="s">
        <v>76</v>
      </c>
    </row>
    <row r="1382" spans="58:61" x14ac:dyDescent="0.2">
      <c r="BF1382" s="4" t="s">
        <v>570</v>
      </c>
      <c r="BG1382" s="4">
        <f>COUNTIF(BK2:BK1369,"1")</f>
        <v>390</v>
      </c>
      <c r="BH1382" s="4">
        <f>COUNTIFS(BG2:BG1369,"Male",BK2:BK1369,"1")</f>
        <v>83</v>
      </c>
      <c r="BI1382" s="4">
        <f>COUNTIFS(BG2:BG1369,"Female",BK2:BK1369,"1")</f>
        <v>306</v>
      </c>
    </row>
    <row r="1383" spans="58:61" x14ac:dyDescent="0.2">
      <c r="BF1383" s="4" t="s">
        <v>571</v>
      </c>
      <c r="BG1383" s="4">
        <f>COUNTIF(BN2:BN1369,"1")</f>
        <v>60</v>
      </c>
      <c r="BH1383" s="4">
        <f>COUNTIFS(BG2:BG1369,"Male",BN2:BN1369,"1")</f>
        <v>26</v>
      </c>
      <c r="BI1383" s="4">
        <f>COUNTIFS(BG2:BG1369,"Female",BN2:BN1369,"1")</f>
        <v>32</v>
      </c>
    </row>
    <row r="1384" spans="58:61" x14ac:dyDescent="0.2">
      <c r="BF1384" s="4" t="s">
        <v>572</v>
      </c>
      <c r="BG1384" s="4">
        <f>COUNTIF(BO2:BO1369,"1")</f>
        <v>78</v>
      </c>
      <c r="BH1384" s="4">
        <f>COUNTIFS(BG2:BG1369,"Male",BO2:BO1369,"1")</f>
        <v>33</v>
      </c>
      <c r="BI1384" s="4">
        <f>COUNTIFS(BG2:BG1369,"Female",BO2:BO1369,"1")</f>
        <v>45</v>
      </c>
    </row>
    <row r="1385" spans="58:61" x14ac:dyDescent="0.2">
      <c r="BF1385" s="4" t="s">
        <v>573</v>
      </c>
      <c r="BG1385" s="4">
        <f>COUNTIF(BP2:BP1369,"1")</f>
        <v>826</v>
      </c>
      <c r="BH1385" s="4">
        <f>COUNTIFS(BG2:BG1369,"Male",BP2:BP1369,"1")</f>
        <v>338</v>
      </c>
      <c r="BI1385" s="4">
        <f>COUNTIFS(BG2:BG1369,"Female",BP2:BP1369,"1")</f>
        <v>477</v>
      </c>
    </row>
    <row r="1386" spans="58:61" x14ac:dyDescent="0.2">
      <c r="BF1386" s="4"/>
      <c r="BG1386" s="4"/>
      <c r="BH1386" s="4"/>
      <c r="BI1386" s="4"/>
    </row>
    <row r="1387" spans="58:61" x14ac:dyDescent="0.2">
      <c r="BF1387" s="4" t="s">
        <v>59</v>
      </c>
      <c r="BG1387" s="4" t="s">
        <v>569</v>
      </c>
      <c r="BH1387" s="4" t="s">
        <v>92</v>
      </c>
      <c r="BI1387" s="4" t="s">
        <v>76</v>
      </c>
    </row>
    <row r="1388" spans="58:61" x14ac:dyDescent="0.2">
      <c r="BF1388" s="4" t="s">
        <v>574</v>
      </c>
      <c r="BG1388" s="4">
        <f>COUNTIF(BH2:BH1369,"Gen Z")</f>
        <v>24</v>
      </c>
      <c r="BH1388" s="4">
        <f>COUNTIFS(BG2:BG1369,"Male",BH2:BH1369,"Gen Z")</f>
        <v>4</v>
      </c>
      <c r="BI1388" s="4">
        <f>COUNTIFS(BG2:BG1369,"Female",BH2:BH1369,"Gen Z")</f>
        <v>17</v>
      </c>
    </row>
    <row r="1389" spans="58:61" x14ac:dyDescent="0.2">
      <c r="BF1389" s="5" t="s">
        <v>575</v>
      </c>
      <c r="BG1389" s="4">
        <f>COUNTIF(BH2:BH1369,"Millenials")</f>
        <v>176</v>
      </c>
      <c r="BH1389" s="4">
        <f>COUNTIFS(BG2:BG1369,"Male",BH2:BH1369,"Millenials")</f>
        <v>52</v>
      </c>
      <c r="BI1389" s="4">
        <f>COUNTIFS(BG2:BG1369,"Female",BH2:BH1369,"Millenials")</f>
        <v>116</v>
      </c>
    </row>
    <row r="1390" spans="58:61" x14ac:dyDescent="0.2">
      <c r="BF1390" s="4" t="s">
        <v>77</v>
      </c>
      <c r="BG1390" s="4">
        <f>COUNTIF(BH2:BH1369,"Generation X")</f>
        <v>460</v>
      </c>
      <c r="BH1390" s="4">
        <f>COUNTIFS(BG2:BG1369,"Male",BH2:BH1369,"Generation X")</f>
        <v>121</v>
      </c>
      <c r="BI1390" s="4">
        <f>COUNTIFS(BG2:BG1369,"Female",BH2:BH1369,"Generation X")</f>
        <v>334</v>
      </c>
    </row>
    <row r="1391" spans="58:61" x14ac:dyDescent="0.2">
      <c r="BF1391" s="4" t="s">
        <v>576</v>
      </c>
      <c r="BG1391" s="4">
        <f>COUNTIF(BH2:BH1369,"Baby Boomer")</f>
        <v>579</v>
      </c>
      <c r="BH1391" s="4">
        <f>COUNTIFS(BG2:BG1369,"Male",BH2:BH1369,"Baby Boomer")</f>
        <v>224</v>
      </c>
      <c r="BI1391" s="4">
        <f>COUNTIFS(BG2:BG1369,"Female",BH2:BH1369,"Baby Boomer")</f>
        <v>355</v>
      </c>
    </row>
    <row r="1392" spans="58:61" x14ac:dyDescent="0.2">
      <c r="BF1392" s="4" t="s">
        <v>158</v>
      </c>
      <c r="BG1392" s="4">
        <f>COUNTIF(BH2:BH1369,"Silent Generation")</f>
        <v>128</v>
      </c>
      <c r="BH1392" s="4">
        <f>COUNTIFS(BG2:BG1369,"Male",BH2:BH1369,"Silent Generation")</f>
        <v>77</v>
      </c>
      <c r="BI1392" s="4">
        <f>COUNTIFS(BG2:BG1369,"Female",BH2:BH1369,"Silent Generation")</f>
        <v>48</v>
      </c>
    </row>
    <row r="1393" spans="58:61" x14ac:dyDescent="0.2">
      <c r="BF1393" s="4" t="s">
        <v>566</v>
      </c>
      <c r="BG1393" s="4">
        <f>COUNTIF(BH2:BH1369,"Greatest Generation")</f>
        <v>1</v>
      </c>
      <c r="BH1393" s="4">
        <f>COUNTIFS(BG2:BG1369,"Male",BH2:BH1369,"Greatest Generation")</f>
        <v>0</v>
      </c>
      <c r="BI1393" s="4">
        <f>COUNTIFS(BG2:BG1369,"Female",BH2:BH1369,"Greatest Generation")</f>
        <v>1</v>
      </c>
    </row>
    <row r="1397" spans="58:61" x14ac:dyDescent="0.2">
      <c r="BG1397" t="str" cm="1">
        <f t="array" ref="BG1397:BG1402">_xlfn.UNIQUE(BH2:BH1369)</f>
        <v>Generation X</v>
      </c>
    </row>
    <row r="1398" spans="58:61" x14ac:dyDescent="0.2">
      <c r="BG1398" t="str">
        <v>Millenials</v>
      </c>
    </row>
    <row r="1399" spans="58:61" x14ac:dyDescent="0.2">
      <c r="BG1399" t="str">
        <v>Baby Boomer</v>
      </c>
    </row>
    <row r="1400" spans="58:61" x14ac:dyDescent="0.2">
      <c r="BG1400" t="str">
        <v>Silent Generation</v>
      </c>
    </row>
    <row r="1401" spans="58:61" x14ac:dyDescent="0.2">
      <c r="BG1401" t="str">
        <v>Gen Z</v>
      </c>
    </row>
    <row r="1402" spans="58:61" x14ac:dyDescent="0.2">
      <c r="BG1402" t="str">
        <v>Greatest Generation</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CSV with Answer Lables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Maddocks</dc:creator>
  <cp:lastModifiedBy>Md Mobashir Hasan Shandhi</cp:lastModifiedBy>
  <dcterms:created xsi:type="dcterms:W3CDTF">2022-02-04T23:53:48Z</dcterms:created>
  <dcterms:modified xsi:type="dcterms:W3CDTF">2025-02-21T22:24:29Z</dcterms:modified>
</cp:coreProperties>
</file>